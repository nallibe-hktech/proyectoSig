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tables/table1.xml" ContentType="application/vnd.openxmlformats-officedocument.spreadsheetml.tabl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NallibeRiveraGrisale\proyecto SIG ES\"/>
    </mc:Choice>
  </mc:AlternateContent>
  <xr:revisionPtr revIDLastSave="0" documentId="13_ncr:1_{539FA65E-1942-4688-B574-9C65B0C1BCA7}" xr6:coauthVersionLast="47" xr6:coauthVersionMax="47" xr10:uidLastSave="{00000000-0000-0000-0000-000000000000}"/>
  <bookViews>
    <workbookView xWindow="28680" yWindow="-120" windowWidth="29040" windowHeight="15720" activeTab="2" xr2:uid="{B5F7F94D-1B40-40D2-AB91-2D9848EA5D76}"/>
  </bookViews>
  <sheets>
    <sheet name="CRONOGRAMA" sheetId="10" r:id="rId1"/>
    <sheet name="ESTRUCTURA" sheetId="14" r:id="rId2"/>
    <sheet name="CONEXIONES" sheetId="15" r:id="rId3"/>
    <sheet name="Glosario" sheetId="11" r:id="rId4"/>
    <sheet name="Roles" sheetId="34" r:id="rId5"/>
    <sheet name="Flujo" sheetId="16" r:id="rId6"/>
    <sheet name="Innuva" sheetId="29" r:id="rId7"/>
    <sheet name="Bizneo" sheetId="27" r:id="rId8"/>
    <sheet name="Intratime" sheetId="31" r:id="rId9"/>
    <sheet name="PayHawk" sheetId="17" r:id="rId10"/>
    <sheet name="CeleroOne" sheetId="19" r:id="rId11"/>
    <sheet name="TravelPerk" sheetId="24" r:id="rId12"/>
    <sheet name="SGPV" sheetId="33" r:id="rId13"/>
    <sheet name="Entidades" sheetId="30" r:id="rId14"/>
    <sheet name="Hoja1" sheetId="40" state="hidden" r:id="rId15"/>
    <sheet name="Pagos - Facturación" sheetId="32" r:id="rId16"/>
    <sheet name="Detalles PagosFact_IL" sheetId="36" r:id="rId17"/>
    <sheet name="CuadroDetallesPagosFact" sheetId="38" r:id="rId18"/>
    <sheet name="Conceptos x Proyecto" sheetId="41" r:id="rId19"/>
    <sheet name="Pagos - Facturación (2)" sheetId="39" r:id="rId20"/>
  </sheets>
  <definedNames>
    <definedName name="_xlnm._FilterDatabase" localSheetId="14" hidden="1">Hoja1!$A$1:$C$9</definedName>
    <definedName name="hoy" localSheetId="0">TODAY()</definedName>
    <definedName name="Inicio_del_proyecto" localSheetId="0">CRONOGRAMA!$G$3</definedName>
    <definedName name="Inicio_del_proyecto">#REF!</definedName>
    <definedName name="Semana_para_mostrar" localSheetId="0">CRONOGRAMA!$G$4</definedName>
    <definedName name="Semana_para_mostrar">#REF!</definedName>
    <definedName name="task_end" localSheetId="0">CRONOGRAMA!$H1</definedName>
    <definedName name="task_progress" localSheetId="0">CRONOGRAMA!$F1</definedName>
    <definedName name="task_start" localSheetId="0">CRONOGRAMA!$G1</definedName>
    <definedName name="_xlnm.Print_Titles" localSheetId="0">CRONOGRAMA!$4:$6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1" i="39" l="1"/>
  <c r="G57" i="39"/>
  <c r="G96" i="39"/>
  <c r="G56" i="39"/>
  <c r="I56" i="39" s="1"/>
  <c r="B70" i="32"/>
  <c r="D70" i="32" s="1"/>
  <c r="J97" i="10"/>
  <c r="J40" i="10"/>
  <c r="K5" i="10"/>
  <c r="L5" i="10" s="1"/>
  <c r="G54" i="39" l="1"/>
  <c r="B71" i="32"/>
  <c r="B68" i="32"/>
  <c r="K6" i="10"/>
  <c r="K4" i="10"/>
  <c r="M5" i="10"/>
  <c r="L6" i="10"/>
  <c r="N5" i="10" l="1"/>
  <c r="M6" i="10"/>
  <c r="O5" i="10" l="1"/>
  <c r="N6" i="10"/>
  <c r="P5" i="10" l="1"/>
  <c r="O6" i="10"/>
  <c r="Q5" i="10" l="1"/>
  <c r="P6" i="10"/>
  <c r="Q6" i="10" l="1"/>
  <c r="R5" i="10"/>
  <c r="R4" i="10" l="1"/>
  <c r="R6" i="10"/>
  <c r="S5" i="10"/>
  <c r="S6" i="10" l="1"/>
  <c r="T5" i="10"/>
  <c r="T6" i="10" l="1"/>
  <c r="U5" i="10"/>
  <c r="U6" i="10" l="1"/>
  <c r="V5" i="10"/>
  <c r="V6" i="10" l="1"/>
  <c r="W5" i="10"/>
  <c r="X5" i="10" l="1"/>
  <c r="W6" i="10"/>
  <c r="Y5" i="10" l="1"/>
  <c r="X6" i="10"/>
  <c r="Y4" i="10" l="1"/>
  <c r="Z5" i="10"/>
  <c r="Y6" i="10"/>
  <c r="AA5" i="10" l="1"/>
  <c r="Z6" i="10"/>
  <c r="AB5" i="10" l="1"/>
  <c r="AA6" i="10"/>
  <c r="AC5" i="10" l="1"/>
  <c r="AB6" i="10"/>
  <c r="AC6" i="10" l="1"/>
  <c r="AD5" i="10"/>
  <c r="AD6" i="10" l="1"/>
  <c r="AE5" i="10"/>
  <c r="AE6" i="10" l="1"/>
  <c r="AF5" i="10"/>
  <c r="AF6" i="10" l="1"/>
  <c r="AF4" i="10"/>
  <c r="AG5" i="10"/>
  <c r="AG6" i="10" l="1"/>
  <c r="AH5" i="10"/>
  <c r="AH6" i="10" l="1"/>
  <c r="AI5" i="10"/>
  <c r="AJ5" i="10" l="1"/>
  <c r="AI6" i="10"/>
  <c r="AK5" i="10" l="1"/>
  <c r="AJ6" i="10"/>
  <c r="AL5" i="10" l="1"/>
  <c r="AK6" i="10"/>
  <c r="AM5" i="10" l="1"/>
  <c r="AL6" i="10"/>
  <c r="AN5" i="10" l="1"/>
  <c r="AM4" i="10"/>
  <c r="AM6" i="10"/>
  <c r="AO5" i="10" l="1"/>
  <c r="AN6" i="10"/>
  <c r="AO6" i="10" l="1"/>
  <c r="AP5" i="10"/>
  <c r="AP6" i="10" l="1"/>
  <c r="AQ5" i="10"/>
  <c r="AQ6" i="10" l="1"/>
  <c r="AR5" i="10"/>
  <c r="AR6" i="10" l="1"/>
  <c r="AS5" i="10"/>
  <c r="AS6" i="10" l="1"/>
  <c r="AT5" i="10"/>
  <c r="AT6" i="10" l="1"/>
  <c r="AU5" i="10"/>
  <c r="AT4" i="10"/>
  <c r="AV5" i="10" l="1"/>
  <c r="AU6" i="10"/>
  <c r="AW5" i="10" l="1"/>
  <c r="AV6" i="10"/>
  <c r="AX5" i="10" l="1"/>
  <c r="AW6" i="10"/>
  <c r="AY5" i="10" l="1"/>
  <c r="AX6" i="10"/>
  <c r="AZ5" i="10" l="1"/>
  <c r="AY6" i="10"/>
  <c r="BA5" i="10" l="1"/>
  <c r="AZ6" i="10"/>
  <c r="BA6" i="10" l="1"/>
  <c r="BB5" i="10"/>
  <c r="BA4" i="10"/>
  <c r="BB6" i="10" l="1"/>
  <c r="BC5" i="10"/>
  <c r="BC6" i="10" l="1"/>
  <c r="BD5" i="10"/>
  <c r="BD6" i="10" l="1"/>
  <c r="BE5" i="10"/>
  <c r="BE6" i="10" l="1"/>
  <c r="BF5" i="10"/>
  <c r="BF6" i="10" l="1"/>
  <c r="BG5" i="10"/>
  <c r="BH5" i="10" l="1"/>
  <c r="BG6" i="10"/>
  <c r="BI5" i="10" l="1"/>
  <c r="BH4" i="10"/>
  <c r="BH6" i="10"/>
  <c r="BJ5" i="10" l="1"/>
  <c r="BI6" i="10"/>
  <c r="BK5" i="10" l="1"/>
  <c r="BJ6" i="10"/>
  <c r="BL5" i="10" l="1"/>
  <c r="BK6" i="10"/>
  <c r="BM5" i="10" l="1"/>
  <c r="BL6" i="10"/>
  <c r="BM6" i="10" l="1"/>
  <c r="BN5" i="10"/>
  <c r="BN6"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Silvia Lopez</author>
  </authors>
  <commentList>
    <comment ref="C16" authorId="0" shapeId="0" xr:uid="{BEB540E3-7EAA-49DF-8A28-C84437BCF2E0}">
      <text>
        <r>
          <rPr>
            <b/>
            <sz val="9"/>
            <color indexed="81"/>
            <rFont val="Tahoma"/>
            <family val="2"/>
          </rPr>
          <t>Silvia Lopez:</t>
        </r>
        <r>
          <rPr>
            <sz val="9"/>
            <color indexed="81"/>
            <rFont val="Tahoma"/>
            <family val="2"/>
          </rPr>
          <t xml:space="preserve">
¿Cuánto tarda cada IL en realizar el cierre de X proyecto?</t>
        </r>
      </text>
    </comment>
  </commentList>
</comments>
</file>

<file path=xl/sharedStrings.xml><?xml version="1.0" encoding="utf-8"?>
<sst xmlns="http://schemas.openxmlformats.org/spreadsheetml/2006/main" count="2512" uniqueCount="1679">
  <si>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</si>
  <si>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PLATAFORMA OPERATIVA SIG ES Y BBDD UNIFICADA</t>
  </si>
  <si>
    <t>Escriba el nombre de la compañía en la celda B2.</t>
  </si>
  <si>
    <t>Escriba el nombre del responsable del proyecto en la celda B3. Escriba la fecha de comienzo del proyecto en la celda E3. Inicio del proyecto: la etiqueta se encuentra en la celda C3.</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</si>
  <si>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</si>
  <si>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</si>
  <si>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</si>
  <si>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</si>
  <si>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FASE</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</si>
  <si>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</si>
  <si>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</si>
  <si>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QUIÉN</t>
  </si>
  <si>
    <t>DURACIÓN</t>
  </si>
  <si>
    <t>PROGRESO</t>
  </si>
  <si>
    <t>INICIO</t>
  </si>
  <si>
    <t>FIN</t>
  </si>
  <si>
    <t>DÍAS</t>
  </si>
  <si>
    <t>PREVIA</t>
  </si>
  <si>
    <t>DEFINIR ROLES RESPONSABILIDADES Y OBJETIVOS</t>
  </si>
  <si>
    <t>Nombrar responsables funcionales por área:</t>
  </si>
  <si>
    <t>BI-FF</t>
  </si>
  <si>
    <t>Operaciones / Campo</t>
  </si>
  <si>
    <t>Financiero / Pagos y Facturación</t>
  </si>
  <si>
    <t>RRHH / Tiempos y dietas</t>
  </si>
  <si>
    <t>IT/BI / Seguridad / Integraciones / Reporting</t>
  </si>
  <si>
    <t>Definir canal único de comunicación con el desarrollador (Teams, backlog, rituales).</t>
  </si>
  <si>
    <t>Alinear objetivos y alcance</t>
  </si>
  <si>
    <t>Validar qué procesos entran en el proyecto</t>
  </si>
  <si>
    <t>Establecer criterios de éxito operativos: (Trazabilidad, Tiempo de cierre de pagos/facturación)</t>
  </si>
  <si>
    <t>ANÁLISIS DE LA SITUACIÓN ACTUAL</t>
  </si>
  <si>
    <t>Mapear cómo se gestiona hoy operativa de campo, consolidación financiera en Excel y cálculo de pagos manual.</t>
  </si>
  <si>
    <t>Identificar Exceles que existen, quién los mantiene, qué datos entran y salen</t>
  </si>
  <si>
    <t>Identificar tareas manuales repetitivas</t>
  </si>
  <si>
    <t>Sistemas a integrar (Tipo de datos que aporta, periodicidad, Responsable interno, Forma de acceso)</t>
  </si>
  <si>
    <t xml:space="preserve">   Celero One </t>
  </si>
  <si>
    <t>BI</t>
  </si>
  <si>
    <t xml:space="preserve">   Bizneo</t>
  </si>
  <si>
    <t xml:space="preserve">   Payhawk</t>
  </si>
  <si>
    <t xml:space="preserve">   Intratime</t>
  </si>
  <si>
    <t xml:space="preserve">   A3 Innuva</t>
  </si>
  <si>
    <t xml:space="preserve">   A3 ERP</t>
  </si>
  <si>
    <t xml:space="preserve">   Galán y Mediapost</t>
  </si>
  <si>
    <t>DEFINICIÓN FUNCIONAL DE INTEGRACIÓN Y CONSOLIDACIÓN DE DATOS</t>
  </si>
  <si>
    <t>Identificar entidades clave:</t>
  </si>
  <si>
    <t xml:space="preserve">   Proyecto/Acción</t>
  </si>
  <si>
    <t xml:space="preserve">   Visita</t>
  </si>
  <si>
    <t xml:space="preserve">   Usuario</t>
  </si>
  <si>
    <t xml:space="preserve">   Gasto</t>
  </si>
  <si>
    <t>BI-FC</t>
  </si>
  <si>
    <t xml:space="preserve">   Pago</t>
  </si>
  <si>
    <t>Acordar identificadores únicos y reglas de conciliación</t>
  </si>
  <si>
    <t>Priorizar integraciones</t>
  </si>
  <si>
    <t xml:space="preserve">   Determinar integraciones imprescindibles para el MVP</t>
  </si>
  <si>
    <t xml:space="preserve">   Definir integraciones secundarias</t>
  </si>
  <si>
    <t>GESTIÓN DE PAGOS</t>
  </si>
  <si>
    <t>Digitalización de plantillas de pago</t>
  </si>
  <si>
    <t xml:space="preserve">   Recopilar todas las plantillas Excel actuales</t>
  </si>
  <si>
    <t xml:space="preserve">   Unificar criterios (campos obligatorios, fórmulas, excepciones)</t>
  </si>
  <si>
    <t xml:space="preserve">   Validar reglas  con FICO/Facilitadores</t>
  </si>
  <si>
    <t>BI-FF-FC</t>
  </si>
  <si>
    <t>Definir reglas de cálculo automático</t>
  </si>
  <si>
    <t xml:space="preserve">   Documentar lógica para</t>
  </si>
  <si>
    <t xml:space="preserve">      Dietas</t>
  </si>
  <si>
    <t xml:space="preserve">      Kilometraje</t>
  </si>
  <si>
    <t xml:space="preserve">      Gastos</t>
  </si>
  <si>
    <t xml:space="preserve">      Gratificaciones extraordinarias</t>
  </si>
  <si>
    <t xml:space="preserve">      Visitas extra</t>
  </si>
  <si>
    <t xml:space="preserve">      Incentivos</t>
  </si>
  <si>
    <t>Identificar</t>
  </si>
  <si>
    <t xml:space="preserve">      Casos estándar</t>
  </si>
  <si>
    <t xml:space="preserve">      Casos especiales</t>
  </si>
  <si>
    <t xml:space="preserve">      Límites y validaciones</t>
  </si>
  <si>
    <t>GESTIÓN DE FACTURACIÓN</t>
  </si>
  <si>
    <t>SC</t>
  </si>
  <si>
    <t>Definir reglas de facturación</t>
  </si>
  <si>
    <t xml:space="preserve">   Precio unitario por visita</t>
  </si>
  <si>
    <t>BI-FC-FF</t>
  </si>
  <si>
    <t xml:space="preserve">   Condiciones por proyecto / cliente</t>
  </si>
  <si>
    <t xml:space="preserve">   Gestión de gasos asociados</t>
  </si>
  <si>
    <t xml:space="preserve">   Relación entre visita -&gt; pago -&gt; factura</t>
  </si>
  <si>
    <t>Validación con A3 ERP</t>
  </si>
  <si>
    <t xml:space="preserve">   Qué se factura</t>
  </si>
  <si>
    <t>Formato de salida</t>
  </si>
  <si>
    <t>Confirmar exportaciones o integraciones necesarias</t>
  </si>
  <si>
    <t>CONTROL DE USUARIOS Y SEGURIDAD</t>
  </si>
  <si>
    <t>Diseño de roles y permisos</t>
  </si>
  <si>
    <t xml:space="preserve">   Definir perfiles (Administrador, Operaciones, Finanzas, RRHH, etc…)</t>
  </si>
  <si>
    <t>Integración con Azure Active Directory</t>
  </si>
  <si>
    <t xml:space="preserve">   Definir grupos de AD</t>
  </si>
  <si>
    <t xml:space="preserve">   Reglas de asignación automática de roles</t>
  </si>
  <si>
    <t xml:space="preserve">   Requisitos de auditoría de cambios</t>
  </si>
  <si>
    <t>REPORTING Y EXPLOTACIÓN ANALÍTICA</t>
  </si>
  <si>
    <t>Definición de KPIs prioritarios</t>
  </si>
  <si>
    <t xml:space="preserve">   Pagos por proyecto y usuario</t>
  </si>
  <si>
    <t xml:space="preserve">   Desviaciones de costes</t>
  </si>
  <si>
    <t>Preparación para Power BI</t>
  </si>
  <si>
    <t xml:space="preserve">   Definir datasets necesarios (¿Fabric?)</t>
  </si>
  <si>
    <t xml:space="preserve">   Nivel de detalle (día, mes, proyecto, usuario)</t>
  </si>
  <si>
    <t xml:space="preserve">   Usuarios finales del reporting</t>
  </si>
  <si>
    <t>VALIDACIÓN Y PREPARACIÓN PARA TRABAJAR CON EL DESARROLLADOR</t>
  </si>
  <si>
    <t>Preparar documentación funcional</t>
  </si>
  <si>
    <t xml:space="preserve">   Procesos AS-IS y TO-BE</t>
  </si>
  <si>
    <t xml:space="preserve">   Reglas de negocio </t>
  </si>
  <si>
    <t>Definir dinámica de trabajo</t>
  </si>
  <si>
    <t xml:space="preserve"> Ritmo de validación</t>
  </si>
  <si>
    <t>Cómo se gestionan cambios de alcance</t>
  </si>
  <si>
    <t>PASOS DESARROLLADOR H&amp;K</t>
  </si>
  <si>
    <t>TBD</t>
  </si>
  <si>
    <t>DS-BI</t>
  </si>
  <si>
    <t>Esta fila indica el final de la programación del proyecto. NO escriba nada en esta fila. 
Inserte nuevas filas encima de ésta para continuar creando la programación del proyecto.</t>
  </si>
  <si>
    <t>Leyenda</t>
  </si>
  <si>
    <t>FF</t>
  </si>
  <si>
    <t>Facilitadoras</t>
  </si>
  <si>
    <t>II</t>
  </si>
  <si>
    <t>Interlocutores</t>
  </si>
  <si>
    <t>EE</t>
  </si>
  <si>
    <t>Equipo Estratégico</t>
  </si>
  <si>
    <t>MC</t>
  </si>
  <si>
    <t>Mercedes</t>
  </si>
  <si>
    <t>Sergio</t>
  </si>
  <si>
    <t>DS</t>
  </si>
  <si>
    <t>Desarrollador</t>
  </si>
  <si>
    <t>YR</t>
  </si>
  <si>
    <t>Yoana Rodríguez</t>
  </si>
  <si>
    <t>MM</t>
  </si>
  <si>
    <t>Martha Mendez</t>
  </si>
  <si>
    <t>NB</t>
  </si>
  <si>
    <t>Nati Bustamante</t>
  </si>
  <si>
    <t>LP</t>
  </si>
  <si>
    <t>Lourdes Padilla</t>
  </si>
  <si>
    <t>LA</t>
  </si>
  <si>
    <t>Lara Almarcha</t>
  </si>
  <si>
    <t>EV</t>
  </si>
  <si>
    <t>Eladio Vega</t>
  </si>
  <si>
    <t>SL</t>
  </si>
  <si>
    <t>Silvia López</t>
  </si>
  <si>
    <t>Dpto. BI</t>
  </si>
  <si>
    <t>FC</t>
  </si>
  <si>
    <t>FICO</t>
  </si>
  <si>
    <t>Reunión programada equipo transversal</t>
  </si>
  <si>
    <t>EQUIPO DE TRABAJO (TEAMS)</t>
  </si>
  <si>
    <t>Nuevo equipo Teams</t>
  </si>
  <si>
    <t>Proyecto | Plataforma Operativa SIG</t>
  </si>
  <si>
    <t>Roles y responsables funcionales</t>
  </si>
  <si>
    <t>Rol</t>
  </si>
  <si>
    <t>Responsable</t>
  </si>
  <si>
    <t>Función principal</t>
  </si>
  <si>
    <t>Product Owner (SIG)</t>
  </si>
  <si>
    <t>Eladio/Sergio</t>
  </si>
  <si>
    <t>Prioriza, decide y valida</t>
  </si>
  <si>
    <t>FASE PREVIA</t>
  </si>
  <si>
    <t>Arranque y alineación</t>
  </si>
  <si>
    <t>Resp. Operaciones</t>
  </si>
  <si>
    <t>Yoana/Martha</t>
  </si>
  <si>
    <t>Procesos de visitas y campañas</t>
  </si>
  <si>
    <t>Resp. Finanzas/Pagos</t>
  </si>
  <si>
    <t>Lourdes/Lara/Yoana/Martha</t>
  </si>
  <si>
    <t>Lógica de pagos y facturación</t>
  </si>
  <si>
    <t>Tareas</t>
  </si>
  <si>
    <t>Presentación en Teams</t>
  </si>
  <si>
    <t>Resp. RRHH/Dietas</t>
  </si>
  <si>
    <t>Lourdes/Lara</t>
  </si>
  <si>
    <t>Tiempos, dietas, kilometraje</t>
  </si>
  <si>
    <t>Explicación visión, roles y forma de trabajo</t>
  </si>
  <si>
    <t>Resp. IT/Seguridad</t>
  </si>
  <si>
    <t>Eladio/Silvia</t>
  </si>
  <si>
    <t>Integraciones, AD, permisos</t>
  </si>
  <si>
    <t>Validación canales y estructura de Sharepoint</t>
  </si>
  <si>
    <t>Resp. BI/Reporting</t>
  </si>
  <si>
    <t>KPIs, Power BI</t>
  </si>
  <si>
    <t>Presentación Objetivos y Alcance</t>
  </si>
  <si>
    <t>Canal</t>
  </si>
  <si>
    <t>H&amp;K</t>
  </si>
  <si>
    <t>Estructura de carpetas</t>
  </si>
  <si>
    <t>General</t>
  </si>
  <si>
    <t>Comunicaciones clave y decisiones</t>
  </si>
  <si>
    <t>Contexto_y_Objetivos</t>
  </si>
  <si>
    <t>Alcance, visión, roadmap</t>
  </si>
  <si>
    <t>Operaciones</t>
  </si>
  <si>
    <t>Visitas, campañas, Celero</t>
  </si>
  <si>
    <t>Pagos_y_Facturación</t>
  </si>
  <si>
    <t>Pagos, A3, plantillas</t>
  </si>
  <si>
    <t>Integraciones_IT</t>
  </si>
  <si>
    <t>Sistemas, AD, APIs</t>
  </si>
  <si>
    <t>Reporting_PowerBI</t>
  </si>
  <si>
    <t>KPIs, datasets</t>
  </si>
  <si>
    <t>Validaciones</t>
  </si>
  <si>
    <t>Feedback y aprobaciones</t>
  </si>
  <si>
    <t>CELERO ONE</t>
  </si>
  <si>
    <t>To provide you with the best possible performance and future-proof technology, I would like to update you on a strategic change in our setup: We have moved away from the traditional approaches of using a Gateway or a Database Replica.</t>
  </si>
  <si>
    <t>Instead, we are now implementing a direct Live Connection to the Celero One Google AlloyDB (PostgreSQL).</t>
  </si>
  <si>
    <t>Here are the details regarding your specific questions:</t>
  </si>
  <si>
    <t>Performance &amp; Real-time Access</t>
  </si>
  <si>
    <t>By using a live connection to Google AlloyDB, applications can access, query, and manage data in real-time.</t>
  </si>
  <si>
    <t>No more ETL/Replication: Unlike the previous replica approach, there is no need for ETL (Extract, Transform, Load) processes or data replication. This eliminates sync-delays entirely.</t>
  </si>
  <si>
    <t>Speed: AlloyDB is designed for high-performance enterprise workloads. Transactions and queries for project and feedback data are processed with superior speed compared to standard replicas, as you are interacting directly with the high-performance database layer.</t>
  </si>
  <si>
    <t>Since this is a standard PostgreSQL-compatible interface (AlloyDB), the connection process is straightforward.</t>
  </si>
  <si>
    <t>Additional Points to Note</t>
  </si>
  <si>
    <t>Data Consistency: You will always see the "Single Source of Truth" in absolute real-time. There is no risk of reading outdated information from a lagging replica.</t>
  </si>
  <si>
    <t>Scalability: This setup is much more robust for future expansions (e.g., connecting additional applications), which aligns perfectly with your goal for the new SIG ES scenario.</t>
  </si>
  <si>
    <t>Security: The connection is handled through Google Cloud’s high-security standards, ensuring that your data remains protected while being highly accessible.</t>
  </si>
  <si>
    <t>We believe this is the most professional and efficient solution for your requirements. Please let us know if you need any further details.</t>
  </si>
  <si>
    <t>1. Initial Setup (One-time)</t>
  </si>
  <si>
    <r>
      <t>The initial technical configuration and implementation of the database connection requires a one-time effort of </t>
    </r>
    <r>
      <rPr>
        <b/>
        <sz val="12"/>
        <color rgb="FF222222"/>
        <rFont val="Arial"/>
        <family val="2"/>
      </rPr>
      <t>8 hours</t>
    </r>
    <r>
      <rPr>
        <sz val="12"/>
        <color rgb="FF222222"/>
        <rFont val="Arial"/>
        <family val="2"/>
      </rPr>
      <t> (1 person-day).</t>
    </r>
  </si>
  <si>
    <r>
      <t>Total Setup Costs:</t>
    </r>
    <r>
      <rPr>
        <sz val="12"/>
        <color rgb="FF222222"/>
        <rFont val="Arial"/>
        <family val="2"/>
      </rPr>
      <t> </t>
    </r>
    <r>
      <rPr>
        <b/>
        <sz val="12"/>
        <color rgb="FF222222"/>
        <rFont val="Arial"/>
        <family val="2"/>
      </rPr>
      <t>€1,300.00</t>
    </r>
    <r>
      <rPr>
        <sz val="12"/>
        <color rgb="FF222222"/>
        <rFont val="Arial"/>
        <family val="2"/>
      </rPr>
      <t> (€162.50/hour x 8h)</t>
    </r>
  </si>
  <si>
    <t>2. Monthly Maintenance</t>
  </si>
  <si>
    <t>For the ongoing provision and maintenance of the cloud infrastructure, the monthly fee is:</t>
  </si>
  <si>
    <r>
      <t>Monthly Fee:</t>
    </r>
    <r>
      <rPr>
        <sz val="12"/>
        <color rgb="FF222222"/>
        <rFont val="Arial"/>
        <family val="2"/>
      </rPr>
      <t> </t>
    </r>
    <r>
      <rPr>
        <b/>
        <sz val="12"/>
        <color rgb="FF222222"/>
        <rFont val="Arial"/>
        <family val="2"/>
      </rPr>
      <t>€200.00</t>
    </r>
  </si>
  <si>
    <t>3. Additional Support &amp; Consulting</t>
  </si>
  <si>
    <t>Should you require further assistance from Celero Cloud GmbH beyond the standard setup (e.g., support with connecting additional applications), these services will be billed according to actual effort:</t>
  </si>
  <si>
    <r>
      <t>Hourly Rate:</t>
    </r>
    <r>
      <rPr>
        <sz val="12"/>
        <color rgb="FF222222"/>
        <rFont val="Arial"/>
        <family val="2"/>
      </rPr>
      <t> </t>
    </r>
    <r>
      <rPr>
        <b/>
        <sz val="12"/>
        <color rgb="FF222222"/>
        <rFont val="Arial"/>
        <family val="2"/>
      </rPr>
      <t>€162.50</t>
    </r>
  </si>
  <si>
    <t>Acceso a través de PowerBi - PostgreSQL</t>
  </si>
  <si>
    <t xml:space="preserve">SERVIDOR CELERO: </t>
  </si>
  <si>
    <t>Celero-bi.celero-one.com</t>
  </si>
  <si>
    <t>Database name:</t>
  </si>
  <si>
    <t>siges</t>
  </si>
  <si>
    <t>User:</t>
  </si>
  <si>
    <t>sigesbi</t>
  </si>
  <si>
    <t>Password:</t>
  </si>
  <si>
    <t>A3 INNUVA</t>
  </si>
  <si>
    <t>Alta en Conectia, el servicio que nos proporciona las claves para acceder a las diferentes APIs (en nuestro caso A3 Innuva Nomina y A3 Innuva ERP).</t>
  </si>
  <si>
    <t>Coste:</t>
  </si>
  <si>
    <t>A3INNUVA | NOMINA CONECTIA HASTA 100 EMPLEADOS: 13,00€/mes</t>
  </si>
  <si>
    <t>A3INNUVA | ERP PYME CONECTIA HASTA 1 EMPRESA: 4,00€/mes</t>
  </si>
  <si>
    <t>Detalles Conectia:</t>
  </si>
  <si>
    <t>https://a3responde.wolterskluwer.com/es/s/article/conectia-que-es-y-como-funciona</t>
  </si>
  <si>
    <t>Documentación APIs:</t>
  </si>
  <si>
    <t>https://a3developers.wolterskluwer.es/apis</t>
  </si>
  <si>
    <t>INTRATIME</t>
  </si>
  <si>
    <t>Conexión a API Intratime.</t>
  </si>
  <si>
    <t>Incluido en el servicio.</t>
  </si>
  <si>
    <t>Documentación API:</t>
  </si>
  <si>
    <t>https://apidocs.intratime.es/</t>
  </si>
  <si>
    <t>PAYHAWK</t>
  </si>
  <si>
    <t>Conexión a API Payhawk.</t>
  </si>
  <si>
    <t>https://developers.payhawk.com/#/</t>
  </si>
  <si>
    <t>BIZNEO</t>
  </si>
  <si>
    <t>TRAVEL PERK</t>
  </si>
  <si>
    <t>SGPV</t>
  </si>
  <si>
    <t>Conceptos: Calculos personalizados aplicados en una franja de tiempo concreta.</t>
  </si>
  <si>
    <t>ORÍGENES DE DATOS</t>
  </si>
  <si>
    <t>Cada CONCEPTO contiene:</t>
  </si>
  <si>
    <t>Origen</t>
  </si>
  <si>
    <t>Datos</t>
  </si>
  <si>
    <t>Calculo: Campos utilizados y las operaciones a realizar sobre los mismos.</t>
  </si>
  <si>
    <t>Manual</t>
  </si>
  <si>
    <t>Objetivos, cuotas y conceptos no estandarizados, conceptos no digitalizados.</t>
  </si>
  <si>
    <t>Periodo de aplicación (desde-hasta): Franja de fechas en las que se aplica el calculo.</t>
  </si>
  <si>
    <t>Celero</t>
  </si>
  <si>
    <t>Operativa (visitas, acciones)</t>
  </si>
  <si>
    <t>Algunas visitas contabilizan en función de lo que se responda. Una sola acción en un PDV puede dividirse en varias visitas simultaneas (Grafman).</t>
  </si>
  <si>
    <t>Jerarquia: En que nivel se efectua el calculos (en todos los proyectos, en acciones concretas de un proyecto, solo en empleados especificos, etc.)</t>
  </si>
  <si>
    <t>Bizneo</t>
  </si>
  <si>
    <t>Fichajes, imputacion horas</t>
  </si>
  <si>
    <t>Caracteristicas:</t>
  </si>
  <si>
    <t>Intratime</t>
  </si>
  <si>
    <t>Fichajes entrada y salida</t>
  </si>
  <si>
    <t>Desglose: Cada calculo permite ver los registros de origen (plataforma, fecha y usuario).</t>
  </si>
  <si>
    <t>Payhawk</t>
  </si>
  <si>
    <t>Gastos, dietas, kilometraje</t>
  </si>
  <si>
    <t>Trazabilidad: Registro de fecha de ultimo cambio y autor.</t>
  </si>
  <si>
    <t>A3 Innuva</t>
  </si>
  <si>
    <t>Contratos y salarios</t>
  </si>
  <si>
    <t>Posibilidad de crear nuevo concepto a partir del duplicado otro ya existente.</t>
  </si>
  <si>
    <t>A3ERP</t>
  </si>
  <si>
    <t>Galan</t>
  </si>
  <si>
    <t>Logistica y almacen</t>
  </si>
  <si>
    <t>Jerarquias de aplicación de un concepto:</t>
  </si>
  <si>
    <t>Mediapost</t>
  </si>
  <si>
    <t>Acciones</t>
  </si>
  <si>
    <t>Recursos</t>
  </si>
  <si>
    <t>Tipo de rol</t>
  </si>
  <si>
    <t>Vista</t>
  </si>
  <si>
    <t>Pagos</t>
  </si>
  <si>
    <t>Facturaciones</t>
  </si>
  <si>
    <t>Auditorias</t>
  </si>
  <si>
    <t>Usuarios</t>
  </si>
  <si>
    <t>Roles</t>
  </si>
  <si>
    <t>Administrador</t>
  </si>
  <si>
    <t>Global</t>
  </si>
  <si>
    <t>Control total</t>
  </si>
  <si>
    <t>Ver</t>
  </si>
  <si>
    <t>Dirección</t>
  </si>
  <si>
    <t>Ver / Validar / Editar</t>
  </si>
  <si>
    <t>Ver / Editar / Crear</t>
  </si>
  <si>
    <t>Sin permisos</t>
  </si>
  <si>
    <t>RRHH</t>
  </si>
  <si>
    <t>Facilitador</t>
  </si>
  <si>
    <t>Interlocutor</t>
  </si>
  <si>
    <t>Proyecto</t>
  </si>
  <si>
    <t>Gestor</t>
  </si>
  <si>
    <t>Backoffice</t>
  </si>
  <si>
    <t>Ver / Validar</t>
  </si>
  <si>
    <t>Auxiliar</t>
  </si>
  <si>
    <t>*Permiso Editar incluye Eliminar</t>
  </si>
  <si>
    <t>TravelPerk</t>
  </si>
  <si>
    <t>-Salida</t>
  </si>
  <si>
    <t>Actividad / Visitas</t>
  </si>
  <si>
    <t>Fichaje</t>
  </si>
  <si>
    <t>?????</t>
  </si>
  <si>
    <t>Interfaz</t>
  </si>
  <si>
    <t>Descarga regular automatica</t>
  </si>
  <si>
    <t>Gastos y dietas</t>
  </si>
  <si>
    <t>-Entrada / Salida</t>
  </si>
  <si>
    <t>-Entrada</t>
  </si>
  <si>
    <t>Generación de facturas</t>
  </si>
  <si>
    <t>Costes logisticos</t>
  </si>
  <si>
    <t>Repositorio (BBDD)</t>
  </si>
  <si>
    <t>Viajes</t>
  </si>
  <si>
    <t>Limpieza y estandarización de datos</t>
  </si>
  <si>
    <t>Detectar errores o incoherencias y notificar a los responsables</t>
  </si>
  <si>
    <t>Calculo de conceptos</t>
  </si>
  <si>
    <t>Validación de responsables</t>
  </si>
  <si>
    <t>Notificación a FICO (validación individual / proyecto cerrado)</t>
  </si>
  <si>
    <t>*FICO puede devolver/editar registros</t>
  </si>
  <si>
    <t>Envio a Innuva / A3ERP</t>
  </si>
  <si>
    <t>MARZO_2026_LISTADO PERSONAL CAMPO QUE COBRA A DIA 30 POR CECO.xlsx</t>
  </si>
  <si>
    <t>MARZO_2026_INFORME PRELIMINAR NOMINAS CECOS.xlsx</t>
  </si>
  <si>
    <t>NSPP.xlsx</t>
  </si>
  <si>
    <t>LISTADO PERSONAL CAMPO QUE COBRA A DIA 30 POR CECO</t>
  </si>
  <si>
    <t>INFORME PRELIMINAR NOMINAS CECOS</t>
  </si>
  <si>
    <t>NSPP (NO SUPERADO PERIODO DE PRUEBA)</t>
  </si>
  <si>
    <t>Campos relevantes</t>
  </si>
  <si>
    <t>Campo</t>
  </si>
  <si>
    <t>Descripción</t>
  </si>
  <si>
    <t>Campo ID</t>
  </si>
  <si>
    <t>Fecha de carga</t>
  </si>
  <si>
    <t>Fecha en que se descargan los datos</t>
  </si>
  <si>
    <t>TRABAJADOR</t>
  </si>
  <si>
    <t>Nombre del trabajador</t>
  </si>
  <si>
    <t>Ceco</t>
  </si>
  <si>
    <t>Ceco contable del contrato</t>
  </si>
  <si>
    <t>NIF</t>
  </si>
  <si>
    <t>NIF del trabajador</t>
  </si>
  <si>
    <t>Codigo Empleado</t>
  </si>
  <si>
    <t>Identificador de Innuva</t>
  </si>
  <si>
    <t>fecha baja innuva</t>
  </si>
  <si>
    <t>Fecha de baja definitiva del trabajador</t>
  </si>
  <si>
    <t>- Plataforma de gestión del personal. Es la fuente principal de datos de los empleados, contratos y salarios.</t>
  </si>
  <si>
    <t>Trabajador</t>
  </si>
  <si>
    <t>- Se realizan dos descargas de datos al mes. La primera unos pocos días antes de cerrar el mes, la segunda durante la primera semana del siguiente mes.</t>
  </si>
  <si>
    <t>Imputación</t>
  </si>
  <si>
    <t>Porcentaje de imputación del contrato</t>
  </si>
  <si>
    <t>Fecha de cobro</t>
  </si>
  <si>
    <t>Fecha de cobro de nomina (fin de contrato o fin de mes)</t>
  </si>
  <si>
    <t>Importe bruto</t>
  </si>
  <si>
    <t>Salario base por contrato + pluses confirmados en Innuva</t>
  </si>
  <si>
    <t>Días alta</t>
  </si>
  <si>
    <t>Días desde el inicio de contrato hasta la fecha de cobro</t>
  </si>
  <si>
    <t>Descarga de Bizneo</t>
  </si>
  <si>
    <t>Son campos que nos dan información</t>
  </si>
  <si>
    <t>- Sistema de gestión de recursos humanos que centraliza información de empleados de ESTRUCTURA, también están incorporandose personal de campo de proyectos fijos, (estado, puesto, estructura organizativa, etc.). Se usa como apoyo para validar datos de personas dentro del proceso y llevar el control de las horas trabajada por día</t>
  </si>
  <si>
    <t>Campos CLAVE</t>
  </si>
  <si>
    <t>Campos identificadores que se relacionan con las diferentes tabla</t>
  </si>
  <si>
    <t>- La periodicidad de descarga de datos es mensual</t>
  </si>
  <si>
    <t>Campos</t>
  </si>
  <si>
    <t>Detalles</t>
  </si>
  <si>
    <t>ID del empleado</t>
  </si>
  <si>
    <t>ID creado por Bizneo del empleado</t>
  </si>
  <si>
    <t>Empleado</t>
  </si>
  <si>
    <t>Diego Casagrande Spallina</t>
  </si>
  <si>
    <t>Nombre completo del empleado</t>
  </si>
  <si>
    <t>ID externo del empleado</t>
  </si>
  <si>
    <t>Organizaciones del empleado</t>
  </si>
  <si>
    <t>Personal campo transversal, Merchandiser</t>
  </si>
  <si>
    <t>Balance - Total</t>
  </si>
  <si>
    <t>39:24</t>
  </si>
  <si>
    <t>Horas programadas - Total</t>
  </si>
  <si>
    <t>88:00</t>
  </si>
  <si>
    <t>Horas programadas - Opcionales</t>
  </si>
  <si>
    <t>0:00</t>
  </si>
  <si>
    <t>Horas programadas - Ordinarias</t>
  </si>
  <si>
    <t>Horas registradas - Total</t>
  </si>
  <si>
    <t>127:24</t>
  </si>
  <si>
    <t>Horas totales realizadas (pactadas + extra)</t>
  </si>
  <si>
    <t>Horas registradas - Total en minutos</t>
  </si>
  <si>
    <t>Horas registradas - Ordinarias</t>
  </si>
  <si>
    <t>Horas sin justificar - Total</t>
  </si>
  <si>
    <t>9:43</t>
  </si>
  <si>
    <t>Horas sin justificar - Retrasos</t>
  </si>
  <si>
    <t>Horas sin justificar - Salidas adelantadas</t>
  </si>
  <si>
    <t>Horas sin justificar - Días sin registro</t>
  </si>
  <si>
    <t>Horas adicionales - Total</t>
  </si>
  <si>
    <t>49:07</t>
  </si>
  <si>
    <t>Horas extras realizadas fuera de las pactadas</t>
  </si>
  <si>
    <t>Horas adicionales - Ordinarias</t>
  </si>
  <si>
    <t>Horas contrato - Máximas (Convenio)</t>
  </si>
  <si>
    <t>913:00</t>
  </si>
  <si>
    <t>Horas contrato - Máximas reales</t>
  </si>
  <si>
    <t>Horas contrato - Realizadas</t>
  </si>
  <si>
    <t>Horas contrato - Realizadas en minutos</t>
  </si>
  <si>
    <t>Horas contrato - Pendientes</t>
  </si>
  <si>
    <t>785:36</t>
  </si>
  <si>
    <t>Horas contrato - Restantes programadas</t>
  </si>
  <si>
    <t>825:00</t>
  </si>
  <si>
    <t>Descansos - No remunerados</t>
  </si>
  <si>
    <t>Descansos - Remunerados</t>
  </si>
  <si>
    <t>Ausencias - Días</t>
  </si>
  <si>
    <t>Ausencias - Horas</t>
  </si>
  <si>
    <t>Días - Con registro</t>
  </si>
  <si>
    <t>Días fichados</t>
  </si>
  <si>
    <t>Días - Esperados</t>
  </si>
  <si>
    <t>Días pactadas por contrato para trabajar</t>
  </si>
  <si>
    <t>Días - Festivos</t>
  </si>
  <si>
    <t>Días - Nocturnos</t>
  </si>
  <si>
    <t>Días - Sábados</t>
  </si>
  <si>
    <t>Días - Domingo</t>
  </si>
  <si>
    <t>Días - Con incidencia</t>
  </si>
  <si>
    <t>Aprobador</t>
  </si>
  <si>
    <t>Yoana Rodríguez Antón</t>
  </si>
  <si>
    <t>Validador</t>
  </si>
  <si>
    <t>Aprobado el</t>
  </si>
  <si>
    <t>2026-04-02T10:03:31</t>
  </si>
  <si>
    <t>Fecha Validación</t>
  </si>
  <si>
    <t>Confirmado el</t>
  </si>
  <si>
    <t>2026-04-02T10:03:37</t>
  </si>
  <si>
    <t>Estado</t>
  </si>
  <si>
    <t>confirmed</t>
  </si>
  <si>
    <t>METODOS DE API</t>
  </si>
  <si>
    <r>
      <t xml:space="preserve">- Herramienta de </t>
    </r>
    <r>
      <rPr>
        <b/>
        <sz val="11"/>
        <color theme="1"/>
        <rFont val="Aptos Display"/>
        <family val="2"/>
        <scheme val="major"/>
      </rPr>
      <t>control de fichajes y horarios (entrada/salida)</t>
    </r>
    <r>
      <rPr>
        <sz val="11"/>
        <color theme="1"/>
        <rFont val="Aptos Display"/>
        <family val="2"/>
        <scheme val="major"/>
      </rPr>
      <t xml:space="preserve"> de los empleados de campo. Aporta datos de tiempos trabajados que pueden utilizarse para cálculos o validaciones dentro del cierre</t>
    </r>
  </si>
  <si>
    <t>GET USERS</t>
  </si>
  <si>
    <t>GET USER CLOCKINGS</t>
  </si>
  <si>
    <t>Ejemplo</t>
  </si>
  <si>
    <t>USER_ID</t>
  </si>
  <si>
    <t>INOUT_ID</t>
  </si>
  <si>
    <t>USER_COMPANY</t>
  </si>
  <si>
    <t>PI9981</t>
  </si>
  <si>
    <t>INOUT_USER_ID</t>
  </si>
  <si>
    <t>USER_NAME</t>
  </si>
  <si>
    <t>Pruebas Intratime</t>
  </si>
  <si>
    <t>INOUT_TYPE</t>
  </si>
  <si>
    <t>USER_EMAIL</t>
  </si>
  <si>
    <t>pruebas@intratime.es</t>
  </si>
  <si>
    <t>INOUT_DATE</t>
  </si>
  <si>
    <t>2019-03-06 09</t>
  </si>
  <si>
    <t>USER_TOKEN</t>
  </si>
  <si>
    <t>7ffee40bc69a4da8f85357ee7d6b83c2a33a3d6f</t>
  </si>
  <si>
    <t>INOUT_SOURCE</t>
  </si>
  <si>
    <t>USER_IMAGE</t>
  </si>
  <si>
    <t>INOUT_COORDINATES</t>
  </si>
  <si>
    <t>USER_NIF</t>
  </si>
  <si>
    <t>12345678W</t>
  </si>
  <si>
    <t>INOUT_USE_SERVER_TIME</t>
  </si>
  <si>
    <t>USER_AFFILIATION</t>
  </si>
  <si>
    <t>INOUT_PROJECT_ID</t>
  </si>
  <si>
    <t>null</t>
  </si>
  <si>
    <t>USER_WORKING_TIME</t>
  </si>
  <si>
    <t>INOUT_MODIFICATION_DATE</t>
  </si>
  <si>
    <t>2019-03-06 08</t>
  </si>
  <si>
    <t>USER_USERNAME</t>
  </si>
  <si>
    <t>INOUT_COMMENTS</t>
  </si>
  <si>
    <t>USER_PASWORD</t>
  </si>
  <si>
    <t>5276ec8ed0df6c90d3395950d65428d4</t>
  </si>
  <si>
    <t>INOUT_IMAGE_NAME</t>
  </si>
  <si>
    <t>PROJECT_ID</t>
  </si>
  <si>
    <t>INOUT_CREATETIME</t>
  </si>
  <si>
    <t>PROJECT_NAME</t>
  </si>
  <si>
    <t>Proyecto 1</t>
  </si>
  <si>
    <t>INOUT_EXPENSE_ID</t>
  </si>
  <si>
    <t>PROJECT_COMPANY</t>
  </si>
  <si>
    <t>INOUT_AMOUNT</t>
  </si>
  <si>
    <t>PID_OLD</t>
  </si>
  <si>
    <t>INOUT_DEVICE_UID</t>
  </si>
  <si>
    <t>client</t>
  </si>
  <si>
    <t>INOUT_PROJECT_NAME</t>
  </si>
  <si>
    <t>CLIENT_ID</t>
  </si>
  <si>
    <t>INOUT_EXPENSE_NAME</t>
  </si>
  <si>
    <t>Comidas</t>
  </si>
  <si>
    <t>CLIENT_COMPANY</t>
  </si>
  <si>
    <t>INOUT_IMAGE_URL</t>
  </si>
  <si>
    <t>CLIENT_NAME</t>
  </si>
  <si>
    <t>CLIENTE 1</t>
  </si>
  <si>
    <t>CLIENT_COUNTRY</t>
  </si>
  <si>
    <t>España</t>
  </si>
  <si>
    <t>CLIENT_REGION</t>
  </si>
  <si>
    <t>Barcelona</t>
  </si>
  <si>
    <t>CLIENT_CITY</t>
  </si>
  <si>
    <t>CLIENT_ADDRESS</t>
  </si>
  <si>
    <t>C/ Bailén 194-196</t>
  </si>
  <si>
    <t>CLIENT_CP</t>
  </si>
  <si>
    <t>CLIENT_COORDINATES</t>
  </si>
  <si>
    <t>undefined undefined</t>
  </si>
  <si>
    <t>CID_OLD</t>
  </si>
  <si>
    <t>WORKCENTER_ID</t>
  </si>
  <si>
    <t>WORKCENTER_COMPANY</t>
  </si>
  <si>
    <t>WORKCENTER_NAME</t>
  </si>
  <si>
    <t>CENTRAL</t>
  </si>
  <si>
    <t>WORKCENTER_COUNTRY</t>
  </si>
  <si>
    <t>WORKCENTER_REGION</t>
  </si>
  <si>
    <t>WORKCENTER_CITY</t>
  </si>
  <si>
    <t>WORKCENTER_ADDRESS</t>
  </si>
  <si>
    <t>WORKCENTER_CP</t>
  </si>
  <si>
    <t>WORKCENTER_COORDINATES</t>
  </si>
  <si>
    <t>WORKCENTER_CREATION_DATE</t>
  </si>
  <si>
    <t>2017-02-21 11</t>
  </si>
  <si>
    <t>WCID_OLD</t>
  </si>
  <si>
    <t>Descarga de PayHawk</t>
  </si>
  <si>
    <t>Expense ID</t>
  </si>
  <si>
    <t>27551</t>
  </si>
  <si>
    <t>Identificador único del gasto en Payhawk. Clave primaria de la tabla.</t>
  </si>
  <si>
    <t>Created Date</t>
  </si>
  <si>
    <t>Plantilla ejemplo descarga</t>
  </si>
  <si>
    <t>Token de acceso (solo lectura):</t>
  </si>
  <si>
    <t>Settlement Date</t>
  </si>
  <si>
    <t>GASTOS PAYHAWK__Marzo 2026.xlsx</t>
  </si>
  <si>
    <t>YzAxYjZmODA1YmQ1NGQ2ZThjOWE0OGMyODAwNWYyMTg6OTA1ZTMwODY2ZTM3NGNiMTg2NTRlOTI5ZDkyM2UxN2I=</t>
  </si>
  <si>
    <t>Payment Status</t>
  </si>
  <si>
    <t>Payment Type</t>
  </si>
  <si>
    <t>mileage</t>
  </si>
  <si>
    <t>Tipo de pago del gasto (Company funds, Personal funds, mileage, etc.).</t>
  </si>
  <si>
    <t>Payment ID</t>
  </si>
  <si>
    <t>- Plataforma para el envío y aprobación de notas de gastos. Se usa para que el personal envie gastos y kilometrajes que posteriormente se les abonará.</t>
  </si>
  <si>
    <t>Total Amount (EUR)</t>
  </si>
  <si>
    <t>- La periodicidad de descarga de datos es mensual.</t>
  </si>
  <si>
    <t>Net Amount (EUR)</t>
  </si>
  <si>
    <t>Tax Amount (EUR)</t>
  </si>
  <si>
    <t>Tax Rate Name</t>
  </si>
  <si>
    <t>Tax Rate Code</t>
  </si>
  <si>
    <t>Tax Rate %</t>
  </si>
  <si>
    <t>Paid Amount</t>
  </si>
  <si>
    <t>Importe total del gasto pagado. Campo base para reporting económico.</t>
  </si>
  <si>
    <t>Paid Currency</t>
  </si>
  <si>
    <t>Expense Note</t>
  </si>
  <si>
    <t>sabo_octubre</t>
  </si>
  <si>
    <t>Categoría del gasto según Payhawk (Kilometraje, Dietas, Aparcamiento, Carburante, etc.).</t>
  </si>
  <si>
    <t>Expense Line Note</t>
  </si>
  <si>
    <t>Expense Category</t>
  </si>
  <si>
    <t>Kilometraje</t>
  </si>
  <si>
    <t>Descripción libre del gasto introducida por el usuario. Aporta contexto funcional.</t>
  </si>
  <si>
    <t>Account Code</t>
  </si>
  <si>
    <t>Equipos</t>
  </si>
  <si>
    <t>Sales_Optimising_Campo</t>
  </si>
  <si>
    <t>Equipos External ID</t>
  </si>
  <si>
    <t>Sales_Coty_Aperturas_Digna_010201</t>
  </si>
  <si>
    <t>Proyecto asociado al gasto (nombre funcional).</t>
  </si>
  <si>
    <t>Proyecto External ID</t>
  </si>
  <si>
    <t>010201</t>
  </si>
  <si>
    <t>Identificador externo del proyecto para cruce con otras herramientas (Celero, ERP).</t>
  </si>
  <si>
    <t>Mes y Año</t>
  </si>
  <si>
    <t>Marzo 2026</t>
  </si>
  <si>
    <t>Departamento interno al que pertenece el gasto.</t>
  </si>
  <si>
    <t>Mes y Año External ID</t>
  </si>
  <si>
    <t>03 2026</t>
  </si>
  <si>
    <t>Periodo contable del gasto en formato texto (ej.: “Marzo 2026”).</t>
  </si>
  <si>
    <t>Departamento</t>
  </si>
  <si>
    <t>Coty_Campo</t>
  </si>
  <si>
    <t>Departamento External ID</t>
  </si>
  <si>
    <t>Fecha de la ruta</t>
  </si>
  <si>
    <t>Fecha de la ruta External ID</t>
  </si>
  <si>
    <t>Document Number</t>
  </si>
  <si>
    <t>Document Date</t>
  </si>
  <si>
    <t>Fecha del documento del gasto (ticket, factura, recibo).</t>
  </si>
  <si>
    <t>Document Upload Date</t>
  </si>
  <si>
    <t>Document Type</t>
  </si>
  <si>
    <t>Request Id</t>
  </si>
  <si>
    <t>Due Date</t>
  </si>
  <si>
    <t>Supplier Name</t>
  </si>
  <si>
    <t>Supplier External ID</t>
  </si>
  <si>
    <t>Supplier VAT</t>
  </si>
  <si>
    <t>Supplier Country</t>
  </si>
  <si>
    <t>Supplier Payment Details</t>
  </si>
  <si>
    <t>Discount</t>
  </si>
  <si>
    <t>Accounting FX Rate</t>
  </si>
  <si>
    <t>Expense Status</t>
  </si>
  <si>
    <t>Expense Owner</t>
  </si>
  <si>
    <t>Ivana Campana</t>
  </si>
  <si>
    <t>Nombre de la persona que ha generado el gasto.</t>
  </si>
  <si>
    <t>Expense Owner ID</t>
  </si>
  <si>
    <t>X9208934X</t>
  </si>
  <si>
    <t>Identificador único del usuario en Payhawk.</t>
  </si>
  <si>
    <t>Approval Status</t>
  </si>
  <si>
    <t>Approved</t>
  </si>
  <si>
    <t>Estado de aprobación del gasto (Approved, Not reviewed, etc.).</t>
  </si>
  <si>
    <t>Approver Name</t>
  </si>
  <si>
    <t>DIGNA CASTINEIRA, DIGNA CASTINEIRA</t>
  </si>
  <si>
    <t>Persona que ha aprobado el gasto.</t>
  </si>
  <si>
    <t>File 1</t>
  </si>
  <si>
    <t>File 2</t>
  </si>
  <si>
    <t>Expense Report ID</t>
  </si>
  <si>
    <t>Descarga de cada uno de los módulos de Celero</t>
  </si>
  <si>
    <t>Campos clave Celero | divido en áreas</t>
  </si>
  <si>
    <t>En los servicios de Celero con cuestionario activose ha solicitado el precio estándar de cada uno, para poder integrarlos directamente en Celero y avanzar en la estandarización de las visitas por campañas.</t>
  </si>
  <si>
    <r>
      <t xml:space="preserve">Clientes </t>
    </r>
    <r>
      <rPr>
        <i/>
        <sz val="11"/>
        <color theme="1"/>
        <rFont val="Aptos Narrow"/>
        <family val="2"/>
        <scheme val="minor"/>
      </rPr>
      <t>[Se crean desde BI]</t>
    </r>
  </si>
  <si>
    <t>Departamentos</t>
  </si>
  <si>
    <t>Centro de coste</t>
  </si>
  <si>
    <t>Poas</t>
  </si>
  <si>
    <t>Missiones</t>
  </si>
  <si>
    <t>Usuarios (maestro)</t>
  </si>
  <si>
    <t>VisitReport - TABLA MAESTRA</t>
  </si>
  <si>
    <t>VisitReport(Feedback)</t>
  </si>
  <si>
    <t>Servicios</t>
  </si>
  <si>
    <t>KPIs (Preguntas y respuestas)</t>
  </si>
  <si>
    <t>Preguntas/Respuestas de los procesos (cuestionarios)</t>
  </si>
  <si>
    <t>Lista Servicios-Procesos_CeleroOne_042026.xlsx</t>
  </si>
  <si>
    <t>clientId</t>
  </si>
  <si>
    <t>Código ÚNICO que identifica a cada Cliente creado en celero</t>
  </si>
  <si>
    <t>departmentId</t>
  </si>
  <si>
    <t>Código ÚNICO que identifica a cada Departamento creado en celero</t>
  </si>
  <si>
    <t>centerId</t>
  </si>
  <si>
    <t>Código ÚNICO que identifica a cada centro de coste creado en celero, se crea un centro de coste por cada nuevo cliente</t>
  </si>
  <si>
    <t>poaId</t>
  </si>
  <si>
    <t>número identificador único, creado por Celero de cada POA (point of action - punto de acción)</t>
  </si>
  <si>
    <t>missionId</t>
  </si>
  <si>
    <t>ID único, creado por Celero, de la MISSION creada, puede ser REPEATING o ONE TIME, si es Repeting, este código aparecerá tantas veces como frecuencia tenga la misión</t>
  </si>
  <si>
    <t>resourceId</t>
  </si>
  <si>
    <t>código ÚNICO del Recurso-&gt; creado por celero</t>
  </si>
  <si>
    <t>userId</t>
  </si>
  <si>
    <t>código ÚNICO del Usuario-&gt; creado por celero</t>
  </si>
  <si>
    <t>visitId</t>
  </si>
  <si>
    <t>código ÚNICO de la visita</t>
  </si>
  <si>
    <t>serviceId</t>
  </si>
  <si>
    <t>código ÚNICO del Servicio</t>
  </si>
  <si>
    <t>clientCreatedAt</t>
  </si>
  <si>
    <t>departmentCreatedAt</t>
  </si>
  <si>
    <t>centerCreatedAt</t>
  </si>
  <si>
    <t>poaCreatedAt</t>
  </si>
  <si>
    <t>missionCreatedAt</t>
  </si>
  <si>
    <t>fecha de la creación de la misión</t>
  </si>
  <si>
    <t>resourceCreatedAt</t>
  </si>
  <si>
    <t>userCreatedAt</t>
  </si>
  <si>
    <t>serviceName</t>
  </si>
  <si>
    <t>TEST_SIG</t>
  </si>
  <si>
    <t>clientGln</t>
  </si>
  <si>
    <t>departmentNotes</t>
  </si>
  <si>
    <t>centerName</t>
  </si>
  <si>
    <t>Nombre, asignado por SIG, también debe ser único de cada Centro de coste</t>
  </si>
  <si>
    <t>poaType</t>
  </si>
  <si>
    <t>missionStartDate</t>
  </si>
  <si>
    <t>primera fecha en la que el Recurso a abierto la misión</t>
  </si>
  <si>
    <t>resourceUpdatedAt</t>
  </si>
  <si>
    <t>userValidFrom</t>
  </si>
  <si>
    <t>Fecha de inicio del contrato</t>
  </si>
  <si>
    <t>resourceExternalId</t>
  </si>
  <si>
    <t>serviceCreatedAt</t>
  </si>
  <si>
    <t>19.05.2022 09:18:42</t>
  </si>
  <si>
    <r>
      <t xml:space="preserve">Este esquema muestra </t>
    </r>
    <r>
      <rPr>
        <b/>
        <sz val="11"/>
        <color theme="1"/>
        <rFont val="Aptos Narrow"/>
        <family val="2"/>
        <scheme val="minor"/>
      </rPr>
      <t>cómo se conectan varias “listas” de información</t>
    </r>
    <r>
      <rPr>
        <sz val="11"/>
        <color theme="1"/>
        <rFont val="Aptos Narrow"/>
        <family val="2"/>
        <scheme val="minor"/>
      </rPr>
      <t xml:space="preserve"> (clientes, tiendas/POAs, usuarios y respuestas de visitas) usando </t>
    </r>
    <r>
      <rPr>
        <b/>
        <sz val="11"/>
        <color theme="1"/>
        <rFont val="Aptos Narrow"/>
        <family val="2"/>
        <scheme val="minor"/>
      </rPr>
      <t>códigos únicos</t>
    </r>
    <r>
      <rPr>
        <sz val="11"/>
        <color theme="1"/>
        <rFont val="Aptos Narrow"/>
        <family val="2"/>
        <scheme val="minor"/>
      </rPr>
      <t xml:space="preserve"> llamados </t>
    </r>
    <r>
      <rPr>
        <b/>
        <sz val="11"/>
        <color theme="1"/>
        <rFont val="Aptos Narrow"/>
        <family val="2"/>
        <scheme val="minor"/>
      </rPr>
      <t>ID</t>
    </r>
    <r>
      <rPr>
        <sz val="11"/>
        <color theme="1"/>
        <rFont val="Aptos Narrow"/>
        <family val="2"/>
        <scheme val="minor"/>
      </rPr>
      <t>.</t>
    </r>
  </si>
  <si>
    <t>clientVatNr</t>
  </si>
  <si>
    <t>departmentName</t>
  </si>
  <si>
    <t>Nombre, asignado por SIG, también debe ser único de cada Departamento</t>
  </si>
  <si>
    <t>centerNumber</t>
  </si>
  <si>
    <t>poaName</t>
  </si>
  <si>
    <t>Nombre, creado por SIG, del POA. Es un campo libre de texto</t>
  </si>
  <si>
    <t>missionEndDate</t>
  </si>
  <si>
    <t>primera fecha en la que el Recurso a finalizado la misión</t>
  </si>
  <si>
    <t>costcenterId</t>
  </si>
  <si>
    <t>userValidTo</t>
  </si>
  <si>
    <t>Fecha fin del contrato</t>
  </si>
  <si>
    <t>missionType</t>
  </si>
  <si>
    <t>tipo de misión (REPEATING o ONE TIME)</t>
  </si>
  <si>
    <t>serviceIsExternal</t>
  </si>
  <si>
    <r>
      <t>Un ID es como un “DNI”</t>
    </r>
    <r>
      <rPr>
        <sz val="11"/>
        <color theme="1"/>
        <rFont val="Aptos Narrow"/>
        <family val="2"/>
        <scheme val="minor"/>
      </rPr>
      <t>: no es el nombre, pero sirve para identificar algo sin confusión y poder enlazar datos entre tablas.</t>
    </r>
  </si>
  <si>
    <t>clientExternalId</t>
  </si>
  <si>
    <t>contactName</t>
  </si>
  <si>
    <t>departmentIds</t>
  </si>
  <si>
    <t>código de departamento al que está asignaod el centro de coste</t>
  </si>
  <si>
    <t>poaExternalId</t>
  </si>
  <si>
    <t>codigo identificador ÚNICO, creado por SIG, es un ID interno</t>
  </si>
  <si>
    <t>missionDuration</t>
  </si>
  <si>
    <t>costcenterName</t>
  </si>
  <si>
    <t>userDisabledAt</t>
  </si>
  <si>
    <t>Usuario habilitado/deshabilitado</t>
  </si>
  <si>
    <t>missionMultipleFeedbacks</t>
  </si>
  <si>
    <t>name</t>
  </si>
  <si>
    <t>serviceIsActive</t>
  </si>
  <si>
    <t>Si está activo o no</t>
  </si>
  <si>
    <t>clientNotes</t>
  </si>
  <si>
    <t>contactSurname</t>
  </si>
  <si>
    <t>addressStreetName</t>
  </si>
  <si>
    <t>Dirección del POA, debe contener nombre completo y número</t>
  </si>
  <si>
    <t>missionMinDaysBetweenVisits</t>
  </si>
  <si>
    <t>DNI del Recurso</t>
  </si>
  <si>
    <t>validContract</t>
  </si>
  <si>
    <t>contrato activo SI/NO</t>
  </si>
  <si>
    <t>nombre del Servicio asignado</t>
  </si>
  <si>
    <t>surname</t>
  </si>
  <si>
    <t>serviceIsOnDemand</t>
  </si>
  <si>
    <t>clientName</t>
  </si>
  <si>
    <t>Nombre, asignado por SIG, también debe ser único de cada Cliente</t>
  </si>
  <si>
    <t>clientIds</t>
  </si>
  <si>
    <t>código de Cliente al que está asignado el departamento</t>
  </si>
  <si>
    <t>addressLine2</t>
  </si>
  <si>
    <t>skillIds</t>
  </si>
  <si>
    <t>userEmail</t>
  </si>
  <si>
    <t>email asignado</t>
  </si>
  <si>
    <t>codigo único del Servicio asingado</t>
  </si>
  <si>
    <t>serviceMaxHours</t>
  </si>
  <si>
    <t>Área Celero</t>
  </si>
  <si>
    <t>Tabla Conexión API</t>
  </si>
  <si>
    <t>addressLine3</t>
  </si>
  <si>
    <t>resourcetypeId</t>
  </si>
  <si>
    <t>tipo de ROL que tiene el Recurso</t>
  </si>
  <si>
    <t>roleId</t>
  </si>
  <si>
    <t>codigo identificador del ROL asignado</t>
  </si>
  <si>
    <t>cliente al que está asignada la visita</t>
  </si>
  <si>
    <t>storeRetailerName</t>
  </si>
  <si>
    <t>serviceDefaultDurationMin</t>
  </si>
  <si>
    <t>Clientes</t>
  </si>
  <si>
    <t>public client_list_view</t>
  </si>
  <si>
    <t>Gestión del maestro de clientes: alta, mantenimiento y consulta de información asociada</t>
  </si>
  <si>
    <t>addressZipcode</t>
  </si>
  <si>
    <t>addressLine4</t>
  </si>
  <si>
    <t>numero identificador único, creado por Celero de cada POA (point of action - punto de acción)</t>
  </si>
  <si>
    <t>resourcetypeName</t>
  </si>
  <si>
    <t>roleName</t>
  </si>
  <si>
    <t>servicePaymentType</t>
  </si>
  <si>
    <t>public department // public department_list_view // public department_clients_client</t>
  </si>
  <si>
    <t>Organización interna por áreas o equipos para estructurar usuarios, recursos y operaciones</t>
  </si>
  <si>
    <t>addressCity</t>
  </si>
  <si>
    <t>codigo postal</t>
  </si>
  <si>
    <t>personId</t>
  </si>
  <si>
    <t>processName</t>
  </si>
  <si>
    <t>servicePaymentCurrency</t>
  </si>
  <si>
    <t>EUR</t>
  </si>
  <si>
    <t>public cost_center // public cost_center_list_view // public cost_center_list_import // public department_cost_centers_cost_center</t>
  </si>
  <si>
    <t>Control y asignación de costes por unidad organizativa o actividad para seguimiento económico</t>
  </si>
  <si>
    <t>addressState</t>
  </si>
  <si>
    <t>población</t>
  </si>
  <si>
    <t>clientes a los que está asignado el Recurs</t>
  </si>
  <si>
    <t>personName</t>
  </si>
  <si>
    <t>Nombre del usuario</t>
  </si>
  <si>
    <t>storeRetailerNumber</t>
  </si>
  <si>
    <t>servicePaymentRangeFrom</t>
  </si>
  <si>
    <t>50.00</t>
  </si>
  <si>
    <t>PAGO minimo de visita</t>
  </si>
  <si>
    <t>public poa // public analytics_poa_list_view</t>
  </si>
  <si>
    <r>
      <t xml:space="preserve">Módulo para la </t>
    </r>
    <r>
      <rPr>
        <sz val="11"/>
        <color theme="1"/>
        <rFont val="Aptos Narrow"/>
        <family val="2"/>
        <scheme val="minor"/>
      </rPr>
      <t>gestión de puntos de acción (centros/ubicaciones operativas) donde se ejecutan las visitas</t>
    </r>
  </si>
  <si>
    <t>addressCountry</t>
  </si>
  <si>
    <t>personSurname</t>
  </si>
  <si>
    <t>Apellidos del usuario</t>
  </si>
  <si>
    <t>servicePaymentRangeTo</t>
  </si>
  <si>
    <t>60.00</t>
  </si>
  <si>
    <t xml:space="preserve">PAGO máximo de visita ¿? -&gt; pendiente de definir </t>
  </si>
  <si>
    <t>public resource_list_view // public resource // public resource_contract // public resource_contract type // public all_user_list_view</t>
  </si>
  <si>
    <t>Módulo para la gestión COMPLETA de USUARIOS, agrupa los Recursos y usuarios Administradores y Cliente</t>
  </si>
  <si>
    <t>código de departamento al que está asignaod el cliente</t>
  </si>
  <si>
    <t>Nombre del Recurso</t>
  </si>
  <si>
    <t>personGender</t>
  </si>
  <si>
    <t>serviceFailPaymentType</t>
  </si>
  <si>
    <t>public resource_contract_type_list_view_entity // public resource_type // public resource</t>
  </si>
  <si>
    <t>Módulo para la gestión de personal operativo (BA’s, tácticos, merchandisers, etc.).</t>
  </si>
  <si>
    <t>INFORMACIÓN CLIENTE QUE UTILIZAMOS PAGOS/FACT</t>
  </si>
  <si>
    <t>storeGln</t>
  </si>
  <si>
    <t>serviceClientId</t>
  </si>
  <si>
    <t>Apellidos del Recurso</t>
  </si>
  <si>
    <t>poaUserNames</t>
  </si>
  <si>
    <t>serviceFailPaymentInPercent</t>
  </si>
  <si>
    <t>public all_user_list_view // public userpublic user</t>
  </si>
  <si>
    <t>Módulo para el registro, seguimiento y análisis de visitas realizadas</t>
  </si>
  <si>
    <t>isGeocoded</t>
  </si>
  <si>
    <t>serviceDepartmentId</t>
  </si>
  <si>
    <t>personDateOfBirth</t>
  </si>
  <si>
    <t>serviceFailPaymentValue</t>
  </si>
  <si>
    <t>public feedback // public media_answer_list_view // public media_answer_photo_report_list_view // public answer // public article_history_list_view</t>
  </si>
  <si>
    <t>Es la parte del módulo de reportes donde se gestiona el feedback introducido en las visitas realizadas, es decir, la información que el equipo de campo completa tras ejecutar una misión</t>
  </si>
  <si>
    <t>fromMobile</t>
  </si>
  <si>
    <t>visitPlanDate</t>
  </si>
  <si>
    <t>fecha en la que se ha planificado la visita</t>
  </si>
  <si>
    <t>serviceDenyOvertime</t>
  </si>
  <si>
    <t>public service_list_view // public service_export_view // public service</t>
  </si>
  <si>
    <t>Módulo clave para la configuración y planificación de servicios ofrecidos a clientes</t>
  </si>
  <si>
    <t>visitStatus</t>
  </si>
  <si>
    <t>estado de la visita (Abierta - Chequeada - en prgreso - Realizada)</t>
  </si>
  <si>
    <t>serviceAllowAdHocVisits</t>
  </si>
  <si>
    <t>visitDuration</t>
  </si>
  <si>
    <t>servicePoaCheckinRadius</t>
  </si>
  <si>
    <t>poaClosedAt</t>
  </si>
  <si>
    <t>clientes a los que está asignado el Usuario</t>
  </si>
  <si>
    <t>serviceEnableLocationCheckin</t>
  </si>
  <si>
    <t>poaHierarchy1Id</t>
  </si>
  <si>
    <t>serviceIsCrowdBased</t>
  </si>
  <si>
    <t>poaHierarchy2Id</t>
  </si>
  <si>
    <t>userResourceId</t>
  </si>
  <si>
    <t>typeName</t>
  </si>
  <si>
    <t>Brand Advocacy</t>
  </si>
  <si>
    <t>poaHierarchy3Id</t>
  </si>
  <si>
    <t>userIsTechnical</t>
  </si>
  <si>
    <t>costCenterName</t>
  </si>
  <si>
    <t>SIG - DISCOVER</t>
  </si>
  <si>
    <t>poaHierarchy4Id</t>
  </si>
  <si>
    <t>ID del departamento asignado</t>
  </si>
  <si>
    <t>poaHierarchy5Id</t>
  </si>
  <si>
    <t>plannedTimeFrom</t>
  </si>
  <si>
    <t>SIG - SALES OPTIMISING</t>
  </si>
  <si>
    <t>userIds</t>
  </si>
  <si>
    <t>Id de los USUARIOS a los que está asignado el POA</t>
  </si>
  <si>
    <t>plannedTimeTo</t>
  </si>
  <si>
    <t>ID del cliente asginado al Servicio</t>
  </si>
  <si>
    <t>PREGUNTA 1</t>
  </si>
  <si>
    <t>userNames</t>
  </si>
  <si>
    <t>nombre de los USUARIOS  a los que está asignado el POA</t>
  </si>
  <si>
    <t>phone</t>
  </si>
  <si>
    <t>visitStartedAt</t>
  </si>
  <si>
    <t>poaLabels</t>
  </si>
  <si>
    <t>mobile</t>
  </si>
  <si>
    <t>addressTimezone</t>
  </si>
  <si>
    <t>visitFinishedAt</t>
  </si>
  <si>
    <t>sundayDuration</t>
  </si>
  <si>
    <t>userDisabled</t>
  </si>
  <si>
    <t>RECURSOS habilitado/deshabilitado</t>
  </si>
  <si>
    <t>sundayTimeFrom</t>
  </si>
  <si>
    <t>visitNotes</t>
  </si>
  <si>
    <t>sundayTimeTo</t>
  </si>
  <si>
    <t>contractTypeId</t>
  </si>
  <si>
    <t>Tipo de contrato asignado</t>
  </si>
  <si>
    <t>cancellationReason</t>
  </si>
  <si>
    <t>mondayDuration</t>
  </si>
  <si>
    <t>contractTypeName</t>
  </si>
  <si>
    <t>realTimeFrom</t>
  </si>
  <si>
    <t>mondayTimeFrom</t>
  </si>
  <si>
    <t>contractValidFrom</t>
  </si>
  <si>
    <t>realTimeTo</t>
  </si>
  <si>
    <t>mondayTimeTo</t>
  </si>
  <si>
    <t>contractValidTo</t>
  </si>
  <si>
    <t>realDuration</t>
  </si>
  <si>
    <t>tuesdayDuration</t>
  </si>
  <si>
    <t>codigo ÚNICO de USUARIO</t>
  </si>
  <si>
    <t>tuesdayTimeFrom</t>
  </si>
  <si>
    <t>visitCheckedInAt</t>
  </si>
  <si>
    <t>tuesdayTimeTo</t>
  </si>
  <si>
    <t>fecha en la que se ha finalzo la visita</t>
  </si>
  <si>
    <t>wednesdayDuration</t>
  </si>
  <si>
    <t>textBriefing</t>
  </si>
  <si>
    <t>wednesdayTimeFrom</t>
  </si>
  <si>
    <t>absenceType</t>
  </si>
  <si>
    <t>processId</t>
  </si>
  <si>
    <t>wednesdayTimeTo</t>
  </si>
  <si>
    <t>addressLat</t>
  </si>
  <si>
    <t>PREGUNTA 2</t>
  </si>
  <si>
    <t>thursdayDuration</t>
  </si>
  <si>
    <t>addressLon</t>
  </si>
  <si>
    <t>PREGUNTA 3</t>
  </si>
  <si>
    <t>thursdayTimeFrom</t>
  </si>
  <si>
    <t>minDate</t>
  </si>
  <si>
    <t>PREGUNTA 4</t>
  </si>
  <si>
    <t>thursdayTimeTo</t>
  </si>
  <si>
    <t>maxDate</t>
  </si>
  <si>
    <t>fridayDuration</t>
  </si>
  <si>
    <t>fridayTimeFrom</t>
  </si>
  <si>
    <t>fridayTimeTo</t>
  </si>
  <si>
    <t>saturdayDuration</t>
  </si>
  <si>
    <t>comentarios adicionales en las visitas</t>
  </si>
  <si>
    <t>saturdayTimeFrom</t>
  </si>
  <si>
    <t>saturdayTimeTo</t>
  </si>
  <si>
    <t xml:space="preserve"> </t>
  </si>
  <si>
    <t>Descarga de TravelPerk</t>
  </si>
  <si>
    <t>*Falta campo DNI / Valorar si la descarga de la API nos permite descargar el dato</t>
  </si>
  <si>
    <t>Traveler first name</t>
  </si>
  <si>
    <t>Carina</t>
  </si>
  <si>
    <t>Nombre del usuario que realiza la petición</t>
  </si>
  <si>
    <t>Traveler last name</t>
  </si>
  <si>
    <t>Eiris Villaverde</t>
  </si>
  <si>
    <t>Apellidos del usuarios que realiza la petición</t>
  </si>
  <si>
    <t>- Servicio usado para gestionar los vuelos y alojamientos del personal.</t>
  </si>
  <si>
    <t>Traveler email</t>
  </si>
  <si>
    <t>carina.eiris@sigespana.es</t>
  </si>
  <si>
    <t>- La periodicidad de descarga de datos es</t>
  </si>
  <si>
    <t>Trip ID</t>
  </si>
  <si>
    <t>38727864</t>
  </si>
  <si>
    <t>Trip status</t>
  </si>
  <si>
    <t>booked</t>
  </si>
  <si>
    <t>Trip created time</t>
  </si>
  <si>
    <t>2026-03-30 16:26:03</t>
  </si>
  <si>
    <t>Trip purpose</t>
  </si>
  <si>
    <t>Alojamiento en Siero</t>
  </si>
  <si>
    <t>Booking ID</t>
  </si>
  <si>
    <t>14741144</t>
  </si>
  <si>
    <t>Booking status</t>
  </si>
  <si>
    <t>ticketed</t>
  </si>
  <si>
    <t>Service</t>
  </si>
  <si>
    <t>Hotels</t>
  </si>
  <si>
    <t>Booking description</t>
  </si>
  <si>
    <t>Hotel for trip 38727864</t>
  </si>
  <si>
    <t>Start date</t>
  </si>
  <si>
    <t>2026-04-09</t>
  </si>
  <si>
    <t>Fecha INICIO "viaje" (hotel y/o vuelo)</t>
  </si>
  <si>
    <t>End date</t>
  </si>
  <si>
    <t>2026-04-10</t>
  </si>
  <si>
    <t>Fecha FIN "viaje" (hotel y/o vuelo)</t>
  </si>
  <si>
    <t>Arrival time</t>
  </si>
  <si>
    <t>Departure time</t>
  </si>
  <si>
    <t>International or Domestic</t>
  </si>
  <si>
    <t>Itinerary type</t>
  </si>
  <si>
    <t>Cabin class</t>
  </si>
  <si>
    <t>Currency code</t>
  </si>
  <si>
    <t>Cost per traveler</t>
  </si>
  <si>
    <t>Cost per traveler (EUR)</t>
  </si>
  <si>
    <t>Cost per traveler without tax</t>
  </si>
  <si>
    <t>Coste solicitud</t>
  </si>
  <si>
    <t>Tax per traveler</t>
  </si>
  <si>
    <t>Non-taxable amount per traveler</t>
  </si>
  <si>
    <t>Tax regime</t>
  </si>
  <si>
    <t>ES-VAT-STAR-0.00</t>
  </si>
  <si>
    <t>Expense date</t>
  </si>
  <si>
    <t>2026-03-31</t>
  </si>
  <si>
    <t>Invoice number</t>
  </si>
  <si>
    <t>INV-01-2634273</t>
  </si>
  <si>
    <t>Número de factura</t>
  </si>
  <si>
    <t>Invoice issuing date</t>
  </si>
  <si>
    <t>Payment profile</t>
  </si>
  <si>
    <t>SERVICE INNOVATION GROUP ESPAÑA SL</t>
  </si>
  <si>
    <t>Payment method</t>
  </si>
  <si>
    <t>manual_sepa</t>
  </si>
  <si>
    <t>Card number</t>
  </si>
  <si>
    <t>Company</t>
  </si>
  <si>
    <t>Service Innovation Group España SL</t>
  </si>
  <si>
    <t>Cost object</t>
  </si>
  <si>
    <t>0231_APPLE WHITE_SALES SERVICES</t>
  </si>
  <si>
    <t>Proyecto al que se imputa el coste</t>
  </si>
  <si>
    <t>Booker</t>
  </si>
  <si>
    <t>email solicitante</t>
  </si>
  <si>
    <t>Approver</t>
  </si>
  <si>
    <t>eliana.castillo@sigespana.es</t>
  </si>
  <si>
    <t>email responsable de aprobar solicitud</t>
  </si>
  <si>
    <t>Time to review (hours and minutes)</t>
  </si>
  <si>
    <t>16:46</t>
  </si>
  <si>
    <t>Request date</t>
  </si>
  <si>
    <t>2026-03-30</t>
  </si>
  <si>
    <t>Approval date</t>
  </si>
  <si>
    <t>Original approvers</t>
  </si>
  <si>
    <t>Booking window (days)</t>
  </si>
  <si>
    <t>9</t>
  </si>
  <si>
    <t>Out of policy</t>
  </si>
  <si>
    <t>false</t>
  </si>
  <si>
    <t>Policy violations</t>
  </si>
  <si>
    <t>Request message</t>
  </si>
  <si>
    <t>Marketing airline</t>
  </si>
  <si>
    <t>Operating airline</t>
  </si>
  <si>
    <t>Flight route</t>
  </si>
  <si>
    <t>Departure airport code</t>
  </si>
  <si>
    <t>Departure airport country</t>
  </si>
  <si>
    <t>Departure airport name</t>
  </si>
  <si>
    <t>Arrival airport code</t>
  </si>
  <si>
    <t>Arrival airport country</t>
  </si>
  <si>
    <t>Arrival airport name</t>
  </si>
  <si>
    <t>PNR</t>
  </si>
  <si>
    <t>Flight number</t>
  </si>
  <si>
    <t>Total flight hours</t>
  </si>
  <si>
    <t>Hotel name</t>
  </si>
  <si>
    <t>B&amp;B Hotel Oviedo</t>
  </si>
  <si>
    <t>Hotel country</t>
  </si>
  <si>
    <t>ES</t>
  </si>
  <si>
    <t>Hotel city</t>
  </si>
  <si>
    <t>Siero</t>
  </si>
  <si>
    <t>Hotel nights</t>
  </si>
  <si>
    <t>1</t>
  </si>
  <si>
    <t>Cost per night</t>
  </si>
  <si>
    <t>Hotel fee</t>
  </si>
  <si>
    <t>Hotel stars</t>
  </si>
  <si>
    <t>3</t>
  </si>
  <si>
    <t>Room type</t>
  </si>
  <si>
    <t>Superior Double Room</t>
  </si>
  <si>
    <t>Hotel external ID</t>
  </si>
  <si>
    <t>2427428042</t>
  </si>
  <si>
    <t>Corporate rate</t>
  </si>
  <si>
    <t>Hotel breakfast</t>
  </si>
  <si>
    <t>Train supplier</t>
  </si>
  <si>
    <t>Departure train station</t>
  </si>
  <si>
    <t>Arrival train station</t>
  </si>
  <si>
    <t>Car supplier</t>
  </si>
  <si>
    <t>Pick-up country</t>
  </si>
  <si>
    <t>Pick-up city</t>
  </si>
  <si>
    <t>Drop-off country</t>
  </si>
  <si>
    <t>Drop-off city</t>
  </si>
  <si>
    <t>Car class</t>
  </si>
  <si>
    <t>Car insurance type</t>
  </si>
  <si>
    <t>CO2 emissions (kg)</t>
  </si>
  <si>
    <t>Estimated distance (km)</t>
  </si>
  <si>
    <t>Emission Methodology Version</t>
  </si>
  <si>
    <t>3.0.1</t>
  </si>
  <si>
    <t>Event name</t>
  </si>
  <si>
    <t>Etiquetas</t>
  </si>
  <si>
    <t>Visitas</t>
  </si>
  <si>
    <t>Centros</t>
  </si>
  <si>
    <t>GPV</t>
  </si>
  <si>
    <t>idVisita</t>
  </si>
  <si>
    <t>Identificador de la visita</t>
  </si>
  <si>
    <t>idCentro</t>
  </si>
  <si>
    <t>Identificador del Centro</t>
  </si>
  <si>
    <t>idGPV</t>
  </si>
  <si>
    <t>Identificador del Recurso</t>
  </si>
  <si>
    <t>idGpv</t>
  </si>
  <si>
    <t>CodigoCentro</t>
  </si>
  <si>
    <t>nombre</t>
  </si>
  <si>
    <t>Antonio</t>
  </si>
  <si>
    <t>Jose Carlos Plaza Velasco</t>
  </si>
  <si>
    <t>Nombre y apellidos del Recurso</t>
  </si>
  <si>
    <t>CodigoNielsen</t>
  </si>
  <si>
    <t>apellido1</t>
  </si>
  <si>
    <t>Benito</t>
  </si>
  <si>
    <t>idCliente</t>
  </si>
  <si>
    <t>Identificador del Cliente</t>
  </si>
  <si>
    <t>Frecuencia</t>
  </si>
  <si>
    <t>apellido2</t>
  </si>
  <si>
    <t>32840228T</t>
  </si>
  <si>
    <t>NIF del Recurso</t>
  </si>
  <si>
    <t>- Aplicación de gestión del punto de venta usada para unas pocas acciones concretas que requieren un nivel de especialización mayor del que ofrece Celero (incluye modulos para capturar información de promociones, distribución del producto en lineal, expositores generados por el GPV, etc.).</t>
  </si>
  <si>
    <t>TipoVisita</t>
  </si>
  <si>
    <t>normal</t>
  </si>
  <si>
    <t>idCadena</t>
  </si>
  <si>
    <t>Identificador de la cadena a la que pertenece el establecimiento</t>
  </si>
  <si>
    <t>email</t>
  </si>
  <si>
    <t>antonio.benito@sigeurope.com</t>
  </si>
  <si>
    <t>Mail del Recurso</t>
  </si>
  <si>
    <t>Cliente</t>
  </si>
  <si>
    <t>SPONTEX</t>
  </si>
  <si>
    <t>Nombre del Cliente</t>
  </si>
  <si>
    <t>Cadena</t>
  </si>
  <si>
    <t>SPAR</t>
  </si>
  <si>
    <t>Cadena a la que pertenece el establecimiento</t>
  </si>
  <si>
    <t>equipo</t>
  </si>
  <si>
    <t>Spontex Comando SIG</t>
  </si>
  <si>
    <t>Categoria del Recurso según la empresa a la que pertenezca y el Cliente en el cual realice su actividad principal</t>
  </si>
  <si>
    <t>Fecha</t>
  </si>
  <si>
    <t>2023-01-26 00:00:00.000</t>
  </si>
  <si>
    <t>Fecha de la visita</t>
  </si>
  <si>
    <t>idEnsenya</t>
  </si>
  <si>
    <t>Identificador de la enseña (rótulo) a la que pertenece el establecimiento</t>
  </si>
  <si>
    <t>usuario</t>
  </si>
  <si>
    <t>benitant</t>
  </si>
  <si>
    <t>FechaFin</t>
  </si>
  <si>
    <t>Ensenya</t>
  </si>
  <si>
    <t>Enseña (rótulo) a la que pertenece el establecimiento</t>
  </si>
  <si>
    <t>activo</t>
  </si>
  <si>
    <t>Estado actual del Recurso (activo/inactivo)</t>
  </si>
  <si>
    <t>InicioCaptura</t>
  </si>
  <si>
    <t>2023-03-21 09:05:31.000</t>
  </si>
  <si>
    <t>Centro</t>
  </si>
  <si>
    <t>SPAR CONSTITUCION 15</t>
  </si>
  <si>
    <t>Nombre del Centro</t>
  </si>
  <si>
    <t>FinCaptura</t>
  </si>
  <si>
    <t>2023-03-21 11:48:41.000</t>
  </si>
  <si>
    <t>CANAL MODERNO</t>
  </si>
  <si>
    <t>Duracion</t>
  </si>
  <si>
    <t>Subcanal</t>
  </si>
  <si>
    <t>SUPERMERCADO</t>
  </si>
  <si>
    <t>Cp</t>
  </si>
  <si>
    <t>Direccion</t>
  </si>
  <si>
    <t>AV. CONSTITUCION, 15</t>
  </si>
  <si>
    <t>Dirección del Centro</t>
  </si>
  <si>
    <t>Poblacion</t>
  </si>
  <si>
    <t>LA PALMA - PUNTAGORDA</t>
  </si>
  <si>
    <t>Provincia</t>
  </si>
  <si>
    <t>Santa Cruz de Tenerife</t>
  </si>
  <si>
    <t>ComunidadAutonoma</t>
  </si>
  <si>
    <t>Canarias</t>
  </si>
  <si>
    <t>ZONA</t>
  </si>
  <si>
    <t>AREA7</t>
  </si>
  <si>
    <t>Area Nielsen a la que pertenece el Centro según su provincia</t>
  </si>
  <si>
    <t>Entidades principales</t>
  </si>
  <si>
    <t>º</t>
  </si>
  <si>
    <t>Recurso</t>
  </si>
  <si>
    <t>Rendimiento</t>
  </si>
  <si>
    <t>Periodo</t>
  </si>
  <si>
    <t>Proyecto/Acción</t>
  </si>
  <si>
    <t>Visita</t>
  </si>
  <si>
    <t>Concepto</t>
  </si>
  <si>
    <t>Pago</t>
  </si>
  <si>
    <t>Factura</t>
  </si>
  <si>
    <t>Entidad</t>
  </si>
  <si>
    <t>Atributos</t>
  </si>
  <si>
    <t>Relaciones</t>
  </si>
  <si>
    <t>Reglas / Conflictos</t>
  </si>
  <si>
    <t>resourceId, resourceExternalId</t>
  </si>
  <si>
    <t>visitPlanDate, visitFinishedAt</t>
  </si>
  <si>
    <t>clientId, clientName</t>
  </si>
  <si>
    <t>departmentId, departmentName</t>
  </si>
  <si>
    <t>serviceId, serviceName</t>
  </si>
  <si>
    <t>VisitId</t>
  </si>
  <si>
    <t>servicePaymentRangeFrom, servicePaymentRangeTo</t>
  </si>
  <si>
    <t>Usuario</t>
  </si>
  <si>
    <t>Usuarios de la aplicación con permisos para visualizar o modificar registros</t>
  </si>
  <si>
    <t>id, NIF, Nombre, Apellidos, Mail, Estado</t>
  </si>
  <si>
    <t>Todas las acciones de aprobación o edición derivan del Usuario. Usuario tiene asignado un Rol. Usuario pertenece a un Departamento. Usuario está asignado a uno o varios Proyectos.</t>
  </si>
  <si>
    <t>Usuarios sin Rol no pueden visualizar ni realizar acciones.</t>
  </si>
  <si>
    <t>Expense Owner ID, Expense Owner</t>
  </si>
  <si>
    <t>Mes y Año External ID, Mes y Año, Document Date</t>
  </si>
  <si>
    <t>Departamento External ID, Departamento</t>
  </si>
  <si>
    <t>Proyecto External ID, Proyecto</t>
  </si>
  <si>
    <t>Definición de permisos del usuario</t>
  </si>
  <si>
    <t>Nombre, permisos</t>
  </si>
  <si>
    <t>Un rol se asigna a uno o varios Usuarios.</t>
  </si>
  <si>
    <t>USER_NIF, USER_ID</t>
  </si>
  <si>
    <t>Empleado de campo que genera los rendimientos grabados en los distintos origenes de datos (no accede a la aplicación)</t>
  </si>
  <si>
    <t>resourceId, NIF, Nombre, Apellidos, Estado</t>
  </si>
  <si>
    <t>Recurso se asigna a uno o varios proyectos. Recurso se asigna a uno o varios Contratos.</t>
  </si>
  <si>
    <t>Valores númericos registrados en los distintos origenes de datos</t>
  </si>
  <si>
    <t>Innuva</t>
  </si>
  <si>
    <t>NIF, Codigo Empleado</t>
  </si>
  <si>
    <t>Fecha de cobro, Días alta, fecha baja innuva</t>
  </si>
  <si>
    <t>Rango de fechas que agrupa un cierre contable (ej. marzo-2026)</t>
  </si>
  <si>
    <t>Año, trimestre, mes</t>
  </si>
  <si>
    <t>Usuario final al que se aplica/imputa la facturación. Entidad jerarquica que agrupa los proyectos/acciones</t>
  </si>
  <si>
    <t>clientId, Nombre cliente, CIF, dirección, mail, estado</t>
  </si>
  <si>
    <t>Cliente contiene uno o varios Proyectos.</t>
  </si>
  <si>
    <t>Grupo interno que gestiona determinados proyectos/acciones</t>
  </si>
  <si>
    <t>departmentId, Nombre departamento</t>
  </si>
  <si>
    <t>Departamento contiene uno o varios Proyectos. Departamento contiene uno o varios Usuarios.</t>
  </si>
  <si>
    <t>Servicio contratado por cliente que genera actividad en un periodo determinado. Entidad jerarquica que agrupa las acciones</t>
  </si>
  <si>
    <t>Proyecto pertenece a un Departamento. Proyecto pertenece a un Cliente. Proyecto pertenece a un Ceco.</t>
  </si>
  <si>
    <t>Acción</t>
  </si>
  <si>
    <t>Actividad estacional o permanente realizada dentro de un proyecto.</t>
  </si>
  <si>
    <t>serviceId, Nombre acción, estado</t>
  </si>
  <si>
    <t>Unidad de actividad de un proyecto/acción</t>
  </si>
  <si>
    <t>id, fecha, estado, centro, facturación, pago</t>
  </si>
  <si>
    <t>Visita pertenece a un unico Usuario y un unico Proyecto.</t>
  </si>
  <si>
    <t>Paquete que contiene y aplica logicas de calculo concretas sobre las cantidades (ej. dietas, gastos...)</t>
  </si>
  <si>
    <t>id, Nombre concepto, Fecha desde, Fecha hasta, Jerarquia, Definición de calculo</t>
  </si>
  <si>
    <t>Abono que se realiza al trabajador (Recurso).</t>
  </si>
  <si>
    <t>Periodo de pago, fecha de pago, estado</t>
  </si>
  <si>
    <t>Coste que se factura al cliente.</t>
  </si>
  <si>
    <t>Periodo de pago, fecha máxima de pago, estado</t>
  </si>
  <si>
    <t>Contrato</t>
  </si>
  <si>
    <t>Plazo de días y condiciones en que el Recurso ha sido contratado.</t>
  </si>
  <si>
    <t>Fecha alta, fecha baja, salario bruto, jornada, fecha cobro nomina, fecha cobro incentivos</t>
  </si>
  <si>
    <t>Contrato pertenece a un Usuario. Contrato contiene uno o varios Proyectos.</t>
  </si>
  <si>
    <t>Dos Contratos de un mismo Recurso no pueden solaparse.</t>
  </si>
  <si>
    <t>Codificación contable usada para clasificar los gastos e ingresos.</t>
  </si>
  <si>
    <t>Ceco (identificador), estado</t>
  </si>
  <si>
    <t>Un Ceco contiene uno o varios Proyectos. Algunos Cecos contienen un Proyecto ficticio que no pertenece a ningún Cliente sino a la propia empresa (ej. "RRHH" - Recursos Humanos).</t>
  </si>
  <si>
    <t>Establecimiento donde se realiza la visita.</t>
  </si>
  <si>
    <t>id, Nombre centro, dirección, código postal, población, provincia, país, código interno cliente, enseña</t>
  </si>
  <si>
    <t>Un Centro recibe una o varias Visitas.</t>
  </si>
  <si>
    <t>Gasto</t>
  </si>
  <si>
    <t>Importe necesario para la realización de la actividad</t>
  </si>
  <si>
    <t>Recurso, Tipo de gasto, Descripción, Acción, Fecha, Importe, Kilometros, Pago por km, Aprobador</t>
  </si>
  <si>
    <t>Viaje</t>
  </si>
  <si>
    <t>Desplazamiento o alojamiento realizado por el Recurso.</t>
  </si>
  <si>
    <t>Código de reserva, Tipo (desplazamiento / alojamiento), Origen, Destino, Recurso, Fecha, Acción, Importe, Cantidad noches</t>
  </si>
  <si>
    <t>Aprobación cierre</t>
  </si>
  <si>
    <t>Estado de finalización de un cierre contable.</t>
  </si>
  <si>
    <t>ENTIDADES PRINCIPALES:</t>
  </si>
  <si>
    <t>- Usuario</t>
  </si>
  <si>
    <t>- Rol</t>
  </si>
  <si>
    <t>- Empleado</t>
  </si>
  <si>
    <t>- Cliente</t>
  </si>
  <si>
    <t>- Proyecto</t>
  </si>
  <si>
    <t>- Visita</t>
  </si>
  <si>
    <t>- Periodo</t>
  </si>
  <si>
    <t>ENTIDADES ECONÓMICAS:</t>
  </si>
  <si>
    <t>- Gasto</t>
  </si>
  <si>
    <t>- Viaje</t>
  </si>
  <si>
    <t>- Concepto</t>
  </si>
  <si>
    <t>- Pago</t>
  </si>
  <si>
    <t>- Factura</t>
  </si>
  <si>
    <t>ENTIDADES CONFIG:</t>
  </si>
  <si>
    <t>- Contrato</t>
  </si>
  <si>
    <t>- Tarifa</t>
  </si>
  <si>
    <t>- Regla de cálculo</t>
  </si>
  <si>
    <t>- Departamento</t>
  </si>
  <si>
    <t>- Centro de coste</t>
  </si>
  <si>
    <t>ENTIDADES CONTROL:</t>
  </si>
  <si>
    <t>- Incidencia</t>
  </si>
  <si>
    <t>- Aprobación cierre</t>
  </si>
  <si>
    <t>ENTIDADES PRINCIPALES</t>
  </si>
  <si>
    <r>
      <t>Qué es</t>
    </r>
    <r>
      <rPr>
        <sz val="11"/>
        <color theme="1"/>
        <rFont val="Segoe UI"/>
        <family val="2"/>
      </rPr>
      <t>: Persona con acceso a la aplicación</t>
    </r>
  </si>
  <si>
    <r>
      <t>Qué es</t>
    </r>
    <r>
      <rPr>
        <sz val="11"/>
        <color theme="1"/>
        <rFont val="Segoe UI"/>
        <family val="2"/>
      </rPr>
      <t>: Perfil de permisos (finanzas, operaciones, etc.)</t>
    </r>
  </si>
  <si>
    <r>
      <t>Qué es</t>
    </r>
    <r>
      <rPr>
        <sz val="11"/>
        <color theme="1"/>
        <rFont val="Segoe UI"/>
        <family val="2"/>
      </rPr>
      <t>: Persona que ejecuta actividad (antes “recurso”)</t>
    </r>
  </si>
  <si>
    <r>
      <t>Qué es</t>
    </r>
    <r>
      <rPr>
        <sz val="11"/>
        <color theme="1"/>
        <rFont val="Segoe UI"/>
        <family val="2"/>
      </rPr>
      <t>: Marca/empresa</t>
    </r>
  </si>
  <si>
    <r>
      <t>Qué es</t>
    </r>
    <r>
      <rPr>
        <sz val="11"/>
        <color theme="1"/>
        <rFont val="Segoe UI"/>
        <family val="2"/>
      </rPr>
      <t>: Unidad operativa principal</t>
    </r>
  </si>
  <si>
    <r>
      <t>Qué es</t>
    </r>
    <r>
      <rPr>
        <sz val="11"/>
        <color theme="1"/>
        <rFont val="Segoe UI"/>
        <family val="2"/>
      </rPr>
      <t>: Actividad ejecutada en campo</t>
    </r>
  </si>
  <si>
    <r>
      <t>Qué es</t>
    </r>
    <r>
      <rPr>
        <sz val="11"/>
        <color theme="1"/>
        <rFont val="Segoe UI"/>
        <family val="2"/>
      </rPr>
      <t>: Mes de cierre</t>
    </r>
  </si>
  <si>
    <r>
      <t>Origen</t>
    </r>
    <r>
      <rPr>
        <sz val="11"/>
        <color theme="1"/>
        <rFont val="Segoe UI"/>
        <family val="2"/>
      </rPr>
      <t>: Azure AD / manual (no sistemas operativos)</t>
    </r>
  </si>
  <si>
    <r>
      <t>Origen</t>
    </r>
    <r>
      <rPr>
        <sz val="11"/>
        <color theme="1"/>
        <rFont val="Segoe UI"/>
        <family val="2"/>
      </rPr>
      <t>: configuración interna</t>
    </r>
  </si>
  <si>
    <r>
      <t>Origen</t>
    </r>
    <r>
      <rPr>
        <sz val="11"/>
        <color theme="1"/>
        <rFont val="Segoe UI"/>
        <family val="2"/>
      </rPr>
      <t>: Bizneo + A3 Innuva (principal)</t>
    </r>
  </si>
  <si>
    <r>
      <t>Origen</t>
    </r>
    <r>
      <rPr>
        <sz val="11"/>
        <color theme="1"/>
        <rFont val="Segoe UI"/>
        <family val="2"/>
      </rPr>
      <t>: Celero o maestro interno</t>
    </r>
  </si>
  <si>
    <r>
      <t>Origen</t>
    </r>
    <r>
      <rPr>
        <sz val="11"/>
        <color theme="1"/>
        <rFont val="Segoe UI"/>
        <family val="2"/>
      </rPr>
      <t>: Celero One</t>
    </r>
  </si>
  <si>
    <r>
      <t>Origen</t>
    </r>
    <r>
      <rPr>
        <sz val="11"/>
        <color theme="1"/>
        <rFont val="Segoe UI"/>
        <family val="2"/>
      </rPr>
      <t>: sistema (generado)</t>
    </r>
  </si>
  <si>
    <r>
      <t>Relaciones</t>
    </r>
    <r>
      <rPr>
        <sz val="11"/>
        <color theme="1"/>
        <rFont val="Segoe UI"/>
        <family val="2"/>
      </rPr>
      <t>:</t>
    </r>
  </si>
  <si>
    <t>Tiene → Rol</t>
  </si>
  <si>
    <t>Se asigna a → Usuario</t>
  </si>
  <si>
    <t>Realiza → Visitas</t>
  </si>
  <si>
    <t>Tiene → Proyectos</t>
  </si>
  <si>
    <t>Pertenece a → Cliente</t>
  </si>
  <si>
    <t>Pertenece a → Proyecto</t>
  </si>
  <si>
    <t>Agrupa → Proyectos / Pagos / Facturas</t>
  </si>
  <si>
    <t>Pertenece a → Departamento</t>
  </si>
  <si>
    <r>
      <t>Clave</t>
    </r>
    <r>
      <rPr>
        <sz val="11"/>
        <color theme="1"/>
        <rFont val="Segoe UI"/>
        <family val="2"/>
      </rPr>
      <t>: define qué puede ver / hacer</t>
    </r>
  </si>
  <si>
    <t>Genera → Gastos / Viajes</t>
  </si>
  <si>
    <r>
      <t>Clave</t>
    </r>
    <r>
      <rPr>
        <sz val="11"/>
        <color theme="1"/>
        <rFont val="Segoe UI"/>
        <family val="2"/>
      </rPr>
      <t>: nivel agrupador</t>
    </r>
  </si>
  <si>
    <t>Tiene → Visitas</t>
  </si>
  <si>
    <t>La realiza → Empleado</t>
  </si>
  <si>
    <r>
      <t>Clave</t>
    </r>
    <r>
      <rPr>
        <sz val="11"/>
        <color theme="1"/>
        <rFont val="Segoe UI"/>
        <family val="2"/>
      </rPr>
      <t>: unidad de cálculo</t>
    </r>
  </si>
  <si>
    <r>
      <t>Clave</t>
    </r>
    <r>
      <rPr>
        <sz val="11"/>
        <color theme="1"/>
        <rFont val="Segoe UI"/>
        <family val="2"/>
      </rPr>
      <t>: controla permisos, no operativa</t>
    </r>
  </si>
  <si>
    <t>Tiene → Contrato</t>
  </si>
  <si>
    <t>Genera → Conceptos</t>
  </si>
  <si>
    <t>Puede tener → Contrato</t>
  </si>
  <si>
    <t>Pertenece a → Centro de coste</t>
  </si>
  <si>
    <r>
      <t>Clave</t>
    </r>
    <r>
      <rPr>
        <sz val="11"/>
        <color theme="1"/>
        <rFont val="Segoe UI"/>
        <family val="2"/>
      </rPr>
      <t>: trigger del cálculo económico</t>
    </r>
  </si>
  <si>
    <r>
      <t>Clave</t>
    </r>
    <r>
      <rPr>
        <sz val="11"/>
        <color theme="1"/>
        <rFont val="Segoe UI"/>
        <family val="2"/>
      </rPr>
      <t>: eje para pagos</t>
    </r>
  </si>
  <si>
    <r>
      <t>Clave</t>
    </r>
    <r>
      <rPr>
        <sz val="11"/>
        <color theme="1"/>
        <rFont val="Segoe UI"/>
        <family val="2"/>
      </rPr>
      <t>: eje del cierre mensual</t>
    </r>
  </si>
  <si>
    <t>ENTIDADES ECONÓMICAS</t>
  </si>
  <si>
    <r>
      <t>Origen</t>
    </r>
    <r>
      <rPr>
        <sz val="11"/>
        <color theme="1"/>
        <rFont val="Segoe UI"/>
        <family val="2"/>
      </rPr>
      <t>: Payhawk</t>
    </r>
  </si>
  <si>
    <r>
      <t>Origen</t>
    </r>
    <r>
      <rPr>
        <sz val="11"/>
        <color theme="1"/>
        <rFont val="Segoe UI"/>
        <family val="2"/>
      </rPr>
      <t>: TravelPerk</t>
    </r>
  </si>
  <si>
    <r>
      <t>Qué es</t>
    </r>
    <r>
      <rPr>
        <sz val="11"/>
        <color theme="1"/>
        <rFont val="Segoe UI"/>
        <family val="2"/>
      </rPr>
      <t>: Unidad económica intermedia (dietas, km, horas…)</t>
    </r>
  </si>
  <si>
    <r>
      <t>Qué es</t>
    </r>
    <r>
      <rPr>
        <sz val="11"/>
        <color theme="1"/>
        <rFont val="Segoe UI"/>
        <family val="2"/>
      </rPr>
      <t>: resultado económico a pagar</t>
    </r>
  </si>
  <si>
    <r>
      <t>Qué es</t>
    </r>
    <r>
      <rPr>
        <sz val="11"/>
        <color theme="1"/>
        <rFont val="Segoe UI"/>
        <family val="2"/>
      </rPr>
      <t>: resultado facturable al cliente</t>
    </r>
  </si>
  <si>
    <r>
      <t>Origen</t>
    </r>
    <r>
      <rPr>
        <sz val="11"/>
        <color theme="1"/>
        <rFont val="Segoe UI"/>
        <family val="2"/>
      </rPr>
      <t>: calculado en sistema</t>
    </r>
  </si>
  <si>
    <r>
      <t>Origen</t>
    </r>
    <r>
      <rPr>
        <sz val="11"/>
        <color theme="1"/>
        <rFont val="Segoe UI"/>
        <family val="2"/>
      </rPr>
      <t>: calculado</t>
    </r>
  </si>
  <si>
    <t>Pertenece a → Empleado</t>
  </si>
  <si>
    <t>Puede vincularse a → Proyecto</t>
  </si>
  <si>
    <t>Se genera desde → Visita / Gasto / Viaje</t>
  </si>
  <si>
    <t>Se basa en → Conceptos</t>
  </si>
  <si>
    <t>Alimenta → Pago</t>
  </si>
  <si>
    <t>Asociado a → Empleado / Periodo</t>
  </si>
  <si>
    <t>Asociada a → Cliente / Proyecto / Periodo</t>
  </si>
  <si>
    <r>
      <t>Clave</t>
    </r>
    <r>
      <rPr>
        <sz val="11"/>
        <color theme="1"/>
        <rFont val="Segoe UI"/>
        <family val="2"/>
      </rPr>
      <t>: reembolsos / costes</t>
    </r>
  </si>
  <si>
    <r>
      <t>Clave</t>
    </r>
    <r>
      <rPr>
        <sz val="11"/>
        <color theme="1"/>
        <rFont val="Segoe UI"/>
        <family val="2"/>
      </rPr>
      <t>: costes logísticos</t>
    </r>
  </si>
  <si>
    <t>Alimenta → Factura</t>
  </si>
  <si>
    <r>
      <t>Clave</t>
    </r>
    <r>
      <rPr>
        <sz val="11"/>
        <color theme="1"/>
        <rFont val="Segoe UI"/>
        <family val="2"/>
      </rPr>
      <t>: salida a finanzas</t>
    </r>
  </si>
  <si>
    <r>
      <t>Clave</t>
    </r>
    <r>
      <rPr>
        <sz val="11"/>
        <color theme="1"/>
        <rFont val="Segoe UI"/>
        <family val="2"/>
      </rPr>
      <t>: output negocio</t>
    </r>
  </si>
  <si>
    <r>
      <t>Clave</t>
    </r>
    <r>
      <rPr>
        <sz val="11"/>
        <color theme="1"/>
        <rFont val="Segoe UI"/>
        <family val="2"/>
      </rPr>
      <t>: desacopla origen de cálculo</t>
    </r>
  </si>
  <si>
    <r>
      <t xml:space="preserve">ENTIDADES DE CONFIGURACIÓN </t>
    </r>
    <r>
      <rPr>
        <i/>
        <sz val="11"/>
        <color theme="1"/>
        <rFont val="Segoe UI"/>
        <family val="2"/>
      </rPr>
      <t>(Entidades que definen las reglas y condiciones de cálculo)</t>
    </r>
  </si>
  <si>
    <t>Tarifa</t>
  </si>
  <si>
    <t>Regla de cálculo</t>
  </si>
  <si>
    <t>Centro de coste (CECO)</t>
  </si>
  <si>
    <r>
      <t>Origen</t>
    </r>
    <r>
      <rPr>
        <sz val="11"/>
        <color theme="1"/>
        <rFont val="Segoe UI"/>
        <family val="2"/>
      </rPr>
      <t>: A3 Innuva / manual</t>
    </r>
  </si>
  <si>
    <r>
      <t>Origen</t>
    </r>
    <r>
      <rPr>
        <sz val="11"/>
        <color theme="1"/>
        <rFont val="Segoe UI"/>
        <family val="2"/>
      </rPr>
      <t>: manual / contrato</t>
    </r>
  </si>
  <si>
    <r>
      <t>Origen</t>
    </r>
    <r>
      <rPr>
        <sz val="11"/>
        <color theme="1"/>
        <rFont val="Segoe UI"/>
        <family val="2"/>
      </rPr>
      <t>: Bizneo</t>
    </r>
  </si>
  <si>
    <r>
      <t>Origen</t>
    </r>
    <r>
      <rPr>
        <sz val="11"/>
        <color theme="1"/>
        <rFont val="Segoe UI"/>
        <family val="2"/>
      </rPr>
      <t>: A3 Innuva / ERP</t>
    </r>
  </si>
  <si>
    <t>Asociado a → Empleado o Proyecto</t>
  </si>
  <si>
    <t>Asociada a → Contrato</t>
  </si>
  <si>
    <t>Usa → Tarifas</t>
  </si>
  <si>
    <t>Tiene → Empleados</t>
  </si>
  <si>
    <t>Asociado a → Proyecto</t>
  </si>
  <si>
    <t>Define → Tarifas</t>
  </si>
  <si>
    <t>Usada por → Reglas de cálculo</t>
  </si>
  <si>
    <t>Aplica sobre → Visita / Gasto / Viaje</t>
  </si>
  <si>
    <t>Tiene → Usuarios</t>
  </si>
  <si>
    <t>Puede agrupar → Gastos / Facturación</t>
  </si>
  <si>
    <t>Define → Reglas</t>
  </si>
  <si>
    <r>
      <t>Clave</t>
    </r>
    <r>
      <rPr>
        <sz val="11"/>
        <color theme="1"/>
        <rFont val="Segoe UI"/>
        <family val="2"/>
      </rPr>
      <t>: precios y costes</t>
    </r>
  </si>
  <si>
    <r>
      <t>Clave</t>
    </r>
    <r>
      <rPr>
        <sz val="11"/>
        <color theme="1"/>
        <rFont val="Segoe UI"/>
        <family val="2"/>
      </rPr>
      <t>: organización</t>
    </r>
  </si>
  <si>
    <r>
      <t>Clave</t>
    </r>
    <r>
      <rPr>
        <sz val="11"/>
        <color theme="1"/>
        <rFont val="Segoe UI"/>
        <family val="2"/>
      </rPr>
      <t>: contabilidad</t>
    </r>
  </si>
  <si>
    <r>
      <t>Clave</t>
    </r>
    <r>
      <rPr>
        <sz val="11"/>
        <color theme="1"/>
        <rFont val="Segoe UI"/>
        <family val="2"/>
      </rPr>
      <t>: condiciones económicas</t>
    </r>
  </si>
  <si>
    <r>
      <t>Clave</t>
    </r>
    <r>
      <rPr>
        <sz val="11"/>
        <color theme="1"/>
        <rFont val="Segoe UI"/>
        <family val="2"/>
      </rPr>
      <t>: motor del sistema</t>
    </r>
  </si>
  <si>
    <t>ENTIDADES DE CONTROL</t>
  </si>
  <si>
    <t>Incidencia</t>
  </si>
  <si>
    <r>
      <t>Origen</t>
    </r>
    <r>
      <rPr>
        <sz val="11"/>
        <color theme="1"/>
        <rFont val="Segoe UI"/>
        <family val="2"/>
      </rPr>
      <t>: sistema (automático o manual)</t>
    </r>
  </si>
  <si>
    <r>
      <t>Origen</t>
    </r>
    <r>
      <rPr>
        <sz val="11"/>
        <color theme="1"/>
        <rFont val="Segoe UI"/>
        <family val="2"/>
      </rPr>
      <t>: usuario (manual)</t>
    </r>
  </si>
  <si>
    <t>Asociada a → Proyecto / Periodo</t>
  </si>
  <si>
    <t>Puede bloquear → Pago / Factura</t>
  </si>
  <si>
    <t>Depende de → Incidencias resueltas</t>
  </si>
  <si>
    <r>
      <t>Clave</t>
    </r>
    <r>
      <rPr>
        <sz val="11"/>
        <color theme="1"/>
        <rFont val="Segoe UI"/>
        <family val="2"/>
      </rPr>
      <t>: control calidad dato</t>
    </r>
  </si>
  <si>
    <r>
      <t>Clave</t>
    </r>
    <r>
      <rPr>
        <sz val="11"/>
        <color theme="1"/>
        <rFont val="Segoe UI"/>
        <family val="2"/>
      </rPr>
      <t>: validación final</t>
    </r>
  </si>
  <si>
    <t>Etiquetas de fila</t>
  </si>
  <si>
    <t>Hora</t>
  </si>
  <si>
    <t>Lucia Pardo</t>
  </si>
  <si>
    <t>Tomás Martín</t>
  </si>
  <si>
    <t>Esmeralda Rodríguez</t>
  </si>
  <si>
    <t>Mirella Julca</t>
  </si>
  <si>
    <t>Silvia Garzón Bahíllo</t>
  </si>
  <si>
    <t>Adrián Tomás Martínez</t>
  </si>
  <si>
    <t>Tino Fanjul</t>
  </si>
  <si>
    <t>Aranzazu Val Guerreiro</t>
  </si>
  <si>
    <t>TIPO CONCEPTO</t>
  </si>
  <si>
    <t>FILTROS</t>
  </si>
  <si>
    <t>Cantidad fija mensual</t>
  </si>
  <si>
    <t>Cantidad minima: Si el resultado está por debajo de X, el calculo devuelve X</t>
  </si>
  <si>
    <t>Conteo de Visitas x Cantidad fija</t>
  </si>
  <si>
    <t>Cantidad máxima: Si el resultado está por encima de X, el calculo devuelve X</t>
  </si>
  <si>
    <t>Conteo de días con actividad (Visitas) x Cantidad fija</t>
  </si>
  <si>
    <t>Rendimiento minimo: Si el resultado está por debajo de X, el calculo devuelve cero</t>
  </si>
  <si>
    <t>Suma de Kilometros x Coste por Km</t>
  </si>
  <si>
    <t>Si el conteo/suma de una entidad (Visitas, Kilometros...) está por debajo de X, el calculo devuelve cero</t>
  </si>
  <si>
    <t>Conteo de Entidad-A x Entidad-B</t>
  </si>
  <si>
    <t>En el conteo/suma de una entidad (Visitas, Kilometros...) la cantidad inicial X no contabiliza (ej. si X es 300 y suma de kilometros es 275 la cantidad de kilometros es 0, si kilometros es 315 la cantidad de kilometros es 15)</t>
  </si>
  <si>
    <t>Suma de Entidad-A x Entidad-B</t>
  </si>
  <si>
    <t>Porcentaje de Entidad</t>
  </si>
  <si>
    <t>Porcentaje fijo de cantidad variable</t>
  </si>
  <si>
    <t>Conteo de horas x Cantidad incremental (primera hora una cantidad, siguientes horas otra cantidad)</t>
  </si>
  <si>
    <t>*Posibilidad de asignar un idQuestion de Celero a una variable</t>
  </si>
  <si>
    <t>LÓGICAS - Pagos Merchand COSMÉTICA</t>
  </si>
  <si>
    <t>cómo se calcula el PAGO (operativa merchandising -&gt;  implantaciones / actualizaciones)</t>
  </si>
  <si>
    <r>
      <t xml:space="preserve">En </t>
    </r>
    <r>
      <rPr>
        <b/>
        <sz val="11"/>
        <color theme="1"/>
        <rFont val="Aptos Narrow"/>
        <family val="2"/>
        <scheme val="minor"/>
      </rPr>
      <t>Optimising</t>
    </r>
    <r>
      <rPr>
        <sz val="11"/>
        <color theme="1"/>
        <rFont val="Aptos Narrow"/>
        <family val="2"/>
        <scheme val="minor"/>
      </rPr>
      <t xml:space="preserve">, el pago se gestiona </t>
    </r>
    <r>
      <rPr>
        <b/>
        <sz val="11"/>
        <color theme="1"/>
        <rFont val="Aptos Narrow"/>
        <family val="2"/>
        <scheme val="minor"/>
      </rPr>
      <t>por proyecto</t>
    </r>
    <r>
      <rPr>
        <sz val="11"/>
        <color theme="1"/>
        <rFont val="Aptos Narrow"/>
        <family val="2"/>
        <scheme val="minor"/>
      </rPr>
      <t xml:space="preserve"> y se basa en </t>
    </r>
    <r>
      <rPr>
        <b/>
        <sz val="11"/>
        <color theme="1"/>
        <rFont val="Aptos Narrow"/>
        <family val="2"/>
        <scheme val="minor"/>
      </rPr>
      <t>horas cerradas/estimadas</t>
    </r>
    <r>
      <rPr>
        <sz val="11"/>
        <color theme="1"/>
        <rFont val="Aptos Narrow"/>
        <family val="2"/>
        <scheme val="minor"/>
      </rPr>
      <t xml:space="preserve">. Es decir: cada tipo de actuación (por ejemplo, un tipo de mueble o una implantación concreta) tiene asignado un </t>
    </r>
    <r>
      <rPr>
        <b/>
        <sz val="11"/>
        <color theme="1"/>
        <rFont val="Aptos Narrow"/>
        <family val="2"/>
        <scheme val="minor"/>
      </rPr>
      <t>número de horas estimadas</t>
    </r>
    <r>
      <rPr>
        <sz val="11"/>
        <color theme="1"/>
        <rFont val="Aptos Narrow"/>
        <family val="2"/>
        <scheme val="minor"/>
      </rPr>
      <t xml:space="preserve">, y el importe se obtiene aplicando una </t>
    </r>
    <r>
      <rPr>
        <b/>
        <sz val="11"/>
        <color theme="1"/>
        <rFont val="Aptos Narrow"/>
        <family val="2"/>
        <scheme val="minor"/>
      </rPr>
      <t>tarifa única por hora</t>
    </r>
    <r>
      <rPr>
        <sz val="11"/>
        <color theme="1"/>
        <rFont val="Aptos Narrow"/>
        <family val="2"/>
        <scheme val="minor"/>
      </rPr>
      <t>.</t>
    </r>
  </si>
  <si>
    <r>
      <t>Tarifa estándar</t>
    </r>
    <r>
      <rPr>
        <sz val="11"/>
        <color theme="1"/>
        <rFont val="Aptos Narrow"/>
        <family val="2"/>
        <scheme val="minor"/>
      </rPr>
      <t xml:space="preserve">: </t>
    </r>
    <r>
      <rPr>
        <b/>
        <sz val="11"/>
        <color theme="1"/>
        <rFont val="Aptos Narrow"/>
        <family val="2"/>
        <scheme val="minor"/>
      </rPr>
      <t>11,92 € brutos / hora</t>
    </r>
    <r>
      <rPr>
        <sz val="11"/>
        <color theme="1"/>
        <rFont val="Aptos Narrow"/>
        <family val="2"/>
        <scheme val="minor"/>
      </rPr>
      <t xml:space="preserve"> (misma tarifa para todas las marcas y tipologías dentro de Optimising).</t>
    </r>
  </si>
  <si>
    <r>
      <t>Cálculo base</t>
    </r>
    <r>
      <rPr>
        <sz val="11"/>
        <color theme="1"/>
        <rFont val="Aptos Narrow"/>
        <family val="2"/>
        <scheme val="minor"/>
      </rPr>
      <t>:</t>
    </r>
  </si>
  <si>
    <t>Pago = Tarifa/hora × Horas estimadas (acordadas)</t>
  </si>
  <si>
    <r>
      <t xml:space="preserve">Ejemplo: si una implantación está definida como </t>
    </r>
    <r>
      <rPr>
        <b/>
        <sz val="11"/>
        <color theme="1"/>
        <rFont val="Aptos Narrow"/>
        <family val="2"/>
        <scheme val="minor"/>
      </rPr>
      <t>4 horas</t>
    </r>
    <r>
      <rPr>
        <sz val="11"/>
        <color theme="1"/>
        <rFont val="Aptos Narrow"/>
        <family val="2"/>
        <scheme val="minor"/>
      </rPr>
      <t>, entonces:</t>
    </r>
  </si>
  <si>
    <r>
      <t>11,92 × 4 = 47,68 €</t>
    </r>
    <r>
      <rPr>
        <sz val="11"/>
        <color theme="1"/>
        <rFont val="Aptos Narrow"/>
        <family val="2"/>
        <scheme val="minor"/>
      </rPr>
      <t xml:space="preserve"> (brutos)</t>
    </r>
  </si>
  <si>
    <r>
      <t xml:space="preserve">Cuando el tiempo real excede el estimado, el pago del exceso debe definirse en la política: </t>
    </r>
    <r>
      <rPr>
        <i/>
        <sz val="11"/>
        <color theme="1"/>
        <rFont val="Aptos Narrow"/>
        <family val="2"/>
        <scheme val="minor"/>
      </rPr>
      <t>prorrateo por fracción de hora</t>
    </r>
    <r>
      <rPr>
        <sz val="11"/>
        <color theme="1"/>
        <rFont val="Aptos Narrow"/>
        <family val="2"/>
        <scheme val="minor"/>
      </rPr>
      <t xml:space="preserve"> vs </t>
    </r>
    <r>
      <rPr>
        <i/>
        <sz val="11"/>
        <color theme="1"/>
        <rFont val="Aptos Narrow"/>
        <family val="2"/>
        <scheme val="minor"/>
      </rPr>
      <t>redondeo a hora completa</t>
    </r>
    <r>
      <rPr>
        <sz val="11"/>
        <color theme="1"/>
        <rFont val="Aptos Narrow"/>
        <family val="2"/>
        <scheme val="minor"/>
      </rPr>
      <t>. Este punto queda como excepción a confirmar y documentar.</t>
    </r>
  </si>
  <si>
    <t>Si se realiza la acción en menos tiempo se paga igualmente el 100% de lo pactado</t>
  </si>
  <si>
    <t>LÓGICAS - Facturación COSMÉTICA</t>
  </si>
  <si>
    <t>La facturación se puede describir como la suma de dos bloques:</t>
  </si>
  <si>
    <t>Servicio principal (por horas acordadas según tipología de visita/servicio)</t>
  </si>
  <si>
    <t>Facturación = Tarifa/hora acordada × Horas acordadas según tipo de visita/servicio</t>
  </si>
  <si>
    <r>
      <t>+ Logística</t>
    </r>
    <r>
      <rPr>
        <sz val="11"/>
        <color theme="1"/>
        <rFont val="Aptos Narrow"/>
        <family val="2"/>
        <scheme val="minor"/>
      </rPr>
      <t xml:space="preserve"> (si aplica)</t>
    </r>
    <r>
      <rPr>
        <b/>
        <sz val="11"/>
        <color theme="1"/>
        <rFont val="Aptos Narrow"/>
        <family val="2"/>
        <scheme val="minor"/>
      </rPr>
      <t xml:space="preserve"> </t>
    </r>
    <r>
      <rPr>
        <sz val="11"/>
        <color theme="1"/>
        <rFont val="Aptos Narrow"/>
        <family val="2"/>
        <scheme val="minor"/>
      </rPr>
      <t>Transporte, entrega/recogida, materiales, etc. (según el esquema de cada proyecto)</t>
    </r>
  </si>
  <si>
    <t>**Lógica TIPO Acción X Mueble</t>
  </si>
  <si>
    <t>EJEMPLO DE LÓGICAS</t>
  </si>
  <si>
    <t>PAGO MERCH</t>
  </si>
  <si>
    <t>COSMETIX</t>
  </si>
  <si>
    <t xml:space="preserve">***** DATOS A CUMPLIMENTAR SEGÚN CLIENTE </t>
  </si>
  <si>
    <t>TIEMPO IMPLANTACION</t>
  </si>
  <si>
    <t>PAGO IMPLANTACION</t>
  </si>
  <si>
    <t>TIEMPO ACTUALIZACION</t>
  </si>
  <si>
    <t>PAGO ACTUALIZACION</t>
  </si>
  <si>
    <t>PAGO ACTUALIZAR + IMPLANTAR</t>
  </si>
  <si>
    <t>CALCULADO A 5 HORAS</t>
  </si>
  <si>
    <t>FACTURACIÓN CLIENTE</t>
  </si>
  <si>
    <t>FALTA LOGÍSTICA QUE VA SEGÚN ACUERDOS (GALÁN EN PWBI)</t>
  </si>
  <si>
    <t>FACT IMPLANTACION</t>
  </si>
  <si>
    <t>Id</t>
  </si>
  <si>
    <t>Hora de inicio</t>
  </si>
  <si>
    <t>Hora de finalización</t>
  </si>
  <si>
    <t>Nombre</t>
  </si>
  <si>
    <t>Proyecto / Campaña</t>
  </si>
  <si>
    <t>Explícanos cómo se calcula el PAGO al trabajador (estándar).
Ten en cuenta los siguientes puntos a la hora de desarrollarlo:  ¿Se paga por visita, por horas, o mixto? ¿Qué variables determinan el pago</t>
  </si>
  <si>
    <t xml:space="preserve">Explícanos cómo se calcula la FACTURACIÓN al cliente (operativa).
Ten en cuenta los siguientes puntos a la hora de desarrollarlo:
 ¿La facturación sigue la misma lógica que el pago o cambia?  ¿Qué se </t>
  </si>
  <si>
    <t>¿Hay LOGÍSTICA u otros conceptos asociados (almacen, FEE...)? Explícanos cómo se factura y cómo se traslada al cliente.
Ten en cuenta los siguientes puntos a la hora de desarrollarlo:
Proveedor/es (p.</t>
  </si>
  <si>
    <t>Lista y explica TODAS las situaciones no estándar que se puedan dar (aunque sean habituales).
Ten en cuenta los siguientes puntos a la hora de desarrollarlo:
 Segundas/terceras visitas: ¿cuándo ocurre</t>
  </si>
  <si>
    <t>¿Hay conceptos fuera de lo estándar que debamos contemplar en pagos?
Ten en cuenta los siguientes puntos a la hora de desarrollarlo:adelantos/anticipos, pagos fuera de ciclo, embargos/descuentos, abse</t>
  </si>
  <si>
    <t>¿Hay conceptos fuera de lo estándar que debamos contemplar en facturación?</t>
  </si>
  <si>
    <t xml:space="preserve">Adjunta cualquier documento que contenta información que apoye la información facilitada (email, captura de pantalla, Excel/PDF/tabla de precios/condiciones, etc...)
</t>
  </si>
  <si>
    <t>ECRES GRANINI</t>
  </si>
  <si>
    <t>GPV GRANINI</t>
  </si>
  <si>
    <t xml:space="preserve">- SE PAGA POR MESES (teniendo en cuenta las bajas)
- Salario (plantilla cierre canal interlocutores) : 
         - fijo mes equipo 2026 = smi
         - objetivos mensuales (equipo) = 250€ (excepción Sergi cobra trimestralmente el total conseguido)
         - objetivos mes (gpv bilbao)      = 225€
Nota. los objetivos se regularizan trimestralmente, tras consensuar resultados con el cliente.
-Dietas 2026. Se paga 11€ por día trabajado.
-Gastos ticket: Se paga a contraticket, validado en payhawk
-Kms. Equipo con vehiculo personal, se paga km a 0.23€/km (validado en payhawk)
Personal con vehículo de empresa actualmente:
Gloria gallego; Isabel Mestre; Sergi Soler; Vanessa Bernaus; Diego Aguado; Isabel Valledor; Marta Comendador; Rosana Maza
Fecha de cobro, todos 15 de cada mes.
</t>
  </si>
  <si>
    <t xml:space="preserve">La facturación es distinta.
Se factura por meses, teniendo en cuenta bajas largas (program manager)
- Fee 2026 2498.62€ (salvo gpv bilbao = 2686.15€)
- objetivos mensuales: 
          - 408€ equipo
          - 290€ gpv bilbao
Se regulariza al trimestre, con el resultado total obtenido, una vez consensuado con cliente.
-Dietas 2026. Se factura 11€ por día trabajado.
-Gastos ticket: Se factura a contraticket, payhawk (consensuar Program Manager)
-Kms. se factura km a 0.24€/km (validado en payhawk y consensuado Program manager)
Facturación teléfono: 55€ / gpv mes
Facturación tarifa web (usuario tablet): 25€ / gpv mes
Facturación licencia cliente: 9 € / gpv mes
Facturación extra aplicación: 10€ / gpv mes
Fact. licencia cliente: 50€ / mes
Fact. mantenimiento aplicación: 1400€ / mes
Fact. extra aplicación web. 125€/ cliente
Facturación viajes: registrado en "perk" + fee facturación (consultar)
Facturamos estas partidas mensualmente y luego ellos pagan a 60 días.
     </t>
  </si>
  <si>
    <t>Trabajamos principalmente con bluespace, pero tenemos una serie de almacenes que no son contratados con ellos. Tenemos una tarifa mensual que nos remite cada mes, es constante para todo el año 2026.
Lo que refacturamos son las siguientes cantidades mensuales:
Facturación almacenes 2026: 
GPV 01 CORUÑA	         265,29 € (logistica integral del noroeste sl)
GPV 02 PAÍS VASCO	 253,88 € (+space)
GPV 03 NAVARRA	         273,84 € (bluespace)
GPV 04 MÁLAGA	         334,48 € (tradima)
GPV 05 VALENCIA	         243,94 € (bluespace)
GPV 06 ZARAGOZA	         255,91 € (bluespace)
GPV 10 BARCELONA	 459,21 € (bluespace)
GPV 13 ALICANTE	         255,91 € (bluespace)
ALCORCÓN	                 297,86 € (bluespace)
BARAJAS	                         459,94 € (bluespace)</t>
  </si>
  <si>
    <t>Pueden existir acciones especiales, cada una se trata individualmente.
No hay segundas visitas.....todo va con el fee mensual.
km/dietas....etc...ya indicada arriba</t>
  </si>
  <si>
    <t>Embargos los registra FICO tras orden del organismo competente.
Adelantos por compras, solicitamos cuando es necesario acción.</t>
  </si>
  <si>
    <t>Ya relatado caso bilbao (pais vasco)</t>
  </si>
  <si>
    <t>jde</t>
  </si>
  <si>
    <t>jde gpvs</t>
  </si>
  <si>
    <t xml:space="preserve">- SE PAGA POR MESES (teniendo en cuenta las bajas)
- Salario (plantilla cierre canal interlocutores) : 
         - fijo mes equipo 2026 = smi
         - objetivos mensuales (equipo) = 225€ (angel martinez y erika, resto al finalizar semestre)
Nota: tenemos 1/2 jornada en Canarias
Nota. los objetivos se regularizan semestralmente, cuando el cliente comunica (ene/feb y jul/ago).
-Dietas 2026. Se paga 11€ por día trabajado.
-Gastos ticket: Se paga a contraticket, validado en payhawk
-Kms. Equipo con vehiculo personal, se paga km a 0.21€/km (validado en payhawk)
Personal con vehículo de empresa actualmente:
Fco javier rosado, angel aladren, angel martinez, erika
</t>
  </si>
  <si>
    <t>Facturación mensual:
- fee gpv 1725€+6.5%
- fee 1/2 jornada: 925.5+6.5%
- telefono: 40€ + 6.5%
- dietas: (11 + 34%)*6.5% por dia trabajado
- km: (0.21+34%)*6.5%
- provision: 100€*6.5%
Resto gastos a contraticket (validados payhawk)</t>
  </si>
  <si>
    <t>almacenes facturación lineal por mes (2026):
-coruña 350*6.5%
-tenerife 363*6.5%
-huelva 159.76*6.5%</t>
  </si>
  <si>
    <t>facturacion mensual, no hay segundas visitas, ni fallidos</t>
  </si>
  <si>
    <t>Adelantos y embargos consultar con fico.
Bajas larga duración no facturable los días.</t>
  </si>
  <si>
    <t>Viajes convenciones, a refacturar.</t>
  </si>
  <si>
    <t>Inpost</t>
  </si>
  <si>
    <t>Prueba Piloto</t>
  </si>
  <si>
    <t>Hay 3 trabajadores estables con el proyecto, y tienen nómina mensual establecida. Computan las horas de cada proyecto en bizneo  su nómina se asigna a los distintos proyectos en esa misma proporción, incluidas la horas extras que computen.
Hector y PIotr cobran a mediados de mes. y Diego cobra salario base a principios de mes y resto de horas a mediados.</t>
  </si>
  <si>
    <t>Se realiza la factura cada mes teniendo en cuenta las visitas realizadas en ese mes, tiempo de visita  y la provincia donde se han realizado. Además se añade en la factura los costes logísticos que MDP nos envía cada mes, con margen 30%. Se les envía la proforma para su aprobación en cuanto la tenemos elaborada, después de recibir las facturas de MDP, ya que necesitamos los datos para incluirlos.
 El cliente la acepta y  solicitamos a Finanzas que la emita y la envíe a los contactos correspondientes.
No hay PO</t>
  </si>
  <si>
    <t>La factura de logística de MDP , nos llega detallada , y con ese mismo detalle se la enviamos al cliente con el margen, dentro de la factura mensual , anteriormente mencionada.</t>
  </si>
  <si>
    <t>Si realizamos una segunda visita por algún error nuestro, la asumimos y no se factura . 
Si realizamos una segunda visita por petición del cliente  se factura igual que la primera. 
Visita fallida mismo precio que visita ok.
Las visitas tienen una tarifa base , y se incremente por intervalos de tiempo en unas cuotas establecidas. De forma que el tiempo afecta a la cuota a pagar, no existe concepto de horas extras como tal.
Visita cancelada y ya estamos en ruta  se cobra igualmente
Visita cancelada y todavía no hemos salido a ruta no tiene coste.
Visitas con pernocta es una nueva modalidad que empezamos a contemplar ahora, y lleva asociados costes de estancia.</t>
  </si>
  <si>
    <t>No aplica</t>
  </si>
  <si>
    <t>A partir de Abril, se le ha incrementado un fee del 8% sobre el total de la logística en concepto de costes administrativos .</t>
  </si>
  <si>
    <t>https://sigespana-my.sharepoint.com/personal/silvia_lopez_sigespana_es/_layouts/15/Doc.aspx?sourcedoc=%7BA17CAE1D-0552-4DFF-9967-CD70585B6A64%7D&amp;file=PROFORMA%2013.Inpost%20con%20detalle%2030-4-26_Esmeralda%20Rodr%C3%ADguez.xlsx&amp;action=default&amp;mobileredirect=true; https://sigespana-my.sharepoint.com/personal/silvia_lopez_sigespana_es/_layouts/15/Doc.aspx?sourcedoc=%7B493C36F6-D55A-4D9F-B538-D2517D4C5F1D%7D&amp;file=TARIFAS%20INPOST%20DIURNAS%20Y%20CON%20PERNOCTA%202026_Esmeralda%20Rodr%C3%ADguez.pptx&amp;action=edit&amp;mobileredirect=true</t>
  </si>
  <si>
    <t>molins-propamsa</t>
  </si>
  <si>
    <t>implantaciones-almacenamiento-auditorias molins</t>
  </si>
  <si>
    <t>Existen 3 tipos de servicios:
1.- almacenamiento.  coste de almacén de mediapost mensual 
2.- implantación muebles tiendas construcción. Se paga por nº de módulos:
         - 1 modulo = 30€
         - 2 módulos= 45€
         - 3 módulos= 60€
Se pago km a 0.22€ (payhawk)
Nota.- hay que valorar distancias y tiempos de desplazamientos.
3.- auditorias. Pago 15€/hora + km a 0.22€</t>
  </si>
  <si>
    <t>Existen 3 tipos de servicios:
1.- almacenamiento. Refacturamos el coste de almacén de mediapost mensual + 20%
2.- implantación muebles tiendas construcción. Se factura por nº de módulos:
         - 1 modulo = 90€ primera hora (siguientes horas 37€)......islas(96 y 37 respectivamente)
         - 2,3,4 módulos= 180€ primera hora (siguientes 74€)....islas (191 y 74 respectivamente)
Se factura km a 0.32€ (payhawk)
Nota.- hay que valorar distancias y tiempos de desplazamientos.
3.- auditorias. Factura 1hora 58, siguientes horas 37€ (islas 62€ y 37siguientes horas)</t>
  </si>
  <si>
    <t xml:space="preserve">Mediapost pasa factura todos los meses,a lo que aplica un coste de 20%. Nos facturan por m3
</t>
  </si>
  <si>
    <t>Segundas visitas, se facturan adicionales.
Fallidos se pagan y facturan 100%
Km pago a 0.22 y factua a 0.32
No hay dietas</t>
  </si>
  <si>
    <t>no</t>
  </si>
  <si>
    <t>Distancias superiores a 1 hora trayecto.</t>
  </si>
  <si>
    <t>DYSON</t>
  </si>
  <si>
    <t>DYSON ASPIRACION Q12026</t>
  </si>
  <si>
    <t xml:space="preserve">Instaladores  campo pueden ser 3 tipos: 
Tácticos  y BA : Cobran una tarifa por visita calculada en función de las horas previstas de trabajo.Los tácticos una cuota más alta y los BA más baja. 
Personal campo estable ( Hector, Diego y Piotr):Salvo excepciones como nocturnidad, o grandes desplazamientos o excesivas horas extras,donde cobran un plus, en el resto de ocasiones reportan las horas en bizneo , incluidas las extras, y se reparte su salario total entre las horas de las distintas campañas que realizan.
Cobran a mediados de mes , salvo Diego que cobra a primeros salario base y extras a mediados.
Call center-Llevan una tarifa de 70€ por jornada completa día, si son externos, y si son internos computan la horas en bizneo , salvo excepciones.
</t>
  </si>
  <si>
    <t xml:space="preserve">AL cliente se le hace un presupuesto adaptado a la campaña sobre la que nos facilita la información. Se hace un cálculo de previsión de costes y un margen y se le informa de la tarifa por visita e importe total.
Una vez se termina la campaña, se revisan el nº de visitas realizadas y se factura según tarifa presupuestada. 
</t>
  </si>
  <si>
    <t xml:space="preserve">Los costes logísticos van incluidos en el presupuesto   y por lo tanto  en la tarifa  (Quote) que se le comunica al inicio al cliente.
Lo que se factura por separado a este cliente son los costes asociados a los stock sosbrantes de campañas anteriores, que estamos intentando nos digan cómo proceder con todo ello  para retirarlo del almacén de MDP.
</t>
  </si>
  <si>
    <t xml:space="preserve">Si hay revisitas  por razones ajenas a SIG,tenemos tarifa asignada para ellas, es una parte de la Quote que aplica solo a desplazamiento y visita en tienda, y no al resto de partidas.
Si son revisitas por nuestra responsabilidad no se facturan y nos hacemos cargo.
Visitas fallidas causas ajenas a SIG se tarifan igual que visita ok.
Horas extras no aplican
En caso de retrasarse la campaña , cosa que sucede habitualmente, se factura el coste asociado a ese retraso a partir del momento en que hubo movimiento logístico de algún tipo en MDP. Se hace un cálculo de dicho coste y se informa al cliente de dicha cuantía para que sea conocedor.
</t>
  </si>
  <si>
    <t>No</t>
  </si>
  <si>
    <t>https://sigespana-my.sharepoint.com/personal/silvia_lopez_sigespana_es/_layouts/15/Doc.aspx?sourcedoc=%7BDF46181A-6C73-4AEB-A4C1-CF9529F91D92%7D&amp;file=Pagos%20personal%20y%20calculos%20dyson%20ASPIRACION%20Q1_Esmeralda%20Rodr%C3%ADguez.xlsx&amp;action=default&amp;mobileredirect=true; https://sigespana-my.sharepoint.com/personal/silvia_lopez_sigespana_es/_layouts/15/Doc.aspx?sourcedoc=%7BC3E8CF1E-BF78-4FEC-B0F7-CDD08351D7F0%7D&amp;file=COTIZACION%20%20Q1%202026%20MGS_BASIC_LANZAMIENTO%20ASP_Esmeralda%20Rodr%C3%ADguez.xlsx&amp;action=default&amp;mobileredirect=true</t>
  </si>
  <si>
    <t>COTY</t>
  </si>
  <si>
    <t>COTY IMPLANTACIONES</t>
  </si>
  <si>
    <t>Tenemos pago cerrado por mueble y si hay algún pago "especial" (retraso de transporte con el mueble, tenemos que vaciar de producto el mueble que se cambia, no llega el pedido por causas ajenas a SIG, etc) en este caso el pago se calcula por hora</t>
  </si>
  <si>
    <t>La facturación al cliente de COTY IMPLANTACIONES Y FOOD (goteos) es según tarifa cerrada y si hay alguna incidencia por causas ajenas a SIG se le factura a parte en el mismo archivo automatizado, también en el caso de Goteos hay que facturar la parte de Almacenaje y Logística, Almacenaje según tarifa cerrada (coste mueble y palet) y la parte de Logística se le factura un procente % sobre coste Logístico. La facturación al cliente COTY de masivos se factura según presupuesto. El pago por parte del cliente es a 90 días.</t>
  </si>
  <si>
    <t>En el caso de Coty tenemos parte de logística (tanto autónomos, Mediapost como Galan). Los autónomos nos envían facturas según tarifas y/o presupuesto que nos envían. Pago a 30 días. Mediapost tiene tarifa cerrada y se factura al cliente un % sobre su coste. Galan tiene tarifa cerrada también y se factura al cliente un % sobre su coste</t>
  </si>
  <si>
    <t>En el caso de COTY podemos tener situaciones de 2ª visitas ajenas a SIG (todas aquellas visitas que tengan que realizar porque no sean a causa de SIG, visitas fallidas por causas ajenas a SIG) o 2ª visitas por causas a SIG (no queda bien realizado el trabajo, no llega el kit a tiempo, etc ....). En el primer caso se factura el 100% y en el segundo caso no se le factura nada. En el cliente COTY la hora extra se refactura al cliente según tarifa, pero la hora extra siempre y cuando sea por causas ajenas a SIG. En el caso de COTY si hay una cancelación &lt;24h se le factura el 100% de logística y el 50% de la operativa.</t>
  </si>
  <si>
    <t>En el caso de COTY se indica en el archivo de cierre y se notifica previamente a RRHH</t>
  </si>
  <si>
    <t>Algún caso excepcional hay pero son mínimos (recoger muebles de otras marcas) y en este caso se le aplica misma tarifa que si fuera su propia marca</t>
  </si>
  <si>
    <t>https://sigespana-my.sharepoint.com/personal/silvia_lopez_sigespana_es/Documents/Aplicaciones/Microsoft%20Forms/L%C3%B3gicas%20de%20pago%20y%20facturaci%C3%B3n%20%E2%80%93%20AltaActualizaci%C3%B3n/Pregunta/Captura%20de%20pantalla_archivo%20automatizado%20fact_Aranzazu%20Val%20Guerrei.jpg</t>
  </si>
  <si>
    <t>CHEIL</t>
  </si>
  <si>
    <t>El pago al táctico se realiza de manera mixta, dependiendo del tipo de acción y de la complejidad del trabajo a ejecutar. En algunos casos, el pago se establece por servicio o visita cerrada, mientras que en otros se calcula por horas, especialmente cuando se trata de incidencias pequeñas o acciones puntuales.
Las variables que determinan el pago son la cantidad de trabajos a realizar en tienda, el tipo de incidencia, la complejidad técnica de la acción, la ubicación de la tienda, la distancia que debe recorrer el táctico y la necesidad de recoger o gestionar materiales logísticos para resolver la incidencia.
Existe una tarifa por hora establecida según el tipo de acción. Para acciones complejas o trabajos técnicos específicos, la tarifa habitual es de 22 € por hora. En cambio, para incidencias más pequeñas o sencillas, la tarifa puede ser de 15 € por hora. Estas tarifas contemplan también tiempos asociados a la logística, como la recogida de material en TIPSA y la gestión de inversas necesarias para completar la acción.
El importe final se calcula estimando el tiempo total requerido para resolver la incidencia, considerando tanto el tiempo efectivo en tienda como los desplazamientos y gestiones logísticas asociadas.
Las fechas de pago se realizan de manera periódica los días 15 de cada mes, según el procedimiento indicado por CIF.
Por ejemplo, si un trabajador en Córdoba debe resolver una incidencia en una mesa de Watch, que suele ser una de las más complejas a nivel técnico, se estiman aproximadamente dos horas de trabajo. Aunque la tarifa estándar sería de 22 € por hora, se puede ofrecer un importe cerrado de 40 € por la resolución completa de la incidencia, incluyendo el tiempo destinado a recoger el material en TIPSA y gestionar la inversa correspondiente.</t>
  </si>
  <si>
    <t>La facturación al cliente se calcula a través de una plantilla de cotización/proforma ya estandarizada dentro de la operativa. Esta plantilla funciona de manera automatizada y se basa principalmente en las horas estimadas de trabajo en tienda, según el alcance de cada acción.
Actualmente, se trabaja con un rate card acordado con el cliente, en este caso una tarifa de 30 € por hora. Sobre esta base, se calculan las horas que el trabajador estará realizando la acción en tienda, teniendo en cuenta el tipo de intervención, la complejidad y el tiempo estimado necesario para completar el servicio.
Además de las horas operativas, la plantilla incorpora automáticamente otros costes asociados a la gestión del proyecto, como:
Gestión de personas.
Recursos humanos.
Management.
Fee de formaciones.
Kilometraje base.
Gastos de parking asociados a la operativa.
La operativa se trabaja por bloques y por tipos de acción, considerando también los tiempos estimados en tienda. Dependiendo de la especificación acordada con el cliente, la facturación puede realizarse por acción completa o por tipología de servicio.
Las facturaciones se realizan en base a solicitud y aprobación previa del cliente. Una vez finalizado cada rollout, aproximadamente dos semanas después y con las segundas visitas ya ejecutadas, se realiza el cierre del proyecto. En ese momento, se envía al cliente el detalle de la oferta inicialmente presupuestada y aprobada, junto con las segundas visitas o acciones adicionales trabajadas durante la operativa, siempre previamente validadas por el cliente.
Posteriormente, el cliente envía la ESP correspondiente y, una vez recibida, la información se traslada al equipo de FICO para que pueda emitir la factura al día siguiente.</t>
  </si>
  <si>
    <t>NO APLICA</t>
  </si>
  <si>
    <t>Las segundas visitas pueden ocurrir por negativa de ingreso en tienda, caída de táctico, incidencias logísticas o errores detectados durante el NPI o rollout. Si la incidencia es responsabilidad de tienda, cliente o logística CBL, la visita se factura al 100 % con un fee de 123 € por visita y el táctico también recibe su pago correspondiente.
Si la incidencia es responsabilidad de SIG (mala ejecución del táctico o fallo de validación interna), el coste es asumido internamente y no se factura al cliente.
En caso de visita fallida por negativa de acceso de la tienda, la visita igualmente se paga al táctico y se factura al cliente, siempre que la documentación y comunicación previa hayan sido enviadas correctamente.
Las horas extras en tienda se facturan normalmente a 30 € por hora cuando corresponden a necesidades reales de la operativa. Si el retraso se debe a errores o falta de experiencia del táctico, el coste no se traslada al cliente y SIG asume el sobrecoste, otorgando normalmente un plus operativo de 10 € al táctico.
El kilometraje suele estar incluido en el presupuesto inicial y las dietas solo se cubren en casos excepcionales previamente aprobados por el equipo operativo.</t>
  </si>
  <si>
    <t>En periodos de alta carga operativa, como los peak season o cuando existen varias acciones consecutivas, algunos tácticos solicitan adelantos para poder cubrir gastos elevados de kilometraje y desplazamiento. En estos casos, se envía un correo a FICO indicando el nombre del táctico y el importe solicitado para que pueda gestionarse internamente.
Los pagos fuera de ciclo únicamente se realizan cuando existe alguna incidencia relacionada con los llamamientos, contratos o errores administrativos asociados al táctico.
En casos de absentismo o bajas, la incidencia se comunica al equipo de Recursos Humanos para que pueda registrarse correctamente según corresponda, ya sea como absentismo, baja médica u otro tipo de incidencia laboral.</t>
  </si>
  <si>
    <t>na</t>
  </si>
  <si>
    <t>OPTIMISING</t>
  </si>
  <si>
    <t>ORTRADE, MARKWINS, COSMOGROUP, FLORMAR, FUTURE, AROMYA, ABM, DAPOP, COSMETIX, NOTE COSMETICS, RITUALS, DHALIA, NABLA, ISADORA, FINEST, ASTRA</t>
  </si>
  <si>
    <t>* Se paga por horas, cada mueble tiene un precio cerrado de implantación por horas 1h=11.92€ /brutos
* Hay variables, claro, si el trabajador excede el tiempo por causas ajenas a él o si se complica el trabajo se le pagan las horas extra también a 11.92€
* Las fechas de pago es sobre el día 15 de cada mes y se paga mediante plantilla enviada a RRHH en proceso automatizado.</t>
  </si>
  <si>
    <t>* La facturación es por tarifas cerradas previamente con el cliente desglosado en ( implantación, logística)
* se factura por tiempo de acción, no es lo mismo un servicio de ACTUALIZACIÓN a uno de IMPLANTACIÓN a una APERTURA punto de venta, cada servicio llega implícito enviar o no material, y un número de horas que se calculan en base a las tarifas acordadas.
* Cada cliente tiene tarifas propias pero es cierto que muchos de ellos comparten las mismas
* Pago? no, a los clientes se les factura. La fecha tope de la facturación para el dpto es el día 09 de cada mes, luego de dpto de fico tiene que gestionar la factura oficia y enviarla al cliente.</t>
  </si>
  <si>
    <t xml:space="preserve">* hay clientes que trabajan solo con mediapost, otros solo con galan, otros trabajan con ambos y otros con ninguno.
* La parte del almacenaje se factura de la siguiente manera: GALÁN ( según tarifas ) MEDIAPOST con un margen de un 20% sobre los m3 que nos envíen en la factura 
* Recibimos las facturas de galán y mediapost sobre el día 6/7 de cada mes
</t>
  </si>
  <si>
    <t>* Si, es común tener segundas o terceras visitas, sobre todo en acciones masivas o en aperturas
* cuando una visita es fallida en la bbdd se genera una segunda línea a veces por el importe 100% y otras solo por una parte dependiendo de si en la primera visita de ha podido hacer algo o no y dependiendo de si la fallida es por culpa nuestra o ajena. 
* Las horas extra se facturan al cliente según tarifas siempre que sean por un motivo justificado y que la culpa no sea de Sig
* Las cancelaciones antes de 24 horas por parte externa se facturan según acuerdo de contrato con ellos: " NOCTURNAS INCREMENTO 50%****
VISITAS FALLIDAS POR MOTIVOS AJENOS A SIG EL MISMO DIA (distribución y entrega mueble) IMPLANTACIÓN SE FACTURA 100% OPERATIVA****VISITAS ANULADAS O MODIFICACIONES FECHAS CON MENOS DE 24 HORAS ANTELACIÓN SE FACTURA EL 50% OPERATIVA"
* El km se paga a 0.22 y las dietas a 10 y todo va por app pahywak.
* El km se le factura al cliente 0.33 en algunas zonas en concreto o en situaciones especiales y se le comunica previamente.
* Las cancelaciones al  merchand se le pagan al 100% si es con menos de 24 horas y si es con más horas pero no se puede anular el contrato debemos de pagarle lo mínimo que salen por ley en el A3nom
*Existen tarifas estandar y pagos cerrados para casi el 90% de los casos con los que se trabaja pero siempre hay un 10% que es suceptible de analisis, de tarifas y pagos especiales y de recalcular precios.</t>
  </si>
  <si>
    <t>Los adelantos siempre se tramitan con el dpto que corresponde haciendo la petición que luego ellos de manera automática en el cierre de nóminas se lo descuentan.
Embargos no los tramitamos nosotros 
Absentimos al ser acciones de goteos no suelendarse 
Bajas, le llega el aviso al dpto de ggpp y ellos tramitan. Si el contrato es fijo de empresa debemos de pagarle el salario.</t>
  </si>
  <si>
    <t>Como indique anteriormente siempre hay escenarios especiales que necesitan de un análisis que se sale de la parte FIJA ( tarifas )</t>
  </si>
  <si>
    <t>Apple</t>
  </si>
  <si>
    <t>Equipo BA Apple</t>
  </si>
  <si>
    <t>Se pago Salario por horas de contrato y una parte de incentivos variables segun se evalucion.
Los pagos se aplican el dia 15 de cada mes.</t>
  </si>
  <si>
    <t>Se factura por visitas realizadas en ese mes. Según el tipo de visita. Se aplica una reducción del 10% a las visitas cuando son realizadas junto con auditorias AGC.</t>
  </si>
  <si>
    <t>Trabajamos con Galan.
Tenemos una espacio dedicado para almacenar material alli. Coste del almacenaje 155€ mes. Se imputa en el coste de acciones logísticas que se realizan para el Cliente en las islas.
La facturación va justo con la facturación mensual, el dia 8 de cada mes.</t>
  </si>
  <si>
    <t xml:space="preserve">Variación de visitas segun lo establecido por el cliente debido a cambios en los centros o requerimientos de acciones adicionales. Se adapta el número de visitas, en casos se realizan visitas extras.Se futura igual que las visitas normales.
</t>
  </si>
  <si>
    <t>DAIKIN</t>
  </si>
  <si>
    <t xml:space="preserve">DAIKIN </t>
  </si>
  <si>
    <t>PAGO SEGUN CONTRATO Y INCENTIVOS TRIMESTRALES MARCADOS POR CLIENTE.
PAGO PERSONAL DIA 1 Y DIA 15.</t>
  </si>
  <si>
    <t>Facturación constante mensual.  Dia 1 de cada mes.</t>
  </si>
  <si>
    <t>No hay logitisca</t>
  </si>
  <si>
    <t>Ajustes de facturación en procesos de bajas o ausencias por enfermedad de larga duración.</t>
  </si>
  <si>
    <t>Ajustes de facturación en procesos de bajas o ausencias de larga duración. Se aplica un reducción proporcianal en el periodo de facturación.</t>
  </si>
  <si>
    <t>ROLL OUT</t>
  </si>
  <si>
    <t>Montajes muebles Kobo</t>
  </si>
  <si>
    <t xml:space="preserve">Estas visitas las hacen los BA . Se les paga por visita, en función del tiempo previsto. En función de la tarea a realizar, se es de inspección de la avería , o de inspección y resolución de averías,  o de instalación y montaje. </t>
  </si>
  <si>
    <t>Se hace un presupuesto en función de la tarea que nos asigna, se calculan los costes asociados y se añade un margen, entre el 25 y el 30%</t>
  </si>
  <si>
    <t>Los costes logísticos se presupuestan y se añaden en el presupuesto añadiendo un margen aprox 30%</t>
  </si>
  <si>
    <t>Revisitas por nuestra responsabilidad las asumimos, si no son nuestras las asume el cliente. Se facturan en función del tiempo en tienda.
Visita fallida se factura igualmente</t>
  </si>
  <si>
    <t>https://sigespana-my.sharepoint.com/personal/silvia_lopez_sigespana_es/_layouts/15/Doc.aspx?sourcedoc=%7B865CBEE0-926B-4F96-8420-780BD2A1C4F4%7D&amp;file=RollOut%20Basic%20Rate_Esmeralda%20Rodr%C3%ADguez.xlsx&amp;action=default&amp;mobileredirect=true</t>
  </si>
  <si>
    <t>APPLE</t>
  </si>
  <si>
    <t>TRAINING</t>
  </si>
  <si>
    <t>En el caso de los formadores estables se paga por bruto anual por lo que la cantidad es estable. El pago es el día 30 de cada mes. En el caso de los externos que contratamos (algunos son autónomos), se paga por sesión, en base a las tarifas acordadas con el cliente. El pago es el día 15 del mes siguiente.</t>
  </si>
  <si>
    <t>Sí, la misma lógica. En el caso de los fijos se factura por servicio por lo que la cantidad es estable. En el caso de los externos y otros servicios (catering, salas, hoteles..) se factura en base a lo previamente aprobado por el cliente. Se factura por mes natural.</t>
  </si>
  <si>
    <t>Hay logística y se factura en base a unas tarifas ya acordadas con el cliente (no en base a los costes reales de la logistica). Cuando hay coste de otros proveedores (ejemplo catering) se factura con un feedback si es una petición ajena al equipo de formadores. Si no es un pass through coste.Se factura por mes natural.</t>
  </si>
  <si>
    <t>No aplica en este proyecto</t>
  </si>
  <si>
    <t>Por el momento, no</t>
  </si>
  <si>
    <t>AMEX</t>
  </si>
  <si>
    <t>Implantación POP</t>
  </si>
  <si>
    <t>Se paga por jornada trabajada en base SMI. Pago día 15 del mes siguiente.</t>
  </si>
  <si>
    <t>Se factura por visita diferenciando si son dentro o fuera ciudad ya que tienen diferente tarifa. Trimestralmente se factura KPIs si hemos llegado. Se factura por mes natural.</t>
  </si>
  <si>
    <t>Hay logística y se factura el real + margen SIG. Tambien se factura el concepto de la limpieza de las bases de datos.</t>
  </si>
  <si>
    <t>Se facturan todas las visitas realizadas al margen de que sean o no efectivas.</t>
  </si>
  <si>
    <t>Actualmente no.</t>
  </si>
  <si>
    <t>PLOOM</t>
  </si>
  <si>
    <t>Implantaciones</t>
  </si>
  <si>
    <t xml:space="preserve">Mixto. A veces por jornada y otras por visita, según número puntos de venta, urgencia y disposición del implantado. </t>
  </si>
  <si>
    <t>Al cliente se le factura por visita, diferenciando islas y península, con tarifas diferentes. Se factura por mes natural.</t>
  </si>
  <si>
    <t>La logistica ya está contemplada dentro del pago por visita que se le da.</t>
  </si>
  <si>
    <t>En este último proyecto, todas las visitas con la misma tarifa. Todos los costes están contempladas dentro de la tarifa al cliente.</t>
  </si>
  <si>
    <t>Muchos anticipos para pago de gastos, especialmente gasolina.</t>
  </si>
  <si>
    <t>No.</t>
  </si>
  <si>
    <t>ATLANT&amp; FINICON</t>
  </si>
  <si>
    <t>Montajes muebles DJI</t>
  </si>
  <si>
    <t>Estas visitas las hacen los BA  habitualmente. Se calcula el pago en funcíón del tiempo previsto en tienda.</t>
  </si>
  <si>
    <t>Se factura en función del presupuesto, una vez terminada la acción. Tenemos un tarifario  y más o menos se mantiene esa linea de tarifas para los servicios.</t>
  </si>
  <si>
    <t>La logística se presupuesta con Galan, y se añade un margen</t>
  </si>
  <si>
    <t>Revisitas causas ajenas  a SIG , se facturan en función del tiempo en tienda previsto.
Visita fallida causas ajenas a SIG se factura  igualmente.
Se refacturan materiales en caso de necesitar comprarlos.</t>
  </si>
  <si>
    <t xml:space="preserve">No aplica
</t>
  </si>
  <si>
    <t>https://sigespana-my.sharepoint.com/personal/silvia_lopez_sigespana_es/_layouts/15/Doc.aspx?sourcedoc=%7BC51A0C89-B31C-4426-AFC5-E2CF02C9230E%7D&amp;file=TARIFAS%20CLIENTE%20%20DJI%202026_Esmeralda%20Rodr%C3%ADguez.xlsx&amp;action=default&amp;mobileredirect=true</t>
  </si>
  <si>
    <t>UK GREETINGS</t>
  </si>
  <si>
    <t>Implantaciones en Morrison</t>
  </si>
  <si>
    <t>Pago por hora trabajada. Se paga el día 15 del mes siguiente.</t>
  </si>
  <si>
    <t>Facturación por hora trabajada + kilomentraje fijo establecido x el número de jornadas trabajadas ese mes. Se factura por mes natural.</t>
  </si>
  <si>
    <t>No aplica.</t>
  </si>
  <si>
    <t>Si se necesitan horas extras, el cliente las autoriza previamente y se le facturan y se pagan en consecuencia. Las visitas fallidas no se facturan</t>
  </si>
  <si>
    <t>Tino Fanjul García</t>
  </si>
  <si>
    <t>ITC</t>
  </si>
  <si>
    <t>Hay una tarifa mensual fija por salarios, vehículos, licencias, teléfonos y tablet.
Hay unos gastos variables de dietas, Bonus, gasolina, servicios logísticos y gastos relacionados con la actividad (P.e. parking, hoteles, vuelos...)</t>
  </si>
  <si>
    <t>Se calculan los costes fijos más los variables mensualmente en un excel que se deriva para su facturación al cliente, este paga a 30 días una vez recibida la factura.
Los costes de salarios llevan un 15% de fee, y los costes operaciones el 8%.</t>
  </si>
  <si>
    <t>Se imputan como gastos variables con el 8% de fee.</t>
  </si>
  <si>
    <t>El coste de las horas es fijo. Los km (ticket de gasolina) y dietas se imputan como gastos variables mensualmente.</t>
  </si>
  <si>
    <t>Lo normal en personal de estructura</t>
  </si>
  <si>
    <t>1.000€ de soporte administrativo, 500€ de soporte BI</t>
  </si>
  <si>
    <t>Proyecto/Campaña</t>
  </si>
  <si>
    <t>MotorPago</t>
  </si>
  <si>
    <t>Pago_Base (contexto)</t>
  </si>
  <si>
    <t>Pago_TarifaHora_€ (si aplica)</t>
  </si>
  <si>
    <t>Pago_Parámetros necesarios</t>
  </si>
  <si>
    <t>MotorFacturación</t>
  </si>
  <si>
    <t>Fact_Base (contexto)</t>
  </si>
  <si>
    <t>Fact_Parámetros necesarios</t>
  </si>
  <si>
    <t>Logística_Modelo</t>
  </si>
  <si>
    <t>Logística_Parámetros (contexto)</t>
  </si>
  <si>
    <t>Excepciones_Modelo (flags)</t>
  </si>
  <si>
    <t>Pendientes_para_parametrizar</t>
  </si>
  <si>
    <t>MENSUAL</t>
  </si>
  <si>
    <t>Fijo mensual + variables (dietas/km/tickets) + objetivos si aplica</t>
  </si>
  <si>
    <t>fijo/contrato; variables (dietas/km/tickets)</t>
  </si>
  <si>
    <t>MENSUAL_FEE</t>
  </si>
  <si>
    <t>Fee mensual + variables (dietas/km/servicios) según contrato</t>
  </si>
  <si>
    <t>fee mensual; variables refacturables</t>
  </si>
  <si>
    <t>COSTE+MARGEN/FEE</t>
  </si>
  <si>
    <t>Proveedor(es): Bluespace, ConcurTicket, Payhawk | Unidad: km, mensual</t>
  </si>
  <si>
    <t>2ª/3ª_visita | adelantos | embargos</t>
  </si>
  <si>
    <t>Proveedor(es): ConcurTicket, Payhawk | %/fee: 6.5 | Unidad: km, mensual</t>
  </si>
  <si>
    <t>MENSUAL_IMPUTADO</t>
  </si>
  <si>
    <t>Nómina imputada por horas/porción (sistema externo)</t>
  </si>
  <si>
    <t>VISITA + LOG</t>
  </si>
  <si>
    <t>Visitas + bloque logística (passthrough con margen)</t>
  </si>
  <si>
    <t>tarifa visita (por tipo/zona)</t>
  </si>
  <si>
    <t>INCLUIDA_EN_TARIFA/PRESUP</t>
  </si>
  <si>
    <t>Proveedor(es): Bizneo, MDP | Unidad: mensual</t>
  </si>
  <si>
    <t>2ª/3ª_visita | fallida | cancelacion | pernocta</t>
  </si>
  <si>
    <t>UNIDAD/TRAMOS</t>
  </si>
  <si>
    <t>Tarifa por unidad/módulos o tramos (1ª hora/resto)</t>
  </si>
  <si>
    <t>unidad/accion base (módulo/mueble) + tarifa</t>
  </si>
  <si>
    <t>Definir</t>
  </si>
  <si>
    <t>Proveedor(es): Mediapost, Payhawk | %/fee: 20 | Unidad: km, mensual, m³</t>
  </si>
  <si>
    <t>2ª/3ª_visita</t>
  </si>
  <si>
    <t>VISITA/MIXTO</t>
  </si>
  <si>
    <t>Tarifa por visita y/o por tiempo previsto según tarea</t>
  </si>
  <si>
    <t>tarifa visita (y segmentación si aplica)</t>
  </si>
  <si>
    <t>PRESUPUESTO</t>
  </si>
  <si>
    <t>Presupuesto/quote (costes + margen)</t>
  </si>
  <si>
    <t>margen %; reglas revisitas/fallidos</t>
  </si>
  <si>
    <t>fallida | nocturnidad</t>
  </si>
  <si>
    <t>CERRADO+HORA_ESPECIAL</t>
  </si>
  <si>
    <t>Cerrado por mueble + excepciones por hora</t>
  </si>
  <si>
    <t>TARIFA_CERRADA/PRESUP</t>
  </si>
  <si>
    <t>Tarifas cerradas y/o presupuesto según caso</t>
  </si>
  <si>
    <t>Proveedor(es): Galán, Mediapost</t>
  </si>
  <si>
    <t>fallida | cancelacion | horas_extra</t>
  </si>
  <si>
    <t>MIXTO</t>
  </si>
  <si>
    <t>Cerrado/visita + horas según complejidad</t>
  </si>
  <si>
    <t>tarifa hora; horas pactadas por tipo de acción (implantación/actualización/apertura)</t>
  </si>
  <si>
    <t>HORAS (RATE CARD)</t>
  </si>
  <si>
    <t>Rate card €/h × horas + extras automáticos</t>
  </si>
  <si>
    <t>rate card €/h (por cliente/acción); horas pactadas por acción</t>
  </si>
  <si>
    <t>NO_APLICA</t>
  </si>
  <si>
    <t>Proveedor(es): TIPSA | Unidad: mensual</t>
  </si>
  <si>
    <t>2ª/3ª_visita | fallida | adelantos</t>
  </si>
  <si>
    <t>HORAS</t>
  </si>
  <si>
    <t>Tarifa hora × horas pactadas por acción</t>
  </si>
  <si>
    <t>tarifa hora; horas pactadas por tipo de acción (implantación/actualización/apertura); regla pago 100% pactado si tarda menos; regla horas extra (prorrateo vs redondeo) PTE</t>
  </si>
  <si>
    <t>TARIFA_POR_ACCION+LOG</t>
  </si>
  <si>
    <t>Tarifa por acción (implantación/actualización/apertura) + logística</t>
  </si>
  <si>
    <t>Proveedor(es): Galán, Mediapost | %/fee: 20 | Unidad: km, mensual, m³</t>
  </si>
  <si>
    <t>2ª/3ª_visita | fallida | cancelacion | adelantos | embargos | nocturnidad</t>
  </si>
  <si>
    <t>Definir horas pactadas por tipo de acción (por marca/cliente); Definir política de exceso (prorrateo vs redondeo)</t>
  </si>
  <si>
    <t>MENSUAL+INCENTIVOS</t>
  </si>
  <si>
    <t>Salario/contrato + incentivos</t>
  </si>
  <si>
    <t>VISITA</t>
  </si>
  <si>
    <t>Nº visitas × tarifa (segmentada por tipo/zona)</t>
  </si>
  <si>
    <t>VARIABLE (definir)</t>
  </si>
  <si>
    <t>Proveedor(es): Galán | Unidad: mensual</t>
  </si>
  <si>
    <t>CONTRATO+INCENTIVOS</t>
  </si>
  <si>
    <t>Contrato + incentivos</t>
  </si>
  <si>
    <t>Facturación mensual estable</t>
  </si>
  <si>
    <t>Unidad: mensual</t>
  </si>
  <si>
    <t>Indicar proveedor/es de logística</t>
  </si>
  <si>
    <t>Tarifa por visita (según tipo)</t>
  </si>
  <si>
    <t>%/fee: 30</t>
  </si>
  <si>
    <t>fallida</t>
  </si>
  <si>
    <t>FIJO_ANUAL+SESION</t>
  </si>
  <si>
    <t>Fijo anual (estables) + pago por sesión (externos)</t>
  </si>
  <si>
    <t>MENSUAL/SEGUN_APROB</t>
  </si>
  <si>
    <t>Mensual y/o según aprobaciones (servicios/proveedores)</t>
  </si>
  <si>
    <t>JORNADA</t>
  </si>
  <si>
    <t>Tarifa por jornada</t>
  </si>
  <si>
    <t>HORAS/TIEMPO_PREV</t>
  </si>
  <si>
    <t>Pago por tiempo previsto en tienda</t>
  </si>
  <si>
    <t>Proveedor(es): Galán</t>
  </si>
  <si>
    <t>HORAS + KM_FIJO</t>
  </si>
  <si>
    <t>Horas + km fijo por jornadas</t>
  </si>
  <si>
    <t>MENSUAL (FIJO+VAR)</t>
  </si>
  <si>
    <t>Costes fijos mensuales + variables</t>
  </si>
  <si>
    <t>MENSUAL (COSTES+FEE)</t>
  </si>
  <si>
    <t>Costes fijos+variables + fee(s) por bloque</t>
  </si>
  <si>
    <t>%/fee: 8 | Unidad: km, mensual</t>
  </si>
  <si>
    <t>Facturación</t>
  </si>
  <si>
    <t>Cuota / Dietas por dia trabajado</t>
  </si>
  <si>
    <t>Granini, JDE, Dyson, Amex, Ploom</t>
  </si>
  <si>
    <t>Granini, JDE, Morrison</t>
  </si>
  <si>
    <t>Cuota fija mensual</t>
  </si>
  <si>
    <t>Molins</t>
  </si>
  <si>
    <t>Granini, JDE, Molins, Daikin, Apple RST, ITC</t>
  </si>
  <si>
    <t>Cuota fija mensual por Recurso</t>
  </si>
  <si>
    <t>Granini, JDE</t>
  </si>
  <si>
    <t>Cuota por hora estimada</t>
  </si>
  <si>
    <t>Dyson, DJI</t>
  </si>
  <si>
    <t>Cuota por hora estimada - según tipo visita</t>
  </si>
  <si>
    <t>Kobo</t>
  </si>
  <si>
    <t>Cuota por hora trabajada</t>
  </si>
  <si>
    <t>Molins, Morrison</t>
  </si>
  <si>
    <t>Morrison</t>
  </si>
  <si>
    <t>Cuota por hora trabajada - incremental según tipo y número de modulos</t>
  </si>
  <si>
    <t>Cuota por hora trabajada - según tipo de extra (horas extra, incidencia ajena a sig…)</t>
  </si>
  <si>
    <t>Coty Impl, Cosmetica</t>
  </si>
  <si>
    <t>Cuota por visita</t>
  </si>
  <si>
    <t>Apple RST, Ploom</t>
  </si>
  <si>
    <t>Dyson, Apple RST</t>
  </si>
  <si>
    <t>Cuota por visita - según tiempo, provincia y tipo visita - cantidad según tramos de horas</t>
  </si>
  <si>
    <t>Cuota por visita - según tipo mueble y tipo visita</t>
  </si>
  <si>
    <t>Cuota por visita - según tipo visita</t>
  </si>
  <si>
    <t>Apple BA, Amex, Ploom</t>
  </si>
  <si>
    <t>Fee sobre conceptos</t>
  </si>
  <si>
    <t>Granini, JDE, Inpost, Molins, Cosmetica, Kobo, ITC</t>
  </si>
  <si>
    <t>Gastos Payhawk</t>
  </si>
  <si>
    <t>Granini, JDE, Cosmetica, DJI, ITC</t>
  </si>
  <si>
    <t>Gastos proyecto (catering, alquiler de salas…)</t>
  </si>
  <si>
    <t>Apple RST, Amex</t>
  </si>
  <si>
    <t>Incentivos mensuales</t>
  </si>
  <si>
    <t>Granini, JDE, Apple BA, ITC</t>
  </si>
  <si>
    <t>Amex, ITC</t>
  </si>
  <si>
    <t>Incentivos trimestrales</t>
  </si>
  <si>
    <t>Granini, Daikin</t>
  </si>
  <si>
    <t>Granini</t>
  </si>
  <si>
    <t>Granini, JDE, Molins, Cosmetica, ITC</t>
  </si>
  <si>
    <t>Granini, JDE, Cosmetica, ITC</t>
  </si>
  <si>
    <t>Logistica</t>
  </si>
  <si>
    <t>Kobo, Apple RST, Amex, ITC</t>
  </si>
  <si>
    <t>Logistica autonomos</t>
  </si>
  <si>
    <t>Coty Impl</t>
  </si>
  <si>
    <t>Logistica Galan</t>
  </si>
  <si>
    <t>Cosmetica, Apple BA</t>
  </si>
  <si>
    <t>Logistica Galan + porcentaje</t>
  </si>
  <si>
    <t>Coty Impl, DJI</t>
  </si>
  <si>
    <t>Logistica MDP</t>
  </si>
  <si>
    <t>Dyson</t>
  </si>
  <si>
    <t>Logistica MDP + porcentaje</t>
  </si>
  <si>
    <t>Inpost, Coty Impl, Cosmetica</t>
  </si>
  <si>
    <t>Salario base dividido entre las horas dedicadas a cada proyecto</t>
  </si>
  <si>
    <t>Salario fijo</t>
  </si>
  <si>
    <t>Granini, JDE, Apple BA, Daikin, Apple RST, ITC</t>
  </si>
  <si>
    <t>Viajes Travel Perk</t>
  </si>
  <si>
    <t>Proyectos a los que aplica la lógica:</t>
  </si>
  <si>
    <t>COSMOGROUP</t>
  </si>
  <si>
    <t>AROMYA</t>
  </si>
  <si>
    <t>FUTURE COSMETICS</t>
  </si>
  <si>
    <t>MARKWINS</t>
  </si>
  <si>
    <t>MATCH</t>
  </si>
  <si>
    <t>ORTRADE</t>
  </si>
  <si>
    <t>ASTRA</t>
  </si>
  <si>
    <t>FLORMAR</t>
  </si>
  <si>
    <t>SHEGLAM</t>
  </si>
  <si>
    <t>GOSH</t>
  </si>
  <si>
    <t>SLEEK</t>
  </si>
  <si>
    <t>GESKE</t>
  </si>
  <si>
    <t>PTE</t>
  </si>
  <si>
    <t>TIEMPO C/COLOCACION MODULOS</t>
  </si>
  <si>
    <t>N/A</t>
  </si>
  <si>
    <t xml:space="preserve">PAGO IMPLANTACIÓN </t>
  </si>
  <si>
    <t>PAGO C/COLOCACION MODULOS</t>
  </si>
  <si>
    <t>PAGO VACIADO MUEBLE</t>
  </si>
  <si>
    <t>PENÍNSULA</t>
  </si>
  <si>
    <t>ISLAS MAYORES</t>
  </si>
  <si>
    <t>ISLAS MENORES</t>
  </si>
  <si>
    <t>AND/CEU/MEL</t>
  </si>
  <si>
    <t>1HORA</t>
  </si>
  <si>
    <t>RESTO HORAS</t>
  </si>
  <si>
    <t>DESPLAZAMIENTO</t>
  </si>
  <si>
    <t>NEONAIL</t>
  </si>
  <si>
    <t>2H</t>
  </si>
  <si>
    <t xml:space="preserve">PAGO IMPLANTACIÓN  </t>
  </si>
  <si>
    <t>MUEBLE/TIEMPOS</t>
  </si>
  <si>
    <t>PAGO</t>
  </si>
  <si>
    <t>PAGO CONV</t>
  </si>
  <si>
    <t>WET &amp;WILD _4H</t>
  </si>
  <si>
    <t>PHYSICIANS FORMULA_3H</t>
  </si>
  <si>
    <t>SOLO CONV 2025_3horas</t>
  </si>
  <si>
    <t>IMPLANTACION +CONV 2025_5horas</t>
  </si>
  <si>
    <t>WETNWILD</t>
  </si>
  <si>
    <t>eHFhsa82</t>
  </si>
  <si>
    <t>eHFhsa82*</t>
  </si>
  <si>
    <t>plataforma.sig@sigespana.es</t>
  </si>
  <si>
    <t>Usuario genérico para las conexiones de la herramienta</t>
  </si>
  <si>
    <t>OFFICE 365</t>
  </si>
  <si>
    <t>https://sig.sgpv.es/export/ExportData.php</t>
  </si>
  <si>
    <t>Descarga de fichero JSON mediante login.</t>
  </si>
  <si>
    <t>sig</t>
  </si>
  <si>
    <t>hola</t>
  </si>
  <si>
    <t>Usuario:</t>
  </si>
  <si>
    <t>kjshdf9p8s8sdufosdfDsadjhdsf</t>
  </si>
  <si>
    <t>https://app.travelperk.com/api/v2</t>
  </si>
  <si>
    <t>Cada gasto debe ir asociado a un contrato de A3Innuva.</t>
  </si>
  <si>
    <t>Se sigue el siguiente criterio:</t>
  </si>
  <si>
    <t>Solo se procesan los gastos aprobados.</t>
  </si>
  <si>
    <t>Cada gasto tiene un campo que especifica su periodo (mes-año) independientemente de la fecha del ticket.</t>
  </si>
  <si>
    <t>Según la fecha del ticket, se asigna el gasto al contrato más cercano dentro del periodo asignado.</t>
  </si>
  <si>
    <t>Primero se evalua si la fecha se corresponde con la vigencia de algún contrato.</t>
  </si>
  <si>
    <t>Si no encaja en ningún contrato, asigna el ultimo contrato finalizado antes de la fecha del ticket.</t>
  </si>
  <si>
    <t>Si el gasto es anterior a todos los contratos, lo asigna al primer contrato del mes.</t>
  </si>
  <si>
    <t>Si no existe ningún contrato en el periodo para el empleado que ha hecho el gasto se califica como error a revisar.</t>
  </si>
  <si>
    <t>Contratos de Juan Perez: del 2 al 7 abril - del 15 al 22 abril.</t>
  </si>
  <si>
    <t>Gasto se asigna al primer contrato del periodo: 2 al 7 abril.</t>
  </si>
  <si>
    <t>Ejemplos:</t>
  </si>
  <si>
    <t>Gasto de Juan Perez con fecha 5 de marzo asignado al periodo abril-26.</t>
  </si>
  <si>
    <t>Gasto de Juan Perez con fecha 16 de abril asignado al periodo abril-26.</t>
  </si>
  <si>
    <t>Gasto se asigna al contrato coincidente: 15 al 22 abril.</t>
  </si>
  <si>
    <t>Gasto de Juan Perez con fecha 10 de abril asignado al periodo abril-26.</t>
  </si>
  <si>
    <t>Gasto se asigna al ultimo contrato anterior al gasto: 2 al 7 abril.</t>
  </si>
  <si>
    <t>En A3Innuva existen contratos que empiezan y acaban en el mismo día y que corresponden a bajas de personal.</t>
  </si>
  <si>
    <t>Dichos contratos no deben computarse porque no se abonan al empleado, son procesos burocraticos.</t>
  </si>
  <si>
    <t>No deben confundirse con otros contratos de 24 horas que si son reales.</t>
  </si>
  <si>
    <t>IMPORTANTE:</t>
  </si>
  <si>
    <t>Versión demo:</t>
  </si>
  <si>
    <t>https://design.penpot.app/#/view?file-id=8580c946-af19-8023-8008-181cf8566a3a&amp;page-id=e7a86fff-661d-81c1-8008-142392ad1ebb&amp;section=interactions&amp;frame-id=4b1322f3-c329-80cf-8008-14ab37a246d0&amp;index=0&amp;share-id=8580c946-af19-8023-8008-181f0712cc2b</t>
  </si>
  <si>
    <t>Usuario acceso web:</t>
  </si>
  <si>
    <t>API Key:</t>
  </si>
  <si>
    <t>Token de empresa:</t>
  </si>
  <si>
    <t>ee946fc5ffdf1a9d053a3e6426d903b4944131bb</t>
  </si>
  <si>
    <r>
      <t>"COMPANY_ID"</t>
    </r>
    <r>
      <rPr>
        <sz val="9"/>
        <color rgb="FF000000"/>
        <rFont val="Consolas"/>
        <family val="3"/>
      </rPr>
      <t>: </t>
    </r>
    <r>
      <rPr>
        <sz val="9"/>
        <color rgb="FF098658"/>
        <rFont val="Consolas"/>
        <family val="3"/>
      </rPr>
      <t>11881</t>
    </r>
  </si>
  <si>
    <t>SFMyNTY.g2gDdAAAAAJ3AmlkbQAAACRlZDBmMjJjMy01MzA0LTQxMjgtODU1My0xYzQzOGIwYzUyNjd3CmNvbXBhbnlfaWRiAO26Nm4GAPFCTo2eAWIAAVGA.SEr6z6jQZ5qEl7VYLnZSJN_GaNE4vvOIZE4nmGLxmLM</t>
  </si>
  <si>
    <t>Conexión a API Bizneo.</t>
  </si>
  <si>
    <t>Facturación anual</t>
  </si>
  <si>
    <t>https://connect.bizneo.com/hcm/v1/</t>
  </si>
  <si>
    <t>Dominio SIG:</t>
  </si>
  <si>
    <t>https://talento-sigespana.bizneohr.com/</t>
  </si>
  <si>
    <t>notificaciones.sig@ftpsig.es</t>
  </si>
  <si>
    <t>Contraseña:</t>
  </si>
  <si>
    <t>Siges2025*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</si>
</sst>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d\,\ m/d/yyyy"/>
    <numFmt numFmtId="165" formatCode="d\-m\-yy;@"/>
    <numFmt numFmtId="166" formatCode="[$-C0A]d\ &quot;de&quot;\ mmmm\ &quot;de&quot;\ yyyy;@"/>
    <numFmt numFmtId="167" formatCode="d"/>
    <numFmt numFmtId="168" formatCode="#,##0.00\ &quot;€&quot;"/>
    <numFmt numFmtId="169" formatCode="[$-F400]h:mm:ss\ AM/PM"/>
  </numFmts>
  <fonts count="91">
    <font>
      <sz val="11"/>
      <color theme="1"/>
      <name val="Aptos Narrow"/>
      <family val="2"/>
      <scheme val="minor"/>
    </font>
    <font>
      <b/>
      <sz val="11"/>
      <color theme="1"/>
      <name val="Aptos Narrow"/>
      <family val="2"/>
      <scheme val="minor"/>
    </font>
    <font>
      <u/>
      <sz val="11"/>
      <color theme="10"/>
      <name val="Aptos Narrow"/>
      <family val="2"/>
      <scheme val="minor"/>
    </font>
    <font>
      <sz val="8"/>
      <color theme="1"/>
      <name val="Segoe UI"/>
      <family val="2"/>
    </font>
    <font>
      <b/>
      <sz val="13.5"/>
      <color theme="1"/>
      <name val="Segoe UI"/>
      <family val="2"/>
    </font>
    <font>
      <sz val="11"/>
      <color theme="1"/>
      <name val="Aptos Narrow"/>
      <family val="2"/>
      <scheme val="minor"/>
    </font>
    <font>
      <sz val="11"/>
      <color theme="0"/>
      <name val="Aptos Narrow"/>
      <family val="2"/>
      <scheme val="minor"/>
    </font>
    <font>
      <u/>
      <sz val="11"/>
      <color indexed="12"/>
      <name val="Arial"/>
      <family val="2"/>
    </font>
    <font>
      <b/>
      <i/>
      <sz val="9"/>
      <color theme="1" tint="0.499984740745262"/>
      <name val="Arial"/>
      <family val="2"/>
    </font>
    <font>
      <sz val="9"/>
      <color theme="1" tint="0.499984740745262"/>
      <name val="Arial"/>
      <family val="2"/>
    </font>
    <font>
      <sz val="9"/>
      <color theme="1"/>
      <name val="Aptos Narrow"/>
      <family val="2"/>
      <scheme val="minor"/>
    </font>
    <font>
      <sz val="9"/>
      <color theme="0"/>
      <name val="Aptos Narrow"/>
      <family val="2"/>
      <scheme val="minor"/>
    </font>
    <font>
      <b/>
      <sz val="22"/>
      <color theme="1" tint="0.34998626667073579"/>
      <name val="Aptos Display"/>
      <family val="2"/>
      <scheme val="major"/>
    </font>
    <font>
      <b/>
      <sz val="14"/>
      <color theme="1" tint="0.34998626667073579"/>
      <name val="Aptos Display"/>
      <family val="2"/>
      <scheme val="major"/>
    </font>
    <font>
      <b/>
      <sz val="9"/>
      <color theme="4" tint="-0.249977111117893"/>
      <name val="Aptos Display"/>
      <family val="2"/>
      <scheme val="major"/>
    </font>
    <font>
      <sz val="9"/>
      <name val="Aptos Narrow"/>
      <family val="2"/>
      <scheme val="minor"/>
    </font>
    <font>
      <b/>
      <sz val="9"/>
      <name val="Aptos Narrow"/>
      <family val="2"/>
      <scheme val="minor"/>
    </font>
    <font>
      <sz val="14"/>
      <color theme="1"/>
      <name val="Aptos Narrow"/>
      <family val="2"/>
      <scheme val="minor"/>
    </font>
    <font>
      <sz val="9"/>
      <name val="Arial"/>
      <family val="2"/>
    </font>
    <font>
      <sz val="10"/>
      <color rgb="FFFF0000"/>
      <name val="Calibri Light"/>
      <family val="2"/>
    </font>
    <font>
      <sz val="8"/>
      <color theme="1"/>
      <name val="Aptos Narrow"/>
      <family val="2"/>
      <scheme val="minor"/>
    </font>
    <font>
      <sz val="16"/>
      <color theme="4"/>
      <name val="Aptos Narrow"/>
      <family val="2"/>
      <scheme val="minor"/>
    </font>
    <font>
      <b/>
      <sz val="9"/>
      <color theme="1"/>
      <name val="Aptos Narrow"/>
      <family val="2"/>
      <scheme val="minor"/>
    </font>
    <font>
      <i/>
      <sz val="9"/>
      <color theme="1"/>
      <name val="Aptos Narrow"/>
      <family val="2"/>
      <scheme val="minor"/>
    </font>
    <font>
      <sz val="9"/>
      <color theme="1" tint="0.499984740745262"/>
      <name val="Aptos Narrow"/>
      <family val="2"/>
      <scheme val="minor"/>
    </font>
    <font>
      <b/>
      <sz val="11"/>
      <color theme="0"/>
      <name val="Aptos Narrow"/>
      <family val="2"/>
      <scheme val="minor"/>
    </font>
    <font>
      <sz val="11"/>
      <color rgb="FFFF0000"/>
      <name val="Aptos Narrow"/>
      <family val="2"/>
      <scheme val="minor"/>
    </font>
    <font>
      <sz val="11"/>
      <color rgb="FF000000"/>
      <name val="Aptos Narrow"/>
      <family val="2"/>
    </font>
    <font>
      <b/>
      <sz val="12"/>
      <color theme="1"/>
      <name val="Aptos Narrow"/>
      <family val="2"/>
      <scheme val="minor"/>
    </font>
    <font>
      <b/>
      <sz val="11"/>
      <color theme="1"/>
      <name val="Segoe UI"/>
      <family val="2"/>
    </font>
    <font>
      <sz val="11"/>
      <color theme="1"/>
      <name val="Segoe UI"/>
      <family val="2"/>
    </font>
    <font>
      <b/>
      <i/>
      <sz val="11"/>
      <color theme="1"/>
      <name val="Aptos Narrow"/>
      <family val="2"/>
      <scheme val="minor"/>
    </font>
    <font>
      <sz val="12"/>
      <color rgb="FF222222"/>
      <name val="Arial"/>
      <family val="2"/>
    </font>
    <font>
      <b/>
      <sz val="12"/>
      <color rgb="FF222222"/>
      <name val="Arial"/>
      <family val="2"/>
    </font>
    <font>
      <b/>
      <sz val="10"/>
      <color rgb="FF222222"/>
      <name val="Arial"/>
      <family val="2"/>
    </font>
    <font>
      <b/>
      <sz val="18"/>
      <color theme="1"/>
      <name val="Aptos Narrow"/>
      <family val="2"/>
      <scheme val="minor"/>
    </font>
    <font>
      <b/>
      <sz val="11"/>
      <color rgb="FF000000"/>
      <name val="Aptos Narrow"/>
      <family val="2"/>
    </font>
    <font>
      <sz val="8"/>
      <name val="Aptos Narrow"/>
      <family val="2"/>
      <scheme val="minor"/>
    </font>
    <font>
      <sz val="11"/>
      <color rgb="FF000000"/>
      <name val="Calibri"/>
      <family val="2"/>
    </font>
    <font>
      <i/>
      <sz val="11"/>
      <color theme="1"/>
      <name val="Aptos Narrow"/>
      <family val="2"/>
      <scheme val="minor"/>
    </font>
    <font>
      <sz val="11"/>
      <name val="Calibri"/>
      <family val="2"/>
    </font>
    <font>
      <b/>
      <sz val="11"/>
      <name val="Calibri"/>
      <family val="2"/>
    </font>
    <font>
      <b/>
      <sz val="11"/>
      <color rgb="FF242424"/>
      <name val="Segoe UI"/>
      <family val="2"/>
    </font>
    <font>
      <b/>
      <sz val="14"/>
      <color theme="1"/>
      <name val="Aptos Narrow"/>
      <family val="2"/>
      <scheme val="minor"/>
    </font>
    <font>
      <b/>
      <sz val="9"/>
      <color indexed="81"/>
      <name val="Tahoma"/>
      <family val="2"/>
    </font>
    <font>
      <sz val="9"/>
      <color indexed="81"/>
      <name val="Tahoma"/>
      <family val="2"/>
    </font>
    <font>
      <b/>
      <u/>
      <sz val="9"/>
      <color theme="1"/>
      <name val="Aptos Narrow"/>
      <family val="2"/>
      <scheme val="minor"/>
    </font>
    <font>
      <i/>
      <sz val="11"/>
      <color rgb="FFFF0000"/>
      <name val="Aptos Narrow"/>
      <family val="2"/>
      <scheme val="minor"/>
    </font>
    <font>
      <sz val="11"/>
      <color theme="1"/>
      <name val="Aptos Display"/>
      <family val="2"/>
      <scheme val="major"/>
    </font>
    <font>
      <b/>
      <sz val="11"/>
      <color theme="1"/>
      <name val="Aptos Display"/>
      <family val="2"/>
      <scheme val="major"/>
    </font>
    <font>
      <b/>
      <sz val="13.5"/>
      <color theme="1"/>
      <name val="Aptos Narrow"/>
      <family val="2"/>
      <scheme val="minor"/>
    </font>
    <font>
      <sz val="16"/>
      <color theme="1"/>
      <name val="Aptos Narrow"/>
      <family val="2"/>
      <scheme val="minor"/>
    </font>
    <font>
      <b/>
      <sz val="10"/>
      <color theme="1"/>
      <name val="Aptos Narrow"/>
      <family val="2"/>
      <scheme val="minor"/>
    </font>
    <font>
      <sz val="10"/>
      <color rgb="FF000000"/>
      <name val="Calibri Light"/>
      <family val="2"/>
    </font>
    <font>
      <b/>
      <sz val="10"/>
      <color rgb="FFFFFFFF"/>
      <name val="Calibri Light"/>
      <family val="2"/>
    </font>
    <font>
      <b/>
      <sz val="10"/>
      <color rgb="FFC00000"/>
      <name val="Calibri Light"/>
      <family val="2"/>
    </font>
    <font>
      <b/>
      <sz val="10"/>
      <color rgb="FFFF0000"/>
      <name val="Calibri Light"/>
      <family val="2"/>
    </font>
    <font>
      <b/>
      <sz val="10"/>
      <color rgb="FF000000"/>
      <name val="Calibri Light"/>
      <family val="2"/>
    </font>
    <font>
      <sz val="10"/>
      <name val="Calibri Light"/>
      <family val="2"/>
    </font>
    <font>
      <b/>
      <sz val="16"/>
      <color theme="1"/>
      <name val="Aptos Narrow"/>
      <family val="2"/>
      <scheme val="minor"/>
    </font>
    <font>
      <sz val="10"/>
      <color theme="1"/>
      <name val="Arial Unicode MS"/>
    </font>
    <font>
      <b/>
      <sz val="10"/>
      <color theme="1"/>
      <name val="Arial Unicode MS"/>
    </font>
    <font>
      <b/>
      <sz val="14"/>
      <color theme="1"/>
      <name val="Segoe UI"/>
      <family val="2"/>
    </font>
    <font>
      <b/>
      <sz val="20"/>
      <color theme="1"/>
      <name val="Segoe UI"/>
      <family val="2"/>
    </font>
    <font>
      <i/>
      <sz val="11"/>
      <color theme="1"/>
      <name val="Segoe UI"/>
      <family val="2"/>
    </font>
    <font>
      <sz val="10"/>
      <color theme="1"/>
      <name val="Calibri Light"/>
      <family val="2"/>
    </font>
    <font>
      <b/>
      <sz val="10"/>
      <name val="Calibri Light"/>
      <family val="2"/>
    </font>
    <font>
      <b/>
      <sz val="10"/>
      <color rgb="FFFFFF00"/>
      <name val="Calibri Light"/>
      <family val="2"/>
    </font>
    <font>
      <b/>
      <sz val="10"/>
      <color theme="1"/>
      <name val="Calibri Light"/>
      <family val="2"/>
    </font>
    <font>
      <b/>
      <sz val="10"/>
      <color theme="0"/>
      <name val="Calibri Light"/>
      <family val="2"/>
    </font>
    <font>
      <b/>
      <sz val="8"/>
      <color rgb="FFFF0000"/>
      <name val="Aptos Display"/>
      <family val="2"/>
      <scheme val="major"/>
    </font>
    <font>
      <b/>
      <sz val="8"/>
      <color rgb="FFFFFF00"/>
      <name val="Aptos Display"/>
      <family val="2"/>
      <scheme val="major"/>
    </font>
    <font>
      <b/>
      <i/>
      <sz val="8"/>
      <name val="Aptos Display"/>
      <family val="2"/>
      <scheme val="major"/>
    </font>
    <font>
      <b/>
      <sz val="8"/>
      <name val="Aptos Display"/>
      <family val="2"/>
      <scheme val="major"/>
    </font>
    <font>
      <sz val="8"/>
      <color theme="1"/>
      <name val="Aptos Display"/>
      <family val="2"/>
      <scheme val="major"/>
    </font>
    <font>
      <sz val="8"/>
      <color theme="0"/>
      <name val="Aptos Display"/>
      <family val="2"/>
      <scheme val="major"/>
    </font>
    <font>
      <b/>
      <i/>
      <sz val="12"/>
      <name val="Aptos Display"/>
      <family val="2"/>
      <scheme val="major"/>
    </font>
    <font>
      <b/>
      <sz val="12"/>
      <name val="Aptos Display"/>
      <family val="2"/>
      <scheme val="major"/>
    </font>
    <font>
      <b/>
      <sz val="8"/>
      <color rgb="FFFFFFFF"/>
      <name val="Aptos Display"/>
      <family val="2"/>
      <scheme val="major"/>
    </font>
    <font>
      <b/>
      <sz val="10"/>
      <color rgb="FF0070C0"/>
      <name val="Calibri Light"/>
      <family val="2"/>
    </font>
    <font>
      <sz val="9"/>
      <color theme="1"/>
      <name val="Calibri Light"/>
      <family val="2"/>
    </font>
    <font>
      <b/>
      <sz val="9"/>
      <color theme="1"/>
      <name val="Calibri Light"/>
      <family val="2"/>
    </font>
    <font>
      <b/>
      <sz val="9"/>
      <color theme="3" tint="0.89999084444715716"/>
      <name val="Calibri Light"/>
      <family val="2"/>
    </font>
    <font>
      <b/>
      <i/>
      <sz val="10"/>
      <name val="Calibri Light"/>
      <family val="2"/>
    </font>
    <font>
      <sz val="10"/>
      <name val="Arial"/>
      <family val="2"/>
    </font>
    <font>
      <sz val="11"/>
      <color rgb="FF000000"/>
      <name val="Aptos Narrow"/>
    </font>
    <font>
      <u/>
      <sz val="11"/>
      <color theme="1"/>
      <name val="Aptos Narrow"/>
      <family val="2"/>
      <scheme val="minor"/>
    </font>
    <font>
      <b/>
      <sz val="11"/>
      <color rgb="FFFF0000"/>
      <name val="Aptos Narrow"/>
      <family val="2"/>
      <scheme val="minor"/>
    </font>
    <font>
      <sz val="9"/>
      <color rgb="FF000000"/>
      <name val="Consolas"/>
      <family val="3"/>
    </font>
    <font>
      <sz val="9"/>
      <color rgb="FFA31515"/>
      <name val="Consolas"/>
      <family val="3"/>
    </font>
    <font>
      <sz val="9"/>
      <color rgb="FF098658"/>
      <name val="Consolas"/>
      <family val="3"/>
    </font>
  </fonts>
  <fills count="46">
    <fill>
      <patternFill patternType="none"/>
    </fill>
    <fill>
      <patternFill patternType="gray125"/>
    </fill>
    <fill>
      <patternFill patternType="solid">
        <fgColor rgb="FFF5F5F5"/>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2F8A2"/>
        <bgColor indexed="64"/>
      </patternFill>
    </fill>
    <fill>
      <patternFill patternType="solid">
        <fgColor rgb="FFF5F6D6"/>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1"/>
        <bgColor indexed="64"/>
      </patternFill>
    </fill>
    <fill>
      <patternFill patternType="solid">
        <fgColor theme="2"/>
        <bgColor indexed="64"/>
      </patternFill>
    </fill>
    <fill>
      <patternFill patternType="solid">
        <fgColor rgb="FFFFC000"/>
        <bgColor indexed="64"/>
      </patternFill>
    </fill>
    <fill>
      <patternFill patternType="solid">
        <fgColor theme="4"/>
        <bgColor indexed="64"/>
      </patternFill>
    </fill>
    <fill>
      <patternFill patternType="solid">
        <fgColor theme="3" tint="0.89999084444715716"/>
        <bgColor indexed="64"/>
      </patternFill>
    </fill>
    <fill>
      <patternFill patternType="solid">
        <fgColor theme="1" tint="0.499984740745262"/>
        <bgColor indexed="64"/>
      </patternFill>
    </fill>
    <fill>
      <patternFill patternType="solid">
        <fgColor rgb="FFFF0000"/>
        <bgColor indexed="64"/>
      </patternFill>
    </fill>
    <fill>
      <patternFill patternType="solid">
        <fgColor theme="9"/>
        <bgColor indexed="64"/>
      </patternFill>
    </fill>
    <fill>
      <patternFill patternType="solid">
        <fgColor rgb="FFFFFF00"/>
        <bgColor indexed="64"/>
      </patternFill>
    </fill>
    <fill>
      <patternFill patternType="solid">
        <fgColor theme="0" tint="-0.249977111117893"/>
        <bgColor indexed="64"/>
      </patternFill>
    </fill>
    <fill>
      <patternFill patternType="solid">
        <fgColor rgb="FFE49EDD"/>
        <bgColor rgb="FF000000"/>
      </patternFill>
    </fill>
    <fill>
      <patternFill patternType="solid">
        <fgColor rgb="FFDAF2D0"/>
        <bgColor rgb="FF000000"/>
      </patternFill>
    </fill>
    <fill>
      <patternFill patternType="solid">
        <fgColor theme="8" tint="0.59999389629810485"/>
        <bgColor indexed="64"/>
      </patternFill>
    </fill>
    <fill>
      <patternFill patternType="solid">
        <fgColor rgb="FF7030A0"/>
        <bgColor indexed="64"/>
      </patternFill>
    </fill>
    <fill>
      <patternFill patternType="solid">
        <fgColor theme="4" tint="-0.249977111117893"/>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rgb="FF3030A1"/>
        <bgColor indexed="64"/>
      </patternFill>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
      <patternFill patternType="solid">
        <fgColor theme="0" tint="-0.34998626667073579"/>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thin">
        <color indexed="64"/>
      </left>
      <right style="thin">
        <color indexed="64"/>
      </right>
      <top/>
      <bottom/>
      <diagonal/>
    </border>
    <border>
      <left style="medium">
        <color rgb="FFE6E6E6"/>
      </left>
      <right style="medium">
        <color rgb="FFE6E6E6"/>
      </right>
      <top style="medium">
        <color rgb="FFE6E6E6"/>
      </top>
      <bottom style="medium">
        <color rgb="FFE6E6E6"/>
      </bottom>
      <diagonal/>
    </border>
    <border>
      <left/>
      <right/>
      <top/>
      <bottom style="medium">
        <color rgb="FF000000"/>
      </bottom>
      <diagonal/>
    </border>
    <border>
      <left/>
      <right style="medium">
        <color indexed="64"/>
      </right>
      <top/>
      <bottom/>
      <diagonal/>
    </border>
    <border>
      <left style="medium">
        <color indexed="64"/>
      </left>
      <right/>
      <top/>
      <bottom/>
      <diagonal/>
    </border>
    <border>
      <left style="thin">
        <color indexed="64"/>
      </left>
      <right/>
      <top/>
      <bottom/>
      <diagonal/>
    </border>
    <border>
      <left style="medium">
        <color rgb="FF808080"/>
      </left>
      <right/>
      <top style="medium">
        <color rgb="FF808080"/>
      </top>
      <bottom style="medium">
        <color rgb="FF808080"/>
      </bottom>
      <diagonal/>
    </border>
    <border>
      <left/>
      <right style="medium">
        <color rgb="FF808080"/>
      </right>
      <top style="medium">
        <color rgb="FF808080"/>
      </top>
      <bottom style="medium">
        <color rgb="FF808080"/>
      </bottom>
      <diagonal/>
    </border>
    <border>
      <left style="thick">
        <color rgb="FFBFBFBF"/>
      </left>
      <right/>
      <top/>
      <bottom/>
      <diagonal/>
    </border>
    <border>
      <left style="medium">
        <color rgb="FF808080"/>
      </left>
      <right/>
      <top/>
      <bottom style="medium">
        <color rgb="FF808080"/>
      </bottom>
      <diagonal/>
    </border>
    <border>
      <left/>
      <right/>
      <top/>
      <bottom style="medium">
        <color rgb="FF808080"/>
      </bottom>
      <diagonal/>
    </border>
    <border>
      <left style="medium">
        <color theme="0" tint="-0.499984740745262"/>
      </left>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ck">
        <color theme="0" tint="-0.24994659260841701"/>
      </left>
      <right/>
      <top/>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style="medium">
        <color theme="2" tint="-0.24994659260841701"/>
      </left>
      <right style="medium">
        <color theme="2" tint="-0.24994659260841701"/>
      </right>
      <top style="medium">
        <color theme="2" tint="-0.24994659260841701"/>
      </top>
      <bottom/>
      <diagonal/>
    </border>
  </borders>
  <cellStyleXfs count="14">
    <xf numFmtId="0" fontId="0" fillId="0" borderId="0"/>
    <xf numFmtId="0" fontId="2" fillId="0" borderId="0" applyNumberFormat="0" applyFill="0" applyBorder="0" applyAlignment="0" applyProtection="0"/>
    <xf numFmtId="9" fontId="5" fillId="0" borderId="0" applyFont="0" applyFill="0" applyBorder="0" applyAlignment="0" applyProtection="0"/>
    <xf numFmtId="0" fontId="6" fillId="0" borderId="0"/>
    <xf numFmtId="0" fontId="12" fillId="0" borderId="0" applyNumberFormat="0" applyFill="0" applyBorder="0" applyAlignment="0" applyProtection="0"/>
    <xf numFmtId="0" fontId="17" fillId="0" borderId="0" applyNumberFormat="0" applyFill="0" applyAlignment="0" applyProtection="0"/>
    <xf numFmtId="0" fontId="7" fillId="0" borderId="0" applyNumberFormat="0" applyFill="0" applyBorder="0" applyAlignment="0" applyProtection="0">
      <alignment vertical="top"/>
      <protection locked="0"/>
    </xf>
    <xf numFmtId="0" fontId="5" fillId="0" borderId="0" applyNumberFormat="0" applyFill="0" applyProtection="0">
      <alignment horizontal="right" indent="1"/>
    </xf>
    <xf numFmtId="164" fontId="5" fillId="0" borderId="2">
      <alignment horizontal="center" vertical="center"/>
    </xf>
    <xf numFmtId="0" fontId="5" fillId="0" borderId="8" applyFill="0">
      <alignment horizontal="center" vertical="center"/>
    </xf>
    <xf numFmtId="0" fontId="5" fillId="0" borderId="8" applyFill="0">
      <alignment horizontal="left" vertical="center" indent="2"/>
    </xf>
    <xf numFmtId="165" fontId="5" fillId="0" borderId="8" applyFill="0">
      <alignment horizontal="center" vertical="center"/>
    </xf>
    <xf numFmtId="0" fontId="2" fillId="0" borderId="0" applyNumberFormat="0" applyFill="0" applyBorder="0" applyAlignment="0" applyProtection="0"/>
    <xf numFmtId="0" fontId="84" fillId="0" borderId="0"/>
  </cellStyleXfs>
  <cellXfs count="351">
    <xf numFmtId="0" fontId="0" fillId="0" borderId="0" xfId="0"/>
    <xf numFmtId="0" fontId="1" fillId="0" borderId="0" xfId="0" applyFont="1"/>
    <xf numFmtId="0" fontId="0" fillId="0" borderId="0" xfId="0"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4" fillId="0" borderId="0" xfId="0" applyFont="1" applyAlignment="1">
      <alignment vertical="center"/>
    </xf>
    <xf numFmtId="0" fontId="0" fillId="0" borderId="0" xfId="0" applyAlignment="1">
      <alignment horizontal="right"/>
    </xf>
    <xf numFmtId="0" fontId="2" fillId="0" borderId="0" xfId="1"/>
    <xf numFmtId="0" fontId="10" fillId="0" borderId="0" xfId="0" applyFont="1"/>
    <xf numFmtId="0" fontId="11" fillId="0" borderId="0" xfId="3" applyFont="1" applyAlignment="1">
      <alignment wrapText="1"/>
    </xf>
    <xf numFmtId="0" fontId="13" fillId="0" borderId="0" xfId="4" applyFont="1" applyAlignment="1">
      <alignment horizontal="left"/>
    </xf>
    <xf numFmtId="0" fontId="14" fillId="0" borderId="0" xfId="0" applyFont="1" applyAlignment="1">
      <alignment horizontal="left"/>
    </xf>
    <xf numFmtId="0" fontId="15" fillId="0" borderId="0" xfId="0" applyFont="1"/>
    <xf numFmtId="0" fontId="15" fillId="0" borderId="0" xfId="0" applyFont="1" applyAlignment="1">
      <alignment horizontal="center"/>
    </xf>
    <xf numFmtId="0" fontId="15" fillId="0" borderId="0" xfId="0" applyFont="1" applyAlignment="1">
      <alignment horizontal="center" vertical="center"/>
    </xf>
    <xf numFmtId="0" fontId="16" fillId="0" borderId="0" xfId="0" applyFont="1"/>
    <xf numFmtId="0" fontId="11" fillId="0" borderId="0" xfId="3" applyFont="1"/>
    <xf numFmtId="0" fontId="10" fillId="0" borderId="0" xfId="5" applyFont="1"/>
    <xf numFmtId="0" fontId="10" fillId="0" borderId="0" xfId="0" applyFont="1" applyAlignment="1">
      <alignment horizontal="center"/>
    </xf>
    <xf numFmtId="0" fontId="18" fillId="0" borderId="0" xfId="6" applyFont="1" applyProtection="1">
      <alignment vertical="top"/>
    </xf>
    <xf numFmtId="0" fontId="19" fillId="0" borderId="0" xfId="0" applyFont="1" applyAlignment="1">
      <alignment horizontal="left" vertical="center" wrapText="1" readingOrder="1"/>
    </xf>
    <xf numFmtId="0" fontId="10" fillId="0" borderId="2" xfId="0" applyFont="1" applyBorder="1" applyAlignment="1">
      <alignment horizontal="center" vertical="center"/>
    </xf>
    <xf numFmtId="0" fontId="10" fillId="0" borderId="4" xfId="0" applyFont="1" applyBorder="1"/>
    <xf numFmtId="167" fontId="15" fillId="5" borderId="5" xfId="0" applyNumberFormat="1" applyFont="1" applyFill="1" applyBorder="1" applyAlignment="1">
      <alignment horizontal="center" vertical="center"/>
    </xf>
    <xf numFmtId="167" fontId="15" fillId="5" borderId="0" xfId="0" applyNumberFormat="1" applyFont="1" applyFill="1" applyAlignment="1">
      <alignment horizontal="center" vertical="center"/>
    </xf>
    <xf numFmtId="167" fontId="15" fillId="5" borderId="6" xfId="0" applyNumberFormat="1" applyFont="1" applyFill="1" applyBorder="1" applyAlignment="1">
      <alignment horizontal="center" vertical="center"/>
    </xf>
    <xf numFmtId="0" fontId="10" fillId="0" borderId="7" xfId="0" applyFont="1" applyBorder="1" applyAlignment="1">
      <alignment vertical="center"/>
    </xf>
    <xf numFmtId="0" fontId="21" fillId="0" borderId="0" xfId="3" applyFont="1" applyAlignment="1">
      <alignment horizontal="center" vertical="center"/>
    </xf>
    <xf numFmtId="0" fontId="10" fillId="6" borderId="8" xfId="9" applyFont="1" applyFill="1">
      <alignment horizontal="center" vertical="center"/>
    </xf>
    <xf numFmtId="9" fontId="15" fillId="6" borderId="8" xfId="2" applyFont="1" applyFill="1" applyBorder="1" applyAlignment="1">
      <alignment horizontal="center" vertical="center"/>
    </xf>
    <xf numFmtId="165" fontId="10" fillId="6" borderId="8" xfId="0" applyNumberFormat="1" applyFont="1" applyFill="1" applyBorder="1" applyAlignment="1">
      <alignment horizontal="center" vertical="center"/>
    </xf>
    <xf numFmtId="165" fontId="15" fillId="6" borderId="8" xfId="0" applyNumberFormat="1" applyFont="1" applyFill="1" applyBorder="1" applyAlignment="1">
      <alignment horizontal="center" vertical="center"/>
    </xf>
    <xf numFmtId="0" fontId="10" fillId="7" borderId="8" xfId="10" applyFont="1" applyFill="1">
      <alignment horizontal="left" vertical="center" indent="2"/>
    </xf>
    <xf numFmtId="0" fontId="10" fillId="7" borderId="8" xfId="9" applyFont="1" applyFill="1">
      <alignment horizontal="center" vertical="center"/>
    </xf>
    <xf numFmtId="9" fontId="15" fillId="7" borderId="8" xfId="2" applyFont="1" applyFill="1" applyBorder="1" applyAlignment="1">
      <alignment horizontal="center" vertical="center"/>
    </xf>
    <xf numFmtId="165" fontId="10" fillId="7" borderId="8" xfId="11" applyFont="1" applyFill="1">
      <alignment horizontal="center" vertical="center"/>
    </xf>
    <xf numFmtId="0" fontId="10" fillId="8" borderId="8" xfId="9" applyFont="1" applyFill="1">
      <alignment horizontal="center" vertical="center"/>
    </xf>
    <xf numFmtId="9" fontId="15" fillId="8" borderId="8" xfId="2" applyFont="1" applyFill="1" applyBorder="1" applyAlignment="1">
      <alignment horizontal="center" vertical="center"/>
    </xf>
    <xf numFmtId="165" fontId="10" fillId="8" borderId="8" xfId="11" applyFont="1" applyFill="1">
      <alignment horizontal="center" vertical="center"/>
    </xf>
    <xf numFmtId="0" fontId="10" fillId="9" borderId="8" xfId="10" applyFont="1" applyFill="1">
      <alignment horizontal="left" vertical="center" indent="2"/>
    </xf>
    <xf numFmtId="0" fontId="10" fillId="9" borderId="8" xfId="9" applyFont="1" applyFill="1">
      <alignment horizontal="center" vertical="center"/>
    </xf>
    <xf numFmtId="9" fontId="15" fillId="9" borderId="8" xfId="2" applyFont="1" applyFill="1" applyBorder="1" applyAlignment="1">
      <alignment horizontal="center" vertical="center"/>
    </xf>
    <xf numFmtId="165" fontId="10" fillId="9" borderId="8" xfId="11" applyFont="1" applyFill="1">
      <alignment horizontal="center" vertical="center"/>
    </xf>
    <xf numFmtId="0" fontId="22" fillId="10" borderId="8" xfId="0" applyFont="1" applyFill="1" applyBorder="1" applyAlignment="1">
      <alignment horizontal="left" vertical="center" indent="1"/>
    </xf>
    <xf numFmtId="165" fontId="10" fillId="10" borderId="8" xfId="0" applyNumberFormat="1" applyFont="1" applyFill="1" applyBorder="1" applyAlignment="1">
      <alignment horizontal="center" vertical="center"/>
    </xf>
    <xf numFmtId="165" fontId="15" fillId="10" borderId="8" xfId="0" applyNumberFormat="1" applyFont="1" applyFill="1" applyBorder="1" applyAlignment="1">
      <alignment horizontal="center" vertical="center"/>
    </xf>
    <xf numFmtId="0" fontId="10" fillId="11" borderId="8" xfId="10" applyFont="1" applyFill="1">
      <alignment horizontal="left" vertical="center" indent="2"/>
    </xf>
    <xf numFmtId="0" fontId="10" fillId="11" borderId="8" xfId="9" applyFont="1" applyFill="1">
      <alignment horizontal="center" vertical="center"/>
    </xf>
    <xf numFmtId="9" fontId="15" fillId="11" borderId="8" xfId="2" applyFont="1" applyFill="1" applyBorder="1" applyAlignment="1">
      <alignment horizontal="center" vertical="center"/>
    </xf>
    <xf numFmtId="165" fontId="10" fillId="11" borderId="8" xfId="11" applyFont="1" applyFill="1">
      <alignment horizontal="center" vertical="center"/>
    </xf>
    <xf numFmtId="0" fontId="21" fillId="0" borderId="0" xfId="3" quotePrefix="1" applyFont="1" applyAlignment="1">
      <alignment horizontal="center" vertical="center"/>
    </xf>
    <xf numFmtId="0" fontId="10" fillId="12" borderId="8" xfId="9" applyFont="1" applyFill="1">
      <alignment horizontal="center" vertical="center"/>
    </xf>
    <xf numFmtId="165" fontId="10" fillId="12" borderId="8" xfId="0" applyNumberFormat="1" applyFont="1" applyFill="1" applyBorder="1" applyAlignment="1">
      <alignment horizontal="center" vertical="center"/>
    </xf>
    <xf numFmtId="165" fontId="15" fillId="12" borderId="8" xfId="0" applyNumberFormat="1" applyFont="1" applyFill="1" applyBorder="1" applyAlignment="1">
      <alignment horizontal="center" vertical="center"/>
    </xf>
    <xf numFmtId="0" fontId="15" fillId="0" borderId="8" xfId="0" applyFont="1" applyBorder="1" applyAlignment="1">
      <alignment horizontal="center" vertical="center"/>
    </xf>
    <xf numFmtId="0" fontId="10" fillId="0" borderId="0" xfId="0" applyFont="1" applyAlignment="1">
      <alignment vertical="center"/>
    </xf>
    <xf numFmtId="0" fontId="10" fillId="13" borderId="8" xfId="10" applyFont="1" applyFill="1">
      <alignment horizontal="left" vertical="center" indent="2"/>
    </xf>
    <xf numFmtId="0" fontId="10" fillId="13" borderId="8" xfId="9" applyFont="1" applyFill="1">
      <alignment horizontal="center" vertical="center"/>
    </xf>
    <xf numFmtId="9" fontId="15" fillId="13" borderId="8" xfId="2" applyFont="1" applyFill="1" applyBorder="1" applyAlignment="1">
      <alignment horizontal="center" vertical="center"/>
    </xf>
    <xf numFmtId="165" fontId="10" fillId="13" borderId="8" xfId="11" applyFont="1" applyFill="1">
      <alignment horizontal="center" vertical="center"/>
    </xf>
    <xf numFmtId="0" fontId="10" fillId="14" borderId="8" xfId="9" applyFont="1" applyFill="1">
      <alignment horizontal="center" vertical="center"/>
    </xf>
    <xf numFmtId="9" fontId="15" fillId="14" borderId="8" xfId="2" applyFont="1" applyFill="1" applyBorder="1" applyAlignment="1">
      <alignment horizontal="center" vertical="center"/>
    </xf>
    <xf numFmtId="165" fontId="10" fillId="14" borderId="8" xfId="11" applyFont="1" applyFill="1">
      <alignment horizontal="center" vertical="center"/>
    </xf>
    <xf numFmtId="0" fontId="10" fillId="15" borderId="8" xfId="10" applyFont="1" applyFill="1">
      <alignment horizontal="left" vertical="center" indent="2"/>
    </xf>
    <xf numFmtId="0" fontId="10" fillId="15" borderId="8" xfId="9" applyFont="1" applyFill="1">
      <alignment horizontal="center" vertical="center"/>
    </xf>
    <xf numFmtId="9" fontId="15" fillId="15" borderId="8" xfId="2" applyFont="1" applyFill="1" applyBorder="1" applyAlignment="1">
      <alignment horizontal="center" vertical="center"/>
    </xf>
    <xf numFmtId="165" fontId="10" fillId="15" borderId="8" xfId="11" applyFont="1" applyFill="1">
      <alignment horizontal="center" vertical="center"/>
    </xf>
    <xf numFmtId="0" fontId="10" fillId="16" borderId="8" xfId="9" applyFont="1" applyFill="1">
      <alignment horizontal="center" vertical="center"/>
    </xf>
    <xf numFmtId="9" fontId="15" fillId="16" borderId="8" xfId="2" applyFont="1" applyFill="1" applyBorder="1" applyAlignment="1">
      <alignment horizontal="center" vertical="center"/>
    </xf>
    <xf numFmtId="165" fontId="10" fillId="16" borderId="8" xfId="11" applyFont="1" applyFill="1">
      <alignment horizontal="center" vertical="center"/>
    </xf>
    <xf numFmtId="0" fontId="10" fillId="17" borderId="8" xfId="10" applyFont="1" applyFill="1">
      <alignment horizontal="left" vertical="center" indent="2"/>
    </xf>
    <xf numFmtId="0" fontId="10" fillId="17" borderId="8" xfId="9" applyFont="1" applyFill="1">
      <alignment horizontal="center" vertical="center"/>
    </xf>
    <xf numFmtId="9" fontId="15" fillId="17" borderId="8" xfId="2" applyFont="1" applyFill="1" applyBorder="1" applyAlignment="1">
      <alignment horizontal="center" vertical="center"/>
    </xf>
    <xf numFmtId="165" fontId="10" fillId="17" borderId="8" xfId="11" applyFont="1" applyFill="1">
      <alignment horizontal="center" vertical="center"/>
    </xf>
    <xf numFmtId="0" fontId="10" fillId="10" borderId="8" xfId="9" applyFont="1" applyFill="1">
      <alignment horizontal="center" vertical="center"/>
    </xf>
    <xf numFmtId="9" fontId="15" fillId="10" borderId="8" xfId="2" applyFont="1" applyFill="1" applyBorder="1" applyAlignment="1">
      <alignment horizontal="center" vertical="center"/>
    </xf>
    <xf numFmtId="165" fontId="10" fillId="10" borderId="8" xfId="11" applyFont="1" applyFill="1">
      <alignment horizontal="center" vertical="center"/>
    </xf>
    <xf numFmtId="0" fontId="10" fillId="18" borderId="8" xfId="9" applyFont="1" applyFill="1">
      <alignment horizontal="center" vertical="center"/>
    </xf>
    <xf numFmtId="9" fontId="15" fillId="18" borderId="8" xfId="2" applyFont="1" applyFill="1" applyBorder="1" applyAlignment="1">
      <alignment horizontal="center" vertical="center"/>
    </xf>
    <xf numFmtId="165" fontId="10" fillId="18" borderId="8" xfId="11" applyFont="1" applyFill="1">
      <alignment horizontal="center" vertical="center"/>
    </xf>
    <xf numFmtId="0" fontId="10" fillId="19" borderId="8" xfId="10" applyFont="1" applyFill="1">
      <alignment horizontal="left" vertical="center" indent="2"/>
    </xf>
    <xf numFmtId="0" fontId="10" fillId="19" borderId="8" xfId="9" applyFont="1" applyFill="1">
      <alignment horizontal="center" vertical="center"/>
    </xf>
    <xf numFmtId="9" fontId="15" fillId="19" borderId="8" xfId="2" applyFont="1" applyFill="1" applyBorder="1" applyAlignment="1">
      <alignment horizontal="center" vertical="center"/>
    </xf>
    <xf numFmtId="165" fontId="10" fillId="19" borderId="8" xfId="11" applyFont="1" applyFill="1">
      <alignment horizontal="center" vertical="center"/>
    </xf>
    <xf numFmtId="0" fontId="10" fillId="20" borderId="8" xfId="9" applyFont="1" applyFill="1">
      <alignment horizontal="center" vertical="center"/>
    </xf>
    <xf numFmtId="9" fontId="15" fillId="20" borderId="8" xfId="2" applyFont="1" applyFill="1" applyBorder="1" applyAlignment="1">
      <alignment horizontal="center" vertical="center"/>
    </xf>
    <xf numFmtId="165" fontId="10" fillId="20" borderId="8" xfId="11" applyFont="1" applyFill="1">
      <alignment horizontal="center" vertical="center"/>
    </xf>
    <xf numFmtId="0" fontId="10" fillId="4" borderId="8" xfId="10" applyFont="1" applyFill="1">
      <alignment horizontal="left" vertical="center" indent="2"/>
    </xf>
    <xf numFmtId="0" fontId="10" fillId="4" borderId="8" xfId="9" applyFont="1" applyFill="1">
      <alignment horizontal="center" vertical="center"/>
    </xf>
    <xf numFmtId="9" fontId="15" fillId="4" borderId="8" xfId="2" applyFont="1" applyFill="1" applyBorder="1" applyAlignment="1">
      <alignment horizontal="center" vertical="center"/>
    </xf>
    <xf numFmtId="165" fontId="10" fillId="4" borderId="8" xfId="11" applyFont="1" applyFill="1">
      <alignment horizontal="center" vertical="center"/>
    </xf>
    <xf numFmtId="0" fontId="22" fillId="21" borderId="8" xfId="10" applyFont="1" applyFill="1" applyAlignment="1">
      <alignment horizontal="left" vertical="center" indent="1"/>
    </xf>
    <xf numFmtId="0" fontId="10" fillId="21" borderId="8" xfId="9" applyFont="1" applyFill="1">
      <alignment horizontal="center" vertical="center"/>
    </xf>
    <xf numFmtId="9" fontId="15" fillId="21" borderId="8" xfId="2" applyFont="1" applyFill="1" applyBorder="1" applyAlignment="1">
      <alignment horizontal="center" vertical="center"/>
    </xf>
    <xf numFmtId="165" fontId="10" fillId="21" borderId="8" xfId="11" applyFont="1" applyFill="1">
      <alignment horizontal="center" vertical="center"/>
    </xf>
    <xf numFmtId="0" fontId="22" fillId="16" borderId="8" xfId="0" applyFont="1" applyFill="1" applyBorder="1" applyAlignment="1">
      <alignment horizontal="left" vertical="center" indent="1"/>
    </xf>
    <xf numFmtId="0" fontId="23" fillId="22" borderId="8" xfId="0" applyFont="1" applyFill="1" applyBorder="1" applyAlignment="1">
      <alignment horizontal="left" vertical="center" indent="1"/>
    </xf>
    <xf numFmtId="0" fontId="23" fillId="22" borderId="8" xfId="0" applyFont="1" applyFill="1" applyBorder="1" applyAlignment="1">
      <alignment horizontal="center" vertical="center"/>
    </xf>
    <xf numFmtId="165" fontId="24" fillId="22" borderId="8" xfId="0" applyNumberFormat="1" applyFont="1" applyFill="1" applyBorder="1" applyAlignment="1">
      <alignment horizontal="left" vertical="center"/>
    </xf>
    <xf numFmtId="165" fontId="15" fillId="22" borderId="8" xfId="0" applyNumberFormat="1" applyFont="1" applyFill="1" applyBorder="1" applyAlignment="1">
      <alignment horizontal="center" vertical="center"/>
    </xf>
    <xf numFmtId="0" fontId="15" fillId="22" borderId="8" xfId="0" applyFont="1" applyFill="1" applyBorder="1" applyAlignment="1">
      <alignment horizontal="center" vertical="center"/>
    </xf>
    <xf numFmtId="0" fontId="10" fillId="22" borderId="7" xfId="0" applyFont="1" applyFill="1" applyBorder="1" applyAlignment="1">
      <alignment vertical="center"/>
    </xf>
    <xf numFmtId="0" fontId="10" fillId="0" borderId="0" xfId="0" applyFont="1" applyAlignment="1">
      <alignment horizontal="right" vertical="center"/>
    </xf>
    <xf numFmtId="0" fontId="8" fillId="0" borderId="0" xfId="6" applyFont="1" applyAlignment="1" applyProtection="1"/>
    <xf numFmtId="0" fontId="9" fillId="0" borderId="0" xfId="6" applyFont="1" applyAlignment="1" applyProtection="1"/>
    <xf numFmtId="0" fontId="27" fillId="0" borderId="0" xfId="0" applyFont="1"/>
    <xf numFmtId="0" fontId="26" fillId="0" borderId="0" xfId="0" applyFont="1"/>
    <xf numFmtId="0" fontId="3" fillId="0" borderId="0" xfId="0" applyFont="1" applyAlignment="1">
      <alignment horizontal="left" vertical="center" indent="2"/>
    </xf>
    <xf numFmtId="2" fontId="0" fillId="0" borderId="0" xfId="0" applyNumberFormat="1"/>
    <xf numFmtId="0" fontId="28" fillId="6" borderId="8" xfId="9" applyFont="1" applyFill="1" applyAlignment="1">
      <alignment horizontal="left" vertical="center"/>
    </xf>
    <xf numFmtId="0" fontId="28" fillId="8" borderId="8" xfId="10" applyFont="1" applyFill="1" applyAlignment="1">
      <alignment horizontal="left" vertical="center" indent="1"/>
    </xf>
    <xf numFmtId="1" fontId="21" fillId="0" borderId="0" xfId="3" quotePrefix="1" applyNumberFormat="1" applyFont="1" applyAlignment="1">
      <alignment horizontal="center" vertical="center"/>
    </xf>
    <xf numFmtId="0" fontId="22" fillId="9" borderId="8" xfId="10" applyFont="1" applyFill="1">
      <alignment horizontal="left" vertical="center" indent="2"/>
    </xf>
    <xf numFmtId="0" fontId="28" fillId="10" borderId="8" xfId="0" applyFont="1" applyFill="1" applyBorder="1" applyAlignment="1">
      <alignment horizontal="left" vertical="center"/>
    </xf>
    <xf numFmtId="0" fontId="22" fillId="11" borderId="8" xfId="10" applyFont="1" applyFill="1">
      <alignment horizontal="left" vertical="center" indent="2"/>
    </xf>
    <xf numFmtId="0" fontId="28" fillId="12" borderId="8" xfId="0" applyFont="1" applyFill="1" applyBorder="1" applyAlignment="1">
      <alignment horizontal="left" vertical="center"/>
    </xf>
    <xf numFmtId="0" fontId="22" fillId="13" borderId="8" xfId="10" applyFont="1" applyFill="1">
      <alignment horizontal="left" vertical="center" indent="2"/>
    </xf>
    <xf numFmtId="0" fontId="28" fillId="14" borderId="8" xfId="10" applyFont="1" applyFill="1" applyAlignment="1">
      <alignment horizontal="left" vertical="center"/>
    </xf>
    <xf numFmtId="0" fontId="28" fillId="16" borderId="8" xfId="10" applyFont="1" applyFill="1" applyAlignment="1">
      <alignment horizontal="left" vertical="center"/>
    </xf>
    <xf numFmtId="0" fontId="28" fillId="10" borderId="8" xfId="10" applyFont="1" applyFill="1" applyAlignment="1">
      <alignment horizontal="left" vertical="center"/>
    </xf>
    <xf numFmtId="0" fontId="28" fillId="18" borderId="8" xfId="10" applyFont="1" applyFill="1" applyAlignment="1">
      <alignment horizontal="left" vertical="center" indent="1"/>
    </xf>
    <xf numFmtId="0" fontId="22" fillId="19" borderId="8" xfId="10" applyFont="1" applyFill="1">
      <alignment horizontal="left" vertical="center" indent="2"/>
    </xf>
    <xf numFmtId="0" fontId="22" fillId="15" borderId="8" xfId="10" applyFont="1" applyFill="1">
      <alignment horizontal="left" vertical="center" indent="2"/>
    </xf>
    <xf numFmtId="0" fontId="22" fillId="17" borderId="8" xfId="10" applyFont="1" applyFill="1">
      <alignment horizontal="left" vertical="center" indent="2"/>
    </xf>
    <xf numFmtId="0" fontId="10" fillId="7" borderId="8" xfId="10" applyFont="1" applyFill="1" applyAlignment="1">
      <alignment horizontal="left" vertical="center" indent="3"/>
    </xf>
    <xf numFmtId="0" fontId="28" fillId="20" borderId="8" xfId="10" applyFont="1" applyFill="1" applyAlignment="1">
      <alignment horizontal="left" vertical="center" indent="1"/>
    </xf>
    <xf numFmtId="0" fontId="22" fillId="7" borderId="8" xfId="10" applyFont="1" applyFill="1">
      <alignment horizontal="left" vertical="center" indent="2"/>
    </xf>
    <xf numFmtId="0" fontId="30" fillId="0" borderId="10" xfId="0" applyFont="1" applyBorder="1" applyAlignment="1">
      <alignment vertical="center" wrapText="1"/>
    </xf>
    <xf numFmtId="0" fontId="1" fillId="24" borderId="0" xfId="0" applyFont="1" applyFill="1"/>
    <xf numFmtId="0" fontId="31" fillId="0" borderId="0" xfId="0" applyFont="1"/>
    <xf numFmtId="0" fontId="29" fillId="2" borderId="10" xfId="0" applyFont="1" applyFill="1" applyBorder="1" applyAlignment="1">
      <alignment horizontal="right" vertical="center" wrapText="1"/>
    </xf>
    <xf numFmtId="0" fontId="0" fillId="24" borderId="0" xfId="0" applyFill="1"/>
    <xf numFmtId="0" fontId="10" fillId="25" borderId="0" xfId="0" applyFont="1" applyFill="1"/>
    <xf numFmtId="167" fontId="15" fillId="25" borderId="5" xfId="0" applyNumberFormat="1" applyFont="1" applyFill="1" applyBorder="1" applyAlignment="1">
      <alignment horizontal="center" vertical="center"/>
    </xf>
    <xf numFmtId="0" fontId="10" fillId="25" borderId="7" xfId="0" applyFont="1" applyFill="1" applyBorder="1" applyAlignment="1">
      <alignment vertical="center"/>
    </xf>
    <xf numFmtId="0" fontId="34" fillId="0" borderId="0" xfId="0" applyFont="1" applyAlignment="1">
      <alignment vertical="center"/>
    </xf>
    <xf numFmtId="0" fontId="32" fillId="0" borderId="0" xfId="0" applyFont="1" applyAlignment="1">
      <alignment vertical="center"/>
    </xf>
    <xf numFmtId="0" fontId="0" fillId="0" borderId="0" xfId="0" applyAlignment="1">
      <alignment horizontal="left" vertical="center"/>
    </xf>
    <xf numFmtId="0" fontId="33" fillId="0" borderId="0" xfId="0" applyFont="1" applyAlignment="1">
      <alignment horizontal="left" vertical="center"/>
    </xf>
    <xf numFmtId="0" fontId="2" fillId="0" borderId="0" xfId="12"/>
    <xf numFmtId="0" fontId="35" fillId="3" borderId="0" xfId="0" applyFont="1" applyFill="1"/>
    <xf numFmtId="0" fontId="0" fillId="3" borderId="0" xfId="0" applyFill="1"/>
    <xf numFmtId="0" fontId="36" fillId="0" borderId="0" xfId="0" applyFont="1"/>
    <xf numFmtId="0" fontId="27" fillId="0" borderId="11" xfId="0" applyFont="1" applyBorder="1"/>
    <xf numFmtId="0" fontId="0" fillId="0" borderId="11" xfId="0" applyBorder="1"/>
    <xf numFmtId="0" fontId="27" fillId="4" borderId="11" xfId="0" applyFont="1" applyFill="1" applyBorder="1"/>
    <xf numFmtId="0" fontId="0" fillId="0" borderId="0" xfId="0" quotePrefix="1"/>
    <xf numFmtId="0" fontId="0" fillId="15" borderId="0" xfId="0" applyFill="1"/>
    <xf numFmtId="0" fontId="0" fillId="4" borderId="0" xfId="0" applyFill="1"/>
    <xf numFmtId="0" fontId="1" fillId="4" borderId="0" xfId="0" applyFont="1" applyFill="1"/>
    <xf numFmtId="0" fontId="0" fillId="0" borderId="0" xfId="0" applyAlignment="1">
      <alignment wrapText="1"/>
    </xf>
    <xf numFmtId="0" fontId="0" fillId="15" borderId="0" xfId="0" applyFill="1" applyAlignment="1">
      <alignment wrapText="1"/>
    </xf>
    <xf numFmtId="0" fontId="0" fillId="11" borderId="13" xfId="0" applyFill="1" applyBorder="1" applyAlignment="1">
      <alignment wrapText="1"/>
    </xf>
    <xf numFmtId="0" fontId="0" fillId="11" borderId="12" xfId="0" applyFill="1" applyBorder="1" applyAlignment="1">
      <alignment wrapText="1"/>
    </xf>
    <xf numFmtId="0" fontId="0" fillId="22" borderId="0" xfId="0" applyFill="1" applyAlignment="1">
      <alignment wrapText="1"/>
    </xf>
    <xf numFmtId="0" fontId="0" fillId="22" borderId="12" xfId="0" applyFill="1" applyBorder="1" applyAlignment="1">
      <alignment wrapText="1"/>
    </xf>
    <xf numFmtId="0" fontId="0" fillId="11" borderId="0" xfId="0" applyFill="1" applyAlignment="1">
      <alignment wrapText="1"/>
    </xf>
    <xf numFmtId="0" fontId="25" fillId="26" borderId="0" xfId="0" applyFont="1" applyFill="1" applyAlignment="1">
      <alignment wrapText="1"/>
    </xf>
    <xf numFmtId="0" fontId="25" fillId="26" borderId="12" xfId="0" applyFont="1" applyFill="1" applyBorder="1" applyAlignment="1">
      <alignment wrapText="1"/>
    </xf>
    <xf numFmtId="0" fontId="0" fillId="4" borderId="0" xfId="0" applyFill="1" applyAlignment="1">
      <alignment wrapText="1"/>
    </xf>
    <xf numFmtId="0" fontId="1" fillId="4" borderId="13" xfId="0" applyFont="1" applyFill="1" applyBorder="1" applyAlignment="1">
      <alignment wrapText="1"/>
    </xf>
    <xf numFmtId="0" fontId="1" fillId="4" borderId="12" xfId="0" applyFont="1" applyFill="1" applyBorder="1" applyAlignment="1">
      <alignment wrapText="1"/>
    </xf>
    <xf numFmtId="0" fontId="1" fillId="15" borderId="12" xfId="0" applyFont="1" applyFill="1" applyBorder="1" applyAlignment="1">
      <alignment wrapText="1"/>
    </xf>
    <xf numFmtId="0" fontId="0" fillId="4" borderId="12" xfId="0" applyFill="1" applyBorder="1" applyAlignment="1">
      <alignment wrapText="1"/>
    </xf>
    <xf numFmtId="0" fontId="0" fillId="9" borderId="0" xfId="0" applyFill="1" applyAlignment="1">
      <alignment wrapText="1"/>
    </xf>
    <xf numFmtId="0" fontId="0" fillId="0" borderId="13" xfId="0" applyBorder="1" applyAlignment="1">
      <alignment wrapText="1"/>
    </xf>
    <xf numFmtId="0" fontId="0" fillId="0" borderId="12" xfId="0" applyBorder="1" applyAlignment="1">
      <alignment wrapText="1"/>
    </xf>
    <xf numFmtId="0" fontId="0" fillId="15" borderId="12" xfId="0" applyFill="1" applyBorder="1" applyAlignment="1">
      <alignment wrapText="1"/>
    </xf>
    <xf numFmtId="0" fontId="1" fillId="4" borderId="12" xfId="0" applyFont="1" applyFill="1" applyBorder="1" applyAlignment="1">
      <alignment horizontal="center"/>
    </xf>
    <xf numFmtId="0" fontId="1" fillId="4" borderId="0" xfId="0" applyFont="1" applyFill="1" applyAlignment="1">
      <alignment wrapText="1"/>
    </xf>
    <xf numFmtId="0" fontId="1" fillId="15" borderId="0" xfId="0" applyFont="1" applyFill="1" applyAlignment="1">
      <alignment wrapText="1"/>
    </xf>
    <xf numFmtId="0" fontId="0" fillId="15" borderId="13" xfId="0" applyFill="1" applyBorder="1" applyAlignment="1">
      <alignment wrapText="1"/>
    </xf>
    <xf numFmtId="0" fontId="1" fillId="4" borderId="12" xfId="0" applyFont="1" applyFill="1" applyBorder="1" applyAlignment="1">
      <alignment horizontal="left"/>
    </xf>
    <xf numFmtId="0" fontId="1" fillId="0" borderId="0" xfId="0" applyFont="1" applyAlignment="1">
      <alignment wrapText="1"/>
    </xf>
    <xf numFmtId="0" fontId="39" fillId="0" borderId="0" xfId="0" quotePrefix="1" applyFont="1"/>
    <xf numFmtId="0" fontId="29" fillId="0" borderId="0" xfId="0" applyFont="1" applyAlignment="1">
      <alignment vertical="center"/>
    </xf>
    <xf numFmtId="0" fontId="1" fillId="0" borderId="0" xfId="0" applyFont="1" applyAlignment="1">
      <alignment horizontal="center"/>
    </xf>
    <xf numFmtId="0" fontId="40" fillId="0" borderId="0" xfId="0" applyFont="1" applyAlignment="1">
      <alignment horizontal="center"/>
    </xf>
    <xf numFmtId="0" fontId="40" fillId="0" borderId="0" xfId="0" applyFont="1" applyAlignment="1">
      <alignment horizontal="left"/>
    </xf>
    <xf numFmtId="0" fontId="0" fillId="27" borderId="0" xfId="0" applyFill="1" applyAlignment="1">
      <alignment horizontal="center" vertical="center"/>
    </xf>
    <xf numFmtId="0" fontId="41" fillId="0" borderId="0" xfId="0" applyFont="1"/>
    <xf numFmtId="0" fontId="0" fillId="15" borderId="14" xfId="0" applyFill="1" applyBorder="1" applyAlignment="1">
      <alignment wrapText="1"/>
    </xf>
    <xf numFmtId="0" fontId="0" fillId="4" borderId="14" xfId="0" applyFill="1" applyBorder="1" applyAlignment="1">
      <alignment wrapText="1"/>
    </xf>
    <xf numFmtId="0" fontId="0" fillId="9" borderId="14" xfId="0" applyFill="1" applyBorder="1" applyAlignment="1">
      <alignment wrapText="1"/>
    </xf>
    <xf numFmtId="0" fontId="0" fillId="0" borderId="14" xfId="0" applyBorder="1" applyAlignment="1">
      <alignment wrapText="1"/>
    </xf>
    <xf numFmtId="0" fontId="1" fillId="4" borderId="1" xfId="0" applyFont="1" applyFill="1" applyBorder="1" applyAlignment="1">
      <alignment wrapText="1"/>
    </xf>
    <xf numFmtId="0" fontId="1" fillId="5" borderId="0" xfId="0" applyFont="1" applyFill="1"/>
    <xf numFmtId="4" fontId="1" fillId="5" borderId="0" xfId="0" applyNumberFormat="1" applyFont="1" applyFill="1"/>
    <xf numFmtId="3" fontId="1" fillId="5" borderId="0" xfId="0" applyNumberFormat="1" applyFont="1" applyFill="1"/>
    <xf numFmtId="4" fontId="0" fillId="0" borderId="0" xfId="0" applyNumberFormat="1"/>
    <xf numFmtId="3" fontId="0" fillId="0" borderId="0" xfId="0" applyNumberFormat="1"/>
    <xf numFmtId="0" fontId="1" fillId="15" borderId="0" xfId="0" applyFont="1" applyFill="1"/>
    <xf numFmtId="4" fontId="1" fillId="15" borderId="0" xfId="0" applyNumberFormat="1" applyFont="1" applyFill="1"/>
    <xf numFmtId="4" fontId="0" fillId="15" borderId="0" xfId="0" applyNumberFormat="1" applyFill="1"/>
    <xf numFmtId="0" fontId="0" fillId="28" borderId="0" xfId="0" applyFill="1"/>
    <xf numFmtId="0" fontId="0" fillId="29" borderId="0" xfId="0" applyFill="1"/>
    <xf numFmtId="0" fontId="0" fillId="0" borderId="0" xfId="0" applyAlignment="1">
      <alignment horizontal="left"/>
    </xf>
    <xf numFmtId="0" fontId="0" fillId="11" borderId="13" xfId="0" applyFill="1" applyBorder="1" applyAlignment="1">
      <alignment horizontal="left" wrapText="1"/>
    </xf>
    <xf numFmtId="0" fontId="0" fillId="0" borderId="13" xfId="0" applyBorder="1" applyAlignment="1">
      <alignment horizontal="left" wrapText="1"/>
    </xf>
    <xf numFmtId="0" fontId="1" fillId="4" borderId="13" xfId="0" applyFont="1" applyFill="1" applyBorder="1" applyAlignment="1">
      <alignment horizontal="left" wrapText="1"/>
    </xf>
    <xf numFmtId="0" fontId="0" fillId="15" borderId="13" xfId="0" applyFill="1" applyBorder="1" applyAlignment="1">
      <alignment horizontal="left" wrapText="1"/>
    </xf>
    <xf numFmtId="0" fontId="0" fillId="9" borderId="12" xfId="0" applyFill="1" applyBorder="1" applyAlignment="1">
      <alignment wrapText="1"/>
    </xf>
    <xf numFmtId="0" fontId="0" fillId="30" borderId="0" xfId="0" applyFill="1"/>
    <xf numFmtId="0" fontId="28" fillId="0" borderId="0" xfId="0" applyFont="1" applyAlignment="1">
      <alignment horizontal="center" vertical="center" wrapText="1"/>
    </xf>
    <xf numFmtId="0" fontId="28" fillId="0" borderId="0" xfId="0" applyFont="1" applyAlignment="1">
      <alignment horizontal="center" wrapText="1"/>
    </xf>
    <xf numFmtId="0" fontId="46" fillId="7" borderId="8" xfId="10" applyFont="1" applyFill="1" applyAlignment="1">
      <alignment horizontal="left" vertical="center" indent="3"/>
    </xf>
    <xf numFmtId="0" fontId="0" fillId="31" borderId="0" xfId="0" applyFill="1"/>
    <xf numFmtId="0" fontId="1" fillId="17" borderId="0" xfId="0" applyFont="1" applyFill="1"/>
    <xf numFmtId="0" fontId="0" fillId="17" borderId="0" xfId="0" applyFill="1"/>
    <xf numFmtId="0" fontId="27" fillId="0" borderId="0" xfId="0" applyFont="1" applyAlignment="1">
      <alignment horizontal="left" indent="1"/>
    </xf>
    <xf numFmtId="0" fontId="0" fillId="0" borderId="0" xfId="0" applyAlignment="1">
      <alignment horizontal="left" indent="1"/>
    </xf>
    <xf numFmtId="0" fontId="47" fillId="0" borderId="0" xfId="0" applyFont="1" applyAlignment="1">
      <alignment horizontal="right"/>
    </xf>
    <xf numFmtId="0" fontId="0" fillId="0" borderId="14" xfId="0" applyBorder="1"/>
    <xf numFmtId="0" fontId="0" fillId="0" borderId="9" xfId="0" applyBorder="1" applyAlignment="1">
      <alignment wrapText="1"/>
    </xf>
    <xf numFmtId="0" fontId="0" fillId="22" borderId="13" xfId="0" applyFill="1" applyBorder="1" applyAlignment="1">
      <alignment wrapText="1"/>
    </xf>
    <xf numFmtId="0" fontId="25" fillId="26" borderId="13" xfId="0" applyFont="1" applyFill="1" applyBorder="1" applyAlignment="1">
      <alignment wrapText="1"/>
    </xf>
    <xf numFmtId="0" fontId="0" fillId="0" borderId="0" xfId="0" quotePrefix="1" applyAlignment="1">
      <alignment horizontal="left" wrapText="1"/>
    </xf>
    <xf numFmtId="0" fontId="48" fillId="0" borderId="0" xfId="0" quotePrefix="1" applyFont="1" applyAlignment="1">
      <alignment vertical="center" wrapText="1"/>
    </xf>
    <xf numFmtId="0" fontId="0" fillId="0" borderId="14" xfId="0" applyBorder="1" applyAlignment="1">
      <alignment horizontal="left" wrapText="1"/>
    </xf>
    <xf numFmtId="0" fontId="0" fillId="0" borderId="14" xfId="0" applyBorder="1" applyAlignment="1">
      <alignment horizontal="left"/>
    </xf>
    <xf numFmtId="21" fontId="0" fillId="0" borderId="0" xfId="0" applyNumberFormat="1"/>
    <xf numFmtId="0" fontId="0" fillId="32" borderId="0" xfId="0" applyFill="1"/>
    <xf numFmtId="0" fontId="50" fillId="0" borderId="0" xfId="0" applyFont="1" applyAlignment="1">
      <alignment vertical="center"/>
    </xf>
    <xf numFmtId="0" fontId="1" fillId="0" borderId="0" xfId="0" applyFont="1" applyAlignment="1">
      <alignment horizontal="left" vertical="center" indent="1"/>
    </xf>
    <xf numFmtId="0" fontId="51" fillId="24" borderId="0" xfId="0" applyFont="1" applyFill="1"/>
    <xf numFmtId="0" fontId="1" fillId="0" borderId="0" xfId="0" applyFont="1" applyAlignment="1">
      <alignment vertical="center"/>
    </xf>
    <xf numFmtId="0" fontId="1" fillId="0" borderId="0" xfId="0" quotePrefix="1" applyFont="1" applyAlignment="1">
      <alignment vertical="center"/>
    </xf>
    <xf numFmtId="0" fontId="52" fillId="0" borderId="14" xfId="0" applyFont="1" applyBorder="1" applyAlignment="1">
      <alignment horizontal="left" vertical="center"/>
    </xf>
    <xf numFmtId="0" fontId="0" fillId="11" borderId="0" xfId="0" applyFill="1" applyAlignment="1">
      <alignment horizontal="center"/>
    </xf>
    <xf numFmtId="0" fontId="57" fillId="0" borderId="0" xfId="0" applyFont="1" applyAlignment="1">
      <alignment horizontal="center"/>
    </xf>
    <xf numFmtId="0" fontId="53" fillId="0" borderId="0" xfId="0" applyFont="1" applyAlignment="1">
      <alignment vertical="center"/>
    </xf>
    <xf numFmtId="0" fontId="57" fillId="24" borderId="0" xfId="0" applyFont="1" applyFill="1" applyAlignment="1">
      <alignment horizontal="center"/>
    </xf>
    <xf numFmtId="0" fontId="57" fillId="11" borderId="0" xfId="0" applyFont="1" applyFill="1" applyAlignment="1">
      <alignment horizontal="center"/>
    </xf>
    <xf numFmtId="0" fontId="58" fillId="0" borderId="17" xfId="0" applyFont="1" applyBorder="1" applyAlignment="1">
      <alignment vertical="center"/>
    </xf>
    <xf numFmtId="0" fontId="58" fillId="0" borderId="0" xfId="0" applyFont="1"/>
    <xf numFmtId="0" fontId="23" fillId="24" borderId="0" xfId="0" applyFont="1" applyFill="1"/>
    <xf numFmtId="0" fontId="55" fillId="34" borderId="0" xfId="0" applyFont="1" applyFill="1"/>
    <xf numFmtId="0" fontId="30" fillId="0" borderId="0" xfId="0" applyFont="1" applyAlignment="1">
      <alignment vertical="center"/>
    </xf>
    <xf numFmtId="0" fontId="60" fillId="0" borderId="0" xfId="0" applyFont="1" applyAlignment="1">
      <alignment vertical="center"/>
    </xf>
    <xf numFmtId="0" fontId="61" fillId="0" borderId="0" xfId="0" applyFont="1" applyAlignment="1">
      <alignment vertical="center"/>
    </xf>
    <xf numFmtId="0" fontId="29" fillId="0" borderId="0" xfId="0" applyFont="1" applyAlignment="1">
      <alignment horizontal="left" vertical="center" indent="1"/>
    </xf>
    <xf numFmtId="0" fontId="30" fillId="0" borderId="0" xfId="0" applyFont="1" applyAlignment="1">
      <alignment horizontal="left" vertical="center" indent="2"/>
    </xf>
    <xf numFmtId="0" fontId="62" fillId="0" borderId="0" xfId="0" applyFont="1" applyAlignment="1">
      <alignment horizontal="center" vertical="center"/>
    </xf>
    <xf numFmtId="0" fontId="17" fillId="0" borderId="0" xfId="0" applyFont="1" applyAlignment="1">
      <alignment horizontal="center"/>
    </xf>
    <xf numFmtId="0" fontId="63" fillId="0" borderId="0" xfId="0" applyFont="1" applyAlignment="1">
      <alignment vertical="center"/>
    </xf>
    <xf numFmtId="0" fontId="60" fillId="15" borderId="0" xfId="0" applyFont="1" applyFill="1" applyAlignment="1">
      <alignment vertical="center"/>
    </xf>
    <xf numFmtId="0" fontId="60" fillId="15" borderId="0" xfId="0" quotePrefix="1" applyFont="1" applyFill="1" applyAlignment="1">
      <alignment vertical="center"/>
    </xf>
    <xf numFmtId="0" fontId="36" fillId="32" borderId="0" xfId="0" applyFont="1" applyFill="1"/>
    <xf numFmtId="0" fontId="56" fillId="0" borderId="15" xfId="0" applyFont="1" applyBorder="1" applyAlignment="1">
      <alignment horizontal="center"/>
    </xf>
    <xf numFmtId="0" fontId="56" fillId="0" borderId="16" xfId="0" applyFont="1" applyBorder="1" applyAlignment="1">
      <alignment horizontal="center"/>
    </xf>
    <xf numFmtId="0" fontId="52" fillId="4" borderId="14" xfId="0" applyFont="1" applyFill="1" applyBorder="1" applyAlignment="1">
      <alignment horizontal="left" vertical="center"/>
    </xf>
    <xf numFmtId="0" fontId="59" fillId="24" borderId="0" xfId="0" applyFont="1" applyFill="1" applyAlignment="1">
      <alignment vertical="center"/>
    </xf>
    <xf numFmtId="0" fontId="54" fillId="33" borderId="0" xfId="0" applyFont="1" applyFill="1" applyAlignment="1">
      <alignment vertical="center" wrapText="1"/>
    </xf>
    <xf numFmtId="0" fontId="65" fillId="0" borderId="0" xfId="0" applyFont="1" applyAlignment="1">
      <alignment horizontal="center"/>
    </xf>
    <xf numFmtId="0" fontId="65" fillId="0" borderId="0" xfId="0" applyFont="1"/>
    <xf numFmtId="0" fontId="67" fillId="23" borderId="0" xfId="0" applyFont="1" applyFill="1" applyAlignment="1">
      <alignment horizontal="center"/>
    </xf>
    <xf numFmtId="0" fontId="68" fillId="0" borderId="0" xfId="0" applyFont="1" applyAlignment="1">
      <alignment horizontal="center"/>
    </xf>
    <xf numFmtId="0" fontId="65" fillId="0" borderId="0" xfId="0" applyFont="1" applyAlignment="1">
      <alignment vertical="center"/>
    </xf>
    <xf numFmtId="0" fontId="69" fillId="37" borderId="0" xfId="0" applyFont="1" applyFill="1" applyAlignment="1">
      <alignment horizontal="center" vertical="center"/>
    </xf>
    <xf numFmtId="168" fontId="65" fillId="0" borderId="0" xfId="0" applyNumberFormat="1" applyFont="1" applyAlignment="1">
      <alignment vertical="center"/>
    </xf>
    <xf numFmtId="168" fontId="71" fillId="0" borderId="0" xfId="0" applyNumberFormat="1" applyFont="1" applyAlignment="1">
      <alignment vertical="center"/>
    </xf>
    <xf numFmtId="168" fontId="71" fillId="0" borderId="0" xfId="0" applyNumberFormat="1" applyFont="1" applyAlignment="1">
      <alignment horizontal="center" vertical="center"/>
    </xf>
    <xf numFmtId="0" fontId="74" fillId="0" borderId="0" xfId="0" applyFont="1"/>
    <xf numFmtId="0" fontId="75" fillId="0" borderId="0" xfId="0" applyFont="1" applyAlignment="1">
      <alignment vertical="center" wrapText="1"/>
    </xf>
    <xf numFmtId="168" fontId="76" fillId="39" borderId="0" xfId="0" applyNumberFormat="1" applyFont="1" applyFill="1" applyAlignment="1">
      <alignment horizontal="center" vertical="center" wrapText="1"/>
    </xf>
    <xf numFmtId="168" fontId="77" fillId="14" borderId="0" xfId="0" applyNumberFormat="1" applyFont="1" applyFill="1" applyAlignment="1">
      <alignment horizontal="center" vertical="center" wrapText="1"/>
    </xf>
    <xf numFmtId="168" fontId="77" fillId="20" borderId="0" xfId="0" applyNumberFormat="1" applyFont="1" applyFill="1" applyAlignment="1">
      <alignment horizontal="center" vertical="center" wrapText="1"/>
    </xf>
    <xf numFmtId="168" fontId="77" fillId="10" borderId="0" xfId="0" applyNumberFormat="1" applyFont="1" applyFill="1" applyAlignment="1">
      <alignment horizontal="center" vertical="center"/>
    </xf>
    <xf numFmtId="0" fontId="78" fillId="0" borderId="0" xfId="0" applyFont="1" applyAlignment="1">
      <alignment horizontal="center"/>
    </xf>
    <xf numFmtId="168" fontId="79" fillId="0" borderId="0" xfId="0" applyNumberFormat="1" applyFont="1"/>
    <xf numFmtId="0" fontId="80" fillId="0" borderId="0" xfId="0" applyFont="1"/>
    <xf numFmtId="0" fontId="81" fillId="0" borderId="0" xfId="0" applyFont="1" applyAlignment="1">
      <alignment horizontal="center"/>
    </xf>
    <xf numFmtId="0" fontId="82" fillId="40" borderId="27" xfId="0" applyFont="1" applyFill="1" applyBorder="1" applyAlignment="1">
      <alignment horizontal="center" vertical="center"/>
    </xf>
    <xf numFmtId="0" fontId="82" fillId="40" borderId="27" xfId="0" applyFont="1" applyFill="1" applyBorder="1" applyAlignment="1">
      <alignment horizontal="center"/>
    </xf>
    <xf numFmtId="168" fontId="68" fillId="0" borderId="27" xfId="0" applyNumberFormat="1" applyFont="1" applyBorder="1" applyAlignment="1">
      <alignment vertical="center" wrapText="1"/>
    </xf>
    <xf numFmtId="168" fontId="68" fillId="0" borderId="27" xfId="0" applyNumberFormat="1" applyFont="1" applyBorder="1" applyAlignment="1">
      <alignment wrapText="1"/>
    </xf>
    <xf numFmtId="168" fontId="68" fillId="0" borderId="27" xfId="0" applyNumberFormat="1" applyFont="1" applyBorder="1" applyAlignment="1">
      <alignment vertical="center"/>
    </xf>
    <xf numFmtId="168" fontId="67" fillId="0" borderId="0" xfId="0" applyNumberFormat="1" applyFont="1" applyAlignment="1">
      <alignment horizontal="center" vertical="center"/>
    </xf>
    <xf numFmtId="0" fontId="67" fillId="23" borderId="0" xfId="0" applyFont="1" applyFill="1" applyAlignment="1">
      <alignment horizontal="center" vertical="center" wrapText="1"/>
    </xf>
    <xf numFmtId="168" fontId="83" fillId="39" borderId="0" xfId="13" applyNumberFormat="1" applyFont="1" applyFill="1" applyAlignment="1">
      <alignment horizontal="center" vertical="center" wrapText="1"/>
    </xf>
    <xf numFmtId="168" fontId="66" fillId="14" borderId="0" xfId="13" applyNumberFormat="1" applyFont="1" applyFill="1" applyAlignment="1">
      <alignment horizontal="center" vertical="center" wrapText="1"/>
    </xf>
    <xf numFmtId="168" fontId="66" fillId="20" borderId="0" xfId="13" applyNumberFormat="1" applyFont="1" applyFill="1" applyAlignment="1">
      <alignment horizontal="center" vertical="center" wrapText="1"/>
    </xf>
    <xf numFmtId="168" fontId="66" fillId="10" borderId="0" xfId="13" applyNumberFormat="1" applyFont="1" applyFill="1" applyAlignment="1">
      <alignment horizontal="center" vertical="center" wrapText="1"/>
    </xf>
    <xf numFmtId="168" fontId="66" fillId="10" borderId="0" xfId="13" applyNumberFormat="1" applyFont="1" applyFill="1" applyAlignment="1">
      <alignment horizontal="center" vertical="center"/>
    </xf>
    <xf numFmtId="22" fontId="0" fillId="0" borderId="0" xfId="0" applyNumberFormat="1"/>
    <xf numFmtId="49" fontId="0" fillId="0" borderId="0" xfId="0" applyNumberFormat="1"/>
    <xf numFmtId="49" fontId="0" fillId="0" borderId="0" xfId="0" applyNumberFormat="1" applyAlignment="1">
      <alignment wrapText="1"/>
    </xf>
    <xf numFmtId="0" fontId="41" fillId="42" borderId="0" xfId="0" applyFont="1" applyFill="1" applyAlignment="1">
      <alignment vertical="top" wrapText="1"/>
    </xf>
    <xf numFmtId="0" fontId="38" fillId="43" borderId="0" xfId="0" applyFont="1" applyFill="1" applyAlignment="1">
      <alignment vertical="top" wrapText="1"/>
    </xf>
    <xf numFmtId="0" fontId="38" fillId="44" borderId="0" xfId="0" applyFont="1" applyFill="1" applyAlignment="1">
      <alignment vertical="top" wrapText="1"/>
    </xf>
    <xf numFmtId="14" fontId="0" fillId="0" borderId="0" xfId="0" applyNumberFormat="1"/>
    <xf numFmtId="169" fontId="0" fillId="0" borderId="0" xfId="0" applyNumberFormat="1"/>
    <xf numFmtId="0" fontId="54" fillId="0" borderId="0" xfId="0" applyFont="1" applyAlignment="1">
      <alignment horizontal="center"/>
    </xf>
    <xf numFmtId="168" fontId="0" fillId="0" borderId="0" xfId="0" applyNumberFormat="1"/>
    <xf numFmtId="0" fontId="85" fillId="0" borderId="0" xfId="0" applyFont="1"/>
    <xf numFmtId="0" fontId="0" fillId="45" borderId="0" xfId="0" applyFill="1"/>
    <xf numFmtId="0" fontId="86" fillId="0" borderId="0" xfId="0" applyFont="1" applyAlignment="1">
      <alignment horizontal="left" indent="1"/>
    </xf>
    <xf numFmtId="0" fontId="1" fillId="0" borderId="0" xfId="0" applyFont="1" applyAlignment="1">
      <alignment horizontal="left"/>
    </xf>
    <xf numFmtId="0" fontId="87" fillId="0" borderId="0" xfId="0" applyFont="1"/>
    <xf numFmtId="0" fontId="89" fillId="0" borderId="0" xfId="0" applyFont="1" applyAlignment="1">
      <alignment vertical="center"/>
    </xf>
    <xf numFmtId="166" fontId="20" fillId="5" borderId="3" xfId="0" applyNumberFormat="1" applyFont="1" applyFill="1" applyBorder="1" applyAlignment="1">
      <alignment horizontal="left" vertical="center" wrapText="1" indent="1"/>
    </xf>
    <xf numFmtId="0" fontId="10" fillId="0" borderId="0" xfId="7" applyFont="1">
      <alignment horizontal="right" indent="1"/>
    </xf>
    <xf numFmtId="165" fontId="10" fillId="0" borderId="2" xfId="8" applyNumberFormat="1" applyFont="1">
      <alignment horizontal="center" vertical="center"/>
    </xf>
    <xf numFmtId="0" fontId="42" fillId="24" borderId="0" xfId="0" applyFont="1" applyFill="1" applyAlignment="1">
      <alignment horizontal="center"/>
    </xf>
    <xf numFmtId="0" fontId="1" fillId="22" borderId="0" xfId="0" quotePrefix="1" applyFont="1" applyFill="1" applyAlignment="1">
      <alignment horizontal="center"/>
    </xf>
    <xf numFmtId="0" fontId="43" fillId="0" borderId="0" xfId="0" applyFont="1" applyAlignment="1">
      <alignment horizontal="center" wrapText="1"/>
    </xf>
    <xf numFmtId="0" fontId="0" fillId="24" borderId="0" xfId="0" quotePrefix="1" applyFill="1" applyAlignment="1">
      <alignment horizontal="center" wrapText="1"/>
    </xf>
    <xf numFmtId="0" fontId="1" fillId="3" borderId="0" xfId="0" applyFont="1" applyFill="1" applyAlignment="1">
      <alignment horizontal="center"/>
    </xf>
    <xf numFmtId="0" fontId="63" fillId="0" borderId="0" xfId="0" applyFont="1" applyAlignment="1">
      <alignment horizontal="center" vertical="center"/>
    </xf>
    <xf numFmtId="0" fontId="1" fillId="5" borderId="0" xfId="0" applyFont="1" applyFill="1" applyAlignment="1">
      <alignment horizontal="center"/>
    </xf>
    <xf numFmtId="0" fontId="56" fillId="0" borderId="15" xfId="0" applyFont="1" applyBorder="1" applyAlignment="1">
      <alignment horizontal="center"/>
    </xf>
    <xf numFmtId="0" fontId="56" fillId="0" borderId="16" xfId="0" applyFont="1" applyBorder="1" applyAlignment="1">
      <alignment horizontal="center"/>
    </xf>
    <xf numFmtId="0" fontId="54" fillId="33" borderId="18" xfId="0" applyFont="1" applyFill="1" applyBorder="1" applyAlignment="1">
      <alignment horizontal="center" vertical="center" wrapText="1"/>
    </xf>
    <xf numFmtId="0" fontId="54" fillId="33" borderId="19" xfId="0" applyFont="1" applyFill="1" applyBorder="1" applyAlignment="1">
      <alignment horizontal="center" vertical="center" wrapText="1"/>
    </xf>
    <xf numFmtId="0" fontId="69" fillId="37" borderId="26" xfId="0" applyFont="1" applyFill="1" applyBorder="1" applyAlignment="1">
      <alignment horizontal="center" vertical="center"/>
    </xf>
    <xf numFmtId="0" fontId="69" fillId="37" borderId="0" xfId="0" applyFont="1" applyFill="1" applyAlignment="1">
      <alignment horizontal="center" vertical="center"/>
    </xf>
    <xf numFmtId="0" fontId="56" fillId="0" borderId="21" xfId="0" applyFont="1" applyBorder="1" applyAlignment="1">
      <alignment horizontal="center"/>
    </xf>
    <xf numFmtId="0" fontId="67" fillId="23" borderId="0" xfId="0" applyFont="1" applyFill="1" applyAlignment="1">
      <alignment horizontal="center"/>
    </xf>
    <xf numFmtId="0" fontId="83" fillId="39" borderId="0" xfId="0" applyFont="1" applyFill="1" applyAlignment="1">
      <alignment horizontal="center" vertical="center" wrapText="1"/>
    </xf>
    <xf numFmtId="0" fontId="66" fillId="14" borderId="0" xfId="0" applyFont="1" applyFill="1" applyAlignment="1">
      <alignment horizontal="center" vertical="center" wrapText="1"/>
    </xf>
    <xf numFmtId="0" fontId="66" fillId="20" borderId="0" xfId="0" applyFont="1" applyFill="1" applyAlignment="1">
      <alignment horizontal="center" vertical="center" wrapText="1"/>
    </xf>
    <xf numFmtId="0" fontId="66" fillId="10" borderId="0" xfId="0" applyFont="1" applyFill="1" applyAlignment="1">
      <alignment horizontal="center" vertical="center" wrapText="1"/>
    </xf>
    <xf numFmtId="0" fontId="54" fillId="35" borderId="20" xfId="0" applyFont="1" applyFill="1" applyBorder="1" applyAlignment="1">
      <alignment horizontal="center" vertical="center" wrapText="1"/>
    </xf>
    <xf numFmtId="0" fontId="54" fillId="35" borderId="0" xfId="0" applyFont="1" applyFill="1" applyAlignment="1">
      <alignment horizontal="center" vertical="center" wrapText="1"/>
    </xf>
    <xf numFmtId="0" fontId="55" fillId="4" borderId="0" xfId="0" applyFont="1" applyFill="1" applyAlignment="1">
      <alignment horizontal="center"/>
    </xf>
    <xf numFmtId="0" fontId="54" fillId="36" borderId="28" xfId="0" applyFont="1" applyFill="1" applyBorder="1" applyAlignment="1">
      <alignment horizontal="center" vertical="center" wrapText="1"/>
    </xf>
    <xf numFmtId="168" fontId="68" fillId="0" borderId="28" xfId="0" applyNumberFormat="1" applyFont="1" applyBorder="1" applyAlignment="1">
      <alignment horizontal="center" vertical="center"/>
    </xf>
    <xf numFmtId="0" fontId="54" fillId="41" borderId="28" xfId="0" applyFont="1" applyFill="1" applyBorder="1" applyAlignment="1">
      <alignment horizontal="center" vertical="center" wrapText="1"/>
    </xf>
    <xf numFmtId="168" fontId="68" fillId="0" borderId="21" xfId="0" applyNumberFormat="1" applyFont="1" applyBorder="1" applyAlignment="1">
      <alignment horizontal="center"/>
    </xf>
    <xf numFmtId="0" fontId="68" fillId="0" borderId="21" xfId="0" applyFont="1" applyBorder="1" applyAlignment="1">
      <alignment horizontal="center"/>
    </xf>
    <xf numFmtId="0" fontId="71" fillId="23" borderId="0" xfId="0" applyFont="1" applyFill="1" applyAlignment="1">
      <alignment horizontal="center" vertical="center" wrapText="1"/>
    </xf>
    <xf numFmtId="168" fontId="66" fillId="0" borderId="21" xfId="0" applyNumberFormat="1" applyFont="1" applyBorder="1" applyAlignment="1">
      <alignment horizontal="center"/>
    </xf>
    <xf numFmtId="168" fontId="66" fillId="0" borderId="24" xfId="0" applyNumberFormat="1" applyFont="1" applyBorder="1" applyAlignment="1">
      <alignment horizontal="center"/>
    </xf>
    <xf numFmtId="168" fontId="66" fillId="0" borderId="25" xfId="0" applyNumberFormat="1" applyFont="1" applyBorder="1" applyAlignment="1">
      <alignment horizontal="center"/>
    </xf>
    <xf numFmtId="168" fontId="66" fillId="38" borderId="21" xfId="0" applyNumberFormat="1" applyFont="1" applyFill="1" applyBorder="1" applyAlignment="1">
      <alignment horizontal="center" vertical="center"/>
    </xf>
    <xf numFmtId="0" fontId="70" fillId="0" borderId="0" xfId="0" applyFont="1" applyAlignment="1">
      <alignment horizontal="center"/>
    </xf>
    <xf numFmtId="0" fontId="72" fillId="39" borderId="0" xfId="0" applyFont="1" applyFill="1" applyAlignment="1">
      <alignment horizontal="center" vertical="center" wrapText="1"/>
    </xf>
    <xf numFmtId="0" fontId="73" fillId="14" borderId="0" xfId="0" applyFont="1" applyFill="1" applyAlignment="1">
      <alignment horizontal="center" vertical="center" wrapText="1"/>
    </xf>
    <xf numFmtId="0" fontId="73" fillId="20" borderId="0" xfId="0" applyFont="1" applyFill="1" applyAlignment="1">
      <alignment horizontal="center" vertical="center" wrapText="1"/>
    </xf>
    <xf numFmtId="0" fontId="73" fillId="10" borderId="0" xfId="0" applyFont="1" applyFill="1" applyAlignment="1">
      <alignment horizontal="center" vertical="center" wrapText="1"/>
    </xf>
    <xf numFmtId="168" fontId="66" fillId="38" borderId="24" xfId="0" applyNumberFormat="1" applyFont="1" applyFill="1" applyBorder="1" applyAlignment="1">
      <alignment horizontal="center" vertical="center"/>
    </xf>
    <xf numFmtId="168" fontId="66" fillId="38" borderId="25" xfId="0" applyNumberFormat="1" applyFont="1" applyFill="1" applyBorder="1" applyAlignment="1">
      <alignment horizontal="center" vertical="center"/>
    </xf>
    <xf numFmtId="0" fontId="66" fillId="0" borderId="21" xfId="0" applyFont="1" applyBorder="1" applyAlignment="1">
      <alignment horizontal="center"/>
    </xf>
    <xf numFmtId="0" fontId="66" fillId="0" borderId="24" xfId="0" applyFont="1" applyBorder="1" applyAlignment="1">
      <alignment horizontal="center"/>
    </xf>
    <xf numFmtId="0" fontId="66" fillId="0" borderId="25" xfId="0" applyFont="1" applyBorder="1" applyAlignment="1">
      <alignment horizontal="center"/>
    </xf>
    <xf numFmtId="0" fontId="54" fillId="33" borderId="0" xfId="0" applyFont="1" applyFill="1" applyAlignment="1">
      <alignment horizontal="center" vertical="center" wrapText="1"/>
    </xf>
    <xf numFmtId="0" fontId="54" fillId="36" borderId="21" xfId="0" applyFont="1" applyFill="1" applyBorder="1" applyAlignment="1">
      <alignment horizontal="center" vertical="center" wrapText="1"/>
    </xf>
    <xf numFmtId="0" fontId="66" fillId="9" borderId="22" xfId="0" applyFont="1" applyFill="1" applyBorder="1" applyAlignment="1">
      <alignment horizontal="center" vertical="center" wrapText="1"/>
    </xf>
    <xf numFmtId="0" fontId="66" fillId="9" borderId="23"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wrapText="1"/>
    </xf>
  </cellXfs>
  <cellStyles count="14">
    <cellStyle name="Encabezado 1 2" xfId="5" xr:uid="{BDA48872-AD6E-414B-9768-F84C8492B07D}"/>
    <cellStyle name="Fecha" xfId="11" xr:uid="{A0329EA2-06A8-47CA-8616-B9D0B540DD38}"/>
    <cellStyle name="Hipervínculo" xfId="1" builtinId="8"/>
    <cellStyle name="Hipervínculo 2" xfId="6" xr:uid="{5AB701E1-D3D7-4CD0-A736-1C660C62DAAF}"/>
    <cellStyle name="Hyperlink" xfId="12" xr:uid="{00000000-000B-0000-0000-000008000000}"/>
    <cellStyle name="Inicio del proyecto" xfId="8" xr:uid="{FA1B0294-DD0A-4978-A78A-C50EA2E56CB4}"/>
    <cellStyle name="Nombre" xfId="9" xr:uid="{A4F39AFF-E749-4948-9AAC-26397C6517D3}"/>
    <cellStyle name="Normal" xfId="0" builtinId="0"/>
    <cellStyle name="Normal 2" xfId="13" xr:uid="{839C86F7-34FF-4DD5-89D6-1F15FE7404FA}"/>
    <cellStyle name="Porcentaje" xfId="2" builtinId="5"/>
    <cellStyle name="Tarea" xfId="10" xr:uid="{4A192A07-9350-459F-A2C9-813C8300FA91}"/>
    <cellStyle name="Título 3 2" xfId="7" xr:uid="{8A5736F2-FF40-4CBC-87E6-1138296635B6}"/>
    <cellStyle name="Título 4" xfId="4" xr:uid="{BA1B6510-8000-45DF-97AD-CE6911E12BB2}"/>
    <cellStyle name="zTextoOculto" xfId="3" xr:uid="{1567AC70-8E20-46C5-A32A-0B8FCC5FD890}"/>
  </cellStyles>
  <dxfs count="45">
    <dxf>
      <font>
        <color theme="6" tint="-0.24994659260841701"/>
      </font>
      <fill>
        <patternFill>
          <bgColor rgb="FFD1F1D3"/>
        </patternFill>
      </fill>
    </dxf>
    <dxf>
      <fill>
        <patternFill>
          <bgColor rgb="FFF3FFF3"/>
        </patternFill>
      </fill>
    </dxf>
    <dxf>
      <font>
        <color theme="6" tint="-0.24994659260841701"/>
      </font>
      <fill>
        <patternFill>
          <bgColor rgb="FFD1F1D3"/>
        </patternFill>
      </fill>
    </dxf>
    <dxf>
      <fill>
        <patternFill>
          <bgColor rgb="FFF3FFF3"/>
        </patternFill>
      </fill>
    </dxf>
    <dxf>
      <font>
        <b/>
        <i val="0"/>
      </font>
      <fill>
        <patternFill>
          <bgColor rgb="FFFFFF00"/>
        </patternFill>
      </fill>
    </dxf>
    <dxf>
      <font>
        <b/>
        <i val="0"/>
        <color rgb="FFFF6600"/>
      </font>
      <fill>
        <patternFill>
          <bgColor rgb="FFFFFF99"/>
        </patternFill>
      </fill>
    </dxf>
    <dxf>
      <font>
        <color theme="6" tint="-0.24994659260841701"/>
      </font>
      <fill>
        <patternFill>
          <bgColor rgb="FFD1F1D3"/>
        </patternFill>
      </fill>
    </dxf>
    <dxf>
      <fill>
        <patternFill>
          <bgColor rgb="FFF3FFF3"/>
        </patternFill>
      </fill>
    </dxf>
    <dxf>
      <font>
        <b/>
        <i val="0"/>
      </font>
      <fill>
        <patternFill>
          <bgColor rgb="FFFFFF00"/>
        </patternFill>
      </fill>
    </dxf>
    <dxf>
      <font>
        <b/>
        <i val="0"/>
        <color rgb="FFFF6600"/>
      </font>
      <fill>
        <patternFill>
          <bgColor rgb="FFFFFF99"/>
        </patternFill>
      </fill>
    </dxf>
    <dxf>
      <font>
        <b/>
        <i val="0"/>
      </font>
      <fill>
        <patternFill>
          <bgColor rgb="FFFFFF00"/>
        </patternFill>
      </fill>
    </dxf>
    <dxf>
      <font>
        <b/>
        <i val="0"/>
        <color rgb="FFFF6600"/>
      </font>
      <fill>
        <patternFill>
          <bgColor rgb="FFFFFF99"/>
        </patternFill>
      </fill>
    </dxf>
    <dxf>
      <font>
        <b/>
        <i val="0"/>
      </font>
      <fill>
        <patternFill>
          <bgColor rgb="FFFFFF00"/>
        </patternFill>
      </fill>
    </dxf>
    <dxf>
      <font>
        <b/>
        <i val="0"/>
        <color rgb="FFFF6600"/>
      </font>
      <fill>
        <patternFill>
          <bgColor rgb="FFFFFF99"/>
        </patternFill>
      </fill>
    </dxf>
    <dxf>
      <font>
        <b/>
        <i val="0"/>
      </font>
      <fill>
        <patternFill>
          <bgColor rgb="FFFFFF00"/>
        </patternFill>
      </fill>
    </dxf>
    <dxf>
      <font>
        <b/>
        <i val="0"/>
        <color rgb="FFFF6600"/>
      </font>
      <fill>
        <patternFill>
          <bgColor rgb="FFFFFF99"/>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b/>
        <i val="0"/>
        <color rgb="FFFF6600"/>
      </font>
      <fill>
        <patternFill>
          <bgColor rgb="FFFFFF99"/>
        </patternFill>
      </fill>
    </dxf>
    <dxf>
      <font>
        <b/>
        <i val="0"/>
      </font>
      <fill>
        <patternFill>
          <bgColor rgb="FFFFFF00"/>
        </patternFill>
      </fill>
    </dxf>
    <dxf>
      <font>
        <b/>
        <i val="0"/>
        <color rgb="FFFF6600"/>
      </font>
      <fill>
        <patternFill>
          <bgColor rgb="FFFFFF99"/>
        </patternFill>
      </fill>
    </dxf>
    <dxf>
      <font>
        <b/>
        <i val="0"/>
      </font>
      <fill>
        <patternFill>
          <bgColor rgb="FFFFFF00"/>
        </patternFill>
      </fill>
    </dxf>
    <dxf>
      <font>
        <b/>
        <i val="0"/>
        <color rgb="FFFF6600"/>
      </font>
      <fill>
        <patternFill>
          <bgColor rgb="FFFFFF99"/>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rgb="FFFF6600"/>
      </font>
      <fill>
        <patternFill>
          <bgColor rgb="FFFFFF99"/>
        </patternFill>
      </fill>
    </dxf>
    <dxf>
      <font>
        <color rgb="FF9C0006"/>
      </font>
      <fill>
        <patternFill>
          <bgColor rgb="FFFFC7CE"/>
        </patternFill>
      </fill>
    </dxf>
    <dxf>
      <font>
        <color rgb="FF9C0006"/>
      </font>
      <fill>
        <patternFill>
          <bgColor rgb="FFFFC7CE"/>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xdr:col>
      <xdr:colOff>4330212</xdr:colOff>
      <xdr:row>0</xdr:row>
      <xdr:rowOff>134815</xdr:rowOff>
    </xdr:from>
    <xdr:to>
      <xdr:col>3</xdr:col>
      <xdr:colOff>681893</xdr:colOff>
      <xdr:row>1</xdr:row>
      <xdr:rowOff>20515</xdr:rowOff>
    </xdr:to>
    <xdr:sp macro="" textlink="">
      <xdr:nvSpPr>
        <xdr:cNvPr id="4" name="CuadroTexto 1">
          <a:extLst>
            <a:ext uri="{FF2B5EF4-FFF2-40B4-BE49-F238E27FC236}">
              <a16:creationId xmlns:a16="http://schemas.microsoft.com/office/drawing/2014/main" id="{41261405-EB31-4557-AC18-45714CCC1F5B}"/>
            </a:ext>
          </a:extLst>
        </xdr:cNvPr>
        <xdr:cNvSpPr txBox="1"/>
      </xdr:nvSpPr>
      <xdr:spPr>
        <a:xfrm>
          <a:off x="5191858" y="134815"/>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1577340</xdr:colOff>
      <xdr:row>0</xdr:row>
      <xdr:rowOff>152400</xdr:rowOff>
    </xdr:from>
    <xdr:to>
      <xdr:col>4</xdr:col>
      <xdr:colOff>187472</xdr:colOff>
      <xdr:row>2</xdr:row>
      <xdr:rowOff>53340</xdr:rowOff>
    </xdr:to>
    <xdr:sp macro="" textlink="">
      <xdr:nvSpPr>
        <xdr:cNvPr id="3" name="CuadroTexto 1">
          <a:extLst>
            <a:ext uri="{FF2B5EF4-FFF2-40B4-BE49-F238E27FC236}">
              <a16:creationId xmlns:a16="http://schemas.microsoft.com/office/drawing/2014/main" id="{C0200254-5DA6-418F-B74F-02282F9172F7}"/>
            </a:ext>
          </a:extLst>
        </xdr:cNvPr>
        <xdr:cNvSpPr txBox="1"/>
      </xdr:nvSpPr>
      <xdr:spPr>
        <a:xfrm>
          <a:off x="3642360" y="152400"/>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48260</xdr:colOff>
      <xdr:row>0</xdr:row>
      <xdr:rowOff>29210</xdr:rowOff>
    </xdr:from>
    <xdr:to>
      <xdr:col>2</xdr:col>
      <xdr:colOff>610382</xdr:colOff>
      <xdr:row>1</xdr:row>
      <xdr:rowOff>111760</xdr:rowOff>
    </xdr:to>
    <xdr:sp macro="" textlink="">
      <xdr:nvSpPr>
        <xdr:cNvPr id="2" name="CuadroTexto 1">
          <a:extLst>
            <a:ext uri="{FF2B5EF4-FFF2-40B4-BE49-F238E27FC236}">
              <a16:creationId xmlns:a16="http://schemas.microsoft.com/office/drawing/2014/main" id="{E510852B-5548-4D80-A7CE-DC819A290ABE}"/>
            </a:ext>
          </a:extLst>
        </xdr:cNvPr>
        <xdr:cNvSpPr txBox="1"/>
      </xdr:nvSpPr>
      <xdr:spPr>
        <a:xfrm>
          <a:off x="48260" y="29210"/>
          <a:ext cx="3019572" cy="26352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167640</xdr:colOff>
      <xdr:row>0</xdr:row>
      <xdr:rowOff>106680</xdr:rowOff>
    </xdr:from>
    <xdr:to>
      <xdr:col>10</xdr:col>
      <xdr:colOff>1254272</xdr:colOff>
      <xdr:row>2</xdr:row>
      <xdr:rowOff>7620</xdr:rowOff>
    </xdr:to>
    <xdr:sp macro="" textlink="">
      <xdr:nvSpPr>
        <xdr:cNvPr id="3" name="CuadroTexto 1">
          <a:extLst>
            <a:ext uri="{FF2B5EF4-FFF2-40B4-BE49-F238E27FC236}">
              <a16:creationId xmlns:a16="http://schemas.microsoft.com/office/drawing/2014/main" id="{A93A34D8-2E81-40DB-9D7E-0BB1D0CD04D7}"/>
            </a:ext>
          </a:extLst>
        </xdr:cNvPr>
        <xdr:cNvSpPr txBox="1"/>
      </xdr:nvSpPr>
      <xdr:spPr>
        <a:xfrm>
          <a:off x="6583680" y="106680"/>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238125</xdr:colOff>
      <xdr:row>16</xdr:row>
      <xdr:rowOff>13335</xdr:rowOff>
    </xdr:from>
    <xdr:to>
      <xdr:col>2</xdr:col>
      <xdr:colOff>277007</xdr:colOff>
      <xdr:row>17</xdr:row>
      <xdr:rowOff>97155</xdr:rowOff>
    </xdr:to>
    <xdr:sp macro="" textlink="">
      <xdr:nvSpPr>
        <xdr:cNvPr id="3" name="CuadroTexto 1">
          <a:extLst>
            <a:ext uri="{FF2B5EF4-FFF2-40B4-BE49-F238E27FC236}">
              <a16:creationId xmlns:a16="http://schemas.microsoft.com/office/drawing/2014/main" id="{D5FFBCA7-F1DB-4778-9778-3D84748D0BBB}"/>
            </a:ext>
          </a:extLst>
        </xdr:cNvPr>
        <xdr:cNvSpPr txBox="1"/>
      </xdr:nvSpPr>
      <xdr:spPr>
        <a:xfrm>
          <a:off x="238125" y="3061335"/>
          <a:ext cx="2877332" cy="2743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600075</xdr:colOff>
      <xdr:row>2</xdr:row>
      <xdr:rowOff>9525</xdr:rowOff>
    </xdr:from>
    <xdr:to>
      <xdr:col>11</xdr:col>
      <xdr:colOff>600075</xdr:colOff>
      <xdr:row>3</xdr:row>
      <xdr:rowOff>171450</xdr:rowOff>
    </xdr:to>
    <xdr:cxnSp macro="">
      <xdr:nvCxnSpPr>
        <xdr:cNvPr id="2" name="Conector recto 1">
          <a:extLst>
            <a:ext uri="{FF2B5EF4-FFF2-40B4-BE49-F238E27FC236}">
              <a16:creationId xmlns:a16="http://schemas.microsoft.com/office/drawing/2014/main" id="{D2D73662-C571-ECAF-A5A0-7DD7BC2DD2D3}"/>
            </a:ext>
          </a:extLst>
        </xdr:cNvPr>
        <xdr:cNvCxnSpPr>
          <a:cxnSpLocks/>
        </xdr:cNvCxnSpPr>
      </xdr:nvCxnSpPr>
      <xdr:spPr>
        <a:xfrm flipH="1">
          <a:off x="7305675" y="390525"/>
          <a:ext cx="0" cy="3524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476250</xdr:colOff>
      <xdr:row>5</xdr:row>
      <xdr:rowOff>0</xdr:rowOff>
    </xdr:from>
    <xdr:to>
      <xdr:col>12</xdr:col>
      <xdr:colOff>0</xdr:colOff>
      <xdr:row>7</xdr:row>
      <xdr:rowOff>180975</xdr:rowOff>
    </xdr:to>
    <xdr:cxnSp macro="">
      <xdr:nvCxnSpPr>
        <xdr:cNvPr id="3" name="Conector recto 2">
          <a:extLst>
            <a:ext uri="{FF2B5EF4-FFF2-40B4-BE49-F238E27FC236}">
              <a16:creationId xmlns:a16="http://schemas.microsoft.com/office/drawing/2014/main" id="{D05B9CE7-86A2-409F-BF85-EA4F3BC5B015}"/>
            </a:ext>
            <a:ext uri="{147F2762-F138-4A5C-976F-8EAC2B608ADB}">
              <a16:predDERef xmlns:a16="http://schemas.microsoft.com/office/drawing/2014/main" pred="{D2D73662-C571-ECAF-A5A0-7DD7BC2DD2D3}"/>
            </a:ext>
          </a:extLst>
        </xdr:cNvPr>
        <xdr:cNvCxnSpPr>
          <a:cxnSpLocks/>
        </xdr:cNvCxnSpPr>
      </xdr:nvCxnSpPr>
      <xdr:spPr>
        <a:xfrm flipH="1">
          <a:off x="5962650" y="952500"/>
          <a:ext cx="1352550" cy="56197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295275</xdr:colOff>
      <xdr:row>1</xdr:row>
      <xdr:rowOff>180975</xdr:rowOff>
    </xdr:from>
    <xdr:to>
      <xdr:col>6</xdr:col>
      <xdr:colOff>295275</xdr:colOff>
      <xdr:row>3</xdr:row>
      <xdr:rowOff>152400</xdr:rowOff>
    </xdr:to>
    <xdr:cxnSp macro="">
      <xdr:nvCxnSpPr>
        <xdr:cNvPr id="4" name="Conector recto 3">
          <a:extLst>
            <a:ext uri="{FF2B5EF4-FFF2-40B4-BE49-F238E27FC236}">
              <a16:creationId xmlns:a16="http://schemas.microsoft.com/office/drawing/2014/main" id="{8A4850E0-0887-4B12-9396-295EEED12649}"/>
            </a:ext>
            <a:ext uri="{147F2762-F138-4A5C-976F-8EAC2B608ADB}">
              <a16:predDERef xmlns:a16="http://schemas.microsoft.com/office/drawing/2014/main" pred="{D05B9CE7-86A2-409F-BF85-EA4F3BC5B015}"/>
            </a:ext>
          </a:extLst>
        </xdr:cNvPr>
        <xdr:cNvCxnSpPr>
          <a:cxnSpLocks/>
        </xdr:cNvCxnSpPr>
      </xdr:nvCxnSpPr>
      <xdr:spPr>
        <a:xfrm flipH="1">
          <a:off x="3952875" y="371475"/>
          <a:ext cx="0" cy="3524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285750</xdr:colOff>
      <xdr:row>5</xdr:row>
      <xdr:rowOff>9525</xdr:rowOff>
    </xdr:from>
    <xdr:to>
      <xdr:col>8</xdr:col>
      <xdr:colOff>47625</xdr:colOff>
      <xdr:row>7</xdr:row>
      <xdr:rowOff>180975</xdr:rowOff>
    </xdr:to>
    <xdr:cxnSp macro="">
      <xdr:nvCxnSpPr>
        <xdr:cNvPr id="5" name="Conector recto 4">
          <a:extLst>
            <a:ext uri="{FF2B5EF4-FFF2-40B4-BE49-F238E27FC236}">
              <a16:creationId xmlns:a16="http://schemas.microsoft.com/office/drawing/2014/main" id="{30070A17-75BE-4BAB-8A4C-04E8F832DC27}"/>
            </a:ext>
            <a:ext uri="{147F2762-F138-4A5C-976F-8EAC2B608ADB}">
              <a16:predDERef xmlns:a16="http://schemas.microsoft.com/office/drawing/2014/main" pred="{8A4850E0-0887-4B12-9396-295EEED12649}"/>
            </a:ext>
          </a:extLst>
        </xdr:cNvPr>
        <xdr:cNvCxnSpPr>
          <a:cxnSpLocks/>
        </xdr:cNvCxnSpPr>
      </xdr:nvCxnSpPr>
      <xdr:spPr>
        <a:xfrm>
          <a:off x="3943350" y="962025"/>
          <a:ext cx="981075" cy="552450"/>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600075</xdr:colOff>
      <xdr:row>8</xdr:row>
      <xdr:rowOff>180975</xdr:rowOff>
    </xdr:from>
    <xdr:to>
      <xdr:col>8</xdr:col>
      <xdr:colOff>600075</xdr:colOff>
      <xdr:row>10</xdr:row>
      <xdr:rowOff>152400</xdr:rowOff>
    </xdr:to>
    <xdr:cxnSp macro="">
      <xdr:nvCxnSpPr>
        <xdr:cNvPr id="6" name="Conector recto 5">
          <a:extLst>
            <a:ext uri="{FF2B5EF4-FFF2-40B4-BE49-F238E27FC236}">
              <a16:creationId xmlns:a16="http://schemas.microsoft.com/office/drawing/2014/main" id="{8A3047DE-58A1-4C26-BA5A-E43E680115AB}"/>
            </a:ext>
            <a:ext uri="{147F2762-F138-4A5C-976F-8EAC2B608ADB}">
              <a16:predDERef xmlns:a16="http://schemas.microsoft.com/office/drawing/2014/main" pred="{30070A17-75BE-4BAB-8A4C-04E8F832DC27}"/>
            </a:ext>
          </a:extLst>
        </xdr:cNvPr>
        <xdr:cNvCxnSpPr>
          <a:cxnSpLocks/>
        </xdr:cNvCxnSpPr>
      </xdr:nvCxnSpPr>
      <xdr:spPr>
        <a:xfrm flipH="1">
          <a:off x="5476875" y="1704975"/>
          <a:ext cx="0" cy="3524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571500</xdr:colOff>
      <xdr:row>12</xdr:row>
      <xdr:rowOff>9525</xdr:rowOff>
    </xdr:from>
    <xdr:to>
      <xdr:col>8</xdr:col>
      <xdr:colOff>571500</xdr:colOff>
      <xdr:row>13</xdr:row>
      <xdr:rowOff>171450</xdr:rowOff>
    </xdr:to>
    <xdr:cxnSp macro="">
      <xdr:nvCxnSpPr>
        <xdr:cNvPr id="7" name="Conector recto 6">
          <a:extLst>
            <a:ext uri="{FF2B5EF4-FFF2-40B4-BE49-F238E27FC236}">
              <a16:creationId xmlns:a16="http://schemas.microsoft.com/office/drawing/2014/main" id="{0B462BC0-3BBE-42EC-A9E3-7C382781E9ED}"/>
            </a:ext>
            <a:ext uri="{147F2762-F138-4A5C-976F-8EAC2B608ADB}">
              <a16:predDERef xmlns:a16="http://schemas.microsoft.com/office/drawing/2014/main" pred="{8A3047DE-58A1-4C26-BA5A-E43E680115AB}"/>
            </a:ext>
          </a:extLst>
        </xdr:cNvPr>
        <xdr:cNvCxnSpPr>
          <a:cxnSpLocks/>
        </xdr:cNvCxnSpPr>
      </xdr:nvCxnSpPr>
      <xdr:spPr>
        <a:xfrm flipH="1">
          <a:off x="5448300" y="2295525"/>
          <a:ext cx="0" cy="3524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600075</xdr:colOff>
      <xdr:row>15</xdr:row>
      <xdr:rowOff>0</xdr:rowOff>
    </xdr:from>
    <xdr:to>
      <xdr:col>8</xdr:col>
      <xdr:colOff>600075</xdr:colOff>
      <xdr:row>16</xdr:row>
      <xdr:rowOff>161925</xdr:rowOff>
    </xdr:to>
    <xdr:cxnSp macro="">
      <xdr:nvCxnSpPr>
        <xdr:cNvPr id="8" name="Conector recto 7">
          <a:extLst>
            <a:ext uri="{FF2B5EF4-FFF2-40B4-BE49-F238E27FC236}">
              <a16:creationId xmlns:a16="http://schemas.microsoft.com/office/drawing/2014/main" id="{C0EAFEF3-E5EF-486F-9B0C-1C36B19AE686}"/>
            </a:ext>
            <a:ext uri="{147F2762-F138-4A5C-976F-8EAC2B608ADB}">
              <a16:predDERef xmlns:a16="http://schemas.microsoft.com/office/drawing/2014/main" pred="{0B462BC0-3BBE-42EC-A9E3-7C382781E9ED}"/>
            </a:ext>
          </a:extLst>
        </xdr:cNvPr>
        <xdr:cNvCxnSpPr>
          <a:cxnSpLocks/>
        </xdr:cNvCxnSpPr>
      </xdr:nvCxnSpPr>
      <xdr:spPr>
        <a:xfrm flipH="1">
          <a:off x="5476875" y="2857500"/>
          <a:ext cx="0" cy="3524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581025</xdr:colOff>
      <xdr:row>18</xdr:row>
      <xdr:rowOff>0</xdr:rowOff>
    </xdr:from>
    <xdr:to>
      <xdr:col>8</xdr:col>
      <xdr:colOff>581025</xdr:colOff>
      <xdr:row>19</xdr:row>
      <xdr:rowOff>161925</xdr:rowOff>
    </xdr:to>
    <xdr:cxnSp macro="">
      <xdr:nvCxnSpPr>
        <xdr:cNvPr id="9" name="Conector recto 8">
          <a:extLst>
            <a:ext uri="{FF2B5EF4-FFF2-40B4-BE49-F238E27FC236}">
              <a16:creationId xmlns:a16="http://schemas.microsoft.com/office/drawing/2014/main" id="{5DC092F3-41B2-47E4-B07E-3221177CA17C}"/>
            </a:ext>
            <a:ext uri="{147F2762-F138-4A5C-976F-8EAC2B608ADB}">
              <a16:predDERef xmlns:a16="http://schemas.microsoft.com/office/drawing/2014/main" pred="{C0EAFEF3-E5EF-486F-9B0C-1C36B19AE686}"/>
            </a:ext>
          </a:extLst>
        </xdr:cNvPr>
        <xdr:cNvCxnSpPr>
          <a:cxnSpLocks/>
        </xdr:cNvCxnSpPr>
      </xdr:nvCxnSpPr>
      <xdr:spPr>
        <a:xfrm flipH="1">
          <a:off x="5457825" y="3429000"/>
          <a:ext cx="0" cy="3524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600075</xdr:colOff>
      <xdr:row>21</xdr:row>
      <xdr:rowOff>9525</xdr:rowOff>
    </xdr:from>
    <xdr:to>
      <xdr:col>8</xdr:col>
      <xdr:colOff>600075</xdr:colOff>
      <xdr:row>22</xdr:row>
      <xdr:rowOff>171450</xdr:rowOff>
    </xdr:to>
    <xdr:cxnSp macro="">
      <xdr:nvCxnSpPr>
        <xdr:cNvPr id="10" name="Conector recto 9">
          <a:extLst>
            <a:ext uri="{FF2B5EF4-FFF2-40B4-BE49-F238E27FC236}">
              <a16:creationId xmlns:a16="http://schemas.microsoft.com/office/drawing/2014/main" id="{0E58BB6A-A7EA-4ACE-955C-2A4E0A32A44A}"/>
            </a:ext>
            <a:ext uri="{147F2762-F138-4A5C-976F-8EAC2B608ADB}">
              <a16:predDERef xmlns:a16="http://schemas.microsoft.com/office/drawing/2014/main" pred="{5DC092F3-41B2-47E4-B07E-3221177CA17C}"/>
            </a:ext>
          </a:extLst>
        </xdr:cNvPr>
        <xdr:cNvCxnSpPr>
          <a:cxnSpLocks/>
        </xdr:cNvCxnSpPr>
      </xdr:nvCxnSpPr>
      <xdr:spPr>
        <a:xfrm flipH="1">
          <a:off x="5476875" y="4010025"/>
          <a:ext cx="0" cy="3524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600075</xdr:colOff>
      <xdr:row>25</xdr:row>
      <xdr:rowOff>0</xdr:rowOff>
    </xdr:from>
    <xdr:to>
      <xdr:col>8</xdr:col>
      <xdr:colOff>600075</xdr:colOff>
      <xdr:row>26</xdr:row>
      <xdr:rowOff>161925</xdr:rowOff>
    </xdr:to>
    <xdr:cxnSp macro="">
      <xdr:nvCxnSpPr>
        <xdr:cNvPr id="11" name="Conector recto 10">
          <a:extLst>
            <a:ext uri="{FF2B5EF4-FFF2-40B4-BE49-F238E27FC236}">
              <a16:creationId xmlns:a16="http://schemas.microsoft.com/office/drawing/2014/main" id="{8268896A-7B23-452F-94A3-C48DAF54F840}"/>
            </a:ext>
            <a:ext uri="{147F2762-F138-4A5C-976F-8EAC2B608ADB}">
              <a16:predDERef xmlns:a16="http://schemas.microsoft.com/office/drawing/2014/main" pred="{0E58BB6A-A7EA-4ACE-955C-2A4E0A32A44A}"/>
            </a:ext>
          </a:extLst>
        </xdr:cNvPr>
        <xdr:cNvCxnSpPr>
          <a:cxnSpLocks/>
        </xdr:cNvCxnSpPr>
      </xdr:nvCxnSpPr>
      <xdr:spPr>
        <a:xfrm flipH="1">
          <a:off x="5476875" y="4762500"/>
          <a:ext cx="0" cy="352425"/>
        </a:xfrm>
        <a:prstGeom prst="line">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xdr:row>
      <xdr:rowOff>32657</xdr:rowOff>
    </xdr:from>
    <xdr:to>
      <xdr:col>4</xdr:col>
      <xdr:colOff>463969</xdr:colOff>
      <xdr:row>2</xdr:row>
      <xdr:rowOff>114300</xdr:rowOff>
    </xdr:to>
    <xdr:sp macro="" textlink="">
      <xdr:nvSpPr>
        <xdr:cNvPr id="14" name="CuadroTexto 11">
          <a:extLst>
            <a:ext uri="{FF2B5EF4-FFF2-40B4-BE49-F238E27FC236}">
              <a16:creationId xmlns:a16="http://schemas.microsoft.com/office/drawing/2014/main" id="{0624752A-758C-4D8D-AA15-9EE66F5EEB23}"/>
            </a:ext>
          </a:extLst>
        </xdr:cNvPr>
        <xdr:cNvSpPr txBox="1"/>
      </xdr:nvSpPr>
      <xdr:spPr>
        <a:xfrm>
          <a:off x="0" y="217714"/>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42334</xdr:colOff>
      <xdr:row>12</xdr:row>
      <xdr:rowOff>169334</xdr:rowOff>
    </xdr:from>
    <xdr:to>
      <xdr:col>4</xdr:col>
      <xdr:colOff>2988246</xdr:colOff>
      <xdr:row>14</xdr:row>
      <xdr:rowOff>63501</xdr:rowOff>
    </xdr:to>
    <xdr:sp macro="" textlink="">
      <xdr:nvSpPr>
        <xdr:cNvPr id="3" name="CuadroTexto 1">
          <a:extLst>
            <a:ext uri="{FF2B5EF4-FFF2-40B4-BE49-F238E27FC236}">
              <a16:creationId xmlns:a16="http://schemas.microsoft.com/office/drawing/2014/main" id="{E363DBB2-B118-4600-BAFD-4121A130EC38}"/>
            </a:ext>
          </a:extLst>
        </xdr:cNvPr>
        <xdr:cNvSpPr txBox="1"/>
      </xdr:nvSpPr>
      <xdr:spPr>
        <a:xfrm>
          <a:off x="8365067" y="2429934"/>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114300</xdr:colOff>
      <xdr:row>0</xdr:row>
      <xdr:rowOff>167640</xdr:rowOff>
    </xdr:from>
    <xdr:to>
      <xdr:col>1</xdr:col>
      <xdr:colOff>614192</xdr:colOff>
      <xdr:row>0</xdr:row>
      <xdr:rowOff>434340</xdr:rowOff>
    </xdr:to>
    <xdr:sp macro="" textlink="">
      <xdr:nvSpPr>
        <xdr:cNvPr id="5" name="CuadroTexto 1">
          <a:extLst>
            <a:ext uri="{FF2B5EF4-FFF2-40B4-BE49-F238E27FC236}">
              <a16:creationId xmlns:a16="http://schemas.microsoft.com/office/drawing/2014/main" id="{466E1F3E-C373-4B14-AD50-437E3298B17B}"/>
            </a:ext>
          </a:extLst>
        </xdr:cNvPr>
        <xdr:cNvSpPr txBox="1"/>
      </xdr:nvSpPr>
      <xdr:spPr>
        <a:xfrm>
          <a:off x="114300" y="167640"/>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1615440</xdr:colOff>
      <xdr:row>0</xdr:row>
      <xdr:rowOff>53340</xdr:rowOff>
    </xdr:from>
    <xdr:to>
      <xdr:col>2</xdr:col>
      <xdr:colOff>2603012</xdr:colOff>
      <xdr:row>0</xdr:row>
      <xdr:rowOff>320040</xdr:rowOff>
    </xdr:to>
    <xdr:sp macro="" textlink="">
      <xdr:nvSpPr>
        <xdr:cNvPr id="4" name="CuadroTexto 1">
          <a:extLst>
            <a:ext uri="{FF2B5EF4-FFF2-40B4-BE49-F238E27FC236}">
              <a16:creationId xmlns:a16="http://schemas.microsoft.com/office/drawing/2014/main" id="{831F4C9F-FEE8-4B87-9957-062531D44FF5}"/>
            </a:ext>
          </a:extLst>
        </xdr:cNvPr>
        <xdr:cNvSpPr txBox="1"/>
      </xdr:nvSpPr>
      <xdr:spPr>
        <a:xfrm>
          <a:off x="2400300" y="53340"/>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4610100</xdr:colOff>
      <xdr:row>0</xdr:row>
      <xdr:rowOff>88900</xdr:rowOff>
    </xdr:from>
    <xdr:to>
      <xdr:col>3</xdr:col>
      <xdr:colOff>1968012</xdr:colOff>
      <xdr:row>2</xdr:row>
      <xdr:rowOff>0</xdr:rowOff>
    </xdr:to>
    <xdr:sp macro="" textlink="">
      <xdr:nvSpPr>
        <xdr:cNvPr id="4" name="CuadroTexto 1">
          <a:extLst>
            <a:ext uri="{FF2B5EF4-FFF2-40B4-BE49-F238E27FC236}">
              <a16:creationId xmlns:a16="http://schemas.microsoft.com/office/drawing/2014/main" id="{AAE52BB5-C621-4D07-A723-82227917134B}"/>
            </a:ext>
          </a:extLst>
        </xdr:cNvPr>
        <xdr:cNvSpPr txBox="1"/>
      </xdr:nvSpPr>
      <xdr:spPr>
        <a:xfrm>
          <a:off x="9093200" y="88900"/>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28</xdr:col>
      <xdr:colOff>648547</xdr:colOff>
      <xdr:row>23</xdr:row>
      <xdr:rowOff>9525</xdr:rowOff>
    </xdr:from>
    <xdr:to>
      <xdr:col>28</xdr:col>
      <xdr:colOff>656167</xdr:colOff>
      <xdr:row>25</xdr:row>
      <xdr:rowOff>127000</xdr:rowOff>
    </xdr:to>
    <xdr:cxnSp macro="">
      <xdr:nvCxnSpPr>
        <xdr:cNvPr id="9" name="Conector recto de flecha 3">
          <a:extLst>
            <a:ext uri="{FF2B5EF4-FFF2-40B4-BE49-F238E27FC236}">
              <a16:creationId xmlns:a16="http://schemas.microsoft.com/office/drawing/2014/main" id="{307BB541-3D0C-1DBF-D95B-48883023E48C}"/>
            </a:ext>
          </a:extLst>
        </xdr:cNvPr>
        <xdr:cNvCxnSpPr/>
      </xdr:nvCxnSpPr>
      <xdr:spPr>
        <a:xfrm>
          <a:off x="67641047" y="3057525"/>
          <a:ext cx="7620" cy="45614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74083</xdr:colOff>
      <xdr:row>22</xdr:row>
      <xdr:rowOff>1905</xdr:rowOff>
    </xdr:from>
    <xdr:to>
      <xdr:col>27</xdr:col>
      <xdr:colOff>559012</xdr:colOff>
      <xdr:row>25</xdr:row>
      <xdr:rowOff>10583</xdr:rowOff>
    </xdr:to>
    <xdr:cxnSp macro="">
      <xdr:nvCxnSpPr>
        <xdr:cNvPr id="11" name="Conector recto de flecha 6">
          <a:extLst>
            <a:ext uri="{FF2B5EF4-FFF2-40B4-BE49-F238E27FC236}">
              <a16:creationId xmlns:a16="http://schemas.microsoft.com/office/drawing/2014/main" id="{CCC6FEA4-7C68-4F0F-B29F-463525335A18}"/>
            </a:ext>
          </a:extLst>
        </xdr:cNvPr>
        <xdr:cNvCxnSpPr/>
      </xdr:nvCxnSpPr>
      <xdr:spPr>
        <a:xfrm flipH="1">
          <a:off x="59637083" y="4912572"/>
          <a:ext cx="484929" cy="51667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306917</xdr:colOff>
      <xdr:row>22</xdr:row>
      <xdr:rowOff>74083</xdr:rowOff>
    </xdr:from>
    <xdr:to>
      <xdr:col>30</xdr:col>
      <xdr:colOff>10583</xdr:colOff>
      <xdr:row>25</xdr:row>
      <xdr:rowOff>40428</xdr:rowOff>
    </xdr:to>
    <xdr:cxnSp macro="">
      <xdr:nvCxnSpPr>
        <xdr:cNvPr id="12" name="Conector recto de flecha 9">
          <a:extLst>
            <a:ext uri="{FF2B5EF4-FFF2-40B4-BE49-F238E27FC236}">
              <a16:creationId xmlns:a16="http://schemas.microsoft.com/office/drawing/2014/main" id="{4C8ABFDB-514A-456D-BEF4-5AFA42914A20}"/>
            </a:ext>
          </a:extLst>
        </xdr:cNvPr>
        <xdr:cNvCxnSpPr/>
      </xdr:nvCxnSpPr>
      <xdr:spPr>
        <a:xfrm>
          <a:off x="64897000" y="4984750"/>
          <a:ext cx="1322916" cy="47434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853440</xdr:colOff>
      <xdr:row>16</xdr:row>
      <xdr:rowOff>95250</xdr:rowOff>
    </xdr:from>
    <xdr:to>
      <xdr:col>28</xdr:col>
      <xdr:colOff>853440</xdr:colOff>
      <xdr:row>18</xdr:row>
      <xdr:rowOff>163619</xdr:rowOff>
    </xdr:to>
    <xdr:cxnSp macro="">
      <xdr:nvCxnSpPr>
        <xdr:cNvPr id="13" name="Conector recto de flecha 15">
          <a:extLst>
            <a:ext uri="{FF2B5EF4-FFF2-40B4-BE49-F238E27FC236}">
              <a16:creationId xmlns:a16="http://schemas.microsoft.com/office/drawing/2014/main" id="{92FC1EA1-9100-4E74-A1BA-3DFE804B5832}"/>
            </a:ext>
          </a:extLst>
        </xdr:cNvPr>
        <xdr:cNvCxnSpPr/>
      </xdr:nvCxnSpPr>
      <xdr:spPr>
        <a:xfrm flipV="1">
          <a:off x="67845940" y="1957917"/>
          <a:ext cx="0" cy="40703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42335</xdr:colOff>
      <xdr:row>14</xdr:row>
      <xdr:rowOff>75988</xdr:rowOff>
    </xdr:from>
    <xdr:to>
      <xdr:col>29</xdr:col>
      <xdr:colOff>631191</xdr:colOff>
      <xdr:row>14</xdr:row>
      <xdr:rowOff>87630</xdr:rowOff>
    </xdr:to>
    <xdr:cxnSp macro="">
      <xdr:nvCxnSpPr>
        <xdr:cNvPr id="14" name="Conector recto de flecha 19">
          <a:extLst>
            <a:ext uri="{FF2B5EF4-FFF2-40B4-BE49-F238E27FC236}">
              <a16:creationId xmlns:a16="http://schemas.microsoft.com/office/drawing/2014/main" id="{C5164A01-59B6-4A8B-9713-050AF44E7CC3}"/>
            </a:ext>
          </a:extLst>
        </xdr:cNvPr>
        <xdr:cNvCxnSpPr/>
      </xdr:nvCxnSpPr>
      <xdr:spPr>
        <a:xfrm flipV="1">
          <a:off x="68918668" y="1599988"/>
          <a:ext cx="588856" cy="1164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575310</xdr:colOff>
      <xdr:row>6</xdr:row>
      <xdr:rowOff>95250</xdr:rowOff>
    </xdr:from>
    <xdr:to>
      <xdr:col>3</xdr:col>
      <xdr:colOff>3544082</xdr:colOff>
      <xdr:row>8</xdr:row>
      <xdr:rowOff>6350</xdr:rowOff>
    </xdr:to>
    <xdr:sp macro="" textlink="">
      <xdr:nvSpPr>
        <xdr:cNvPr id="123" name="CuadroTexto 1">
          <a:extLst>
            <a:ext uri="{FF2B5EF4-FFF2-40B4-BE49-F238E27FC236}">
              <a16:creationId xmlns:a16="http://schemas.microsoft.com/office/drawing/2014/main" id="{EDCA03DC-E93A-4357-AEC2-979BF524E146}"/>
            </a:ext>
          </a:extLst>
        </xdr:cNvPr>
        <xdr:cNvSpPr txBox="1"/>
      </xdr:nvSpPr>
      <xdr:spPr>
        <a:xfrm>
          <a:off x="7280910" y="1314450"/>
          <a:ext cx="2968772" cy="2159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twoCellAnchor>
    <xdr:from>
      <xdr:col>3</xdr:col>
      <xdr:colOff>590550</xdr:colOff>
      <xdr:row>6</xdr:row>
      <xdr:rowOff>19050</xdr:rowOff>
    </xdr:from>
    <xdr:to>
      <xdr:col>3</xdr:col>
      <xdr:colOff>3536462</xdr:colOff>
      <xdr:row>7</xdr:row>
      <xdr:rowOff>110490</xdr:rowOff>
    </xdr:to>
    <xdr:sp macro="" textlink="">
      <xdr:nvSpPr>
        <xdr:cNvPr id="122" name="CuadroTexto 2">
          <a:extLst>
            <a:ext uri="{FF2B5EF4-FFF2-40B4-BE49-F238E27FC236}">
              <a16:creationId xmlns:a16="http://schemas.microsoft.com/office/drawing/2014/main" id="{84181EF3-698A-4D92-AE72-C2CB5A7297D3}"/>
            </a:ext>
          </a:extLst>
        </xdr:cNvPr>
        <xdr:cNvSpPr txBox="1"/>
      </xdr:nvSpPr>
      <xdr:spPr>
        <a:xfrm>
          <a:off x="7277100" y="1327150"/>
          <a:ext cx="2945912" cy="26924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twoCellAnchor>
    <xdr:from>
      <xdr:col>8</xdr:col>
      <xdr:colOff>495300</xdr:colOff>
      <xdr:row>0</xdr:row>
      <xdr:rowOff>114300</xdr:rowOff>
    </xdr:from>
    <xdr:to>
      <xdr:col>9</xdr:col>
      <xdr:colOff>1498112</xdr:colOff>
      <xdr:row>1</xdr:row>
      <xdr:rowOff>152400</xdr:rowOff>
    </xdr:to>
    <xdr:sp macro="" textlink="">
      <xdr:nvSpPr>
        <xdr:cNvPr id="125" name="CuadroTexto 3">
          <a:extLst>
            <a:ext uri="{FF2B5EF4-FFF2-40B4-BE49-F238E27FC236}">
              <a16:creationId xmlns:a16="http://schemas.microsoft.com/office/drawing/2014/main" id="{4B619542-855C-40C5-9304-47704A32A40A}"/>
            </a:ext>
          </a:extLst>
        </xdr:cNvPr>
        <xdr:cNvSpPr txBox="1"/>
      </xdr:nvSpPr>
      <xdr:spPr>
        <a:xfrm>
          <a:off x="24810720" y="114300"/>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6604000</xdr:colOff>
      <xdr:row>0</xdr:row>
      <xdr:rowOff>0</xdr:rowOff>
    </xdr:from>
    <xdr:to>
      <xdr:col>2</xdr:col>
      <xdr:colOff>1028700</xdr:colOff>
      <xdr:row>1</xdr:row>
      <xdr:rowOff>88900</xdr:rowOff>
    </xdr:to>
    <xdr:sp macro="" textlink="">
      <xdr:nvSpPr>
        <xdr:cNvPr id="47" name="CuadroTexto 1">
          <a:extLst>
            <a:ext uri="{FF2B5EF4-FFF2-40B4-BE49-F238E27FC236}">
              <a16:creationId xmlns:a16="http://schemas.microsoft.com/office/drawing/2014/main" id="{1B837ED6-6647-4083-025F-3BD1DF11AFFA}"/>
            </a:ext>
          </a:extLst>
        </xdr:cNvPr>
        <xdr:cNvSpPr txBox="1"/>
      </xdr:nvSpPr>
      <xdr:spPr>
        <a:xfrm>
          <a:off x="8826500" y="0"/>
          <a:ext cx="2946400"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3444240</xdr:colOff>
      <xdr:row>0</xdr:row>
      <xdr:rowOff>7620</xdr:rowOff>
    </xdr:from>
    <xdr:to>
      <xdr:col>10</xdr:col>
      <xdr:colOff>6390152</xdr:colOff>
      <xdr:row>1</xdr:row>
      <xdr:rowOff>91440</xdr:rowOff>
    </xdr:to>
    <xdr:sp macro="" textlink="">
      <xdr:nvSpPr>
        <xdr:cNvPr id="3" name="CuadroTexto 1">
          <a:extLst>
            <a:ext uri="{FF2B5EF4-FFF2-40B4-BE49-F238E27FC236}">
              <a16:creationId xmlns:a16="http://schemas.microsoft.com/office/drawing/2014/main" id="{2A609111-F9E5-41DC-BA49-84DA55FC2851}"/>
            </a:ext>
          </a:extLst>
        </xdr:cNvPr>
        <xdr:cNvSpPr txBox="1"/>
      </xdr:nvSpPr>
      <xdr:spPr>
        <a:xfrm>
          <a:off x="19629120" y="7620"/>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2907812</xdr:colOff>
      <xdr:row>1</xdr:row>
      <xdr:rowOff>85725</xdr:rowOff>
    </xdr:to>
    <xdr:sp macro="" textlink="">
      <xdr:nvSpPr>
        <xdr:cNvPr id="7" name="CuadroTexto 1">
          <a:extLst>
            <a:ext uri="{FF2B5EF4-FFF2-40B4-BE49-F238E27FC236}">
              <a16:creationId xmlns:a16="http://schemas.microsoft.com/office/drawing/2014/main" id="{1DA403F3-3606-41A1-9846-081358D4B87C}"/>
            </a:ext>
          </a:extLst>
        </xdr:cNvPr>
        <xdr:cNvSpPr txBox="1"/>
      </xdr:nvSpPr>
      <xdr:spPr>
        <a:xfrm>
          <a:off x="0" y="0"/>
          <a:ext cx="2907812" cy="27622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6927</xdr:rowOff>
    </xdr:from>
    <xdr:to>
      <xdr:col>2</xdr:col>
      <xdr:colOff>1546602</xdr:colOff>
      <xdr:row>1</xdr:row>
      <xdr:rowOff>93518</xdr:rowOff>
    </xdr:to>
    <xdr:sp macro="" textlink="">
      <xdr:nvSpPr>
        <xdr:cNvPr id="3" name="CuadroTexto 1">
          <a:extLst>
            <a:ext uri="{FF2B5EF4-FFF2-40B4-BE49-F238E27FC236}">
              <a16:creationId xmlns:a16="http://schemas.microsoft.com/office/drawing/2014/main" id="{02C4D616-137C-432B-BEBA-92DAA631A9E5}"/>
            </a:ext>
          </a:extLst>
        </xdr:cNvPr>
        <xdr:cNvSpPr txBox="1"/>
      </xdr:nvSpPr>
      <xdr:spPr>
        <a:xfrm>
          <a:off x="0" y="6927"/>
          <a:ext cx="2758875" cy="27709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1</xdr:row>
      <xdr:rowOff>0</xdr:rowOff>
    </xdr:from>
    <xdr:to>
      <xdr:col>4</xdr:col>
      <xdr:colOff>22603</xdr:colOff>
      <xdr:row>1</xdr:row>
      <xdr:rowOff>266700</xdr:rowOff>
    </xdr:to>
    <xdr:sp macro="" textlink="">
      <xdr:nvSpPr>
        <xdr:cNvPr id="2" name="CuadroTexto 1">
          <a:extLst>
            <a:ext uri="{FF2B5EF4-FFF2-40B4-BE49-F238E27FC236}">
              <a16:creationId xmlns:a16="http://schemas.microsoft.com/office/drawing/2014/main" id="{8DB502B1-90A4-4877-B982-1238BEF7E527}"/>
            </a:ext>
          </a:extLst>
        </xdr:cNvPr>
        <xdr:cNvSpPr txBox="1"/>
      </xdr:nvSpPr>
      <xdr:spPr>
        <a:xfrm>
          <a:off x="1420091" y="180109"/>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91440</xdr:colOff>
      <xdr:row>1</xdr:row>
      <xdr:rowOff>205740</xdr:rowOff>
    </xdr:from>
    <xdr:to>
      <xdr:col>2</xdr:col>
      <xdr:colOff>12212</xdr:colOff>
      <xdr:row>1</xdr:row>
      <xdr:rowOff>472440</xdr:rowOff>
    </xdr:to>
    <xdr:sp macro="" textlink="">
      <xdr:nvSpPr>
        <xdr:cNvPr id="3" name="CuadroTexto 1">
          <a:extLst>
            <a:ext uri="{FF2B5EF4-FFF2-40B4-BE49-F238E27FC236}">
              <a16:creationId xmlns:a16="http://schemas.microsoft.com/office/drawing/2014/main" id="{4120099D-F6B3-45C1-9B98-9E01797D015A}"/>
            </a:ext>
          </a:extLst>
        </xdr:cNvPr>
        <xdr:cNvSpPr txBox="1"/>
      </xdr:nvSpPr>
      <xdr:spPr>
        <a:xfrm>
          <a:off x="1219200" y="388620"/>
          <a:ext cx="2945912"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2907812</xdr:colOff>
      <xdr:row>1</xdr:row>
      <xdr:rowOff>85725</xdr:rowOff>
    </xdr:to>
    <xdr:sp macro="" textlink="">
      <xdr:nvSpPr>
        <xdr:cNvPr id="2" name="CuadroTexto 1">
          <a:extLst>
            <a:ext uri="{FF2B5EF4-FFF2-40B4-BE49-F238E27FC236}">
              <a16:creationId xmlns:a16="http://schemas.microsoft.com/office/drawing/2014/main" id="{7DF2176D-F14C-44C8-88A3-CC1083A92215}"/>
            </a:ext>
          </a:extLst>
        </xdr:cNvPr>
        <xdr:cNvSpPr txBox="1"/>
      </xdr:nvSpPr>
      <xdr:spPr>
        <a:xfrm>
          <a:off x="0" y="0"/>
          <a:ext cx="2907812" cy="27622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3955473</xdr:colOff>
      <xdr:row>0</xdr:row>
      <xdr:rowOff>76200</xdr:rowOff>
    </xdr:from>
    <xdr:to>
      <xdr:col>4</xdr:col>
      <xdr:colOff>29530</xdr:colOff>
      <xdr:row>1</xdr:row>
      <xdr:rowOff>162791</xdr:rowOff>
    </xdr:to>
    <xdr:sp macro="" textlink="">
      <xdr:nvSpPr>
        <xdr:cNvPr id="2" name="CuadroTexto 1">
          <a:extLst>
            <a:ext uri="{FF2B5EF4-FFF2-40B4-BE49-F238E27FC236}">
              <a16:creationId xmlns:a16="http://schemas.microsoft.com/office/drawing/2014/main" id="{D2018B0E-E18C-4282-AFEA-C8D740E467AC}"/>
            </a:ext>
          </a:extLst>
        </xdr:cNvPr>
        <xdr:cNvSpPr txBox="1"/>
      </xdr:nvSpPr>
      <xdr:spPr>
        <a:xfrm>
          <a:off x="5210868" y="76200"/>
          <a:ext cx="2951107" cy="26947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rgbClr val="FF0000"/>
              </a:solidFill>
            </a:rPr>
            <a:t>Clasificación del documento: CONFIDENCIAL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3682881-591F-4BCA-8EC6-09C2E1AD52F2}" name="OfficeForms.Table" displayName="OfficeForms.Table" ref="A1:M17" totalsRowShown="0">
  <autoFilter ref="A1:M17" xr:uid="{03682881-591F-4BCA-8EC6-09C2E1AD52F2}"/>
  <tableColumns count="13">
    <tableColumn id="1" xr3:uid="{AC6732CE-3BCF-4766-B761-9D0BAE214DF7}" name="Id" dataDxfId="44"/>
    <tableColumn id="2" xr3:uid="{AAFDCFCB-E1DB-4C31-BF9C-5825C9777B1C}" name="Hora de inicio"/>
    <tableColumn id="3" xr3:uid="{F4B0E955-107A-429C-BAAF-0257422643CD}" name="Hora de finalización"/>
    <tableColumn id="5" xr3:uid="{935C6CEC-DF72-46BB-B33E-5EFFCE4F9FBA}" name="Nombre" dataDxfId="43"/>
    <tableColumn id="6" xr3:uid="{8526A7D3-1A83-4341-AD15-1D6631A5D658}" name="Cliente" dataDxfId="42"/>
    <tableColumn id="7" xr3:uid="{78655E68-86E8-4F6D-81A3-A207FCF678C4}" name="Proyecto / Campaña" dataDxfId="41"/>
    <tableColumn id="8" xr3:uid="{8C1913F0-E676-4139-AD41-2447700B267F}" name="Explícanos cómo se calcula el PAGO al trabajador (estándar)._x000a_Ten en cuenta los siguientes puntos a la hora de desarrollarlo:  ¿Se paga por visita, por horas, o mixto? ¿Qué variables determinan el pago" dataDxfId="40"/>
    <tableColumn id="9" xr3:uid="{344D6EF1-8BBC-49D7-B562-DCEB3D97A44B}" name="Explícanos cómo se calcula la FACTURACIÓN al cliente (operativa)._x000a_Ten en cuenta los siguientes puntos a la hora de desarrollarlo:_x000a_ ¿La facturación sigue la misma lógica que el pago o cambia?  ¿Qué se " dataDxfId="39"/>
    <tableColumn id="10" xr3:uid="{E0D5A9D9-B699-4B49-B7D3-AB1A060DEDDE}" name="¿Hay LOGÍSTICA u otros conceptos asociados (almacen, FEE...)? Explícanos cómo se factura y cómo se traslada al cliente._x000a_Ten en cuenta los siguientes puntos a la hora de desarrollarlo:_x000a_Proveedor/es (p." dataDxfId="38"/>
    <tableColumn id="11" xr3:uid="{C85CB588-7C77-48A3-BF0C-F86E81AB4FA0}" name="Lista y explica TODAS las situaciones no estándar que se puedan dar (aunque sean habituales)._x000a_Ten en cuenta los siguientes puntos a la hora de desarrollarlo:_x000a_ Segundas/terceras visitas: ¿cuándo ocurre" dataDxfId="37"/>
    <tableColumn id="12" xr3:uid="{B86309B2-D937-4440-B07F-CAFB38C2571D}" name="¿Hay conceptos fuera de lo estándar que debamos contemplar en pagos?_x000a_Ten en cuenta los siguientes puntos a la hora de desarrollarlo:adelantos/anticipos, pagos fuera de ciclo, embargos/descuentos, abse" dataDxfId="36"/>
    <tableColumn id="13" xr3:uid="{27A53D1A-C6B5-4166-8879-A5808DF80766}" name="¿Hay conceptos fuera de lo estándar que debamos contemplar en facturación?" dataDxfId="35"/>
    <tableColumn id="14" xr3:uid="{0FADDB67-4D9D-4705-B024-72D4D39BDF2F}" name="Adjunta cualquier documento que contenta información que apoye la información facilitada (email, captura de pantalla, Excel/PDF/tabla de precios/condiciones, etc...)_x000a_" dataDxfId="34"/>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talento-sigespana.bizneohr.com/" TargetMode="External"/><Relationship Id="rId3" Type="http://schemas.openxmlformats.org/officeDocument/2006/relationships/hyperlink" Target="https://apidocs.intratime.es/" TargetMode="External"/><Relationship Id="rId7" Type="http://schemas.openxmlformats.org/officeDocument/2006/relationships/hyperlink" Target="https://sig.sgpv.es/export/ExportData.php" TargetMode="External"/><Relationship Id="rId2" Type="http://schemas.openxmlformats.org/officeDocument/2006/relationships/hyperlink" Target="https://a3developers.wolterskluwer.es/apis" TargetMode="External"/><Relationship Id="rId1" Type="http://schemas.openxmlformats.org/officeDocument/2006/relationships/hyperlink" Target="https://a3responde.wolterskluwer.com/es/s/article/conectia-que-es-y-como-funciona" TargetMode="External"/><Relationship Id="rId6" Type="http://schemas.openxmlformats.org/officeDocument/2006/relationships/hyperlink" Target="mailto:plataforma.sig@sigespana.es" TargetMode="External"/><Relationship Id="rId5" Type="http://schemas.openxmlformats.org/officeDocument/2006/relationships/hyperlink" Target="mailto:plataforma.sig@sigespana.es" TargetMode="External"/><Relationship Id="rId10" Type="http://schemas.openxmlformats.org/officeDocument/2006/relationships/drawing" Target="../drawings/drawing3.xml"/><Relationship Id="rId4" Type="http://schemas.openxmlformats.org/officeDocument/2006/relationships/hyperlink" Target="https://developers.payhawk.com/"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sigespana.sharepoint.com/:x:/s/msteams_6e3448_001962-CIERRES/IQD3vuHoV_xhTqAfYJ1-HVaHAQSf4JwZogDeRyj3gcuQZK0?e=8AwRfe" TargetMode="External"/><Relationship Id="rId2" Type="http://schemas.openxmlformats.org/officeDocument/2006/relationships/hyperlink" Target="https://sigespana.sharepoint.com/:x:/s/msteams_6e3448_001962-CIERRES/IQAJQ9TMaf5rRosG4pdsQQoWATJGMqiUmJMeIgYFkhlbvks?e=hrHGZB" TargetMode="External"/><Relationship Id="rId1" Type="http://schemas.openxmlformats.org/officeDocument/2006/relationships/hyperlink" Target="https://sigespana.sharepoint.com/:x:/s/msteams_6e3448_001962-CIERRES/IQCgLgUpk5lfSZBrYjnmUaROAdVzjJ7pdbtxC-W8ezs0P1s?e=CIIjc1"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sigespana.sharepoint.com/:x:/s/msteams_6e3448_001962-CIERRES/IQBME6KdUeqJQqHFjlSg6QtyAUV3KvJ-uafBtIRwqVshPAw?e=1v6TEC"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4.bin"/><Relationship Id="rId1" Type="http://schemas.openxmlformats.org/officeDocument/2006/relationships/hyperlink" Target="https://sigespana.sharepoint.com/:x:/s/msteams_fab5ca_757868-INTERNO/IQC4WyGfOH0rSq1bf5Hx-u73ASRh8PJ28IptYHjgT4CMzac?e=L1DeFr"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7EC63-AC9E-447B-9FED-34E2FEC64BC6}">
  <sheetPr codeName="Hoja6">
    <tabColor theme="9"/>
    <pageSetUpPr fitToPage="1"/>
  </sheetPr>
  <dimension ref="A1:BN135"/>
  <sheetViews>
    <sheetView showGridLines="0" showRuler="0" zoomScale="90" zoomScaleNormal="90" zoomScalePageLayoutView="70" workbookViewId="0">
      <pane ySplit="5" topLeftCell="A78" activePane="bottomLeft" state="frozen"/>
      <selection activeCell="C1" sqref="C1"/>
      <selection pane="bottomLeft" activeCell="F83" sqref="F83"/>
    </sheetView>
  </sheetViews>
  <sheetFormatPr baseColWidth="10" defaultColWidth="9.109375" defaultRowHeight="30" customHeight="1"/>
  <cols>
    <col min="1" max="1" width="5.6640625" style="8" bestFit="1" customWidth="1"/>
    <col min="2" max="2" width="6.88671875" style="16" customWidth="1"/>
    <col min="3" max="3" width="96.109375" style="8" bestFit="1" customWidth="1"/>
    <col min="4" max="5" width="16.109375" style="8" customWidth="1"/>
    <col min="6" max="6" width="10.88671875" style="8" customWidth="1"/>
    <col min="7" max="7" width="10.44140625" style="18" customWidth="1"/>
    <col min="8" max="8" width="10.44140625" style="8" customWidth="1"/>
    <col min="9" max="9" width="2.88671875" style="8" customWidth="1"/>
    <col min="10" max="10" width="0.5546875" style="8" customWidth="1"/>
    <col min="11" max="16" width="3.109375" style="8" customWidth="1"/>
    <col min="17" max="17" width="4.88671875" style="8" customWidth="1"/>
    <col min="18" max="18" width="3.109375" style="132" customWidth="1"/>
    <col min="19" max="24" width="3.109375" style="8" customWidth="1"/>
    <col min="25" max="25" width="3.109375" style="132" customWidth="1"/>
    <col min="26" max="31" width="3.109375" style="8" customWidth="1"/>
    <col min="32" max="32" width="3.109375" style="132" customWidth="1"/>
    <col min="33" max="38" width="3.109375" style="8" customWidth="1"/>
    <col min="39" max="39" width="3" style="132" bestFit="1" customWidth="1"/>
    <col min="40" max="40" width="3" style="8" bestFit="1" customWidth="1"/>
    <col min="41" max="45" width="2.88671875" style="8" bestFit="1" customWidth="1"/>
    <col min="46" max="51" width="3.109375" style="8" customWidth="1"/>
    <col min="52" max="52" width="4.88671875" style="8" customWidth="1"/>
    <col min="53" max="58" width="3.109375" style="8" customWidth="1"/>
    <col min="59" max="59" width="4.109375" style="8" customWidth="1"/>
    <col min="60" max="65" width="3.109375" style="8" customWidth="1"/>
    <col min="66" max="66" width="5.5546875" style="8" customWidth="1"/>
    <col min="67" max="16384" width="9.109375" style="8"/>
  </cols>
  <sheetData>
    <row r="1" spans="1:66" ht="30" customHeight="1">
      <c r="B1" s="9" t="s">
        <v>0</v>
      </c>
      <c r="C1" s="10" t="s">
        <v>1</v>
      </c>
      <c r="D1" s="11"/>
      <c r="E1" s="11"/>
      <c r="F1" s="12"/>
      <c r="G1" s="13"/>
      <c r="H1" s="14"/>
      <c r="J1" s="12"/>
      <c r="K1" s="15"/>
    </row>
    <row r="2" spans="1:66" ht="20.25" customHeight="1">
      <c r="B2" s="16" t="s">
        <v>2</v>
      </c>
      <c r="C2" s="17"/>
      <c r="K2" s="19"/>
    </row>
    <row r="3" spans="1:66" ht="14.25" customHeight="1">
      <c r="B3" s="16" t="s">
        <v>3</v>
      </c>
      <c r="C3" s="20"/>
      <c r="D3" s="301" t="s">
        <v>4</v>
      </c>
      <c r="E3" s="301"/>
      <c r="F3" s="301"/>
      <c r="G3" s="302">
        <v>46120</v>
      </c>
      <c r="H3" s="302"/>
    </row>
    <row r="4" spans="1:66" ht="12" customHeight="1">
      <c r="B4" s="9" t="s">
        <v>5</v>
      </c>
      <c r="C4" s="1"/>
      <c r="D4" s="301" t="s">
        <v>6</v>
      </c>
      <c r="E4" s="301"/>
      <c r="F4" s="301"/>
      <c r="G4" s="21">
        <v>1</v>
      </c>
      <c r="K4" s="300">
        <f>K5</f>
        <v>46118</v>
      </c>
      <c r="L4" s="300"/>
      <c r="M4" s="300"/>
      <c r="N4" s="300"/>
      <c r="O4" s="300"/>
      <c r="P4" s="300"/>
      <c r="Q4" s="300"/>
      <c r="R4" s="300">
        <f>R5</f>
        <v>46125</v>
      </c>
      <c r="S4" s="300"/>
      <c r="T4" s="300"/>
      <c r="U4" s="300"/>
      <c r="V4" s="300"/>
      <c r="W4" s="300"/>
      <c r="X4" s="300"/>
      <c r="Y4" s="300">
        <f>Y5</f>
        <v>46132</v>
      </c>
      <c r="Z4" s="300"/>
      <c r="AA4" s="300"/>
      <c r="AB4" s="300"/>
      <c r="AC4" s="300"/>
      <c r="AD4" s="300"/>
      <c r="AE4" s="300"/>
      <c r="AF4" s="300">
        <f>AF5</f>
        <v>46139</v>
      </c>
      <c r="AG4" s="300"/>
      <c r="AH4" s="300"/>
      <c r="AI4" s="300"/>
      <c r="AJ4" s="300"/>
      <c r="AK4" s="300"/>
      <c r="AL4" s="300"/>
      <c r="AM4" s="300">
        <f>AM5</f>
        <v>46146</v>
      </c>
      <c r="AN4" s="300"/>
      <c r="AO4" s="300"/>
      <c r="AP4" s="300"/>
      <c r="AQ4" s="300"/>
      <c r="AR4" s="300"/>
      <c r="AS4" s="300"/>
      <c r="AT4" s="300">
        <f>AT5</f>
        <v>46153</v>
      </c>
      <c r="AU4" s="300"/>
      <c r="AV4" s="300"/>
      <c r="AW4" s="300"/>
      <c r="AX4" s="300"/>
      <c r="AY4" s="300"/>
      <c r="AZ4" s="300"/>
      <c r="BA4" s="300">
        <f>BA5</f>
        <v>46160</v>
      </c>
      <c r="BB4" s="300"/>
      <c r="BC4" s="300"/>
      <c r="BD4" s="300"/>
      <c r="BE4" s="300"/>
      <c r="BF4" s="300"/>
      <c r="BG4" s="300"/>
      <c r="BH4" s="300">
        <f>BH5</f>
        <v>46167</v>
      </c>
      <c r="BI4" s="300"/>
      <c r="BJ4" s="300"/>
      <c r="BK4" s="300"/>
      <c r="BL4" s="300"/>
      <c r="BM4" s="300"/>
      <c r="BN4" s="300"/>
    </row>
    <row r="5" spans="1:66" ht="15" customHeight="1">
      <c r="B5" s="9" t="s">
        <v>7</v>
      </c>
      <c r="C5" s="22"/>
      <c r="D5" s="22"/>
      <c r="E5" s="22"/>
      <c r="F5" s="22"/>
      <c r="G5" s="22"/>
      <c r="H5" s="22"/>
      <c r="I5" s="22"/>
      <c r="K5" s="23">
        <f>Inicio_del_proyecto-WEEKDAY(Inicio_del_proyecto,1)+2+7*(Semana_para_mostrar-1)</f>
        <v>46118</v>
      </c>
      <c r="L5" s="24">
        <f>K5+1</f>
        <v>46119</v>
      </c>
      <c r="M5" s="24">
        <f t="shared" ref="M5:AZ5" si="0">L5+1</f>
        <v>46120</v>
      </c>
      <c r="N5" s="24">
        <f t="shared" si="0"/>
        <v>46121</v>
      </c>
      <c r="O5" s="24">
        <f t="shared" si="0"/>
        <v>46122</v>
      </c>
      <c r="P5" s="24">
        <f t="shared" si="0"/>
        <v>46123</v>
      </c>
      <c r="Q5" s="25">
        <f t="shared" si="0"/>
        <v>46124</v>
      </c>
      <c r="R5" s="133">
        <f>Q5+1</f>
        <v>46125</v>
      </c>
      <c r="S5" s="24">
        <f>R5+1</f>
        <v>46126</v>
      </c>
      <c r="T5" s="24">
        <f t="shared" si="0"/>
        <v>46127</v>
      </c>
      <c r="U5" s="24">
        <f t="shared" si="0"/>
        <v>46128</v>
      </c>
      <c r="V5" s="24">
        <f t="shared" si="0"/>
        <v>46129</v>
      </c>
      <c r="W5" s="24">
        <f t="shared" si="0"/>
        <v>46130</v>
      </c>
      <c r="X5" s="25">
        <f t="shared" si="0"/>
        <v>46131</v>
      </c>
      <c r="Y5" s="133">
        <f>X5+1</f>
        <v>46132</v>
      </c>
      <c r="Z5" s="24">
        <f>Y5+1</f>
        <v>46133</v>
      </c>
      <c r="AA5" s="24">
        <f t="shared" si="0"/>
        <v>46134</v>
      </c>
      <c r="AB5" s="24">
        <f t="shared" si="0"/>
        <v>46135</v>
      </c>
      <c r="AC5" s="24">
        <f t="shared" si="0"/>
        <v>46136</v>
      </c>
      <c r="AD5" s="24">
        <f t="shared" si="0"/>
        <v>46137</v>
      </c>
      <c r="AE5" s="25">
        <f t="shared" si="0"/>
        <v>46138</v>
      </c>
      <c r="AF5" s="133">
        <f>AE5+1</f>
        <v>46139</v>
      </c>
      <c r="AG5" s="24">
        <f>AF5+1</f>
        <v>46140</v>
      </c>
      <c r="AH5" s="24">
        <f t="shared" si="0"/>
        <v>46141</v>
      </c>
      <c r="AI5" s="24">
        <f t="shared" si="0"/>
        <v>46142</v>
      </c>
      <c r="AJ5" s="24">
        <f t="shared" si="0"/>
        <v>46143</v>
      </c>
      <c r="AK5" s="24">
        <f t="shared" si="0"/>
        <v>46144</v>
      </c>
      <c r="AL5" s="25">
        <f t="shared" si="0"/>
        <v>46145</v>
      </c>
      <c r="AM5" s="133">
        <f>AL5+1</f>
        <v>46146</v>
      </c>
      <c r="AN5" s="24">
        <f>AM5+1</f>
        <v>46147</v>
      </c>
      <c r="AO5" s="24">
        <f t="shared" si="0"/>
        <v>46148</v>
      </c>
      <c r="AP5" s="24">
        <f t="shared" si="0"/>
        <v>46149</v>
      </c>
      <c r="AQ5" s="24">
        <f t="shared" si="0"/>
        <v>46150</v>
      </c>
      <c r="AR5" s="24">
        <f t="shared" si="0"/>
        <v>46151</v>
      </c>
      <c r="AS5" s="25">
        <f t="shared" si="0"/>
        <v>46152</v>
      </c>
      <c r="AT5" s="23">
        <f>AS5+1</f>
        <v>46153</v>
      </c>
      <c r="AU5" s="24">
        <f>AT5+1</f>
        <v>46154</v>
      </c>
      <c r="AV5" s="24">
        <f t="shared" si="0"/>
        <v>46155</v>
      </c>
      <c r="AW5" s="24">
        <f t="shared" si="0"/>
        <v>46156</v>
      </c>
      <c r="AX5" s="24">
        <f t="shared" si="0"/>
        <v>46157</v>
      </c>
      <c r="AY5" s="24">
        <f t="shared" si="0"/>
        <v>46158</v>
      </c>
      <c r="AZ5" s="25">
        <f t="shared" si="0"/>
        <v>46159</v>
      </c>
      <c r="BA5" s="23">
        <f>AZ5+1</f>
        <v>46160</v>
      </c>
      <c r="BB5" s="24">
        <f>BA5+1</f>
        <v>46161</v>
      </c>
      <c r="BC5" s="24">
        <f t="shared" ref="BC5:BG5" si="1">BB5+1</f>
        <v>46162</v>
      </c>
      <c r="BD5" s="24">
        <f t="shared" si="1"/>
        <v>46163</v>
      </c>
      <c r="BE5" s="24">
        <f t="shared" si="1"/>
        <v>46164</v>
      </c>
      <c r="BF5" s="24">
        <f t="shared" si="1"/>
        <v>46165</v>
      </c>
      <c r="BG5" s="25">
        <f t="shared" si="1"/>
        <v>46166</v>
      </c>
      <c r="BH5" s="23">
        <f>BG5+1</f>
        <v>46167</v>
      </c>
      <c r="BI5" s="24">
        <f>BH5+1</f>
        <v>46168</v>
      </c>
      <c r="BJ5" s="24">
        <f t="shared" ref="BJ5:BN5" si="2">BI5+1</f>
        <v>46169</v>
      </c>
      <c r="BK5" s="24">
        <f t="shared" si="2"/>
        <v>46170</v>
      </c>
      <c r="BL5" s="24">
        <f t="shared" si="2"/>
        <v>46171</v>
      </c>
      <c r="BM5" s="24">
        <f t="shared" si="2"/>
        <v>46172</v>
      </c>
      <c r="BN5" s="25">
        <f t="shared" si="2"/>
        <v>46173</v>
      </c>
    </row>
    <row r="6" spans="1:66" ht="30" customHeight="1" thickBot="1">
      <c r="A6" s="8" t="s">
        <v>8</v>
      </c>
      <c r="B6" s="16" t="s">
        <v>9</v>
      </c>
      <c r="C6" s="8" t="s">
        <v>10</v>
      </c>
      <c r="D6" s="8" t="s">
        <v>11</v>
      </c>
      <c r="E6" s="8" t="s">
        <v>12</v>
      </c>
      <c r="F6" s="8" t="s">
        <v>13</v>
      </c>
      <c r="G6" s="18" t="s">
        <v>14</v>
      </c>
      <c r="H6" s="8" t="s">
        <v>15</v>
      </c>
      <c r="J6" s="8" t="s">
        <v>16</v>
      </c>
      <c r="K6" s="8" t="str">
        <f t="shared" ref="K6:BN6" si="3">LEFT(TEXT(K5,"ddd"),1)</f>
        <v>l</v>
      </c>
      <c r="L6" s="8" t="str">
        <f t="shared" si="3"/>
        <v>m</v>
      </c>
      <c r="M6" s="8" t="str">
        <f t="shared" si="3"/>
        <v>m</v>
      </c>
      <c r="N6" s="8" t="str">
        <f t="shared" si="3"/>
        <v>j</v>
      </c>
      <c r="O6" s="8" t="str">
        <f t="shared" si="3"/>
        <v>v</v>
      </c>
      <c r="P6" s="8" t="str">
        <f t="shared" si="3"/>
        <v>s</v>
      </c>
      <c r="Q6" s="8" t="str">
        <f t="shared" si="3"/>
        <v>d</v>
      </c>
      <c r="R6" s="132" t="str">
        <f t="shared" si="3"/>
        <v>l</v>
      </c>
      <c r="S6" s="8" t="str">
        <f t="shared" si="3"/>
        <v>m</v>
      </c>
      <c r="T6" s="8" t="str">
        <f t="shared" si="3"/>
        <v>m</v>
      </c>
      <c r="U6" s="8" t="str">
        <f t="shared" si="3"/>
        <v>j</v>
      </c>
      <c r="V6" s="8" t="str">
        <f t="shared" si="3"/>
        <v>v</v>
      </c>
      <c r="W6" s="8" t="str">
        <f t="shared" si="3"/>
        <v>s</v>
      </c>
      <c r="X6" s="8" t="str">
        <f t="shared" si="3"/>
        <v>d</v>
      </c>
      <c r="Y6" s="132" t="str">
        <f t="shared" si="3"/>
        <v>l</v>
      </c>
      <c r="Z6" s="8" t="str">
        <f t="shared" si="3"/>
        <v>m</v>
      </c>
      <c r="AA6" s="8" t="str">
        <f t="shared" si="3"/>
        <v>m</v>
      </c>
      <c r="AB6" s="8" t="str">
        <f t="shared" si="3"/>
        <v>j</v>
      </c>
      <c r="AC6" s="8" t="str">
        <f t="shared" si="3"/>
        <v>v</v>
      </c>
      <c r="AD6" s="8" t="str">
        <f t="shared" si="3"/>
        <v>s</v>
      </c>
      <c r="AE6" s="8" t="str">
        <f t="shared" si="3"/>
        <v>d</v>
      </c>
      <c r="AF6" s="132" t="str">
        <f t="shared" si="3"/>
        <v>l</v>
      </c>
      <c r="AG6" s="8" t="str">
        <f t="shared" si="3"/>
        <v>m</v>
      </c>
      <c r="AH6" s="8" t="str">
        <f t="shared" si="3"/>
        <v>m</v>
      </c>
      <c r="AI6" s="8" t="str">
        <f t="shared" si="3"/>
        <v>j</v>
      </c>
      <c r="AJ6" s="8" t="str">
        <f t="shared" si="3"/>
        <v>v</v>
      </c>
      <c r="AK6" s="8" t="str">
        <f t="shared" si="3"/>
        <v>s</v>
      </c>
      <c r="AL6" s="8" t="str">
        <f t="shared" si="3"/>
        <v>d</v>
      </c>
      <c r="AM6" s="132" t="str">
        <f t="shared" si="3"/>
        <v>l</v>
      </c>
      <c r="AN6" s="8" t="str">
        <f t="shared" si="3"/>
        <v>m</v>
      </c>
      <c r="AO6" s="8" t="str">
        <f t="shared" si="3"/>
        <v>m</v>
      </c>
      <c r="AP6" s="8" t="str">
        <f t="shared" si="3"/>
        <v>j</v>
      </c>
      <c r="AQ6" s="8" t="str">
        <f t="shared" si="3"/>
        <v>v</v>
      </c>
      <c r="AR6" s="8" t="str">
        <f t="shared" si="3"/>
        <v>s</v>
      </c>
      <c r="AS6" s="8" t="str">
        <f t="shared" si="3"/>
        <v>d</v>
      </c>
      <c r="AT6" s="8" t="str">
        <f t="shared" si="3"/>
        <v>l</v>
      </c>
      <c r="AU6" s="8" t="str">
        <f t="shared" si="3"/>
        <v>m</v>
      </c>
      <c r="AV6" s="8" t="str">
        <f t="shared" si="3"/>
        <v>m</v>
      </c>
      <c r="AW6" s="8" t="str">
        <f t="shared" si="3"/>
        <v>j</v>
      </c>
      <c r="AX6" s="8" t="str">
        <f t="shared" si="3"/>
        <v>v</v>
      </c>
      <c r="AY6" s="8" t="str">
        <f t="shared" si="3"/>
        <v>s</v>
      </c>
      <c r="AZ6" s="8" t="str">
        <f t="shared" si="3"/>
        <v>d</v>
      </c>
      <c r="BA6" s="8" t="str">
        <f t="shared" si="3"/>
        <v>l</v>
      </c>
      <c r="BB6" s="8" t="str">
        <f t="shared" si="3"/>
        <v>m</v>
      </c>
      <c r="BC6" s="8" t="str">
        <f t="shared" si="3"/>
        <v>m</v>
      </c>
      <c r="BD6" s="8" t="str">
        <f t="shared" si="3"/>
        <v>j</v>
      </c>
      <c r="BE6" s="8" t="str">
        <f t="shared" si="3"/>
        <v>v</v>
      </c>
      <c r="BF6" s="8" t="str">
        <f t="shared" si="3"/>
        <v>s</v>
      </c>
      <c r="BG6" s="8" t="str">
        <f t="shared" si="3"/>
        <v>d</v>
      </c>
      <c r="BH6" s="8" t="str">
        <f t="shared" si="3"/>
        <v>l</v>
      </c>
      <c r="BI6" s="8" t="str">
        <f t="shared" si="3"/>
        <v>m</v>
      </c>
      <c r="BJ6" s="8" t="str">
        <f t="shared" si="3"/>
        <v>m</v>
      </c>
      <c r="BK6" s="8" t="str">
        <f t="shared" si="3"/>
        <v>j</v>
      </c>
      <c r="BL6" s="8" t="str">
        <f t="shared" si="3"/>
        <v>v</v>
      </c>
      <c r="BM6" s="8" t="str">
        <f t="shared" si="3"/>
        <v>s</v>
      </c>
      <c r="BN6" s="8" t="str">
        <f t="shared" si="3"/>
        <v>d</v>
      </c>
    </row>
    <row r="7" spans="1:66" ht="30" customHeight="1" thickBot="1">
      <c r="A7" s="8" t="s">
        <v>17</v>
      </c>
      <c r="B7" s="27">
        <v>0</v>
      </c>
      <c r="C7" s="109" t="s">
        <v>18</v>
      </c>
      <c r="D7" s="28"/>
      <c r="E7" s="28"/>
      <c r="F7" s="29"/>
      <c r="G7" s="30"/>
      <c r="H7" s="31"/>
      <c r="K7" s="26"/>
      <c r="L7" s="26"/>
      <c r="M7" s="26"/>
      <c r="N7" s="26"/>
      <c r="O7" s="26"/>
      <c r="P7" s="26"/>
      <c r="Q7" s="26"/>
      <c r="R7" s="134"/>
      <c r="S7" s="26"/>
      <c r="T7" s="26"/>
      <c r="U7" s="26"/>
      <c r="V7" s="26"/>
      <c r="W7" s="26"/>
      <c r="X7" s="26"/>
      <c r="Y7" s="134"/>
      <c r="Z7" s="26"/>
      <c r="AA7" s="26"/>
      <c r="AB7" s="26"/>
      <c r="AC7" s="26"/>
      <c r="AD7" s="26"/>
      <c r="AE7" s="26"/>
      <c r="AF7" s="134"/>
      <c r="AG7" s="26"/>
      <c r="AH7" s="26"/>
      <c r="AI7" s="26"/>
      <c r="AJ7" s="26"/>
      <c r="AK7" s="26"/>
      <c r="AL7" s="26"/>
      <c r="AM7" s="134"/>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row>
    <row r="8" spans="1:66" ht="30" customHeight="1" thickBot="1">
      <c r="A8" s="8" t="s">
        <v>17</v>
      </c>
      <c r="C8" s="126" t="s">
        <v>19</v>
      </c>
      <c r="D8" s="33" t="s">
        <v>20</v>
      </c>
      <c r="E8" s="33"/>
      <c r="F8" s="34"/>
      <c r="G8" s="35"/>
      <c r="H8" s="35"/>
      <c r="K8" s="26"/>
      <c r="L8" s="26"/>
      <c r="M8" s="26"/>
      <c r="N8" s="26"/>
      <c r="O8" s="26"/>
      <c r="P8" s="26"/>
      <c r="Q8" s="26"/>
      <c r="R8" s="134"/>
      <c r="S8" s="26"/>
      <c r="T8" s="26"/>
      <c r="U8" s="26"/>
      <c r="V8" s="26"/>
      <c r="W8" s="26"/>
      <c r="X8" s="26"/>
      <c r="Y8" s="134"/>
      <c r="Z8" s="26"/>
      <c r="AA8" s="26"/>
      <c r="AB8" s="26"/>
      <c r="AC8" s="26"/>
      <c r="AD8" s="26"/>
      <c r="AE8" s="26"/>
      <c r="AF8" s="134"/>
      <c r="AG8" s="26"/>
      <c r="AH8" s="26"/>
      <c r="AI8" s="26"/>
      <c r="AJ8" s="26"/>
      <c r="AK8" s="26"/>
      <c r="AL8" s="26"/>
      <c r="AM8" s="134"/>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row>
    <row r="9" spans="1:66" ht="30" customHeight="1" thickBot="1">
      <c r="A9" s="8" t="s">
        <v>17</v>
      </c>
      <c r="C9" s="124" t="s">
        <v>21</v>
      </c>
      <c r="D9" s="33" t="s">
        <v>20</v>
      </c>
      <c r="E9" s="33"/>
      <c r="F9" s="34">
        <v>1</v>
      </c>
      <c r="G9" s="35">
        <v>46123</v>
      </c>
      <c r="H9" s="35">
        <v>46127</v>
      </c>
      <c r="K9" s="26"/>
      <c r="L9" s="26"/>
      <c r="M9" s="26"/>
      <c r="N9" s="26"/>
      <c r="O9" s="26"/>
      <c r="P9" s="26"/>
      <c r="Q9" s="26"/>
      <c r="R9" s="134"/>
      <c r="S9" s="26"/>
      <c r="T9" s="26"/>
      <c r="U9" s="26"/>
      <c r="V9" s="26"/>
      <c r="W9" s="26"/>
      <c r="X9" s="26"/>
      <c r="Y9" s="134"/>
      <c r="Z9" s="26"/>
      <c r="AA9" s="26"/>
      <c r="AB9" s="26"/>
      <c r="AC9" s="26"/>
      <c r="AD9" s="26"/>
      <c r="AE9" s="26"/>
      <c r="AF9" s="134"/>
      <c r="AG9" s="26"/>
      <c r="AH9" s="26"/>
      <c r="AI9" s="26"/>
      <c r="AJ9" s="26"/>
      <c r="AK9" s="26"/>
      <c r="AL9" s="26"/>
      <c r="AM9" s="134"/>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row>
    <row r="10" spans="1:66" ht="30" customHeight="1" thickBot="1">
      <c r="A10" s="8" t="s">
        <v>17</v>
      </c>
      <c r="C10" s="124" t="s">
        <v>22</v>
      </c>
      <c r="D10" s="33" t="s">
        <v>20</v>
      </c>
      <c r="E10" s="33"/>
      <c r="F10" s="34">
        <v>1</v>
      </c>
      <c r="G10" s="35">
        <v>46123</v>
      </c>
      <c r="H10" s="35">
        <v>46127</v>
      </c>
      <c r="K10" s="26"/>
      <c r="L10" s="26"/>
      <c r="M10" s="26"/>
      <c r="N10" s="26"/>
      <c r="O10" s="26"/>
      <c r="P10" s="26"/>
      <c r="Q10" s="26"/>
      <c r="R10" s="134"/>
      <c r="S10" s="26"/>
      <c r="T10" s="26"/>
      <c r="U10" s="26"/>
      <c r="V10" s="26"/>
      <c r="W10" s="26"/>
      <c r="X10" s="26"/>
      <c r="Y10" s="134"/>
      <c r="Z10" s="26"/>
      <c r="AA10" s="26"/>
      <c r="AB10" s="26"/>
      <c r="AC10" s="26"/>
      <c r="AD10" s="26"/>
      <c r="AE10" s="26"/>
      <c r="AF10" s="134"/>
      <c r="AG10" s="26"/>
      <c r="AH10" s="26"/>
      <c r="AI10" s="26"/>
      <c r="AJ10" s="26"/>
      <c r="AK10" s="26"/>
      <c r="AL10" s="26"/>
      <c r="AM10" s="134"/>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row>
    <row r="11" spans="1:66" ht="30" customHeight="1" thickBot="1">
      <c r="A11" s="8" t="s">
        <v>17</v>
      </c>
      <c r="C11" s="124" t="s">
        <v>23</v>
      </c>
      <c r="D11" s="33" t="s">
        <v>20</v>
      </c>
      <c r="E11" s="33"/>
      <c r="F11" s="34">
        <v>1</v>
      </c>
      <c r="G11" s="35">
        <v>46123</v>
      </c>
      <c r="H11" s="35">
        <v>46127</v>
      </c>
      <c r="K11" s="26"/>
      <c r="L11" s="26"/>
      <c r="M11" s="26"/>
      <c r="N11" s="26"/>
      <c r="O11" s="26"/>
      <c r="P11" s="26"/>
      <c r="Q11" s="26"/>
      <c r="R11" s="134"/>
      <c r="S11" s="26"/>
      <c r="T11" s="26"/>
      <c r="U11" s="26"/>
      <c r="V11" s="26"/>
      <c r="W11" s="26"/>
      <c r="X11" s="26"/>
      <c r="Y11" s="134"/>
      <c r="Z11" s="26"/>
      <c r="AA11" s="26"/>
      <c r="AB11" s="26"/>
      <c r="AC11" s="26"/>
      <c r="AD11" s="26"/>
      <c r="AE11" s="26"/>
      <c r="AF11" s="134"/>
      <c r="AG11" s="26"/>
      <c r="AH11" s="26"/>
      <c r="AI11" s="26"/>
      <c r="AJ11" s="26"/>
      <c r="AK11" s="26"/>
      <c r="AL11" s="26"/>
      <c r="AM11" s="134"/>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row>
    <row r="12" spans="1:66" ht="30" customHeight="1" thickBot="1">
      <c r="A12" s="8" t="s">
        <v>17</v>
      </c>
      <c r="C12" s="124" t="s">
        <v>24</v>
      </c>
      <c r="D12" s="33" t="s">
        <v>20</v>
      </c>
      <c r="E12" s="33"/>
      <c r="F12" s="34">
        <v>1</v>
      </c>
      <c r="G12" s="35">
        <v>46120</v>
      </c>
      <c r="H12" s="35">
        <v>46120</v>
      </c>
      <c r="K12" s="26"/>
      <c r="L12" s="26"/>
      <c r="M12" s="26"/>
      <c r="N12" s="26"/>
      <c r="O12" s="26"/>
      <c r="P12" s="26"/>
      <c r="Q12" s="26"/>
      <c r="R12" s="134"/>
      <c r="S12" s="26"/>
      <c r="T12" s="26"/>
      <c r="U12" s="26"/>
      <c r="V12" s="26"/>
      <c r="W12" s="26"/>
      <c r="X12" s="26"/>
      <c r="Y12" s="134"/>
      <c r="Z12" s="26"/>
      <c r="AA12" s="26"/>
      <c r="AB12" s="26"/>
      <c r="AC12" s="26"/>
      <c r="AD12" s="26"/>
      <c r="AE12" s="26"/>
      <c r="AF12" s="134"/>
      <c r="AG12" s="26"/>
      <c r="AH12" s="26"/>
      <c r="AI12" s="26"/>
      <c r="AJ12" s="26"/>
      <c r="AK12" s="26"/>
      <c r="AL12" s="26"/>
      <c r="AM12" s="134"/>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row>
    <row r="13" spans="1:66" ht="30" customHeight="1" thickBot="1">
      <c r="A13" s="8" t="s">
        <v>17</v>
      </c>
      <c r="C13" s="32" t="s">
        <v>25</v>
      </c>
      <c r="D13" s="33" t="s">
        <v>20</v>
      </c>
      <c r="E13" s="33"/>
      <c r="F13" s="34">
        <v>1</v>
      </c>
      <c r="G13" s="35">
        <v>46162</v>
      </c>
      <c r="H13" s="35">
        <v>46162</v>
      </c>
      <c r="K13" s="26"/>
      <c r="L13" s="26"/>
      <c r="M13" s="26"/>
      <c r="N13" s="26"/>
      <c r="O13" s="26"/>
      <c r="P13" s="26"/>
      <c r="Q13" s="26"/>
      <c r="R13" s="134"/>
      <c r="S13" s="26"/>
      <c r="T13" s="26"/>
      <c r="U13" s="26"/>
      <c r="V13" s="26"/>
      <c r="W13" s="26"/>
      <c r="X13" s="26"/>
      <c r="Y13" s="134"/>
      <c r="Z13" s="26"/>
      <c r="AA13" s="26"/>
      <c r="AB13" s="26"/>
      <c r="AC13" s="26"/>
      <c r="AD13" s="26"/>
      <c r="AE13" s="26"/>
      <c r="AF13" s="134"/>
      <c r="AG13" s="26"/>
      <c r="AH13" s="26"/>
      <c r="AI13" s="26"/>
      <c r="AJ13" s="26"/>
      <c r="AK13" s="26"/>
      <c r="AL13" s="26"/>
      <c r="AM13" s="134"/>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row>
    <row r="14" spans="1:66" ht="30" customHeight="1" thickBot="1">
      <c r="A14" s="8" t="s">
        <v>17</v>
      </c>
      <c r="C14" s="126" t="s">
        <v>26</v>
      </c>
      <c r="D14" s="33"/>
      <c r="E14" s="33"/>
      <c r="F14" s="34"/>
      <c r="G14" s="35"/>
      <c r="H14" s="35"/>
      <c r="K14" s="26"/>
      <c r="L14" s="26"/>
      <c r="M14" s="26"/>
      <c r="N14" s="26"/>
      <c r="O14" s="26"/>
      <c r="P14" s="26"/>
      <c r="Q14" s="26"/>
      <c r="R14" s="134"/>
      <c r="S14" s="26"/>
      <c r="T14" s="26"/>
      <c r="U14" s="26"/>
      <c r="V14" s="26"/>
      <c r="W14" s="26"/>
      <c r="X14" s="26"/>
      <c r="Y14" s="134"/>
      <c r="Z14" s="26"/>
      <c r="AA14" s="26"/>
      <c r="AB14" s="26"/>
      <c r="AC14" s="26"/>
      <c r="AD14" s="26"/>
      <c r="AE14" s="26"/>
      <c r="AF14" s="134"/>
      <c r="AG14" s="26"/>
      <c r="AH14" s="26"/>
      <c r="AI14" s="26"/>
      <c r="AJ14" s="26"/>
      <c r="AK14" s="26"/>
      <c r="AL14" s="26"/>
      <c r="AM14" s="134"/>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row>
    <row r="15" spans="1:66" ht="30" customHeight="1" thickBot="1">
      <c r="A15" s="8" t="s">
        <v>17</v>
      </c>
      <c r="C15" s="124" t="s">
        <v>27</v>
      </c>
      <c r="D15" s="33" t="s">
        <v>20</v>
      </c>
      <c r="E15" s="33"/>
      <c r="F15" s="34">
        <v>1</v>
      </c>
      <c r="G15" s="35">
        <v>46130</v>
      </c>
      <c r="H15" s="35">
        <v>46133</v>
      </c>
      <c r="K15" s="26"/>
      <c r="L15" s="26"/>
      <c r="M15" s="26"/>
      <c r="N15" s="26"/>
      <c r="O15" s="26"/>
      <c r="P15" s="26"/>
      <c r="Q15" s="26"/>
      <c r="R15" s="134"/>
      <c r="S15" s="26"/>
      <c r="T15" s="26"/>
      <c r="U15" s="26"/>
      <c r="V15" s="26"/>
      <c r="W15" s="26"/>
      <c r="X15" s="26"/>
      <c r="Y15" s="134"/>
      <c r="Z15" s="26"/>
      <c r="AA15" s="26"/>
      <c r="AB15" s="26"/>
      <c r="AC15" s="26"/>
      <c r="AD15" s="26"/>
      <c r="AE15" s="26"/>
      <c r="AF15" s="134"/>
      <c r="AG15" s="26"/>
      <c r="AH15" s="26"/>
      <c r="AI15" s="26"/>
      <c r="AJ15" s="26"/>
      <c r="AK15" s="26"/>
      <c r="AL15" s="26"/>
      <c r="AM15" s="134"/>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row>
    <row r="16" spans="1:66" ht="30" customHeight="1">
      <c r="A16" s="8" t="s">
        <v>17</v>
      </c>
      <c r="C16" s="205" t="s">
        <v>28</v>
      </c>
      <c r="D16" s="33" t="s">
        <v>20</v>
      </c>
      <c r="E16" s="33"/>
      <c r="F16" s="34">
        <v>1</v>
      </c>
      <c r="G16" s="35">
        <v>46130</v>
      </c>
      <c r="H16" s="35">
        <v>46133</v>
      </c>
      <c r="K16" s="26"/>
      <c r="L16" s="26"/>
      <c r="M16" s="26"/>
      <c r="N16" s="26"/>
      <c r="O16" s="26"/>
      <c r="P16" s="26"/>
      <c r="Q16" s="26"/>
      <c r="R16" s="134"/>
      <c r="S16" s="26"/>
      <c r="T16" s="26"/>
      <c r="U16" s="26"/>
      <c r="V16" s="26"/>
      <c r="W16" s="26"/>
      <c r="X16" s="26"/>
      <c r="Y16" s="134"/>
      <c r="Z16" s="26"/>
      <c r="AA16" s="26"/>
      <c r="AB16" s="26"/>
      <c r="AC16" s="26"/>
      <c r="AD16" s="26"/>
      <c r="AE16" s="26"/>
      <c r="AF16" s="134"/>
      <c r="AG16" s="26"/>
      <c r="AH16" s="26"/>
      <c r="AI16" s="26"/>
      <c r="AJ16" s="26"/>
      <c r="AK16" s="26"/>
      <c r="AL16" s="26"/>
      <c r="AM16" s="134"/>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row>
    <row r="17" spans="1:66" ht="30" customHeight="1" thickBot="1">
      <c r="A17" s="8" t="s">
        <v>17</v>
      </c>
      <c r="B17" s="27">
        <v>1</v>
      </c>
      <c r="C17" s="110" t="s">
        <v>29</v>
      </c>
      <c r="D17" s="36"/>
      <c r="E17" s="36"/>
      <c r="F17" s="37"/>
      <c r="G17" s="38"/>
      <c r="H17" s="38"/>
      <c r="K17" s="26"/>
      <c r="L17" s="26"/>
      <c r="M17" s="26"/>
      <c r="N17" s="26"/>
      <c r="O17" s="26"/>
      <c r="P17" s="26"/>
      <c r="Q17" s="26"/>
      <c r="R17" s="134"/>
      <c r="S17" s="26"/>
      <c r="T17" s="26"/>
      <c r="U17" s="26"/>
      <c r="V17" s="26"/>
      <c r="W17" s="26"/>
      <c r="X17" s="26"/>
      <c r="Y17" s="134"/>
      <c r="Z17" s="26"/>
      <c r="AA17" s="26"/>
      <c r="AB17" s="26"/>
      <c r="AC17" s="26"/>
      <c r="AD17" s="26"/>
      <c r="AE17" s="26"/>
      <c r="AF17" s="134"/>
      <c r="AG17" s="26"/>
      <c r="AH17" s="26"/>
      <c r="AI17" s="26"/>
      <c r="AJ17" s="26"/>
      <c r="AK17" s="26"/>
      <c r="AL17" s="26"/>
      <c r="AM17" s="134"/>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row>
    <row r="18" spans="1:66" ht="30" customHeight="1" thickBot="1">
      <c r="A18" s="8" t="s">
        <v>17</v>
      </c>
      <c r="C18" s="39" t="s">
        <v>30</v>
      </c>
      <c r="D18" s="40" t="s">
        <v>20</v>
      </c>
      <c r="E18" s="40"/>
      <c r="F18" s="41">
        <v>1</v>
      </c>
      <c r="G18" s="42">
        <v>46121</v>
      </c>
      <c r="H18" s="42">
        <v>46137</v>
      </c>
      <c r="K18" s="26"/>
      <c r="L18" s="26"/>
      <c r="M18" s="26"/>
      <c r="N18" s="26"/>
      <c r="O18" s="26"/>
      <c r="P18" s="26"/>
      <c r="Q18" s="26"/>
      <c r="R18" s="134"/>
      <c r="S18" s="26"/>
      <c r="T18" s="26"/>
      <c r="U18" s="26"/>
      <c r="V18" s="26"/>
      <c r="W18" s="26"/>
      <c r="X18" s="26"/>
      <c r="Y18" s="134"/>
      <c r="Z18" s="26"/>
      <c r="AA18" s="26"/>
      <c r="AB18" s="26"/>
      <c r="AC18" s="26"/>
      <c r="AD18" s="26"/>
      <c r="AE18" s="26"/>
      <c r="AF18" s="134"/>
      <c r="AG18" s="26"/>
      <c r="AH18" s="26"/>
      <c r="AI18" s="26"/>
      <c r="AJ18" s="26"/>
      <c r="AK18" s="26"/>
      <c r="AL18" s="26"/>
      <c r="AM18" s="134"/>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row>
    <row r="19" spans="1:66" ht="30" customHeight="1" thickBot="1">
      <c r="A19" s="8" t="s">
        <v>17</v>
      </c>
      <c r="C19" s="39" t="s">
        <v>31</v>
      </c>
      <c r="D19" s="40" t="s">
        <v>20</v>
      </c>
      <c r="E19" s="40"/>
      <c r="F19" s="41">
        <v>10</v>
      </c>
      <c r="G19" s="42">
        <v>46121</v>
      </c>
      <c r="H19" s="42">
        <v>46137</v>
      </c>
      <c r="K19" s="26"/>
      <c r="L19" s="26"/>
      <c r="M19" s="26"/>
      <c r="N19" s="26"/>
      <c r="O19" s="26"/>
      <c r="P19" s="26"/>
      <c r="Q19" s="26"/>
      <c r="R19" s="134"/>
      <c r="S19" s="26"/>
      <c r="T19" s="26"/>
      <c r="U19" s="26"/>
      <c r="V19" s="26"/>
      <c r="W19" s="26"/>
      <c r="X19" s="26"/>
      <c r="Y19" s="134"/>
      <c r="Z19" s="26"/>
      <c r="AA19" s="26"/>
      <c r="AB19" s="26"/>
      <c r="AC19" s="26"/>
      <c r="AD19" s="26"/>
      <c r="AE19" s="26"/>
      <c r="AF19" s="134"/>
      <c r="AG19" s="26"/>
      <c r="AH19" s="26"/>
      <c r="AI19" s="26"/>
      <c r="AJ19" s="26"/>
      <c r="AK19" s="26"/>
      <c r="AL19" s="26"/>
      <c r="AM19" s="134"/>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row>
    <row r="20" spans="1:66" ht="30" customHeight="1" thickBot="1">
      <c r="A20" s="8" t="s">
        <v>17</v>
      </c>
      <c r="C20" s="39" t="s">
        <v>32</v>
      </c>
      <c r="D20" s="40" t="s">
        <v>20</v>
      </c>
      <c r="E20" s="40"/>
      <c r="F20" s="41">
        <v>1</v>
      </c>
      <c r="G20" s="42">
        <v>46121</v>
      </c>
      <c r="H20" s="42">
        <v>46137</v>
      </c>
      <c r="K20" s="26"/>
      <c r="L20" s="26"/>
      <c r="M20" s="26"/>
      <c r="N20" s="26"/>
      <c r="O20" s="26"/>
      <c r="P20" s="26"/>
      <c r="Q20" s="26"/>
      <c r="R20" s="134"/>
      <c r="S20" s="26"/>
      <c r="T20" s="26"/>
      <c r="U20" s="26"/>
      <c r="V20" s="26"/>
      <c r="W20" s="26"/>
      <c r="X20" s="26"/>
      <c r="Y20" s="134"/>
      <c r="Z20" s="26"/>
      <c r="AA20" s="26"/>
      <c r="AB20" s="26"/>
      <c r="AC20" s="26"/>
      <c r="AD20" s="26"/>
      <c r="AE20" s="26"/>
      <c r="AF20" s="134"/>
      <c r="AG20" s="26"/>
      <c r="AH20" s="26"/>
      <c r="AI20" s="26"/>
      <c r="AJ20" s="26"/>
      <c r="AK20" s="26"/>
      <c r="AL20" s="26"/>
      <c r="AM20" s="134"/>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row>
    <row r="21" spans="1:66" ht="30" customHeight="1" thickBot="1">
      <c r="A21" s="8" t="s">
        <v>17</v>
      </c>
      <c r="C21" s="112" t="s">
        <v>33</v>
      </c>
      <c r="D21" s="40"/>
      <c r="E21" s="40"/>
      <c r="F21" s="41"/>
      <c r="G21" s="42"/>
      <c r="H21" s="42"/>
      <c r="K21" s="26"/>
      <c r="L21" s="26"/>
      <c r="M21" s="26"/>
      <c r="N21" s="26"/>
      <c r="O21" s="26"/>
      <c r="P21" s="26"/>
      <c r="Q21" s="26"/>
      <c r="R21" s="134"/>
      <c r="S21" s="26"/>
      <c r="T21" s="26"/>
      <c r="U21" s="26"/>
      <c r="V21" s="26"/>
      <c r="W21" s="26"/>
      <c r="X21" s="26"/>
      <c r="Y21" s="134"/>
      <c r="Z21" s="26"/>
      <c r="AA21" s="26"/>
      <c r="AB21" s="26"/>
      <c r="AC21" s="26"/>
      <c r="AD21" s="26"/>
      <c r="AE21" s="26"/>
      <c r="AF21" s="134"/>
      <c r="AG21" s="26"/>
      <c r="AH21" s="26"/>
      <c r="AI21" s="26"/>
      <c r="AJ21" s="26"/>
      <c r="AK21" s="26"/>
      <c r="AL21" s="26"/>
      <c r="AM21" s="134"/>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row>
    <row r="22" spans="1:66" ht="30" customHeight="1" thickBot="1">
      <c r="A22" s="8" t="s">
        <v>17</v>
      </c>
      <c r="C22" s="39" t="s">
        <v>34</v>
      </c>
      <c r="D22" s="40" t="s">
        <v>35</v>
      </c>
      <c r="E22" s="40"/>
      <c r="F22" s="41">
        <v>1</v>
      </c>
      <c r="G22" s="42">
        <v>46120</v>
      </c>
      <c r="H22" s="42">
        <v>46129</v>
      </c>
      <c r="K22" s="26"/>
      <c r="L22" s="26"/>
      <c r="M22" s="26"/>
      <c r="N22" s="26"/>
      <c r="O22" s="26"/>
      <c r="P22" s="26"/>
      <c r="Q22" s="26"/>
      <c r="R22" s="134"/>
      <c r="S22" s="26"/>
      <c r="T22" s="26"/>
      <c r="U22" s="26"/>
      <c r="V22" s="26"/>
      <c r="W22" s="26"/>
      <c r="X22" s="26"/>
      <c r="Y22" s="134"/>
      <c r="Z22" s="26"/>
      <c r="AA22" s="26"/>
      <c r="AB22" s="26"/>
      <c r="AC22" s="26"/>
      <c r="AD22" s="26"/>
      <c r="AE22" s="26"/>
      <c r="AF22" s="134"/>
      <c r="AG22" s="26"/>
      <c r="AH22" s="26"/>
      <c r="AI22" s="26"/>
      <c r="AJ22" s="26"/>
      <c r="AK22" s="26"/>
      <c r="AL22" s="26"/>
      <c r="AM22" s="134"/>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row>
    <row r="23" spans="1:66" ht="30" customHeight="1" thickBot="1">
      <c r="A23" s="8" t="s">
        <v>17</v>
      </c>
      <c r="C23" s="39" t="s">
        <v>36</v>
      </c>
      <c r="D23" s="40" t="s">
        <v>35</v>
      </c>
      <c r="E23" s="40"/>
      <c r="F23" s="41">
        <v>1</v>
      </c>
      <c r="G23" s="42">
        <v>46120</v>
      </c>
      <c r="H23" s="42">
        <v>46129</v>
      </c>
      <c r="K23" s="26"/>
      <c r="L23" s="26"/>
      <c r="M23" s="26"/>
      <c r="N23" s="26"/>
      <c r="O23" s="26"/>
      <c r="P23" s="26"/>
      <c r="Q23" s="26"/>
      <c r="R23" s="134"/>
      <c r="S23" s="26"/>
      <c r="T23" s="26"/>
      <c r="U23" s="26"/>
      <c r="V23" s="26"/>
      <c r="W23" s="26"/>
      <c r="X23" s="26"/>
      <c r="Y23" s="134"/>
      <c r="Z23" s="26"/>
      <c r="AA23" s="26"/>
      <c r="AB23" s="26"/>
      <c r="AC23" s="26"/>
      <c r="AD23" s="26"/>
      <c r="AE23" s="26"/>
      <c r="AF23" s="134"/>
      <c r="AG23" s="26"/>
      <c r="AH23" s="26"/>
      <c r="AI23" s="26"/>
      <c r="AJ23" s="26"/>
      <c r="AK23" s="26"/>
      <c r="AL23" s="26"/>
      <c r="AM23" s="134"/>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row>
    <row r="24" spans="1:66" ht="30" customHeight="1" thickBot="1">
      <c r="A24" s="8" t="s">
        <v>17</v>
      </c>
      <c r="C24" s="39" t="s">
        <v>37</v>
      </c>
      <c r="D24" s="40" t="s">
        <v>35</v>
      </c>
      <c r="E24" s="40"/>
      <c r="F24" s="41">
        <v>1</v>
      </c>
      <c r="G24" s="42">
        <v>46120</v>
      </c>
      <c r="H24" s="42">
        <v>46129</v>
      </c>
      <c r="K24" s="26"/>
      <c r="L24" s="26"/>
      <c r="M24" s="26"/>
      <c r="N24" s="26"/>
      <c r="O24" s="26"/>
      <c r="P24" s="26"/>
      <c r="Q24" s="26"/>
      <c r="R24" s="134"/>
      <c r="S24" s="26"/>
      <c r="T24" s="26"/>
      <c r="U24" s="26"/>
      <c r="V24" s="26"/>
      <c r="W24" s="26"/>
      <c r="X24" s="26"/>
      <c r="Y24" s="134"/>
      <c r="Z24" s="26"/>
      <c r="AA24" s="26"/>
      <c r="AB24" s="26"/>
      <c r="AC24" s="26"/>
      <c r="AD24" s="26"/>
      <c r="AE24" s="26"/>
      <c r="AF24" s="134"/>
      <c r="AG24" s="26"/>
      <c r="AH24" s="26"/>
      <c r="AI24" s="26"/>
      <c r="AJ24" s="26"/>
      <c r="AK24" s="26"/>
      <c r="AL24" s="26"/>
      <c r="AM24" s="134"/>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row>
    <row r="25" spans="1:66" ht="30" customHeight="1" thickBot="1">
      <c r="A25" s="8" t="s">
        <v>17</v>
      </c>
      <c r="C25" s="39" t="s">
        <v>38</v>
      </c>
      <c r="D25" s="40" t="s">
        <v>35</v>
      </c>
      <c r="E25" s="40"/>
      <c r="F25" s="41">
        <v>1</v>
      </c>
      <c r="G25" s="42">
        <v>46120</v>
      </c>
      <c r="H25" s="42">
        <v>46129</v>
      </c>
      <c r="K25" s="26"/>
      <c r="L25" s="26"/>
      <c r="M25" s="26"/>
      <c r="N25" s="26"/>
      <c r="O25" s="26"/>
      <c r="P25" s="26"/>
      <c r="Q25" s="26"/>
      <c r="R25" s="134"/>
      <c r="S25" s="26"/>
      <c r="T25" s="26"/>
      <c r="U25" s="26"/>
      <c r="V25" s="26"/>
      <c r="W25" s="26"/>
      <c r="X25" s="26"/>
      <c r="Y25" s="134"/>
      <c r="Z25" s="26"/>
      <c r="AA25" s="26"/>
      <c r="AB25" s="26"/>
      <c r="AC25" s="26"/>
      <c r="AD25" s="26"/>
      <c r="AE25" s="26"/>
      <c r="AF25" s="134"/>
      <c r="AG25" s="26"/>
      <c r="AH25" s="26"/>
      <c r="AI25" s="26"/>
      <c r="AJ25" s="26"/>
      <c r="AK25" s="26"/>
      <c r="AL25" s="26"/>
      <c r="AM25" s="134"/>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row>
    <row r="26" spans="1:66" ht="30" customHeight="1" thickBot="1">
      <c r="A26" s="8" t="s">
        <v>17</v>
      </c>
      <c r="C26" s="39" t="s">
        <v>39</v>
      </c>
      <c r="D26" s="40" t="s">
        <v>35</v>
      </c>
      <c r="E26" s="40"/>
      <c r="F26" s="41">
        <v>0.75</v>
      </c>
      <c r="G26" s="42">
        <v>46120</v>
      </c>
      <c r="H26" s="42">
        <v>46129</v>
      </c>
      <c r="K26" s="26"/>
      <c r="L26" s="26"/>
      <c r="M26" s="26"/>
      <c r="N26" s="26"/>
      <c r="O26" s="26"/>
      <c r="P26" s="26"/>
      <c r="Q26" s="26"/>
      <c r="R26" s="134"/>
      <c r="S26" s="26"/>
      <c r="T26" s="26"/>
      <c r="U26" s="26"/>
      <c r="V26" s="26"/>
      <c r="W26" s="26"/>
      <c r="X26" s="26"/>
      <c r="Y26" s="134"/>
      <c r="Z26" s="26"/>
      <c r="AA26" s="26"/>
      <c r="AB26" s="26"/>
      <c r="AC26" s="26"/>
      <c r="AD26" s="26"/>
      <c r="AE26" s="26"/>
      <c r="AF26" s="134"/>
      <c r="AG26" s="26"/>
      <c r="AH26" s="26"/>
      <c r="AI26" s="26"/>
      <c r="AJ26" s="26"/>
      <c r="AK26" s="26"/>
      <c r="AL26" s="26"/>
      <c r="AM26" s="134"/>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row>
    <row r="27" spans="1:66" ht="30" customHeight="1" thickBot="1">
      <c r="A27" s="8" t="s">
        <v>17</v>
      </c>
      <c r="C27" s="39" t="s">
        <v>40</v>
      </c>
      <c r="D27" s="40" t="s">
        <v>35</v>
      </c>
      <c r="E27" s="40"/>
      <c r="F27" s="41">
        <v>0.75</v>
      </c>
      <c r="G27" s="42">
        <v>46120</v>
      </c>
      <c r="H27" s="42">
        <v>46129</v>
      </c>
      <c r="K27" s="26"/>
      <c r="L27" s="26"/>
      <c r="M27" s="26"/>
      <c r="N27" s="26"/>
      <c r="O27" s="26"/>
      <c r="P27" s="26"/>
      <c r="Q27" s="26"/>
      <c r="R27" s="134"/>
      <c r="S27" s="26"/>
      <c r="T27" s="26"/>
      <c r="U27" s="26"/>
      <c r="V27" s="26"/>
      <c r="W27" s="26"/>
      <c r="X27" s="26"/>
      <c r="Y27" s="134"/>
      <c r="Z27" s="26"/>
      <c r="AA27" s="26"/>
      <c r="AB27" s="26"/>
      <c r="AC27" s="26"/>
      <c r="AD27" s="26"/>
      <c r="AE27" s="26"/>
      <c r="AF27" s="134"/>
      <c r="AG27" s="26"/>
      <c r="AH27" s="26"/>
      <c r="AI27" s="26"/>
      <c r="AJ27" s="26"/>
      <c r="AK27" s="26"/>
      <c r="AL27" s="26"/>
      <c r="AM27" s="134"/>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row>
    <row r="28" spans="1:66" ht="30" customHeight="1" thickBot="1">
      <c r="A28" s="8" t="s">
        <v>17</v>
      </c>
      <c r="C28" s="39" t="s">
        <v>41</v>
      </c>
      <c r="D28" s="40" t="s">
        <v>35</v>
      </c>
      <c r="E28" s="40"/>
      <c r="F28" s="41">
        <v>1</v>
      </c>
      <c r="G28" s="42">
        <v>46120</v>
      </c>
      <c r="H28" s="42">
        <v>46129</v>
      </c>
      <c r="K28" s="26"/>
      <c r="L28" s="26"/>
      <c r="M28" s="26"/>
      <c r="N28" s="26"/>
      <c r="O28" s="26"/>
      <c r="P28" s="26"/>
      <c r="Q28" s="26"/>
      <c r="R28" s="134"/>
      <c r="S28" s="26"/>
      <c r="T28" s="26"/>
      <c r="U28" s="26"/>
      <c r="V28" s="26"/>
      <c r="W28" s="26"/>
      <c r="X28" s="26"/>
      <c r="Y28" s="134"/>
      <c r="Z28" s="26"/>
      <c r="AA28" s="26"/>
      <c r="AB28" s="26"/>
      <c r="AC28" s="26"/>
      <c r="AD28" s="26"/>
      <c r="AE28" s="26"/>
      <c r="AF28" s="134"/>
      <c r="AG28" s="26"/>
      <c r="AH28" s="26"/>
      <c r="AI28" s="26"/>
      <c r="AJ28" s="26"/>
      <c r="AK28" s="26"/>
      <c r="AL28" s="26"/>
      <c r="AM28" s="134"/>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row>
    <row r="29" spans="1:66" ht="30" customHeight="1" thickBot="1">
      <c r="A29" s="8" t="s">
        <v>17</v>
      </c>
      <c r="B29" s="111">
        <v>2</v>
      </c>
      <c r="C29" s="113" t="s">
        <v>42</v>
      </c>
      <c r="D29" s="43"/>
      <c r="E29" s="43"/>
      <c r="F29" s="43"/>
      <c r="G29" s="44"/>
      <c r="H29" s="45"/>
      <c r="K29" s="26"/>
      <c r="L29" s="26"/>
      <c r="M29" s="26"/>
      <c r="N29" s="26"/>
      <c r="O29" s="26"/>
      <c r="P29" s="26"/>
      <c r="Q29" s="26"/>
      <c r="R29" s="134"/>
      <c r="S29" s="26"/>
      <c r="T29" s="26"/>
      <c r="U29" s="26"/>
      <c r="V29" s="26"/>
      <c r="W29" s="26"/>
      <c r="X29" s="26"/>
      <c r="Y29" s="134"/>
      <c r="Z29" s="26"/>
      <c r="AA29" s="26"/>
      <c r="AB29" s="26"/>
      <c r="AC29" s="26"/>
      <c r="AD29" s="26"/>
      <c r="AE29" s="26"/>
      <c r="AF29" s="134"/>
      <c r="AG29" s="26"/>
      <c r="AH29" s="26"/>
      <c r="AI29" s="26"/>
      <c r="AJ29" s="26"/>
      <c r="AK29" s="26"/>
      <c r="AL29" s="26"/>
      <c r="AM29" s="134"/>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row>
    <row r="30" spans="1:66" ht="30" customHeight="1" thickBot="1">
      <c r="A30" s="8" t="s">
        <v>17</v>
      </c>
      <c r="C30" s="114" t="s">
        <v>43</v>
      </c>
      <c r="D30" s="47"/>
      <c r="E30" s="47"/>
      <c r="F30" s="48"/>
      <c r="G30" s="49"/>
      <c r="H30" s="49"/>
      <c r="K30" s="26"/>
      <c r="L30" s="26"/>
      <c r="M30" s="26"/>
      <c r="N30" s="26"/>
      <c r="O30" s="26"/>
      <c r="P30" s="26"/>
      <c r="Q30" s="26"/>
      <c r="R30" s="134"/>
      <c r="S30" s="26"/>
      <c r="T30" s="26"/>
      <c r="U30" s="26"/>
      <c r="V30" s="26"/>
      <c r="W30" s="26"/>
      <c r="X30" s="26"/>
      <c r="Y30" s="134"/>
      <c r="Z30" s="26"/>
      <c r="AA30" s="26"/>
      <c r="AB30" s="26"/>
      <c r="AC30" s="26"/>
      <c r="AD30" s="26"/>
      <c r="AE30" s="26"/>
      <c r="AF30" s="134"/>
      <c r="AG30" s="26"/>
      <c r="AH30" s="26"/>
      <c r="AI30" s="26"/>
      <c r="AJ30" s="26"/>
      <c r="AK30" s="26"/>
      <c r="AL30" s="26"/>
      <c r="AM30" s="134"/>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row>
    <row r="31" spans="1:66" ht="30" customHeight="1" thickBot="1">
      <c r="A31" s="8" t="s">
        <v>17</v>
      </c>
      <c r="C31" s="46" t="s">
        <v>44</v>
      </c>
      <c r="D31" s="47" t="s">
        <v>20</v>
      </c>
      <c r="E31" s="47"/>
      <c r="F31" s="48">
        <v>1</v>
      </c>
      <c r="G31" s="49">
        <v>46120</v>
      </c>
      <c r="H31" s="49">
        <v>46129</v>
      </c>
      <c r="K31" s="26"/>
      <c r="L31" s="26"/>
      <c r="M31" s="26"/>
      <c r="N31" s="26"/>
      <c r="O31" s="26"/>
      <c r="P31" s="26"/>
      <c r="Q31" s="26"/>
      <c r="R31" s="134"/>
      <c r="S31" s="26"/>
      <c r="T31" s="26"/>
      <c r="U31" s="26"/>
      <c r="V31" s="26"/>
      <c r="W31" s="26"/>
      <c r="X31" s="26"/>
      <c r="Y31" s="134"/>
      <c r="Z31" s="26"/>
      <c r="AA31" s="26"/>
      <c r="AB31" s="26"/>
      <c r="AC31" s="26"/>
      <c r="AD31" s="26"/>
      <c r="AE31" s="26"/>
      <c r="AF31" s="134"/>
      <c r="AG31" s="26"/>
      <c r="AH31" s="26"/>
      <c r="AI31" s="26"/>
      <c r="AJ31" s="26"/>
      <c r="AK31" s="26"/>
      <c r="AL31" s="26"/>
      <c r="AM31" s="134"/>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row>
    <row r="32" spans="1:66" ht="30" customHeight="1" thickBot="1">
      <c r="A32" s="8" t="s">
        <v>17</v>
      </c>
      <c r="C32" s="46" t="s">
        <v>45</v>
      </c>
      <c r="D32" s="47" t="s">
        <v>20</v>
      </c>
      <c r="E32" s="47"/>
      <c r="F32" s="48">
        <v>1</v>
      </c>
      <c r="G32" s="49">
        <v>46120</v>
      </c>
      <c r="H32" s="49">
        <v>46129</v>
      </c>
      <c r="K32" s="26"/>
      <c r="L32" s="26"/>
      <c r="M32" s="26"/>
      <c r="N32" s="26"/>
      <c r="O32" s="26"/>
      <c r="P32" s="26"/>
      <c r="Q32" s="26"/>
      <c r="R32" s="134"/>
      <c r="S32" s="26"/>
      <c r="T32" s="26"/>
      <c r="U32" s="26"/>
      <c r="V32" s="26"/>
      <c r="W32" s="26"/>
      <c r="X32" s="26"/>
      <c r="Y32" s="134"/>
      <c r="Z32" s="26"/>
      <c r="AA32" s="26"/>
      <c r="AB32" s="26"/>
      <c r="AC32" s="26"/>
      <c r="AD32" s="26"/>
      <c r="AE32" s="26"/>
      <c r="AF32" s="134"/>
      <c r="AG32" s="26"/>
      <c r="AH32" s="26"/>
      <c r="AI32" s="26"/>
      <c r="AJ32" s="26"/>
      <c r="AK32" s="26"/>
      <c r="AL32" s="26"/>
      <c r="AM32" s="134"/>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row>
    <row r="33" spans="1:66" ht="30" customHeight="1" thickBot="1">
      <c r="A33" s="8" t="s">
        <v>17</v>
      </c>
      <c r="C33" s="46" t="s">
        <v>46</v>
      </c>
      <c r="D33" s="47" t="s">
        <v>20</v>
      </c>
      <c r="E33" s="47"/>
      <c r="F33" s="48">
        <v>1</v>
      </c>
      <c r="G33" s="49">
        <v>46120</v>
      </c>
      <c r="H33" s="49">
        <v>46129</v>
      </c>
      <c r="K33" s="26"/>
      <c r="L33" s="26"/>
      <c r="M33" s="26"/>
      <c r="N33" s="26"/>
      <c r="O33" s="26"/>
      <c r="P33" s="26"/>
      <c r="Q33" s="26"/>
      <c r="R33" s="134"/>
      <c r="S33" s="26"/>
      <c r="T33" s="26"/>
      <c r="U33" s="26"/>
      <c r="V33" s="26"/>
      <c r="W33" s="26"/>
      <c r="X33" s="26"/>
      <c r="Y33" s="134"/>
      <c r="Z33" s="26"/>
      <c r="AA33" s="26"/>
      <c r="AB33" s="26"/>
      <c r="AC33" s="26"/>
      <c r="AD33" s="26"/>
      <c r="AE33" s="26"/>
      <c r="AF33" s="134"/>
      <c r="AG33" s="26"/>
      <c r="AH33" s="26"/>
      <c r="AI33" s="26"/>
      <c r="AJ33" s="26"/>
      <c r="AK33" s="26"/>
      <c r="AL33" s="26"/>
      <c r="AM33" s="134"/>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row>
    <row r="34" spans="1:66" ht="30" customHeight="1" thickBot="1">
      <c r="A34" s="8" t="s">
        <v>17</v>
      </c>
      <c r="C34" s="46" t="s">
        <v>47</v>
      </c>
      <c r="D34" s="47" t="s">
        <v>48</v>
      </c>
      <c r="E34" s="47"/>
      <c r="F34" s="48">
        <v>1</v>
      </c>
      <c r="G34" s="49">
        <v>46120</v>
      </c>
      <c r="H34" s="49">
        <v>46129</v>
      </c>
      <c r="K34" s="26"/>
      <c r="L34" s="26"/>
      <c r="M34" s="26"/>
      <c r="N34" s="26"/>
      <c r="O34" s="26"/>
      <c r="P34" s="26"/>
      <c r="Q34" s="26"/>
      <c r="R34" s="134"/>
      <c r="S34" s="26"/>
      <c r="T34" s="26"/>
      <c r="U34" s="26"/>
      <c r="V34" s="26"/>
      <c r="W34" s="26"/>
      <c r="X34" s="26"/>
      <c r="Y34" s="134"/>
      <c r="Z34" s="26"/>
      <c r="AA34" s="26"/>
      <c r="AB34" s="26"/>
      <c r="AC34" s="26"/>
      <c r="AD34" s="26"/>
      <c r="AE34" s="26"/>
      <c r="AF34" s="134"/>
      <c r="AG34" s="26"/>
      <c r="AH34" s="26"/>
      <c r="AI34" s="26"/>
      <c r="AJ34" s="26"/>
      <c r="AK34" s="26"/>
      <c r="AL34" s="26"/>
      <c r="AM34" s="134"/>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row>
    <row r="35" spans="1:66" ht="30" customHeight="1" thickBot="1">
      <c r="A35" s="8" t="s">
        <v>17</v>
      </c>
      <c r="C35" s="46" t="s">
        <v>49</v>
      </c>
      <c r="D35" s="47" t="s">
        <v>20</v>
      </c>
      <c r="E35" s="47"/>
      <c r="F35" s="48">
        <v>1</v>
      </c>
      <c r="G35" s="49">
        <v>46120</v>
      </c>
      <c r="H35" s="49">
        <v>46129</v>
      </c>
      <c r="K35" s="26"/>
      <c r="L35" s="26"/>
      <c r="M35" s="26"/>
      <c r="N35" s="26"/>
      <c r="O35" s="26"/>
      <c r="P35" s="26"/>
      <c r="Q35" s="26"/>
      <c r="R35" s="134"/>
      <c r="S35" s="26"/>
      <c r="T35" s="26"/>
      <c r="U35" s="26"/>
      <c r="V35" s="26"/>
      <c r="W35" s="26"/>
      <c r="X35" s="26"/>
      <c r="Y35" s="134"/>
      <c r="Z35" s="26"/>
      <c r="AA35" s="26"/>
      <c r="AB35" s="26"/>
      <c r="AC35" s="26"/>
      <c r="AD35" s="26"/>
      <c r="AE35" s="26"/>
      <c r="AF35" s="134"/>
      <c r="AG35" s="26"/>
      <c r="AH35" s="26"/>
      <c r="AI35" s="26"/>
      <c r="AJ35" s="26"/>
      <c r="AK35" s="26"/>
      <c r="AL35" s="26"/>
      <c r="AM35" s="134"/>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row>
    <row r="36" spans="1:66" ht="30" customHeight="1" thickBot="1">
      <c r="A36" s="8" t="s">
        <v>17</v>
      </c>
      <c r="C36" s="46" t="s">
        <v>50</v>
      </c>
      <c r="D36" s="47" t="s">
        <v>48</v>
      </c>
      <c r="E36" s="47"/>
      <c r="F36" s="48">
        <v>1</v>
      </c>
      <c r="G36" s="49">
        <v>46120</v>
      </c>
      <c r="H36" s="49">
        <v>46129</v>
      </c>
      <c r="K36" s="26"/>
      <c r="L36" s="26"/>
      <c r="M36" s="26"/>
      <c r="N36" s="26"/>
      <c r="O36" s="26"/>
      <c r="P36" s="26"/>
      <c r="Q36" s="26"/>
      <c r="R36" s="134"/>
      <c r="S36" s="26"/>
      <c r="T36" s="26"/>
      <c r="U36" s="26"/>
      <c r="V36" s="26"/>
      <c r="W36" s="26"/>
      <c r="X36" s="26"/>
      <c r="Y36" s="134"/>
      <c r="Z36" s="26"/>
      <c r="AA36" s="26"/>
      <c r="AB36" s="26"/>
      <c r="AC36" s="26"/>
      <c r="AD36" s="26"/>
      <c r="AE36" s="26"/>
      <c r="AF36" s="134"/>
      <c r="AG36" s="26"/>
      <c r="AH36" s="26"/>
      <c r="AI36" s="26"/>
      <c r="AJ36" s="26"/>
      <c r="AK36" s="26"/>
      <c r="AL36" s="26"/>
      <c r="AM36" s="134"/>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row>
    <row r="37" spans="1:66" ht="30" customHeight="1" thickBot="1">
      <c r="A37" s="8" t="s">
        <v>17</v>
      </c>
      <c r="C37" s="114" t="s">
        <v>51</v>
      </c>
      <c r="D37" s="47"/>
      <c r="E37" s="47"/>
      <c r="F37" s="48"/>
      <c r="G37" s="49"/>
      <c r="H37" s="49"/>
      <c r="K37" s="26"/>
      <c r="L37" s="26"/>
      <c r="M37" s="26"/>
      <c r="N37" s="26"/>
      <c r="O37" s="26"/>
      <c r="P37" s="26"/>
      <c r="Q37" s="26"/>
      <c r="R37" s="134"/>
      <c r="S37" s="26"/>
      <c r="T37" s="26"/>
      <c r="U37" s="26"/>
      <c r="V37" s="26"/>
      <c r="W37" s="26"/>
      <c r="X37" s="26"/>
      <c r="Y37" s="134"/>
      <c r="Z37" s="26"/>
      <c r="AA37" s="26"/>
      <c r="AB37" s="26"/>
      <c r="AC37" s="26"/>
      <c r="AD37" s="26"/>
      <c r="AE37" s="26"/>
      <c r="AF37" s="134"/>
      <c r="AG37" s="26"/>
      <c r="AH37" s="26"/>
      <c r="AI37" s="26"/>
      <c r="AJ37" s="26"/>
      <c r="AK37" s="26"/>
      <c r="AL37" s="26"/>
      <c r="AM37" s="134"/>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row>
    <row r="38" spans="1:66" ht="30" customHeight="1" thickBot="1">
      <c r="A38" s="8" t="s">
        <v>17</v>
      </c>
      <c r="C38" s="46" t="s">
        <v>52</v>
      </c>
      <c r="D38" s="47" t="s">
        <v>20</v>
      </c>
      <c r="E38" s="47"/>
      <c r="F38" s="48">
        <v>1</v>
      </c>
      <c r="G38" s="49">
        <v>46127</v>
      </c>
      <c r="H38" s="49">
        <v>46136</v>
      </c>
      <c r="K38" s="26"/>
      <c r="L38" s="26"/>
      <c r="M38" s="26"/>
      <c r="N38" s="26"/>
      <c r="O38" s="26"/>
      <c r="P38" s="26"/>
      <c r="Q38" s="26"/>
      <c r="R38" s="134"/>
      <c r="S38" s="26"/>
      <c r="T38" s="26"/>
      <c r="U38" s="26"/>
      <c r="V38" s="26"/>
      <c r="W38" s="26"/>
      <c r="X38" s="26"/>
      <c r="Y38" s="134"/>
      <c r="Z38" s="26"/>
      <c r="AA38" s="26"/>
      <c r="AB38" s="26"/>
      <c r="AC38" s="26"/>
      <c r="AD38" s="26"/>
      <c r="AE38" s="26"/>
      <c r="AF38" s="134"/>
      <c r="AG38" s="26"/>
      <c r="AH38" s="26"/>
      <c r="AI38" s="26"/>
      <c r="AJ38" s="26"/>
      <c r="AK38" s="26"/>
      <c r="AL38" s="26"/>
      <c r="AM38" s="134"/>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row>
    <row r="39" spans="1:66" ht="30" customHeight="1" thickBot="1">
      <c r="A39" s="8" t="s">
        <v>17</v>
      </c>
      <c r="C39" s="46" t="s">
        <v>53</v>
      </c>
      <c r="D39" s="47" t="s">
        <v>20</v>
      </c>
      <c r="E39" s="47"/>
      <c r="F39" s="48">
        <v>1</v>
      </c>
      <c r="G39" s="49">
        <v>46127</v>
      </c>
      <c r="H39" s="49">
        <v>46136</v>
      </c>
      <c r="K39" s="26"/>
      <c r="L39" s="26"/>
      <c r="M39" s="26"/>
      <c r="N39" s="26"/>
      <c r="O39" s="26"/>
      <c r="P39" s="26"/>
      <c r="Q39" s="26"/>
      <c r="R39" s="134"/>
      <c r="S39" s="26"/>
      <c r="T39" s="26"/>
      <c r="U39" s="26"/>
      <c r="V39" s="26"/>
      <c r="W39" s="26"/>
      <c r="X39" s="26"/>
      <c r="Y39" s="134"/>
      <c r="Z39" s="26"/>
      <c r="AA39" s="26"/>
      <c r="AB39" s="26"/>
      <c r="AC39" s="26"/>
      <c r="AD39" s="26"/>
      <c r="AE39" s="26"/>
      <c r="AF39" s="134"/>
      <c r="AG39" s="26"/>
      <c r="AH39" s="26"/>
      <c r="AI39" s="26"/>
      <c r="AJ39" s="26"/>
      <c r="AK39" s="26"/>
      <c r="AL39" s="26"/>
      <c r="AM39" s="134"/>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row>
    <row r="40" spans="1:66" s="55" customFormat="1" ht="30" customHeight="1" thickBot="1">
      <c r="A40" s="8" t="s">
        <v>17</v>
      </c>
      <c r="B40" s="50">
        <v>3</v>
      </c>
      <c r="C40" s="115" t="s">
        <v>54</v>
      </c>
      <c r="D40" s="51"/>
      <c r="E40" s="51"/>
      <c r="F40" s="51"/>
      <c r="G40" s="52"/>
      <c r="H40" s="53"/>
      <c r="I40" s="54"/>
      <c r="J40" s="54" t="str">
        <f t="shared" ref="J40:J97" si="4">IF(OR(ISBLANK(task_start),ISBLANK(task_end)),"",task_end-task_start+1)</f>
        <v/>
      </c>
      <c r="K40" s="26"/>
      <c r="L40" s="26"/>
      <c r="M40" s="26"/>
      <c r="N40" s="26"/>
      <c r="O40" s="26"/>
      <c r="P40" s="26"/>
      <c r="Q40" s="26"/>
      <c r="R40" s="134"/>
      <c r="S40" s="26"/>
      <c r="T40" s="26"/>
      <c r="U40" s="26"/>
      <c r="V40" s="26"/>
      <c r="W40" s="26"/>
      <c r="X40" s="26"/>
      <c r="Y40" s="134"/>
      <c r="Z40" s="26"/>
      <c r="AA40" s="26"/>
      <c r="AB40" s="26"/>
      <c r="AC40" s="26"/>
      <c r="AD40" s="26"/>
      <c r="AE40" s="26"/>
      <c r="AF40" s="134"/>
      <c r="AG40" s="26"/>
      <c r="AH40" s="26"/>
      <c r="AI40" s="26"/>
      <c r="AJ40" s="26"/>
      <c r="AK40" s="26"/>
      <c r="AL40" s="26"/>
      <c r="AM40" s="134"/>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row>
    <row r="41" spans="1:66" ht="30" customHeight="1" thickBot="1">
      <c r="A41" s="8" t="s">
        <v>17</v>
      </c>
      <c r="C41" s="116" t="s">
        <v>55</v>
      </c>
      <c r="D41" s="57"/>
      <c r="E41" s="57"/>
      <c r="F41" s="58"/>
      <c r="G41" s="59"/>
      <c r="H41" s="59"/>
      <c r="K41" s="26"/>
      <c r="L41" s="26"/>
      <c r="M41" s="26"/>
      <c r="N41" s="26"/>
      <c r="O41" s="26"/>
      <c r="P41" s="26"/>
      <c r="Q41" s="26"/>
      <c r="R41" s="134"/>
      <c r="S41" s="26"/>
      <c r="T41" s="26"/>
      <c r="U41" s="26"/>
      <c r="V41" s="26"/>
      <c r="W41" s="26"/>
      <c r="X41" s="26"/>
      <c r="Y41" s="134"/>
      <c r="Z41" s="26"/>
      <c r="AA41" s="26"/>
      <c r="AB41" s="26"/>
      <c r="AC41" s="26"/>
      <c r="AD41" s="26"/>
      <c r="AE41" s="26"/>
      <c r="AF41" s="134"/>
      <c r="AG41" s="26"/>
      <c r="AH41" s="26"/>
      <c r="AI41" s="26"/>
      <c r="AJ41" s="26"/>
      <c r="AK41" s="26"/>
      <c r="AL41" s="26"/>
      <c r="AM41" s="134"/>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row>
    <row r="42" spans="1:66" ht="30" customHeight="1" thickBot="1">
      <c r="A42" s="8" t="s">
        <v>17</v>
      </c>
      <c r="C42" s="56" t="s">
        <v>56</v>
      </c>
      <c r="D42" s="57" t="s">
        <v>20</v>
      </c>
      <c r="E42" s="57"/>
      <c r="F42" s="58">
        <v>1</v>
      </c>
      <c r="G42" s="59">
        <v>46125</v>
      </c>
      <c r="H42" s="59">
        <v>46129</v>
      </c>
      <c r="K42" s="26"/>
      <c r="L42" s="26"/>
      <c r="M42" s="26"/>
      <c r="N42" s="26"/>
      <c r="O42" s="26"/>
      <c r="P42" s="26"/>
      <c r="Q42" s="26"/>
      <c r="R42" s="134"/>
      <c r="S42" s="26"/>
      <c r="T42" s="26"/>
      <c r="U42" s="26"/>
      <c r="V42" s="26"/>
      <c r="W42" s="26"/>
      <c r="X42" s="26"/>
      <c r="Y42" s="134"/>
      <c r="Z42" s="26"/>
      <c r="AA42" s="26"/>
      <c r="AB42" s="26"/>
      <c r="AC42" s="26"/>
      <c r="AD42" s="26"/>
      <c r="AE42" s="26"/>
      <c r="AF42" s="134"/>
      <c r="AG42" s="26"/>
      <c r="AH42" s="26"/>
      <c r="AI42" s="26"/>
      <c r="AJ42" s="26"/>
      <c r="AK42" s="26"/>
      <c r="AL42" s="26"/>
      <c r="AM42" s="134"/>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row>
    <row r="43" spans="1:66" ht="30" customHeight="1" thickBot="1">
      <c r="A43" s="8" t="s">
        <v>17</v>
      </c>
      <c r="C43" s="56" t="s">
        <v>57</v>
      </c>
      <c r="D43" s="57" t="s">
        <v>20</v>
      </c>
      <c r="E43" s="57"/>
      <c r="F43" s="58">
        <v>0.9</v>
      </c>
      <c r="G43" s="59">
        <v>46125</v>
      </c>
      <c r="H43" s="59">
        <v>46129</v>
      </c>
      <c r="K43" s="26"/>
      <c r="L43" s="26"/>
      <c r="M43" s="26"/>
      <c r="N43" s="26"/>
      <c r="O43" s="26"/>
      <c r="P43" s="26"/>
      <c r="Q43" s="26"/>
      <c r="R43" s="134"/>
      <c r="S43" s="26"/>
      <c r="T43" s="26"/>
      <c r="U43" s="26"/>
      <c r="V43" s="26"/>
      <c r="W43" s="26"/>
      <c r="X43" s="26"/>
      <c r="Y43" s="134"/>
      <c r="Z43" s="26"/>
      <c r="AA43" s="26"/>
      <c r="AB43" s="26"/>
      <c r="AC43" s="26"/>
      <c r="AD43" s="26"/>
      <c r="AE43" s="26"/>
      <c r="AF43" s="134"/>
      <c r="AG43" s="26"/>
      <c r="AH43" s="26"/>
      <c r="AI43" s="26"/>
      <c r="AJ43" s="26"/>
      <c r="AK43" s="26"/>
      <c r="AL43" s="26"/>
      <c r="AM43" s="134"/>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row>
    <row r="44" spans="1:66" ht="30" customHeight="1" thickBot="1">
      <c r="A44" s="8" t="s">
        <v>17</v>
      </c>
      <c r="C44" s="56" t="s">
        <v>58</v>
      </c>
      <c r="D44" s="57" t="s">
        <v>59</v>
      </c>
      <c r="E44" s="57"/>
      <c r="F44" s="58">
        <v>0.9</v>
      </c>
      <c r="G44" s="59">
        <v>46125</v>
      </c>
      <c r="H44" s="59">
        <v>46136</v>
      </c>
      <c r="K44" s="26"/>
      <c r="L44" s="26"/>
      <c r="M44" s="26"/>
      <c r="N44" s="26"/>
      <c r="O44" s="26"/>
      <c r="P44" s="26"/>
      <c r="Q44" s="26"/>
      <c r="R44" s="134"/>
      <c r="S44" s="26"/>
      <c r="T44" s="26"/>
      <c r="U44" s="26"/>
      <c r="V44" s="26"/>
      <c r="W44" s="26"/>
      <c r="X44" s="26"/>
      <c r="Y44" s="134"/>
      <c r="Z44" s="26"/>
      <c r="AA44" s="26"/>
      <c r="AB44" s="26"/>
      <c r="AC44" s="26"/>
      <c r="AD44" s="26"/>
      <c r="AE44" s="26"/>
      <c r="AF44" s="134"/>
      <c r="AG44" s="26"/>
      <c r="AH44" s="26"/>
      <c r="AI44" s="26"/>
      <c r="AJ44" s="26"/>
      <c r="AK44" s="26"/>
      <c r="AL44" s="26"/>
      <c r="AM44" s="134"/>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row>
    <row r="45" spans="1:66" ht="30" customHeight="1" thickBot="1">
      <c r="A45" s="8" t="s">
        <v>17</v>
      </c>
      <c r="C45" s="56" t="s">
        <v>60</v>
      </c>
      <c r="D45" s="57" t="s">
        <v>35</v>
      </c>
      <c r="E45" s="57"/>
      <c r="F45" s="58">
        <v>0.9</v>
      </c>
      <c r="G45" s="59">
        <v>46125</v>
      </c>
      <c r="H45" s="59">
        <v>46136</v>
      </c>
      <c r="K45" s="26"/>
      <c r="L45" s="26"/>
      <c r="M45" s="26"/>
      <c r="N45" s="26"/>
      <c r="O45" s="26"/>
      <c r="P45" s="26"/>
      <c r="Q45" s="26"/>
      <c r="R45" s="134"/>
      <c r="S45" s="26"/>
      <c r="T45" s="26"/>
      <c r="U45" s="26"/>
      <c r="V45" s="26"/>
      <c r="W45" s="26"/>
      <c r="X45" s="26"/>
      <c r="Y45" s="134"/>
      <c r="Z45" s="26"/>
      <c r="AA45" s="26"/>
      <c r="AB45" s="26"/>
      <c r="AC45" s="26"/>
      <c r="AD45" s="26"/>
      <c r="AE45" s="26"/>
      <c r="AF45" s="134"/>
      <c r="AG45" s="26"/>
      <c r="AH45" s="26"/>
      <c r="AI45" s="26"/>
      <c r="AJ45" s="26"/>
      <c r="AK45" s="26"/>
      <c r="AL45" s="26"/>
      <c r="AM45" s="134"/>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row>
    <row r="46" spans="1:66" ht="30" customHeight="1" thickBot="1">
      <c r="A46" s="8" t="s">
        <v>17</v>
      </c>
      <c r="C46" s="116" t="s">
        <v>61</v>
      </c>
      <c r="D46" s="57"/>
      <c r="E46" s="57"/>
      <c r="F46" s="58"/>
      <c r="G46" s="59"/>
      <c r="H46" s="59"/>
      <c r="K46" s="26"/>
      <c r="L46" s="26"/>
      <c r="M46" s="26"/>
      <c r="N46" s="26"/>
      <c r="O46" s="26"/>
      <c r="P46" s="26"/>
      <c r="Q46" s="26"/>
      <c r="R46" s="134"/>
      <c r="S46" s="26"/>
      <c r="T46" s="26"/>
      <c r="U46" s="26"/>
      <c r="V46" s="26"/>
      <c r="W46" s="26"/>
      <c r="X46" s="26"/>
      <c r="Y46" s="134"/>
      <c r="Z46" s="26"/>
      <c r="AA46" s="26"/>
      <c r="AB46" s="26"/>
      <c r="AC46" s="26"/>
      <c r="AD46" s="26"/>
      <c r="AE46" s="26"/>
      <c r="AF46" s="134"/>
      <c r="AG46" s="26"/>
      <c r="AH46" s="26"/>
      <c r="AI46" s="26"/>
      <c r="AJ46" s="26"/>
      <c r="AK46" s="26"/>
      <c r="AL46" s="26"/>
      <c r="AM46" s="134"/>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row>
    <row r="47" spans="1:66" ht="30" customHeight="1" thickBot="1">
      <c r="A47" s="8" t="s">
        <v>17</v>
      </c>
      <c r="C47" s="56" t="s">
        <v>62</v>
      </c>
      <c r="D47" s="57" t="s">
        <v>20</v>
      </c>
      <c r="E47" s="57"/>
      <c r="F47" s="58">
        <v>1</v>
      </c>
      <c r="G47" s="59">
        <v>46132</v>
      </c>
      <c r="H47" s="59">
        <v>46136</v>
      </c>
      <c r="K47" s="26"/>
      <c r="L47" s="26"/>
      <c r="M47" s="26"/>
      <c r="N47" s="26"/>
      <c r="O47" s="26"/>
      <c r="P47" s="26"/>
      <c r="Q47" s="26"/>
      <c r="R47" s="134"/>
      <c r="S47" s="26"/>
      <c r="T47" s="26"/>
      <c r="U47" s="26"/>
      <c r="V47" s="26"/>
      <c r="W47" s="26"/>
      <c r="X47" s="26"/>
      <c r="Y47" s="134"/>
      <c r="Z47" s="26"/>
      <c r="AA47" s="26"/>
      <c r="AB47" s="26"/>
      <c r="AC47" s="26"/>
      <c r="AD47" s="26"/>
      <c r="AE47" s="26"/>
      <c r="AF47" s="134"/>
      <c r="AG47" s="26"/>
      <c r="AH47" s="26"/>
      <c r="AI47" s="26"/>
      <c r="AJ47" s="26"/>
      <c r="AK47" s="26"/>
      <c r="AL47" s="26"/>
      <c r="AM47" s="134"/>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row>
    <row r="48" spans="1:66" ht="30" customHeight="1" thickBot="1">
      <c r="A48" s="8" t="s">
        <v>17</v>
      </c>
      <c r="C48" s="56" t="s">
        <v>63</v>
      </c>
      <c r="D48" s="57" t="s">
        <v>20</v>
      </c>
      <c r="E48" s="57"/>
      <c r="F48" s="58">
        <v>1</v>
      </c>
      <c r="G48" s="59">
        <v>46132</v>
      </c>
      <c r="H48" s="59">
        <v>46136</v>
      </c>
      <c r="K48" s="26"/>
      <c r="L48" s="26"/>
      <c r="M48" s="26"/>
      <c r="N48" s="26"/>
      <c r="O48" s="26"/>
      <c r="P48" s="26"/>
      <c r="Q48" s="26"/>
      <c r="R48" s="134"/>
      <c r="S48" s="26"/>
      <c r="T48" s="26"/>
      <c r="U48" s="26"/>
      <c r="V48" s="26"/>
      <c r="W48" s="26"/>
      <c r="X48" s="26"/>
      <c r="Y48" s="134"/>
      <c r="Z48" s="26"/>
      <c r="AA48" s="26"/>
      <c r="AB48" s="26"/>
      <c r="AC48" s="26"/>
      <c r="AD48" s="26"/>
      <c r="AE48" s="26"/>
      <c r="AF48" s="134"/>
      <c r="AG48" s="26"/>
      <c r="AH48" s="26"/>
      <c r="AI48" s="26"/>
      <c r="AJ48" s="26"/>
      <c r="AK48" s="26"/>
      <c r="AL48" s="26"/>
      <c r="AM48" s="134"/>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row>
    <row r="49" spans="1:66" ht="30" customHeight="1" thickBot="1">
      <c r="A49" s="8" t="s">
        <v>17</v>
      </c>
      <c r="C49" s="56" t="s">
        <v>64</v>
      </c>
      <c r="D49" s="57" t="s">
        <v>20</v>
      </c>
      <c r="E49" s="57"/>
      <c r="F49" s="58">
        <v>1</v>
      </c>
      <c r="G49" s="59">
        <v>46132</v>
      </c>
      <c r="H49" s="59">
        <v>46136</v>
      </c>
      <c r="K49" s="26"/>
      <c r="L49" s="26"/>
      <c r="M49" s="26"/>
      <c r="N49" s="26"/>
      <c r="O49" s="26"/>
      <c r="P49" s="26"/>
      <c r="Q49" s="26"/>
      <c r="R49" s="134"/>
      <c r="S49" s="26"/>
      <c r="T49" s="26"/>
      <c r="U49" s="26"/>
      <c r="V49" s="26"/>
      <c r="W49" s="26"/>
      <c r="X49" s="26"/>
      <c r="Y49" s="134"/>
      <c r="Z49" s="26"/>
      <c r="AA49" s="26"/>
      <c r="AB49" s="26"/>
      <c r="AC49" s="26"/>
      <c r="AD49" s="26"/>
      <c r="AE49" s="26"/>
      <c r="AF49" s="134"/>
      <c r="AG49" s="26"/>
      <c r="AH49" s="26"/>
      <c r="AI49" s="26"/>
      <c r="AJ49" s="26"/>
      <c r="AK49" s="26"/>
      <c r="AL49" s="26"/>
      <c r="AM49" s="134"/>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row>
    <row r="50" spans="1:66" ht="30" customHeight="1" thickBot="1">
      <c r="A50" s="8" t="s">
        <v>17</v>
      </c>
      <c r="C50" s="56" t="s">
        <v>65</v>
      </c>
      <c r="D50" s="57" t="s">
        <v>20</v>
      </c>
      <c r="E50" s="57"/>
      <c r="F50" s="58">
        <v>1</v>
      </c>
      <c r="G50" s="59">
        <v>46132</v>
      </c>
      <c r="H50" s="59">
        <v>46136</v>
      </c>
      <c r="K50" s="26"/>
      <c r="L50" s="26"/>
      <c r="M50" s="26"/>
      <c r="N50" s="26"/>
      <c r="O50" s="26"/>
      <c r="P50" s="26"/>
      <c r="Q50" s="26"/>
      <c r="R50" s="134"/>
      <c r="S50" s="26"/>
      <c r="T50" s="26"/>
      <c r="U50" s="26"/>
      <c r="V50" s="26"/>
      <c r="W50" s="26"/>
      <c r="X50" s="26"/>
      <c r="Y50" s="134"/>
      <c r="Z50" s="26"/>
      <c r="AA50" s="26"/>
      <c r="AB50" s="26"/>
      <c r="AC50" s="26"/>
      <c r="AD50" s="26"/>
      <c r="AE50" s="26"/>
      <c r="AF50" s="134"/>
      <c r="AG50" s="26"/>
      <c r="AH50" s="26"/>
      <c r="AI50" s="26"/>
      <c r="AJ50" s="26"/>
      <c r="AK50" s="26"/>
      <c r="AL50" s="26"/>
      <c r="AM50" s="134"/>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row>
    <row r="51" spans="1:66" ht="30" customHeight="1" thickBot="1">
      <c r="A51" s="8" t="s">
        <v>17</v>
      </c>
      <c r="C51" s="56" t="s">
        <v>66</v>
      </c>
      <c r="D51" s="57" t="s">
        <v>20</v>
      </c>
      <c r="E51" s="57"/>
      <c r="F51" s="58">
        <v>1</v>
      </c>
      <c r="G51" s="59">
        <v>46132</v>
      </c>
      <c r="H51" s="59">
        <v>46136</v>
      </c>
      <c r="K51" s="26"/>
      <c r="L51" s="26"/>
      <c r="M51" s="26"/>
      <c r="N51" s="26"/>
      <c r="O51" s="26"/>
      <c r="P51" s="26"/>
      <c r="Q51" s="26"/>
      <c r="R51" s="134"/>
      <c r="S51" s="26"/>
      <c r="T51" s="26"/>
      <c r="U51" s="26"/>
      <c r="V51" s="26"/>
      <c r="W51" s="26"/>
      <c r="X51" s="26"/>
      <c r="Y51" s="134"/>
      <c r="Z51" s="26"/>
      <c r="AA51" s="26"/>
      <c r="AB51" s="26"/>
      <c r="AC51" s="26"/>
      <c r="AD51" s="26"/>
      <c r="AE51" s="26"/>
      <c r="AF51" s="134"/>
      <c r="AG51" s="26"/>
      <c r="AH51" s="26"/>
      <c r="AI51" s="26"/>
      <c r="AJ51" s="26"/>
      <c r="AK51" s="26"/>
      <c r="AL51" s="26"/>
      <c r="AM51" s="134"/>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row>
    <row r="52" spans="1:66" ht="30" customHeight="1" thickBot="1">
      <c r="A52" s="8" t="s">
        <v>17</v>
      </c>
      <c r="C52" s="56" t="s">
        <v>67</v>
      </c>
      <c r="D52" s="57" t="s">
        <v>20</v>
      </c>
      <c r="E52" s="57"/>
      <c r="F52" s="58">
        <v>1</v>
      </c>
      <c r="G52" s="59">
        <v>46132</v>
      </c>
      <c r="H52" s="59">
        <v>46136</v>
      </c>
      <c r="K52" s="26"/>
      <c r="L52" s="26"/>
      <c r="M52" s="26"/>
      <c r="N52" s="26"/>
      <c r="O52" s="26"/>
      <c r="P52" s="26"/>
      <c r="Q52" s="26"/>
      <c r="R52" s="134"/>
      <c r="S52" s="26"/>
      <c r="T52" s="26"/>
      <c r="U52" s="26"/>
      <c r="V52" s="26"/>
      <c r="W52" s="26"/>
      <c r="X52" s="26"/>
      <c r="Y52" s="134"/>
      <c r="Z52" s="26"/>
      <c r="AA52" s="26"/>
      <c r="AB52" s="26"/>
      <c r="AC52" s="26"/>
      <c r="AD52" s="26"/>
      <c r="AE52" s="26"/>
      <c r="AF52" s="134"/>
      <c r="AG52" s="26"/>
      <c r="AH52" s="26"/>
      <c r="AI52" s="26"/>
      <c r="AJ52" s="26"/>
      <c r="AK52" s="26"/>
      <c r="AL52" s="26"/>
      <c r="AM52" s="134"/>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row>
    <row r="53" spans="1:66" ht="30" customHeight="1" thickBot="1">
      <c r="A53" s="8" t="s">
        <v>17</v>
      </c>
      <c r="C53" s="116" t="s">
        <v>68</v>
      </c>
      <c r="D53" s="57"/>
      <c r="E53" s="57"/>
      <c r="F53" s="58"/>
      <c r="G53" s="59"/>
      <c r="H53" s="59"/>
      <c r="K53" s="26"/>
      <c r="L53" s="26"/>
      <c r="M53" s="26"/>
      <c r="N53" s="26"/>
      <c r="O53" s="26"/>
      <c r="P53" s="26"/>
      <c r="Q53" s="26"/>
      <c r="R53" s="134"/>
      <c r="S53" s="26"/>
      <c r="T53" s="26"/>
      <c r="U53" s="26"/>
      <c r="V53" s="26"/>
      <c r="W53" s="26"/>
      <c r="X53" s="26"/>
      <c r="Y53" s="134"/>
      <c r="Z53" s="26"/>
      <c r="AA53" s="26"/>
      <c r="AB53" s="26"/>
      <c r="AC53" s="26"/>
      <c r="AD53" s="26"/>
      <c r="AE53" s="26"/>
      <c r="AF53" s="134"/>
      <c r="AG53" s="26"/>
      <c r="AH53" s="26"/>
      <c r="AI53" s="26"/>
      <c r="AJ53" s="26"/>
      <c r="AK53" s="26"/>
      <c r="AL53" s="26"/>
      <c r="AM53" s="134"/>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row>
    <row r="54" spans="1:66" ht="30" customHeight="1" thickBot="1">
      <c r="A54" s="8" t="s">
        <v>17</v>
      </c>
      <c r="C54" s="56" t="s">
        <v>69</v>
      </c>
      <c r="D54" s="57" t="s">
        <v>20</v>
      </c>
      <c r="E54" s="57"/>
      <c r="F54" s="58">
        <v>1</v>
      </c>
      <c r="G54" s="59">
        <v>46132</v>
      </c>
      <c r="H54" s="59">
        <v>46136</v>
      </c>
      <c r="K54" s="26"/>
      <c r="L54" s="26"/>
      <c r="M54" s="26"/>
      <c r="N54" s="26"/>
      <c r="O54" s="26"/>
      <c r="P54" s="26"/>
      <c r="Q54" s="26"/>
      <c r="R54" s="134"/>
      <c r="S54" s="26"/>
      <c r="T54" s="26"/>
      <c r="U54" s="26"/>
      <c r="V54" s="26"/>
      <c r="W54" s="26"/>
      <c r="X54" s="26"/>
      <c r="Y54" s="134"/>
      <c r="Z54" s="26"/>
      <c r="AA54" s="26"/>
      <c r="AB54" s="26"/>
      <c r="AC54" s="26"/>
      <c r="AD54" s="26"/>
      <c r="AE54" s="26"/>
      <c r="AF54" s="134"/>
      <c r="AG54" s="26"/>
      <c r="AH54" s="26"/>
      <c r="AI54" s="26"/>
      <c r="AJ54" s="26"/>
      <c r="AK54" s="26"/>
      <c r="AL54" s="26"/>
      <c r="AM54" s="134"/>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row>
    <row r="55" spans="1:66" ht="30" customHeight="1" thickBot="1">
      <c r="A55" s="8" t="s">
        <v>17</v>
      </c>
      <c r="C55" s="56" t="s">
        <v>70</v>
      </c>
      <c r="D55" s="57" t="s">
        <v>20</v>
      </c>
      <c r="E55" s="57"/>
      <c r="F55" s="58">
        <v>0.9</v>
      </c>
      <c r="G55" s="59">
        <v>46132</v>
      </c>
      <c r="H55" s="59">
        <v>46136</v>
      </c>
      <c r="K55" s="26"/>
      <c r="L55" s="26"/>
      <c r="M55" s="26"/>
      <c r="N55" s="26"/>
      <c r="O55" s="26"/>
      <c r="P55" s="26"/>
      <c r="Q55" s="26"/>
      <c r="R55" s="134"/>
      <c r="S55" s="26"/>
      <c r="T55" s="26"/>
      <c r="U55" s="26"/>
      <c r="V55" s="26"/>
      <c r="W55" s="26"/>
      <c r="X55" s="26"/>
      <c r="Y55" s="134"/>
      <c r="Z55" s="26"/>
      <c r="AA55" s="26"/>
      <c r="AB55" s="26"/>
      <c r="AC55" s="26"/>
      <c r="AD55" s="26"/>
      <c r="AE55" s="26"/>
      <c r="AF55" s="134"/>
      <c r="AG55" s="26"/>
      <c r="AH55" s="26"/>
      <c r="AI55" s="26"/>
      <c r="AJ55" s="26"/>
      <c r="AK55" s="26"/>
      <c r="AL55" s="26"/>
      <c r="AM55" s="134"/>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row>
    <row r="56" spans="1:66" ht="30" customHeight="1" thickBot="1">
      <c r="A56" s="8" t="s">
        <v>17</v>
      </c>
      <c r="C56" s="56" t="s">
        <v>71</v>
      </c>
      <c r="D56" s="57" t="s">
        <v>20</v>
      </c>
      <c r="E56" s="57"/>
      <c r="F56" s="58">
        <v>0.9</v>
      </c>
      <c r="G56" s="59">
        <v>46132</v>
      </c>
      <c r="H56" s="59">
        <v>46136</v>
      </c>
      <c r="K56" s="26"/>
      <c r="L56" s="26"/>
      <c r="M56" s="26"/>
      <c r="N56" s="26"/>
      <c r="O56" s="26"/>
      <c r="P56" s="26"/>
      <c r="Q56" s="26"/>
      <c r="R56" s="134"/>
      <c r="S56" s="26"/>
      <c r="T56" s="26"/>
      <c r="U56" s="26"/>
      <c r="V56" s="26"/>
      <c r="W56" s="26"/>
      <c r="X56" s="26"/>
      <c r="Y56" s="134"/>
      <c r="Z56" s="26"/>
      <c r="AA56" s="26"/>
      <c r="AB56" s="26"/>
      <c r="AC56" s="26"/>
      <c r="AD56" s="26"/>
      <c r="AE56" s="26"/>
      <c r="AF56" s="134"/>
      <c r="AG56" s="26"/>
      <c r="AH56" s="26"/>
      <c r="AI56" s="26"/>
      <c r="AJ56" s="26"/>
      <c r="AK56" s="26"/>
      <c r="AL56" s="26"/>
      <c r="AM56" s="134"/>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row>
    <row r="57" spans="1:66" ht="30" customHeight="1" thickBot="1">
      <c r="A57" s="8" t="s">
        <v>17</v>
      </c>
      <c r="B57" s="50">
        <v>4</v>
      </c>
      <c r="C57" s="117" t="s">
        <v>72</v>
      </c>
      <c r="D57" s="60" t="s">
        <v>73</v>
      </c>
      <c r="E57" s="60"/>
      <c r="F57" s="61"/>
      <c r="G57" s="62"/>
      <c r="H57" s="62"/>
      <c r="K57" s="26"/>
      <c r="L57" s="26"/>
      <c r="M57" s="26"/>
      <c r="N57" s="26"/>
      <c r="O57" s="26"/>
      <c r="P57" s="26"/>
      <c r="Q57" s="26"/>
      <c r="R57" s="134"/>
      <c r="S57" s="26"/>
      <c r="T57" s="26"/>
      <c r="U57" s="26"/>
      <c r="V57" s="26"/>
      <c r="W57" s="26"/>
      <c r="X57" s="26"/>
      <c r="Y57" s="134"/>
      <c r="Z57" s="26"/>
      <c r="AA57" s="26"/>
      <c r="AB57" s="26"/>
      <c r="AC57" s="26"/>
      <c r="AD57" s="26"/>
      <c r="AE57" s="26"/>
      <c r="AF57" s="134"/>
      <c r="AG57" s="26"/>
      <c r="AH57" s="26"/>
      <c r="AI57" s="26"/>
      <c r="AJ57" s="26"/>
      <c r="AK57" s="26"/>
      <c r="AL57" s="26"/>
      <c r="AM57" s="134"/>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row>
    <row r="58" spans="1:66" ht="30" customHeight="1" thickBot="1">
      <c r="A58" s="8" t="s">
        <v>17</v>
      </c>
      <c r="C58" s="122" t="s">
        <v>74</v>
      </c>
      <c r="D58" s="64"/>
      <c r="E58" s="64"/>
      <c r="F58" s="65"/>
      <c r="G58" s="66"/>
      <c r="H58" s="66"/>
      <c r="K58" s="26"/>
      <c r="L58" s="26"/>
      <c r="M58" s="26"/>
      <c r="N58" s="26"/>
      <c r="O58" s="26"/>
      <c r="P58" s="26"/>
      <c r="Q58" s="26"/>
      <c r="R58" s="134"/>
      <c r="S58" s="26"/>
      <c r="T58" s="26"/>
      <c r="U58" s="26"/>
      <c r="V58" s="26"/>
      <c r="W58" s="26"/>
      <c r="X58" s="26"/>
      <c r="Y58" s="134"/>
      <c r="Z58" s="26"/>
      <c r="AA58" s="26"/>
      <c r="AB58" s="26"/>
      <c r="AC58" s="26"/>
      <c r="AD58" s="26"/>
      <c r="AE58" s="26"/>
      <c r="AF58" s="134"/>
      <c r="AG58" s="26"/>
      <c r="AH58" s="26"/>
      <c r="AI58" s="26"/>
      <c r="AJ58" s="26"/>
      <c r="AK58" s="26"/>
      <c r="AL58" s="26"/>
      <c r="AM58" s="134"/>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row>
    <row r="59" spans="1:66" ht="30" customHeight="1" thickBot="1">
      <c r="A59" s="8" t="s">
        <v>17</v>
      </c>
      <c r="C59" s="63" t="s">
        <v>75</v>
      </c>
      <c r="D59" s="64" t="s">
        <v>76</v>
      </c>
      <c r="E59" s="64"/>
      <c r="F59" s="65">
        <v>1</v>
      </c>
      <c r="G59" s="66">
        <v>46132</v>
      </c>
      <c r="H59" s="66">
        <v>46136</v>
      </c>
      <c r="K59" s="26"/>
      <c r="L59" s="26"/>
      <c r="M59" s="26"/>
      <c r="N59" s="26"/>
      <c r="O59" s="26"/>
      <c r="P59" s="26"/>
      <c r="Q59" s="26"/>
      <c r="R59" s="134"/>
      <c r="S59" s="26"/>
      <c r="T59" s="26"/>
      <c r="U59" s="26"/>
      <c r="V59" s="26"/>
      <c r="W59" s="26"/>
      <c r="X59" s="26"/>
      <c r="Y59" s="134"/>
      <c r="Z59" s="26"/>
      <c r="AA59" s="26"/>
      <c r="AB59" s="26"/>
      <c r="AC59" s="26"/>
      <c r="AD59" s="26"/>
      <c r="AE59" s="26"/>
      <c r="AF59" s="134"/>
      <c r="AG59" s="26"/>
      <c r="AH59" s="26"/>
      <c r="AI59" s="26"/>
      <c r="AJ59" s="26"/>
      <c r="AK59" s="26"/>
      <c r="AL59" s="26"/>
      <c r="AM59" s="134"/>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row>
    <row r="60" spans="1:66" ht="30" customHeight="1" thickBot="1">
      <c r="A60" s="8" t="s">
        <v>17</v>
      </c>
      <c r="C60" s="63" t="s">
        <v>77</v>
      </c>
      <c r="D60" s="64" t="s">
        <v>76</v>
      </c>
      <c r="E60" s="64"/>
      <c r="F60" s="65">
        <v>0.5</v>
      </c>
      <c r="G60" s="66">
        <v>46132</v>
      </c>
      <c r="H60" s="66">
        <v>46136</v>
      </c>
      <c r="K60" s="26"/>
      <c r="L60" s="26"/>
      <c r="M60" s="26"/>
      <c r="N60" s="26"/>
      <c r="O60" s="26"/>
      <c r="P60" s="26"/>
      <c r="Q60" s="26"/>
      <c r="R60" s="134"/>
      <c r="S60" s="26"/>
      <c r="T60" s="26"/>
      <c r="U60" s="26"/>
      <c r="V60" s="26"/>
      <c r="W60" s="26"/>
      <c r="X60" s="26"/>
      <c r="Y60" s="134"/>
      <c r="Z60" s="26"/>
      <c r="AA60" s="26"/>
      <c r="AB60" s="26"/>
      <c r="AC60" s="26"/>
      <c r="AD60" s="26"/>
      <c r="AE60" s="26"/>
      <c r="AF60" s="134"/>
      <c r="AG60" s="26"/>
      <c r="AH60" s="26"/>
      <c r="AI60" s="26"/>
      <c r="AJ60" s="26"/>
      <c r="AK60" s="26"/>
      <c r="AL60" s="26"/>
      <c r="AM60" s="134"/>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row>
    <row r="61" spans="1:66" ht="30" customHeight="1" thickBot="1">
      <c r="A61" s="8" t="s">
        <v>17</v>
      </c>
      <c r="C61" s="63" t="s">
        <v>78</v>
      </c>
      <c r="D61" s="64" t="s">
        <v>76</v>
      </c>
      <c r="E61" s="64"/>
      <c r="F61" s="65">
        <v>0.5</v>
      </c>
      <c r="G61" s="66">
        <v>46132</v>
      </c>
      <c r="H61" s="66">
        <v>46136</v>
      </c>
      <c r="K61" s="26"/>
      <c r="L61" s="26"/>
      <c r="M61" s="26"/>
      <c r="N61" s="26"/>
      <c r="O61" s="26"/>
      <c r="P61" s="26"/>
      <c r="Q61" s="26"/>
      <c r="R61" s="134"/>
      <c r="S61" s="26"/>
      <c r="T61" s="26"/>
      <c r="U61" s="26"/>
      <c r="V61" s="26"/>
      <c r="W61" s="26"/>
      <c r="X61" s="26"/>
      <c r="Y61" s="134"/>
      <c r="Z61" s="26"/>
      <c r="AA61" s="26"/>
      <c r="AB61" s="26"/>
      <c r="AC61" s="26"/>
      <c r="AD61" s="26"/>
      <c r="AE61" s="26"/>
      <c r="AF61" s="134"/>
      <c r="AG61" s="26"/>
      <c r="AH61" s="26"/>
      <c r="AI61" s="26"/>
      <c r="AJ61" s="26"/>
      <c r="AK61" s="26"/>
      <c r="AL61" s="26"/>
      <c r="AM61" s="134"/>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row>
    <row r="62" spans="1:66" ht="30" customHeight="1" thickBot="1">
      <c r="A62" s="8" t="s">
        <v>17</v>
      </c>
      <c r="C62" s="63" t="s">
        <v>79</v>
      </c>
      <c r="D62" s="64" t="s">
        <v>35</v>
      </c>
      <c r="E62" s="64"/>
      <c r="F62" s="65">
        <v>0.5</v>
      </c>
      <c r="G62" s="66">
        <v>46132</v>
      </c>
      <c r="H62" s="66">
        <v>46136</v>
      </c>
      <c r="K62" s="26"/>
      <c r="L62" s="26"/>
      <c r="M62" s="26"/>
      <c r="N62" s="26"/>
      <c r="O62" s="26"/>
      <c r="P62" s="26"/>
      <c r="Q62" s="26"/>
      <c r="R62" s="134"/>
      <c r="S62" s="26"/>
      <c r="T62" s="26"/>
      <c r="U62" s="26"/>
      <c r="V62" s="26"/>
      <c r="W62" s="26"/>
      <c r="X62" s="26"/>
      <c r="Y62" s="134"/>
      <c r="Z62" s="26"/>
      <c r="AA62" s="26"/>
      <c r="AB62" s="26"/>
      <c r="AC62" s="26"/>
      <c r="AD62" s="26"/>
      <c r="AE62" s="26"/>
      <c r="AF62" s="134"/>
      <c r="AG62" s="26"/>
      <c r="AH62" s="26"/>
      <c r="AI62" s="26"/>
      <c r="AJ62" s="26"/>
      <c r="AK62" s="26"/>
      <c r="AL62" s="26"/>
      <c r="AM62" s="134"/>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row>
    <row r="63" spans="1:66" ht="30" customHeight="1" thickBot="1">
      <c r="A63" s="8" t="s">
        <v>17</v>
      </c>
      <c r="C63" s="122" t="s">
        <v>80</v>
      </c>
      <c r="D63" s="64"/>
      <c r="E63" s="64"/>
      <c r="F63" s="65"/>
      <c r="G63" s="66"/>
      <c r="H63" s="66"/>
      <c r="K63" s="26"/>
      <c r="L63" s="26"/>
      <c r="M63" s="26"/>
      <c r="N63" s="26"/>
      <c r="O63" s="26"/>
      <c r="P63" s="26"/>
      <c r="Q63" s="26"/>
      <c r="R63" s="134"/>
      <c r="S63" s="26"/>
      <c r="T63" s="26"/>
      <c r="U63" s="26"/>
      <c r="V63" s="26"/>
      <c r="W63" s="26"/>
      <c r="X63" s="26"/>
      <c r="Y63" s="134"/>
      <c r="Z63" s="26"/>
      <c r="AA63" s="26"/>
      <c r="AB63" s="26"/>
      <c r="AC63" s="26"/>
      <c r="AD63" s="26"/>
      <c r="AE63" s="26"/>
      <c r="AF63" s="134"/>
      <c r="AG63" s="26"/>
      <c r="AH63" s="26"/>
      <c r="AI63" s="26"/>
      <c r="AJ63" s="26"/>
      <c r="AK63" s="26"/>
      <c r="AL63" s="26"/>
      <c r="AM63" s="134"/>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row>
    <row r="64" spans="1:66" ht="30" customHeight="1" thickBot="1">
      <c r="A64" s="8" t="s">
        <v>17</v>
      </c>
      <c r="C64" s="63" t="s">
        <v>81</v>
      </c>
      <c r="D64" s="64" t="s">
        <v>48</v>
      </c>
      <c r="E64" s="64"/>
      <c r="F64" s="65">
        <v>0.8</v>
      </c>
      <c r="G64" s="66">
        <v>46146</v>
      </c>
      <c r="H64" s="66">
        <v>46157</v>
      </c>
      <c r="K64" s="26"/>
      <c r="L64" s="26"/>
      <c r="M64" s="26"/>
      <c r="N64" s="26"/>
      <c r="O64" s="26"/>
      <c r="P64" s="26"/>
      <c r="Q64" s="26"/>
      <c r="R64" s="134"/>
      <c r="S64" s="26"/>
      <c r="T64" s="26"/>
      <c r="U64" s="26"/>
      <c r="V64" s="26"/>
      <c r="W64" s="26"/>
      <c r="X64" s="26"/>
      <c r="Y64" s="134"/>
      <c r="Z64" s="26"/>
      <c r="AA64" s="26"/>
      <c r="AB64" s="26"/>
      <c r="AC64" s="26"/>
      <c r="AD64" s="26"/>
      <c r="AE64" s="26"/>
      <c r="AF64" s="134"/>
      <c r="AG64" s="26"/>
      <c r="AH64" s="26"/>
      <c r="AI64" s="26"/>
      <c r="AJ64" s="26"/>
      <c r="AK64" s="26"/>
      <c r="AL64" s="26"/>
      <c r="AM64" s="134"/>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row>
    <row r="65" spans="1:66" ht="30" customHeight="1" thickBot="1">
      <c r="A65" s="8" t="s">
        <v>17</v>
      </c>
      <c r="C65" s="63" t="s">
        <v>82</v>
      </c>
      <c r="D65" s="64" t="s">
        <v>48</v>
      </c>
      <c r="E65" s="64"/>
      <c r="F65" s="65">
        <v>0.5</v>
      </c>
      <c r="G65" s="66">
        <v>46146</v>
      </c>
      <c r="H65" s="66">
        <v>46157</v>
      </c>
      <c r="K65" s="26"/>
      <c r="L65" s="26"/>
      <c r="M65" s="26"/>
      <c r="N65" s="26"/>
      <c r="O65" s="26"/>
      <c r="P65" s="26"/>
      <c r="Q65" s="26"/>
      <c r="R65" s="134"/>
      <c r="S65" s="26"/>
      <c r="T65" s="26"/>
      <c r="U65" s="26"/>
      <c r="V65" s="26"/>
      <c r="W65" s="26"/>
      <c r="X65" s="26"/>
      <c r="Y65" s="134"/>
      <c r="Z65" s="26"/>
      <c r="AA65" s="26"/>
      <c r="AB65" s="26"/>
      <c r="AC65" s="26"/>
      <c r="AD65" s="26"/>
      <c r="AE65" s="26"/>
      <c r="AF65" s="134"/>
      <c r="AG65" s="26"/>
      <c r="AH65" s="26"/>
      <c r="AI65" s="26"/>
      <c r="AJ65" s="26"/>
      <c r="AK65" s="26"/>
      <c r="AL65" s="26"/>
      <c r="AM65" s="134"/>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row>
    <row r="66" spans="1:66" ht="30" customHeight="1" thickBot="1">
      <c r="A66" s="8" t="s">
        <v>17</v>
      </c>
      <c r="C66" s="63" t="s">
        <v>83</v>
      </c>
      <c r="D66" s="64"/>
      <c r="E66" s="64"/>
      <c r="F66" s="65">
        <v>0.5</v>
      </c>
      <c r="G66" s="66">
        <v>46146</v>
      </c>
      <c r="H66" s="66">
        <v>46157</v>
      </c>
      <c r="K66" s="26"/>
      <c r="L66" s="26"/>
      <c r="M66" s="26"/>
      <c r="N66" s="26"/>
      <c r="O66" s="26"/>
      <c r="P66" s="26"/>
      <c r="Q66" s="26"/>
      <c r="R66" s="134"/>
      <c r="S66" s="26"/>
      <c r="T66" s="26"/>
      <c r="U66" s="26"/>
      <c r="V66" s="26"/>
      <c r="W66" s="26"/>
      <c r="X66" s="26"/>
      <c r="Y66" s="134"/>
      <c r="Z66" s="26"/>
      <c r="AA66" s="26"/>
      <c r="AB66" s="26"/>
      <c r="AC66" s="26"/>
      <c r="AD66" s="26"/>
      <c r="AE66" s="26"/>
      <c r="AF66" s="134"/>
      <c r="AG66" s="26"/>
      <c r="AH66" s="26"/>
      <c r="AI66" s="26"/>
      <c r="AJ66" s="26"/>
      <c r="AK66" s="26"/>
      <c r="AL66" s="26"/>
      <c r="AM66" s="134"/>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row>
    <row r="67" spans="1:66" ht="30" customHeight="1" thickBot="1">
      <c r="A67" s="8" t="s">
        <v>17</v>
      </c>
      <c r="B67" s="50">
        <v>5</v>
      </c>
      <c r="C67" s="118" t="s">
        <v>84</v>
      </c>
      <c r="D67" s="67"/>
      <c r="E67" s="67"/>
      <c r="F67" s="68"/>
      <c r="G67" s="69"/>
      <c r="H67" s="69"/>
      <c r="K67" s="26"/>
      <c r="L67" s="26"/>
      <c r="M67" s="26"/>
      <c r="N67" s="26"/>
      <c r="O67" s="26"/>
      <c r="P67" s="26"/>
      <c r="Q67" s="26"/>
      <c r="R67" s="134"/>
      <c r="S67" s="26"/>
      <c r="T67" s="26"/>
      <c r="U67" s="26"/>
      <c r="V67" s="26"/>
      <c r="W67" s="26"/>
      <c r="X67" s="26"/>
      <c r="Y67" s="134"/>
      <c r="Z67" s="26"/>
      <c r="AA67" s="26"/>
      <c r="AB67" s="26"/>
      <c r="AC67" s="26"/>
      <c r="AD67" s="26"/>
      <c r="AE67" s="26"/>
      <c r="AF67" s="134"/>
      <c r="AG67" s="26"/>
      <c r="AH67" s="26"/>
      <c r="AI67" s="26"/>
      <c r="AJ67" s="26"/>
      <c r="AK67" s="26"/>
      <c r="AL67" s="26"/>
      <c r="AM67" s="134"/>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row>
    <row r="68" spans="1:66" ht="30" customHeight="1" thickBot="1">
      <c r="A68" s="8" t="s">
        <v>17</v>
      </c>
      <c r="C68" s="123" t="s">
        <v>85</v>
      </c>
      <c r="D68" s="71"/>
      <c r="E68" s="71"/>
      <c r="F68" s="72"/>
      <c r="G68" s="73"/>
      <c r="H68" s="73"/>
      <c r="K68" s="26"/>
      <c r="L68" s="26"/>
      <c r="M68" s="26"/>
      <c r="N68" s="26"/>
      <c r="O68" s="26"/>
      <c r="P68" s="26"/>
      <c r="Q68" s="26"/>
      <c r="R68" s="134"/>
      <c r="S68" s="26"/>
      <c r="T68" s="26"/>
      <c r="U68" s="26"/>
      <c r="V68" s="26"/>
      <c r="W68" s="26"/>
      <c r="X68" s="26"/>
      <c r="Y68" s="134"/>
      <c r="Z68" s="26"/>
      <c r="AA68" s="26"/>
      <c r="AB68" s="26"/>
      <c r="AC68" s="26"/>
      <c r="AD68" s="26"/>
      <c r="AE68" s="26"/>
      <c r="AF68" s="134"/>
      <c r="AG68" s="26"/>
      <c r="AH68" s="26"/>
      <c r="AI68" s="26"/>
      <c r="AJ68" s="26"/>
      <c r="AK68" s="26"/>
      <c r="AL68" s="26"/>
      <c r="AM68" s="134"/>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row>
    <row r="69" spans="1:66" ht="30" customHeight="1" thickBot="1">
      <c r="A69" s="8" t="s">
        <v>17</v>
      </c>
      <c r="C69" s="70" t="s">
        <v>86</v>
      </c>
      <c r="D69" s="71" t="s">
        <v>35</v>
      </c>
      <c r="E69" s="71"/>
      <c r="F69" s="72">
        <v>1</v>
      </c>
      <c r="G69" s="73">
        <v>46127</v>
      </c>
      <c r="H69" s="73">
        <v>46137</v>
      </c>
      <c r="K69" s="26"/>
      <c r="L69" s="26"/>
      <c r="M69" s="26"/>
      <c r="N69" s="26"/>
      <c r="O69" s="26"/>
      <c r="P69" s="26"/>
      <c r="Q69" s="26"/>
      <c r="R69" s="134"/>
      <c r="S69" s="26"/>
      <c r="T69" s="26"/>
      <c r="U69" s="26"/>
      <c r="V69" s="26"/>
      <c r="W69" s="26"/>
      <c r="X69" s="26"/>
      <c r="Y69" s="134"/>
      <c r="Z69" s="26"/>
      <c r="AA69" s="26"/>
      <c r="AB69" s="26"/>
      <c r="AC69" s="26"/>
      <c r="AD69" s="26"/>
      <c r="AE69" s="26"/>
      <c r="AF69" s="134"/>
      <c r="AG69" s="26"/>
      <c r="AH69" s="26"/>
      <c r="AI69" s="26"/>
      <c r="AJ69" s="26"/>
      <c r="AK69" s="26"/>
      <c r="AL69" s="26"/>
      <c r="AM69" s="134"/>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row>
    <row r="70" spans="1:66" ht="30" customHeight="1" thickBot="1">
      <c r="A70" s="8" t="s">
        <v>17</v>
      </c>
      <c r="C70" s="123" t="s">
        <v>87</v>
      </c>
      <c r="D70" s="71"/>
      <c r="E70" s="71"/>
      <c r="F70" s="72"/>
      <c r="G70" s="73"/>
      <c r="H70" s="73"/>
      <c r="K70" s="26"/>
      <c r="L70" s="26"/>
      <c r="M70" s="26"/>
      <c r="N70" s="26"/>
      <c r="O70" s="26"/>
      <c r="P70" s="26"/>
      <c r="Q70" s="26"/>
      <c r="R70" s="134"/>
      <c r="S70" s="26"/>
      <c r="T70" s="26"/>
      <c r="U70" s="26"/>
      <c r="V70" s="26"/>
      <c r="W70" s="26"/>
      <c r="X70" s="26"/>
      <c r="Y70" s="134"/>
      <c r="Z70" s="26"/>
      <c r="AA70" s="26"/>
      <c r="AB70" s="26"/>
      <c r="AC70" s="26"/>
      <c r="AD70" s="26"/>
      <c r="AE70" s="26"/>
      <c r="AF70" s="134"/>
      <c r="AG70" s="26"/>
      <c r="AH70" s="26"/>
      <c r="AI70" s="26"/>
      <c r="AJ70" s="26"/>
      <c r="AK70" s="26"/>
      <c r="AL70" s="26"/>
      <c r="AM70" s="134"/>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row>
    <row r="71" spans="1:66" ht="30" customHeight="1" thickBot="1">
      <c r="A71" s="8" t="s">
        <v>17</v>
      </c>
      <c r="C71" s="70" t="s">
        <v>88</v>
      </c>
      <c r="D71" s="71" t="s">
        <v>35</v>
      </c>
      <c r="E71" s="71"/>
      <c r="F71" s="72">
        <v>0.5</v>
      </c>
      <c r="G71" s="73">
        <v>46146</v>
      </c>
      <c r="H71" s="73">
        <v>46167</v>
      </c>
      <c r="K71" s="26"/>
      <c r="L71" s="26"/>
      <c r="M71" s="26"/>
      <c r="N71" s="26"/>
      <c r="O71" s="26"/>
      <c r="P71" s="26"/>
      <c r="Q71" s="26"/>
      <c r="R71" s="134"/>
      <c r="S71" s="26"/>
      <c r="T71" s="26"/>
      <c r="U71" s="26"/>
      <c r="V71" s="26"/>
      <c r="W71" s="26"/>
      <c r="X71" s="26"/>
      <c r="Y71" s="134"/>
      <c r="Z71" s="26"/>
      <c r="AA71" s="26"/>
      <c r="AB71" s="26"/>
      <c r="AC71" s="26"/>
      <c r="AD71" s="26"/>
      <c r="AE71" s="26"/>
      <c r="AF71" s="134"/>
      <c r="AG71" s="26"/>
      <c r="AH71" s="26"/>
      <c r="AI71" s="26"/>
      <c r="AJ71" s="26"/>
      <c r="AK71" s="26"/>
      <c r="AL71" s="26"/>
      <c r="AM71" s="134"/>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row>
    <row r="72" spans="1:66" ht="30" customHeight="1" thickBot="1">
      <c r="A72" s="8" t="s">
        <v>17</v>
      </c>
      <c r="C72" s="70" t="s">
        <v>89</v>
      </c>
      <c r="D72" s="71" t="s">
        <v>35</v>
      </c>
      <c r="E72" s="71"/>
      <c r="F72" s="72">
        <v>0.5</v>
      </c>
      <c r="G72" s="73">
        <v>46146</v>
      </c>
      <c r="H72" s="73">
        <v>46167</v>
      </c>
      <c r="K72" s="26"/>
      <c r="L72" s="26"/>
      <c r="M72" s="26"/>
      <c r="N72" s="26"/>
      <c r="O72" s="26"/>
      <c r="P72" s="26"/>
      <c r="Q72" s="26"/>
      <c r="R72" s="134"/>
      <c r="S72" s="26"/>
      <c r="T72" s="26"/>
      <c r="U72" s="26"/>
      <c r="V72" s="26"/>
      <c r="W72" s="26"/>
      <c r="X72" s="26"/>
      <c r="Y72" s="134"/>
      <c r="Z72" s="26"/>
      <c r="AA72" s="26"/>
      <c r="AB72" s="26"/>
      <c r="AC72" s="26"/>
      <c r="AD72" s="26"/>
      <c r="AE72" s="26"/>
      <c r="AF72" s="134"/>
      <c r="AG72" s="26"/>
      <c r="AH72" s="26"/>
      <c r="AI72" s="26"/>
      <c r="AJ72" s="26"/>
      <c r="AK72" s="26"/>
      <c r="AL72" s="26"/>
      <c r="AM72" s="134"/>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row>
    <row r="73" spans="1:66" ht="30" customHeight="1" thickBot="1">
      <c r="A73" s="8" t="s">
        <v>17</v>
      </c>
      <c r="C73" s="70" t="s">
        <v>90</v>
      </c>
      <c r="D73" s="71" t="s">
        <v>35</v>
      </c>
      <c r="E73" s="71"/>
      <c r="F73" s="72">
        <v>0.5</v>
      </c>
      <c r="G73" s="73">
        <v>46146</v>
      </c>
      <c r="H73" s="73">
        <v>46167</v>
      </c>
      <c r="K73" s="26"/>
      <c r="L73" s="26"/>
      <c r="M73" s="26"/>
      <c r="N73" s="26"/>
      <c r="O73" s="26"/>
      <c r="P73" s="26"/>
      <c r="Q73" s="26"/>
      <c r="R73" s="134"/>
      <c r="S73" s="26"/>
      <c r="T73" s="26"/>
      <c r="U73" s="26"/>
      <c r="V73" s="26"/>
      <c r="W73" s="26"/>
      <c r="X73" s="26"/>
      <c r="Y73" s="134"/>
      <c r="Z73" s="26"/>
      <c r="AA73" s="26"/>
      <c r="AB73" s="26"/>
      <c r="AC73" s="26"/>
      <c r="AD73" s="26"/>
      <c r="AE73" s="26"/>
      <c r="AF73" s="134"/>
      <c r="AG73" s="26"/>
      <c r="AH73" s="26"/>
      <c r="AI73" s="26"/>
      <c r="AJ73" s="26"/>
      <c r="AK73" s="26"/>
      <c r="AL73" s="26"/>
      <c r="AM73" s="134"/>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row>
    <row r="74" spans="1:66" ht="30" customHeight="1" thickBot="1">
      <c r="A74" s="8" t="s">
        <v>17</v>
      </c>
      <c r="B74" s="50">
        <v>6</v>
      </c>
      <c r="C74" s="119" t="s">
        <v>91</v>
      </c>
      <c r="D74" s="74"/>
      <c r="E74" s="74"/>
      <c r="F74" s="75"/>
      <c r="G74" s="76"/>
      <c r="H74" s="76"/>
      <c r="K74" s="26"/>
      <c r="L74" s="26"/>
      <c r="M74" s="26"/>
      <c r="N74" s="26"/>
      <c r="O74" s="26"/>
      <c r="P74" s="26"/>
      <c r="Q74" s="26"/>
      <c r="R74" s="134"/>
      <c r="S74" s="26"/>
      <c r="T74" s="26"/>
      <c r="U74" s="26"/>
      <c r="V74" s="26"/>
      <c r="W74" s="26"/>
      <c r="X74" s="26"/>
      <c r="Y74" s="134"/>
      <c r="Z74" s="26"/>
      <c r="AA74" s="26"/>
      <c r="AB74" s="26"/>
      <c r="AC74" s="26"/>
      <c r="AD74" s="26"/>
      <c r="AE74" s="26"/>
      <c r="AF74" s="134"/>
      <c r="AG74" s="26"/>
      <c r="AH74" s="26"/>
      <c r="AI74" s="26"/>
      <c r="AJ74" s="26"/>
      <c r="AK74" s="26"/>
      <c r="AL74" s="26"/>
      <c r="AM74" s="134"/>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row>
    <row r="75" spans="1:66" ht="30" customHeight="1" thickBot="1">
      <c r="A75" s="8" t="s">
        <v>17</v>
      </c>
      <c r="C75" s="114" t="s">
        <v>92</v>
      </c>
      <c r="D75" s="47"/>
      <c r="E75" s="47"/>
      <c r="F75" s="48"/>
      <c r="G75" s="49"/>
      <c r="H75" s="49"/>
      <c r="K75" s="26"/>
      <c r="L75" s="26"/>
      <c r="M75" s="26"/>
      <c r="N75" s="26"/>
      <c r="O75" s="26"/>
      <c r="P75" s="26"/>
      <c r="Q75" s="26"/>
      <c r="R75" s="134"/>
      <c r="S75" s="26"/>
      <c r="T75" s="26"/>
      <c r="U75" s="26"/>
      <c r="V75" s="26"/>
      <c r="W75" s="26"/>
      <c r="X75" s="26"/>
      <c r="Y75" s="134"/>
      <c r="Z75" s="26"/>
      <c r="AA75" s="26"/>
      <c r="AB75" s="26"/>
      <c r="AC75" s="26"/>
      <c r="AD75" s="26"/>
      <c r="AE75" s="26"/>
      <c r="AF75" s="134"/>
      <c r="AG75" s="26"/>
      <c r="AH75" s="26"/>
      <c r="AI75" s="26"/>
      <c r="AJ75" s="26"/>
      <c r="AK75" s="26"/>
      <c r="AL75" s="26"/>
      <c r="AM75" s="134"/>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row>
    <row r="76" spans="1:66" ht="30" customHeight="1" thickBot="1">
      <c r="A76" s="8" t="s">
        <v>17</v>
      </c>
      <c r="C76" s="46" t="s">
        <v>93</v>
      </c>
      <c r="D76" s="47" t="s">
        <v>20</v>
      </c>
      <c r="E76" s="47"/>
      <c r="F76" s="48">
        <v>1</v>
      </c>
      <c r="G76" s="49">
        <v>46146</v>
      </c>
      <c r="H76" s="49">
        <v>46171</v>
      </c>
      <c r="K76" s="26"/>
      <c r="L76" s="26"/>
      <c r="M76" s="26"/>
      <c r="N76" s="26"/>
      <c r="O76" s="26"/>
      <c r="P76" s="26"/>
      <c r="Q76" s="26"/>
      <c r="R76" s="134"/>
      <c r="S76" s="26"/>
      <c r="T76" s="26"/>
      <c r="U76" s="26"/>
      <c r="V76" s="26"/>
      <c r="W76" s="26"/>
      <c r="X76" s="26"/>
      <c r="Y76" s="134"/>
      <c r="Z76" s="26"/>
      <c r="AA76" s="26"/>
      <c r="AB76" s="26"/>
      <c r="AC76" s="26"/>
      <c r="AD76" s="26"/>
      <c r="AE76" s="26"/>
      <c r="AF76" s="134"/>
      <c r="AG76" s="26"/>
      <c r="AH76" s="26"/>
      <c r="AI76" s="26"/>
      <c r="AJ76" s="26"/>
      <c r="AK76" s="26"/>
      <c r="AL76" s="26"/>
      <c r="AM76" s="134"/>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row>
    <row r="77" spans="1:66" ht="30" customHeight="1" thickBot="1">
      <c r="A77" s="8" t="s">
        <v>17</v>
      </c>
      <c r="C77" s="46" t="s">
        <v>94</v>
      </c>
      <c r="D77" s="47" t="s">
        <v>20</v>
      </c>
      <c r="E77" s="47"/>
      <c r="F77" s="48">
        <v>0.75</v>
      </c>
      <c r="G77" s="49">
        <v>46146</v>
      </c>
      <c r="H77" s="49">
        <v>46171</v>
      </c>
      <c r="K77" s="26"/>
      <c r="L77" s="26"/>
      <c r="M77" s="26"/>
      <c r="N77" s="26"/>
      <c r="O77" s="26"/>
      <c r="P77" s="26"/>
      <c r="Q77" s="26"/>
      <c r="R77" s="134"/>
      <c r="S77" s="26"/>
      <c r="T77" s="26"/>
      <c r="U77" s="26"/>
      <c r="V77" s="26"/>
      <c r="W77" s="26"/>
      <c r="X77" s="26"/>
      <c r="Y77" s="134"/>
      <c r="Z77" s="26"/>
      <c r="AA77" s="26"/>
      <c r="AB77" s="26"/>
      <c r="AC77" s="26"/>
      <c r="AD77" s="26"/>
      <c r="AE77" s="26"/>
      <c r="AF77" s="134"/>
      <c r="AG77" s="26"/>
      <c r="AH77" s="26"/>
      <c r="AI77" s="26"/>
      <c r="AJ77" s="26"/>
      <c r="AK77" s="26"/>
      <c r="AL77" s="26"/>
      <c r="AM77" s="134"/>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row>
    <row r="78" spans="1:66" ht="30" customHeight="1" thickBot="1">
      <c r="A78" s="8" t="s">
        <v>17</v>
      </c>
      <c r="C78" s="114" t="s">
        <v>95</v>
      </c>
      <c r="D78" s="47"/>
      <c r="E78" s="47"/>
      <c r="F78" s="48"/>
      <c r="G78" s="49"/>
      <c r="H78" s="49"/>
      <c r="K78" s="26"/>
      <c r="L78" s="26"/>
      <c r="M78" s="26"/>
      <c r="N78" s="26"/>
      <c r="O78" s="26"/>
      <c r="P78" s="26"/>
      <c r="Q78" s="26"/>
      <c r="R78" s="134"/>
      <c r="S78" s="26"/>
      <c r="T78" s="26"/>
      <c r="U78" s="26"/>
      <c r="V78" s="26"/>
      <c r="W78" s="26"/>
      <c r="X78" s="26"/>
      <c r="Y78" s="134"/>
      <c r="Z78" s="26"/>
      <c r="AA78" s="26"/>
      <c r="AB78" s="26"/>
      <c r="AC78" s="26"/>
      <c r="AD78" s="26"/>
      <c r="AE78" s="26"/>
      <c r="AF78" s="134"/>
      <c r="AG78" s="26"/>
      <c r="AH78" s="26"/>
      <c r="AI78" s="26"/>
      <c r="AJ78" s="26"/>
      <c r="AK78" s="26"/>
      <c r="AL78" s="26"/>
      <c r="AM78" s="134"/>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row>
    <row r="79" spans="1:66" ht="30" customHeight="1" thickBot="1">
      <c r="A79" s="8" t="s">
        <v>17</v>
      </c>
      <c r="C79" s="46" t="s">
        <v>96</v>
      </c>
      <c r="D79" s="47" t="s">
        <v>35</v>
      </c>
      <c r="E79" s="47"/>
      <c r="F79" s="48">
        <v>0.3</v>
      </c>
      <c r="G79" s="49">
        <v>46160</v>
      </c>
      <c r="H79" s="49">
        <v>46171</v>
      </c>
      <c r="K79" s="26"/>
      <c r="L79" s="26"/>
      <c r="M79" s="26"/>
      <c r="N79" s="26"/>
      <c r="O79" s="26"/>
      <c r="P79" s="26"/>
      <c r="Q79" s="26"/>
      <c r="R79" s="134"/>
      <c r="S79" s="26"/>
      <c r="T79" s="26"/>
      <c r="U79" s="26"/>
      <c r="V79" s="26"/>
      <c r="W79" s="26"/>
      <c r="X79" s="26"/>
      <c r="Y79" s="134"/>
      <c r="Z79" s="26"/>
      <c r="AA79" s="26"/>
      <c r="AB79" s="26"/>
      <c r="AC79" s="26"/>
      <c r="AD79" s="26"/>
      <c r="AE79" s="26"/>
      <c r="AF79" s="134"/>
      <c r="AG79" s="26"/>
      <c r="AH79" s="26"/>
      <c r="AI79" s="26"/>
      <c r="AJ79" s="26"/>
      <c r="AK79" s="26"/>
      <c r="AL79" s="26"/>
      <c r="AM79" s="134"/>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row>
    <row r="80" spans="1:66" ht="30" customHeight="1" thickBot="1">
      <c r="A80" s="8" t="s">
        <v>17</v>
      </c>
      <c r="C80" s="46" t="s">
        <v>97</v>
      </c>
      <c r="D80" s="47" t="s">
        <v>35</v>
      </c>
      <c r="E80" s="47"/>
      <c r="F80" s="48">
        <v>1</v>
      </c>
      <c r="G80" s="49">
        <v>46160</v>
      </c>
      <c r="H80" s="49">
        <v>46171</v>
      </c>
      <c r="K80" s="26"/>
      <c r="L80" s="26"/>
      <c r="M80" s="26"/>
      <c r="N80" s="26"/>
      <c r="O80" s="26"/>
      <c r="P80" s="26"/>
      <c r="Q80" s="26"/>
      <c r="R80" s="134"/>
      <c r="S80" s="26"/>
      <c r="T80" s="26"/>
      <c r="U80" s="26"/>
      <c r="V80" s="26"/>
      <c r="W80" s="26"/>
      <c r="X80" s="26"/>
      <c r="Y80" s="134"/>
      <c r="Z80" s="26"/>
      <c r="AA80" s="26"/>
      <c r="AB80" s="26"/>
      <c r="AC80" s="26"/>
      <c r="AD80" s="26"/>
      <c r="AE80" s="26"/>
      <c r="AF80" s="134"/>
      <c r="AG80" s="26"/>
      <c r="AH80" s="26"/>
      <c r="AI80" s="26"/>
      <c r="AJ80" s="26"/>
      <c r="AK80" s="26"/>
      <c r="AL80" s="26"/>
      <c r="AM80" s="134"/>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row>
    <row r="81" spans="1:66" ht="30" customHeight="1" thickBot="1">
      <c r="A81" s="8" t="s">
        <v>17</v>
      </c>
      <c r="C81" s="46" t="s">
        <v>98</v>
      </c>
      <c r="D81" s="47" t="s">
        <v>35</v>
      </c>
      <c r="E81" s="47"/>
      <c r="F81" s="48">
        <v>0.75</v>
      </c>
      <c r="G81" s="49">
        <v>46160</v>
      </c>
      <c r="H81" s="49">
        <v>46171</v>
      </c>
      <c r="K81" s="26"/>
      <c r="L81" s="26"/>
      <c r="M81" s="26"/>
      <c r="N81" s="26"/>
      <c r="O81" s="26"/>
      <c r="P81" s="26"/>
      <c r="Q81" s="26"/>
      <c r="R81" s="134"/>
      <c r="S81" s="26"/>
      <c r="T81" s="26"/>
      <c r="U81" s="26"/>
      <c r="V81" s="26"/>
      <c r="W81" s="26"/>
      <c r="X81" s="26"/>
      <c r="Y81" s="134"/>
      <c r="Z81" s="26"/>
      <c r="AA81" s="26"/>
      <c r="AB81" s="26"/>
      <c r="AC81" s="26"/>
      <c r="AD81" s="26"/>
      <c r="AE81" s="26"/>
      <c r="AF81" s="134"/>
      <c r="AG81" s="26"/>
      <c r="AH81" s="26"/>
      <c r="AI81" s="26"/>
      <c r="AJ81" s="26"/>
      <c r="AK81" s="26"/>
      <c r="AL81" s="26"/>
      <c r="AM81" s="134"/>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row>
    <row r="82" spans="1:66" ht="30" customHeight="1" thickBot="1">
      <c r="A82" s="8" t="s">
        <v>17</v>
      </c>
      <c r="B82" s="50">
        <v>7</v>
      </c>
      <c r="C82" s="120" t="s">
        <v>99</v>
      </c>
      <c r="D82" s="77"/>
      <c r="E82" s="77"/>
      <c r="F82" s="78"/>
      <c r="G82" s="79"/>
      <c r="H82" s="79"/>
      <c r="K82" s="26"/>
      <c r="L82" s="26"/>
      <c r="M82" s="26"/>
      <c r="N82" s="26"/>
      <c r="O82" s="26"/>
      <c r="P82" s="26"/>
      <c r="Q82" s="26"/>
      <c r="R82" s="134"/>
      <c r="S82" s="26"/>
      <c r="T82" s="26"/>
      <c r="U82" s="26"/>
      <c r="V82" s="26"/>
      <c r="W82" s="26"/>
      <c r="X82" s="26"/>
      <c r="Y82" s="134"/>
      <c r="Z82" s="26"/>
      <c r="AA82" s="26"/>
      <c r="AB82" s="26"/>
      <c r="AC82" s="26"/>
      <c r="AD82" s="26"/>
      <c r="AE82" s="26"/>
      <c r="AF82" s="134"/>
      <c r="AG82" s="26"/>
      <c r="AH82" s="26"/>
      <c r="AI82" s="26"/>
      <c r="AJ82" s="26"/>
      <c r="AK82" s="26"/>
      <c r="AL82" s="26"/>
      <c r="AM82" s="134"/>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row>
    <row r="83" spans="1:66" ht="30" customHeight="1" thickBot="1">
      <c r="A83" s="8" t="s">
        <v>17</v>
      </c>
      <c r="C83" s="121" t="s">
        <v>100</v>
      </c>
      <c r="D83" s="81"/>
      <c r="E83" s="81"/>
      <c r="F83" s="82"/>
      <c r="G83" s="83"/>
      <c r="H83" s="83"/>
      <c r="K83" s="26"/>
      <c r="L83" s="26"/>
      <c r="M83" s="26"/>
      <c r="N83" s="26"/>
      <c r="O83" s="26"/>
      <c r="P83" s="26"/>
      <c r="Q83" s="26"/>
      <c r="R83" s="134"/>
      <c r="S83" s="26"/>
      <c r="T83" s="26"/>
      <c r="U83" s="26"/>
      <c r="V83" s="26"/>
      <c r="W83" s="26"/>
      <c r="X83" s="26"/>
      <c r="Y83" s="134"/>
      <c r="Z83" s="26"/>
      <c r="AA83" s="26"/>
      <c r="AB83" s="26"/>
      <c r="AC83" s="26"/>
      <c r="AD83" s="26"/>
      <c r="AE83" s="26"/>
      <c r="AF83" s="134"/>
      <c r="AG83" s="26"/>
      <c r="AH83" s="26"/>
      <c r="AI83" s="26"/>
      <c r="AJ83" s="26"/>
      <c r="AK83" s="26"/>
      <c r="AL83" s="26"/>
      <c r="AM83" s="134"/>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row>
    <row r="84" spans="1:66" ht="30" customHeight="1" thickBot="1">
      <c r="A84" s="8" t="s">
        <v>17</v>
      </c>
      <c r="C84" s="80" t="s">
        <v>101</v>
      </c>
      <c r="D84" s="81" t="s">
        <v>35</v>
      </c>
      <c r="E84" s="81"/>
      <c r="F84" s="82">
        <v>1</v>
      </c>
      <c r="G84" s="83">
        <v>46120</v>
      </c>
      <c r="H84" s="83">
        <v>46137</v>
      </c>
      <c r="K84" s="26"/>
      <c r="L84" s="26"/>
      <c r="M84" s="26"/>
      <c r="N84" s="26"/>
      <c r="O84" s="26"/>
      <c r="P84" s="26"/>
      <c r="Q84" s="26"/>
      <c r="R84" s="134"/>
      <c r="S84" s="26"/>
      <c r="T84" s="26"/>
      <c r="U84" s="26"/>
      <c r="V84" s="26"/>
      <c r="W84" s="26"/>
      <c r="X84" s="26"/>
      <c r="Y84" s="134"/>
      <c r="Z84" s="26"/>
      <c r="AA84" s="26"/>
      <c r="AB84" s="26"/>
      <c r="AC84" s="26"/>
      <c r="AD84" s="26"/>
      <c r="AE84" s="26"/>
      <c r="AF84" s="134"/>
      <c r="AG84" s="26"/>
      <c r="AH84" s="26"/>
      <c r="AI84" s="26"/>
      <c r="AJ84" s="26"/>
      <c r="AK84" s="26"/>
      <c r="AL84" s="26"/>
      <c r="AM84" s="134"/>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row>
    <row r="85" spans="1:66" ht="30" customHeight="1" thickBot="1">
      <c r="A85" s="8" t="s">
        <v>17</v>
      </c>
      <c r="C85" s="80" t="s">
        <v>102</v>
      </c>
      <c r="D85" s="81" t="s">
        <v>35</v>
      </c>
      <c r="E85" s="81"/>
      <c r="F85" s="82">
        <v>0.75</v>
      </c>
      <c r="G85" s="83">
        <v>46120</v>
      </c>
      <c r="H85" s="83">
        <v>46137</v>
      </c>
      <c r="K85" s="26"/>
      <c r="L85" s="26"/>
      <c r="M85" s="26"/>
      <c r="N85" s="26"/>
      <c r="O85" s="26"/>
      <c r="P85" s="26"/>
      <c r="Q85" s="26"/>
      <c r="R85" s="134"/>
      <c r="S85" s="26"/>
      <c r="T85" s="26"/>
      <c r="U85" s="26"/>
      <c r="V85" s="26"/>
      <c r="W85" s="26"/>
      <c r="X85" s="26"/>
      <c r="Y85" s="134"/>
      <c r="Z85" s="26"/>
      <c r="AA85" s="26"/>
      <c r="AB85" s="26"/>
      <c r="AC85" s="26"/>
      <c r="AD85" s="26"/>
      <c r="AE85" s="26"/>
      <c r="AF85" s="134"/>
      <c r="AG85" s="26"/>
      <c r="AH85" s="26"/>
      <c r="AI85" s="26"/>
      <c r="AJ85" s="26"/>
      <c r="AK85" s="26"/>
      <c r="AL85" s="26"/>
      <c r="AM85" s="134"/>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row>
    <row r="86" spans="1:66" ht="30" customHeight="1" thickBot="1">
      <c r="A86" s="8" t="s">
        <v>17</v>
      </c>
      <c r="C86" s="121" t="s">
        <v>103</v>
      </c>
      <c r="D86" s="81"/>
      <c r="E86" s="81"/>
      <c r="F86" s="82"/>
      <c r="G86" s="83"/>
      <c r="H86" s="83"/>
      <c r="K86" s="26"/>
      <c r="L86" s="26"/>
      <c r="M86" s="26"/>
      <c r="N86" s="26"/>
      <c r="O86" s="26"/>
      <c r="P86" s="26"/>
      <c r="Q86" s="26"/>
      <c r="R86" s="134"/>
      <c r="S86" s="26"/>
      <c r="T86" s="26"/>
      <c r="U86" s="26"/>
      <c r="V86" s="26"/>
      <c r="W86" s="26"/>
      <c r="X86" s="26"/>
      <c r="Y86" s="134"/>
      <c r="Z86" s="26"/>
      <c r="AA86" s="26"/>
      <c r="AB86" s="26"/>
      <c r="AC86" s="26"/>
      <c r="AD86" s="26"/>
      <c r="AE86" s="26"/>
      <c r="AF86" s="134"/>
      <c r="AG86" s="26"/>
      <c r="AH86" s="26"/>
      <c r="AI86" s="26"/>
      <c r="AJ86" s="26"/>
      <c r="AK86" s="26"/>
      <c r="AL86" s="26"/>
      <c r="AM86" s="134"/>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row>
    <row r="87" spans="1:66" ht="30" customHeight="1" thickBot="1">
      <c r="A87" s="8" t="s">
        <v>17</v>
      </c>
      <c r="C87" s="80" t="s">
        <v>104</v>
      </c>
      <c r="D87" s="81" t="s">
        <v>35</v>
      </c>
      <c r="E87" s="81"/>
      <c r="F87" s="82">
        <v>0</v>
      </c>
      <c r="G87" s="83">
        <v>46139</v>
      </c>
      <c r="H87" s="83">
        <v>46150</v>
      </c>
      <c r="K87" s="26"/>
      <c r="L87" s="26"/>
      <c r="M87" s="26"/>
      <c r="N87" s="26"/>
      <c r="O87" s="26"/>
      <c r="P87" s="26"/>
      <c r="Q87" s="26"/>
      <c r="R87" s="134"/>
      <c r="S87" s="26"/>
      <c r="T87" s="26"/>
      <c r="U87" s="26"/>
      <c r="V87" s="26"/>
      <c r="W87" s="26"/>
      <c r="X87" s="26"/>
      <c r="Y87" s="134"/>
      <c r="Z87" s="26"/>
      <c r="AA87" s="26"/>
      <c r="AB87" s="26"/>
      <c r="AC87" s="26"/>
      <c r="AD87" s="26"/>
      <c r="AE87" s="26"/>
      <c r="AF87" s="134"/>
      <c r="AG87" s="26"/>
      <c r="AH87" s="26"/>
      <c r="AI87" s="26"/>
      <c r="AJ87" s="26"/>
      <c r="AK87" s="26"/>
      <c r="AL87" s="26"/>
      <c r="AM87" s="134"/>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row>
    <row r="88" spans="1:66" ht="30" customHeight="1" thickBot="1">
      <c r="A88" s="8" t="s">
        <v>17</v>
      </c>
      <c r="C88" s="80" t="s">
        <v>105</v>
      </c>
      <c r="D88" s="81" t="s">
        <v>35</v>
      </c>
      <c r="E88" s="81"/>
      <c r="F88" s="82">
        <v>0</v>
      </c>
      <c r="G88" s="83">
        <v>46139</v>
      </c>
      <c r="H88" s="83">
        <v>46150</v>
      </c>
      <c r="K88" s="26"/>
      <c r="L88" s="26"/>
      <c r="M88" s="26"/>
      <c r="N88" s="26"/>
      <c r="O88" s="26"/>
      <c r="P88" s="26"/>
      <c r="Q88" s="26"/>
      <c r="R88" s="134"/>
      <c r="S88" s="26"/>
      <c r="T88" s="26"/>
      <c r="U88" s="26"/>
      <c r="V88" s="26"/>
      <c r="W88" s="26"/>
      <c r="X88" s="26"/>
      <c r="Y88" s="134"/>
      <c r="Z88" s="26"/>
      <c r="AA88" s="26"/>
      <c r="AB88" s="26"/>
      <c r="AC88" s="26"/>
      <c r="AD88" s="26"/>
      <c r="AE88" s="26"/>
      <c r="AF88" s="134"/>
      <c r="AG88" s="26"/>
      <c r="AH88" s="26"/>
      <c r="AI88" s="26"/>
      <c r="AJ88" s="26"/>
      <c r="AK88" s="26"/>
      <c r="AL88" s="26"/>
      <c r="AM88" s="134"/>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row>
    <row r="89" spans="1:66" ht="30" customHeight="1" thickBot="1">
      <c r="A89" s="8">
        <v>0</v>
      </c>
      <c r="B89" s="50">
        <v>8</v>
      </c>
      <c r="C89" s="125" t="s">
        <v>106</v>
      </c>
      <c r="D89" s="84"/>
      <c r="E89" s="84"/>
      <c r="F89" s="85"/>
      <c r="G89" s="86"/>
      <c r="H89" s="86"/>
      <c r="K89" s="26"/>
      <c r="L89" s="26"/>
      <c r="M89" s="26"/>
      <c r="N89" s="26"/>
      <c r="O89" s="26"/>
      <c r="P89" s="26"/>
      <c r="Q89" s="26"/>
      <c r="R89" s="134"/>
      <c r="S89" s="26"/>
      <c r="T89" s="26"/>
      <c r="U89" s="26"/>
      <c r="V89" s="26"/>
      <c r="W89" s="26"/>
      <c r="X89" s="26"/>
      <c r="Y89" s="134"/>
      <c r="Z89" s="26"/>
      <c r="AA89" s="26"/>
      <c r="AB89" s="26"/>
      <c r="AC89" s="26"/>
      <c r="AD89" s="26"/>
      <c r="AE89" s="26"/>
      <c r="AF89" s="134"/>
      <c r="AG89" s="26"/>
      <c r="AH89" s="26"/>
      <c r="AI89" s="26"/>
      <c r="AJ89" s="26"/>
      <c r="AK89" s="26"/>
      <c r="AL89" s="26"/>
      <c r="AM89" s="134"/>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row>
    <row r="90" spans="1:66" ht="30" customHeight="1" thickBot="1">
      <c r="A90" s="8">
        <v>0</v>
      </c>
      <c r="C90" s="87" t="s">
        <v>107</v>
      </c>
      <c r="D90" s="88" t="s">
        <v>108</v>
      </c>
      <c r="E90" s="88"/>
      <c r="F90" s="89">
        <v>0</v>
      </c>
      <c r="G90" s="90"/>
      <c r="H90" s="90"/>
      <c r="K90" s="26"/>
      <c r="L90" s="26"/>
      <c r="M90" s="26"/>
      <c r="N90" s="26"/>
      <c r="O90" s="26"/>
      <c r="P90" s="26"/>
      <c r="Q90" s="26"/>
      <c r="R90" s="134"/>
      <c r="S90" s="26"/>
      <c r="T90" s="26"/>
      <c r="U90" s="26"/>
      <c r="V90" s="26"/>
      <c r="W90" s="26"/>
      <c r="X90" s="26"/>
      <c r="Y90" s="134"/>
      <c r="Z90" s="26"/>
      <c r="AA90" s="26"/>
      <c r="AB90" s="26"/>
      <c r="AC90" s="26"/>
      <c r="AD90" s="26"/>
      <c r="AE90" s="26"/>
      <c r="AF90" s="134"/>
      <c r="AG90" s="26"/>
      <c r="AH90" s="26"/>
      <c r="AI90" s="26"/>
      <c r="AJ90" s="26"/>
      <c r="AK90" s="26"/>
      <c r="AL90" s="26"/>
      <c r="AM90" s="134"/>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row>
    <row r="91" spans="1:66" ht="30" hidden="1" customHeight="1" thickBot="1">
      <c r="A91" s="8">
        <v>0</v>
      </c>
      <c r="B91" s="50">
        <v>9</v>
      </c>
      <c r="C91" s="91"/>
      <c r="D91" s="92"/>
      <c r="E91" s="92"/>
      <c r="F91" s="93"/>
      <c r="G91" s="94"/>
      <c r="H91" s="94"/>
      <c r="K91" s="26"/>
      <c r="L91" s="26"/>
      <c r="M91" s="26"/>
      <c r="N91" s="26"/>
      <c r="O91" s="26"/>
      <c r="P91" s="26"/>
      <c r="Q91" s="26"/>
      <c r="R91" s="134"/>
      <c r="S91" s="26"/>
      <c r="T91" s="26"/>
      <c r="U91" s="26"/>
      <c r="V91" s="26"/>
      <c r="W91" s="26"/>
      <c r="X91" s="26"/>
      <c r="Y91" s="134"/>
      <c r="Z91" s="26"/>
      <c r="AA91" s="26"/>
      <c r="AB91" s="26"/>
      <c r="AC91" s="26"/>
      <c r="AD91" s="26"/>
      <c r="AE91" s="26"/>
      <c r="AF91" s="134"/>
      <c r="AG91" s="26"/>
      <c r="AH91" s="26"/>
      <c r="AI91" s="26"/>
      <c r="AJ91" s="26"/>
      <c r="AK91" s="26"/>
      <c r="AL91" s="26"/>
      <c r="AM91" s="134"/>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row>
    <row r="92" spans="1:66" ht="30" hidden="1" customHeight="1" thickBot="1">
      <c r="A92" s="8">
        <v>0</v>
      </c>
      <c r="C92" s="63"/>
      <c r="D92" s="64" t="s">
        <v>73</v>
      </c>
      <c r="E92" s="64"/>
      <c r="F92" s="65">
        <v>0</v>
      </c>
      <c r="G92" s="66"/>
      <c r="H92" s="66"/>
      <c r="K92" s="26"/>
      <c r="L92" s="26"/>
      <c r="M92" s="26"/>
      <c r="N92" s="26"/>
      <c r="O92" s="26"/>
      <c r="P92" s="26"/>
      <c r="Q92" s="26"/>
      <c r="R92" s="134"/>
      <c r="S92" s="26"/>
      <c r="T92" s="26"/>
      <c r="U92" s="26"/>
      <c r="V92" s="26"/>
      <c r="W92" s="26"/>
      <c r="X92" s="26"/>
      <c r="Y92" s="134"/>
      <c r="Z92" s="26"/>
      <c r="AA92" s="26"/>
      <c r="AB92" s="26"/>
      <c r="AC92" s="26"/>
      <c r="AD92" s="26"/>
      <c r="AE92" s="26"/>
      <c r="AF92" s="134"/>
      <c r="AG92" s="26"/>
      <c r="AH92" s="26"/>
      <c r="AI92" s="26"/>
      <c r="AJ92" s="26"/>
      <c r="AK92" s="26"/>
      <c r="AL92" s="26"/>
      <c r="AM92" s="134"/>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row>
    <row r="93" spans="1:66" ht="30" hidden="1" customHeight="1" thickBot="1">
      <c r="A93" s="8">
        <v>0</v>
      </c>
      <c r="C93" s="63"/>
      <c r="D93" s="64" t="s">
        <v>73</v>
      </c>
      <c r="E93" s="64"/>
      <c r="F93" s="65">
        <v>0</v>
      </c>
      <c r="G93" s="66"/>
      <c r="H93" s="66"/>
      <c r="K93" s="26"/>
      <c r="L93" s="26"/>
      <c r="M93" s="26"/>
      <c r="N93" s="26"/>
      <c r="O93" s="26"/>
      <c r="P93" s="26"/>
      <c r="Q93" s="26"/>
      <c r="R93" s="134"/>
      <c r="S93" s="26"/>
      <c r="T93" s="26"/>
      <c r="U93" s="26"/>
      <c r="V93" s="26"/>
      <c r="W93" s="26"/>
      <c r="X93" s="26"/>
      <c r="Y93" s="134"/>
      <c r="Z93" s="26"/>
      <c r="AA93" s="26"/>
      <c r="AB93" s="26"/>
      <c r="AC93" s="26"/>
      <c r="AD93" s="26"/>
      <c r="AE93" s="26"/>
      <c r="AF93" s="134"/>
      <c r="AG93" s="26"/>
      <c r="AH93" s="26"/>
      <c r="AI93" s="26"/>
      <c r="AJ93" s="26"/>
      <c r="AK93" s="26"/>
      <c r="AL93" s="26"/>
      <c r="AM93" s="134"/>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row>
    <row r="94" spans="1:66" ht="30" hidden="1" customHeight="1" thickBot="1">
      <c r="A94" s="8">
        <v>0</v>
      </c>
      <c r="C94" s="63"/>
      <c r="D94" s="64" t="s">
        <v>73</v>
      </c>
      <c r="E94" s="64"/>
      <c r="F94" s="65">
        <v>0</v>
      </c>
      <c r="G94" s="66"/>
      <c r="H94" s="66"/>
      <c r="K94" s="26"/>
      <c r="L94" s="26"/>
      <c r="M94" s="26"/>
      <c r="N94" s="26"/>
      <c r="O94" s="26"/>
      <c r="P94" s="26"/>
      <c r="Q94" s="26"/>
      <c r="R94" s="134"/>
      <c r="S94" s="26"/>
      <c r="T94" s="26"/>
      <c r="U94" s="26"/>
      <c r="V94" s="26"/>
      <c r="W94" s="26"/>
      <c r="X94" s="26"/>
      <c r="Y94" s="134"/>
      <c r="Z94" s="26"/>
      <c r="AA94" s="26"/>
      <c r="AB94" s="26"/>
      <c r="AC94" s="26"/>
      <c r="AD94" s="26"/>
      <c r="AE94" s="26"/>
      <c r="AF94" s="134"/>
      <c r="AG94" s="26"/>
      <c r="AH94" s="26"/>
      <c r="AI94" s="26"/>
      <c r="AJ94" s="26"/>
      <c r="AK94" s="26"/>
      <c r="AL94" s="26"/>
      <c r="AM94" s="134"/>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row>
    <row r="95" spans="1:66" ht="30" hidden="1" customHeight="1" thickBot="1">
      <c r="A95" s="8">
        <v>0</v>
      </c>
      <c r="B95" s="27">
        <v>10</v>
      </c>
      <c r="C95" s="95"/>
      <c r="D95" s="67"/>
      <c r="E95" s="67"/>
      <c r="F95" s="67"/>
      <c r="G95" s="69"/>
      <c r="H95" s="69"/>
      <c r="K95" s="26"/>
      <c r="L95" s="26"/>
      <c r="M95" s="26"/>
      <c r="N95" s="26"/>
      <c r="O95" s="26"/>
      <c r="P95" s="26"/>
      <c r="Q95" s="26"/>
      <c r="R95" s="134"/>
      <c r="S95" s="26"/>
      <c r="T95" s="26"/>
      <c r="U95" s="26"/>
      <c r="V95" s="26"/>
      <c r="W95" s="26"/>
      <c r="X95" s="26"/>
      <c r="Y95" s="134"/>
      <c r="Z95" s="26"/>
      <c r="AA95" s="26"/>
      <c r="AB95" s="26"/>
      <c r="AC95" s="26"/>
      <c r="AD95" s="26"/>
      <c r="AE95" s="26"/>
      <c r="AF95" s="134"/>
      <c r="AG95" s="26"/>
      <c r="AH95" s="26"/>
      <c r="AI95" s="26"/>
      <c r="AJ95" s="26"/>
      <c r="AK95" s="26"/>
      <c r="AL95" s="26"/>
      <c r="AM95" s="134"/>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row>
    <row r="96" spans="1:66" ht="30" hidden="1" customHeight="1" thickBot="1">
      <c r="A96" s="8">
        <v>0</v>
      </c>
      <c r="C96" s="70"/>
      <c r="D96" s="71" t="s">
        <v>73</v>
      </c>
      <c r="E96" s="71"/>
      <c r="F96" s="72">
        <v>0</v>
      </c>
      <c r="G96" s="73"/>
      <c r="H96" s="73"/>
      <c r="K96" s="26"/>
      <c r="L96" s="26"/>
      <c r="M96" s="26"/>
      <c r="N96" s="26"/>
      <c r="O96" s="26"/>
      <c r="P96" s="26"/>
      <c r="Q96" s="26"/>
      <c r="R96" s="134"/>
      <c r="S96" s="26"/>
      <c r="T96" s="26"/>
      <c r="U96" s="26"/>
      <c r="V96" s="26"/>
      <c r="W96" s="26"/>
      <c r="X96" s="26"/>
      <c r="Y96" s="134"/>
      <c r="Z96" s="26"/>
      <c r="AA96" s="26"/>
      <c r="AB96" s="26"/>
      <c r="AC96" s="26"/>
      <c r="AD96" s="26"/>
      <c r="AE96" s="26"/>
      <c r="AF96" s="134"/>
      <c r="AG96" s="26"/>
      <c r="AH96" s="26"/>
      <c r="AI96" s="26"/>
      <c r="AJ96" s="26"/>
      <c r="AK96" s="26"/>
      <c r="AL96" s="26"/>
      <c r="AM96" s="134"/>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row>
    <row r="97" spans="1:66" s="55" customFormat="1" ht="30" hidden="1" customHeight="1" thickBot="1">
      <c r="A97" s="8">
        <v>0</v>
      </c>
      <c r="B97" s="9" t="s">
        <v>109</v>
      </c>
      <c r="C97" s="96"/>
      <c r="D97" s="97"/>
      <c r="E97" s="97"/>
      <c r="F97" s="97"/>
      <c r="G97" s="98"/>
      <c r="H97" s="99"/>
      <c r="I97" s="100"/>
      <c r="J97" s="100" t="str">
        <f t="shared" si="4"/>
        <v/>
      </c>
      <c r="K97" s="101"/>
      <c r="L97" s="101"/>
      <c r="M97" s="101"/>
      <c r="N97" s="101"/>
      <c r="O97" s="101"/>
      <c r="P97" s="101"/>
      <c r="Q97" s="101"/>
      <c r="R97" s="134"/>
      <c r="S97" s="101"/>
      <c r="T97" s="101"/>
      <c r="U97" s="101"/>
      <c r="V97" s="101"/>
      <c r="W97" s="101"/>
      <c r="X97" s="101"/>
      <c r="Y97" s="134"/>
      <c r="Z97" s="101"/>
      <c r="AA97" s="101"/>
      <c r="AB97" s="101"/>
      <c r="AC97" s="101"/>
      <c r="AD97" s="101"/>
      <c r="AE97" s="101"/>
      <c r="AF97" s="134"/>
      <c r="AG97" s="101"/>
      <c r="AH97" s="101"/>
      <c r="AI97" s="101"/>
      <c r="AJ97" s="101"/>
      <c r="AK97" s="101"/>
      <c r="AL97" s="101"/>
      <c r="AM97" s="134"/>
      <c r="AN97" s="101"/>
      <c r="AO97" s="101"/>
      <c r="AP97" s="101"/>
      <c r="AQ97" s="101"/>
      <c r="AR97" s="101"/>
      <c r="AS97" s="101"/>
      <c r="AT97" s="101"/>
      <c r="AU97" s="101"/>
      <c r="AV97" s="101"/>
      <c r="AW97" s="101"/>
      <c r="AX97" s="101"/>
      <c r="AY97" s="101"/>
      <c r="AZ97" s="101"/>
      <c r="BA97" s="101"/>
      <c r="BB97" s="101"/>
      <c r="BC97" s="101"/>
      <c r="BD97" s="101"/>
      <c r="BE97" s="101"/>
      <c r="BF97" s="101"/>
      <c r="BG97" s="101"/>
      <c r="BH97" s="101"/>
      <c r="BI97" s="101"/>
      <c r="BJ97" s="101"/>
      <c r="BK97" s="101"/>
      <c r="BL97" s="101"/>
      <c r="BM97" s="101"/>
      <c r="BN97" s="101"/>
    </row>
    <row r="98" spans="1:66" ht="30" customHeight="1">
      <c r="I98" s="102"/>
    </row>
    <row r="99" spans="1:66" ht="30" customHeight="1">
      <c r="D99" s="103" t="s">
        <v>110</v>
      </c>
      <c r="E99" s="104"/>
    </row>
    <row r="100" spans="1:66" ht="12">
      <c r="D100" s="8" t="s">
        <v>111</v>
      </c>
      <c r="E100" s="8" t="s">
        <v>112</v>
      </c>
    </row>
    <row r="101" spans="1:66" ht="12">
      <c r="D101" s="8" t="s">
        <v>113</v>
      </c>
      <c r="E101" s="8" t="s">
        <v>114</v>
      </c>
    </row>
    <row r="102" spans="1:66" ht="12">
      <c r="D102" s="8" t="s">
        <v>115</v>
      </c>
      <c r="E102" s="8" t="s">
        <v>116</v>
      </c>
    </row>
    <row r="103" spans="1:66" ht="12">
      <c r="D103" s="8" t="s">
        <v>117</v>
      </c>
      <c r="E103" s="8" t="s">
        <v>118</v>
      </c>
    </row>
    <row r="104" spans="1:66" ht="12">
      <c r="D104" s="8" t="s">
        <v>73</v>
      </c>
      <c r="E104" s="8" t="s">
        <v>119</v>
      </c>
    </row>
    <row r="105" spans="1:66" ht="12">
      <c r="D105" s="8" t="s">
        <v>120</v>
      </c>
      <c r="E105" s="8" t="s">
        <v>121</v>
      </c>
    </row>
    <row r="106" spans="1:66" ht="12">
      <c r="D106" s="8" t="s">
        <v>122</v>
      </c>
      <c r="E106" s="8" t="s">
        <v>123</v>
      </c>
    </row>
    <row r="107" spans="1:66" ht="12">
      <c r="D107" s="8" t="s">
        <v>124</v>
      </c>
      <c r="E107" s="8" t="s">
        <v>125</v>
      </c>
    </row>
    <row r="108" spans="1:66" ht="12">
      <c r="D108" s="8" t="s">
        <v>126</v>
      </c>
      <c r="E108" s="8" t="s">
        <v>127</v>
      </c>
    </row>
    <row r="109" spans="1:66" ht="12">
      <c r="D109" s="8" t="s">
        <v>128</v>
      </c>
      <c r="E109" s="8" t="s">
        <v>129</v>
      </c>
    </row>
    <row r="110" spans="1:66" ht="12">
      <c r="D110" s="8" t="s">
        <v>130</v>
      </c>
      <c r="E110" s="8" t="s">
        <v>131</v>
      </c>
    </row>
    <row r="111" spans="1:66" ht="12">
      <c r="D111" s="8" t="s">
        <v>132</v>
      </c>
      <c r="E111" s="8" t="s">
        <v>133</v>
      </c>
    </row>
    <row r="112" spans="1:66" ht="12">
      <c r="D112" s="8" t="s">
        <v>134</v>
      </c>
      <c r="E112" s="8" t="s">
        <v>135</v>
      </c>
    </row>
    <row r="113" spans="3:5" ht="12">
      <c r="D113" s="8" t="s">
        <v>35</v>
      </c>
      <c r="E113" s="8" t="s">
        <v>136</v>
      </c>
    </row>
    <row r="114" spans="3:5" ht="12">
      <c r="D114" s="8" t="s">
        <v>137</v>
      </c>
      <c r="E114" s="8" t="s">
        <v>138</v>
      </c>
    </row>
    <row r="115" spans="3:5" ht="12">
      <c r="D115" s="132"/>
      <c r="E115" s="8" t="s">
        <v>139</v>
      </c>
    </row>
    <row r="117" spans="3:5" ht="30" customHeight="1">
      <c r="C117" s="5"/>
    </row>
    <row r="118" spans="3:5" ht="30" customHeight="1">
      <c r="C118" s="3"/>
    </row>
    <row r="119" spans="3:5" ht="30" customHeight="1">
      <c r="C119" s="4"/>
    </row>
    <row r="120" spans="3:5" ht="30" customHeight="1">
      <c r="C120" s="4"/>
    </row>
    <row r="121" spans="3:5" ht="30" customHeight="1">
      <c r="C121" s="107"/>
    </row>
    <row r="122" spans="3:5" ht="30" customHeight="1">
      <c r="C122" s="107"/>
    </row>
    <row r="123" spans="3:5" ht="30" customHeight="1">
      <c r="C123" s="107"/>
    </row>
    <row r="124" spans="3:5" ht="30" customHeight="1">
      <c r="C124" s="107"/>
    </row>
    <row r="125" spans="3:5" ht="30" customHeight="1">
      <c r="C125" s="107"/>
    </row>
    <row r="126" spans="3:5" ht="30" customHeight="1">
      <c r="C126" s="4"/>
    </row>
    <row r="127" spans="3:5" ht="30" customHeight="1">
      <c r="C127" s="2"/>
    </row>
    <row r="128" spans="3:5" ht="30" customHeight="1">
      <c r="C128" s="5"/>
    </row>
    <row r="129" spans="3:3" ht="30" customHeight="1">
      <c r="C129" s="3"/>
    </row>
    <row r="130" spans="3:3" ht="30" customHeight="1">
      <c r="C130" s="4"/>
    </row>
    <row r="131" spans="3:3" ht="30" customHeight="1">
      <c r="C131" s="4"/>
    </row>
    <row r="132" spans="3:3" ht="30" customHeight="1">
      <c r="C132" s="107"/>
    </row>
    <row r="133" spans="3:3" ht="30" customHeight="1">
      <c r="C133" s="107"/>
    </row>
    <row r="134" spans="3:3" ht="30" customHeight="1">
      <c r="C134" s="107"/>
    </row>
    <row r="135" spans="3:3" ht="30" customHeight="1">
      <c r="C135" s="107"/>
    </row>
  </sheetData>
  <mergeCells count="11">
    <mergeCell ref="AF4:AL4"/>
    <mergeCell ref="AM4:AS4"/>
    <mergeCell ref="AT4:AZ4"/>
    <mergeCell ref="BA4:BG4"/>
    <mergeCell ref="BH4:BN4"/>
    <mergeCell ref="Y4:AE4"/>
    <mergeCell ref="D3:F3"/>
    <mergeCell ref="G3:H3"/>
    <mergeCell ref="D4:F4"/>
    <mergeCell ref="K4:Q4"/>
    <mergeCell ref="R4:X4"/>
  </mergeCells>
  <conditionalFormatting sqref="F7:F28 F96 F41:F94 F30:F39">
    <cfRule type="dataBar" priority="1">
      <dataBar>
        <cfvo type="num" val="0"/>
        <cfvo type="num" val="1"/>
        <color theme="0" tint="-0.249977111117893"/>
      </dataBar>
      <extLst>
        <ext xmlns:x14="http://schemas.microsoft.com/office/spreadsheetml/2009/9/main" uri="{B025F937-C7B1-47D3-B67F-A62EFF666E3E}">
          <x14:id>{FD476C51-5DD7-461A-9F15-037B4277AC7B}</x14:id>
        </ext>
      </extLst>
    </cfRule>
  </conditionalFormatting>
  <conditionalFormatting sqref="K5:BN97">
    <cfRule type="expression" dxfId="33" priority="4">
      <formula>AND(TODAY()&gt;=K$5,TODAY()&lt;L$5)</formula>
    </cfRule>
  </conditionalFormatting>
  <conditionalFormatting sqref="K7:BN97">
    <cfRule type="expression" dxfId="32" priority="2">
      <formula>AND(task_start&lt;=K$5,ROUNDDOWN((task_end-task_start+1)*task_progress,0)+task_start-1&gt;=K$5)</formula>
    </cfRule>
    <cfRule type="expression" dxfId="31" priority="3" stopIfTrue="1">
      <formula>AND(task_end&gt;=K$5,task_start&lt;L$5)</formula>
    </cfRule>
  </conditionalFormatting>
  <dataValidations disablePrompts="1" count="1">
    <dataValidation type="whole" operator="greaterThanOrEqual" allowBlank="1" showInputMessage="1" promptTitle="Mostrar semana" prompt="Al cambiar este número, se desplazará la vista del diagrama de Gantt." sqref="G4" xr:uid="{EBF18377-C09A-4CF0-9D0E-87D877F789F8}">
      <formula1>1</formula1>
    </dataValidation>
  </dataValidations>
  <printOptions horizontalCentered="1"/>
  <pageMargins left="0.35" right="0.35" top="0.35" bottom="0.5" header="0.3" footer="0.3"/>
  <pageSetup paperSize="9" scale="43" fitToHeight="0" orientation="landscape" r:id="rId1"/>
  <headerFooter differentFirst="1" scaleWithDoc="0">
    <oddFoote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FD476C51-5DD7-461A-9F15-037B4277AC7B}">
            <x14:dataBar minLength="0" maxLength="100" gradient="0">
              <x14:cfvo type="num">
                <xm:f>0</xm:f>
              </x14:cfvo>
              <x14:cfvo type="num">
                <xm:f>1</xm:f>
              </x14:cfvo>
              <x14:negativeFillColor rgb="FFFF0000"/>
              <x14:axisColor rgb="FF000000"/>
            </x14:dataBar>
          </x14:cfRule>
          <xm:sqref>F7:F28 F96 F41:F94 F30:F39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7F981-E80E-4643-BFDF-32FBB4FEACC6}">
  <sheetPr codeName="Hoja7"/>
  <dimension ref="B2:K28"/>
  <sheetViews>
    <sheetView workbookViewId="0">
      <selection activeCell="G25" sqref="G25"/>
    </sheetView>
  </sheetViews>
  <sheetFormatPr baseColWidth="10" defaultColWidth="11.44140625" defaultRowHeight="14.4"/>
  <cols>
    <col min="2" max="2" width="18.6640625" bestFit="1" customWidth="1"/>
    <col min="3" max="3" width="27.6640625" bestFit="1" customWidth="1"/>
    <col min="4" max="4" width="35.5546875" customWidth="1"/>
  </cols>
  <sheetData>
    <row r="2" spans="2:11" s="208" customFormat="1">
      <c r="B2" s="207" t="s">
        <v>140</v>
      </c>
    </row>
    <row r="4" spans="2:11">
      <c r="C4" s="6" t="s">
        <v>141</v>
      </c>
      <c r="D4" s="1" t="s">
        <v>142</v>
      </c>
    </row>
    <row r="6" spans="2:11">
      <c r="C6" s="6" t="s">
        <v>143</v>
      </c>
    </row>
    <row r="8" spans="2:11">
      <c r="B8" s="131" t="s">
        <v>144</v>
      </c>
      <c r="C8" s="131" t="s">
        <v>145</v>
      </c>
      <c r="D8" s="131" t="s">
        <v>146</v>
      </c>
    </row>
    <row r="9" spans="2:11">
      <c r="B9" t="s">
        <v>147</v>
      </c>
      <c r="C9" t="s">
        <v>148</v>
      </c>
      <c r="D9" t="s">
        <v>149</v>
      </c>
      <c r="G9" s="131" t="s">
        <v>150</v>
      </c>
      <c r="H9" s="128" t="s">
        <v>151</v>
      </c>
      <c r="I9" s="128"/>
      <c r="J9" s="128"/>
      <c r="K9" s="128"/>
    </row>
    <row r="10" spans="2:11">
      <c r="B10" t="s">
        <v>152</v>
      </c>
      <c r="C10" t="s">
        <v>153</v>
      </c>
      <c r="D10" t="s">
        <v>154</v>
      </c>
    </row>
    <row r="11" spans="2:11">
      <c r="B11" t="s">
        <v>155</v>
      </c>
      <c r="C11" t="s">
        <v>156</v>
      </c>
      <c r="D11" t="s">
        <v>157</v>
      </c>
      <c r="G11" s="129" t="s">
        <v>158</v>
      </c>
      <c r="H11" t="s">
        <v>159</v>
      </c>
    </row>
    <row r="12" spans="2:11">
      <c r="B12" t="s">
        <v>160</v>
      </c>
      <c r="C12" t="s">
        <v>161</v>
      </c>
      <c r="D12" t="s">
        <v>162</v>
      </c>
      <c r="H12" t="s">
        <v>163</v>
      </c>
    </row>
    <row r="13" spans="2:11">
      <c r="B13" t="s">
        <v>164</v>
      </c>
      <c r="C13" t="s">
        <v>165</v>
      </c>
      <c r="D13" t="s">
        <v>166</v>
      </c>
      <c r="H13" t="s">
        <v>167</v>
      </c>
    </row>
    <row r="14" spans="2:11">
      <c r="B14" t="s">
        <v>168</v>
      </c>
      <c r="C14" t="s">
        <v>165</v>
      </c>
      <c r="D14" t="s">
        <v>169</v>
      </c>
      <c r="H14" t="s">
        <v>170</v>
      </c>
    </row>
    <row r="18" spans="2:7">
      <c r="G18" s="129" t="s">
        <v>1663</v>
      </c>
    </row>
    <row r="19" spans="2:7">
      <c r="G19" t="s">
        <v>1664</v>
      </c>
    </row>
    <row r="20" spans="2:7">
      <c r="B20" s="128" t="s">
        <v>171</v>
      </c>
      <c r="C20" s="128"/>
      <c r="D20" s="128"/>
    </row>
    <row r="21" spans="2:7">
      <c r="B21" s="1" t="s">
        <v>172</v>
      </c>
      <c r="C21" s="129" t="s">
        <v>173</v>
      </c>
    </row>
    <row r="22" spans="2:7" ht="16.8">
      <c r="C22" s="130" t="s">
        <v>174</v>
      </c>
      <c r="D22" s="127" t="s">
        <v>175</v>
      </c>
    </row>
    <row r="23" spans="2:7" ht="16.8">
      <c r="C23" s="130" t="s">
        <v>176</v>
      </c>
      <c r="D23" s="127" t="s">
        <v>177</v>
      </c>
    </row>
    <row r="24" spans="2:7" ht="16.8">
      <c r="C24" s="130" t="s">
        <v>178</v>
      </c>
      <c r="D24" s="127" t="s">
        <v>179</v>
      </c>
    </row>
    <row r="25" spans="2:7" ht="16.8">
      <c r="C25" s="130" t="s">
        <v>180</v>
      </c>
      <c r="D25" s="127" t="s">
        <v>181</v>
      </c>
    </row>
    <row r="26" spans="2:7" ht="16.8">
      <c r="C26" s="130" t="s">
        <v>182</v>
      </c>
      <c r="D26" s="127" t="s">
        <v>183</v>
      </c>
    </row>
    <row r="27" spans="2:7" ht="16.8">
      <c r="C27" s="130" t="s">
        <v>184</v>
      </c>
      <c r="D27" s="127" t="s">
        <v>185</v>
      </c>
    </row>
    <row r="28" spans="2:7" ht="16.8">
      <c r="C28" s="130" t="s">
        <v>186</v>
      </c>
      <c r="D28" s="127" t="s">
        <v>187</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DF3A-3BE5-4085-B8C5-5F01F8FD4997}">
  <sheetPr codeName="Hoja8"/>
  <dimension ref="B3:F136"/>
  <sheetViews>
    <sheetView tabSelected="1" topLeftCell="A76" workbookViewId="0">
      <selection activeCell="E91" sqref="E91"/>
    </sheetView>
  </sheetViews>
  <sheetFormatPr baseColWidth="10" defaultColWidth="11.44140625" defaultRowHeight="14.4"/>
  <cols>
    <col min="2" max="2" width="23.6640625" customWidth="1"/>
  </cols>
  <sheetData>
    <row r="3" spans="2:2" s="141" customFormat="1" ht="23.4">
      <c r="B3" s="140" t="s">
        <v>1634</v>
      </c>
    </row>
    <row r="5" spans="2:2">
      <c r="B5" t="s">
        <v>1633</v>
      </c>
    </row>
    <row r="7" spans="2:2">
      <c r="B7" s="7" t="s">
        <v>1632</v>
      </c>
    </row>
    <row r="8" spans="2:2">
      <c r="B8" t="s">
        <v>218</v>
      </c>
    </row>
    <row r="9" spans="2:2">
      <c r="B9" t="s">
        <v>1630</v>
      </c>
    </row>
    <row r="12" spans="2:2" s="141" customFormat="1" ht="23.4">
      <c r="B12" s="140" t="s">
        <v>188</v>
      </c>
    </row>
    <row r="14" spans="2:2">
      <c r="B14" t="s">
        <v>189</v>
      </c>
    </row>
    <row r="16" spans="2:2">
      <c r="B16" t="s">
        <v>190</v>
      </c>
    </row>
    <row r="18" spans="2:2">
      <c r="B18" t="s">
        <v>191</v>
      </c>
    </row>
    <row r="20" spans="2:2">
      <c r="B20" s="1" t="s">
        <v>192</v>
      </c>
    </row>
    <row r="22" spans="2:2">
      <c r="B22" t="s">
        <v>193</v>
      </c>
    </row>
    <row r="24" spans="2:2">
      <c r="B24" t="s">
        <v>194</v>
      </c>
    </row>
    <row r="26" spans="2:2">
      <c r="B26" t="s">
        <v>195</v>
      </c>
    </row>
    <row r="28" spans="2:2">
      <c r="B28" t="s">
        <v>196</v>
      </c>
    </row>
    <row r="30" spans="2:2">
      <c r="B30" s="1" t="s">
        <v>197</v>
      </c>
    </row>
    <row r="32" spans="2:2">
      <c r="B32" t="s">
        <v>198</v>
      </c>
    </row>
    <row r="34" spans="2:2">
      <c r="B34" t="s">
        <v>199</v>
      </c>
    </row>
    <row r="36" spans="2:2">
      <c r="B36" t="s">
        <v>200</v>
      </c>
    </row>
    <row r="38" spans="2:2">
      <c r="B38" t="s">
        <v>201</v>
      </c>
    </row>
    <row r="41" spans="2:2">
      <c r="B41" s="135" t="s">
        <v>202</v>
      </c>
    </row>
    <row r="43" spans="2:2" ht="15.6">
      <c r="B43" s="136" t="s">
        <v>203</v>
      </c>
    </row>
    <row r="44" spans="2:2">
      <c r="B44" s="137"/>
    </row>
    <row r="45" spans="2:2" ht="15.6">
      <c r="B45" s="138" t="s">
        <v>204</v>
      </c>
    </row>
    <row r="47" spans="2:2">
      <c r="B47" s="135" t="s">
        <v>205</v>
      </c>
    </row>
    <row r="49" spans="2:3" ht="15">
      <c r="B49" s="136" t="s">
        <v>206</v>
      </c>
    </row>
    <row r="50" spans="2:3">
      <c r="B50" s="137"/>
    </row>
    <row r="51" spans="2:3" ht="15.6">
      <c r="B51" s="138" t="s">
        <v>207</v>
      </c>
    </row>
    <row r="53" spans="2:3">
      <c r="B53" s="135" t="s">
        <v>208</v>
      </c>
    </row>
    <row r="55" spans="2:3" ht="15">
      <c r="B55" s="136" t="s">
        <v>209</v>
      </c>
    </row>
    <row r="56" spans="2:3">
      <c r="B56" s="137"/>
    </row>
    <row r="57" spans="2:3" ht="15.6">
      <c r="B57" s="138" t="s">
        <v>210</v>
      </c>
    </row>
    <row r="58" spans="2:3" ht="15.6">
      <c r="B58" s="138"/>
    </row>
    <row r="59" spans="2:3" ht="15.6">
      <c r="B59" s="138"/>
    </row>
    <row r="60" spans="2:3" ht="15.6">
      <c r="B60" s="138" t="s">
        <v>211</v>
      </c>
    </row>
    <row r="61" spans="2:3">
      <c r="B61" t="s">
        <v>212</v>
      </c>
      <c r="C61" t="s">
        <v>213</v>
      </c>
    </row>
    <row r="62" spans="2:3">
      <c r="B62" t="s">
        <v>214</v>
      </c>
      <c r="C62" t="s">
        <v>215</v>
      </c>
    </row>
    <row r="63" spans="2:3">
      <c r="B63" t="s">
        <v>216</v>
      </c>
      <c r="C63" t="s">
        <v>217</v>
      </c>
    </row>
    <row r="64" spans="2:3">
      <c r="B64" t="s">
        <v>218</v>
      </c>
      <c r="C64" t="s">
        <v>1640</v>
      </c>
    </row>
    <row r="67" spans="2:3" s="141" customFormat="1" ht="23.4">
      <c r="B67" s="140" t="s">
        <v>219</v>
      </c>
    </row>
    <row r="69" spans="2:3">
      <c r="B69" t="s">
        <v>220</v>
      </c>
    </row>
    <row r="70" spans="2:3">
      <c r="B70" s="1" t="s">
        <v>221</v>
      </c>
      <c r="C70" t="s">
        <v>222</v>
      </c>
    </row>
    <row r="71" spans="2:3">
      <c r="B71" s="1"/>
      <c r="C71" t="s">
        <v>223</v>
      </c>
    </row>
    <row r="73" spans="2:3">
      <c r="B73" s="1" t="s">
        <v>224</v>
      </c>
    </row>
    <row r="74" spans="2:3">
      <c r="B74" s="139" t="s">
        <v>225</v>
      </c>
    </row>
    <row r="76" spans="2:3">
      <c r="B76" s="1" t="s">
        <v>226</v>
      </c>
    </row>
    <row r="77" spans="2:3">
      <c r="B77" s="139" t="s">
        <v>227</v>
      </c>
    </row>
    <row r="80" spans="2:3" s="141" customFormat="1" ht="23.4">
      <c r="B80" s="140" t="s">
        <v>228</v>
      </c>
    </row>
    <row r="82" spans="2:6">
      <c r="B82" t="s">
        <v>229</v>
      </c>
    </row>
    <row r="83" spans="2:6">
      <c r="B83" s="1" t="s">
        <v>221</v>
      </c>
      <c r="C83" t="s">
        <v>230</v>
      </c>
    </row>
    <row r="85" spans="2:6">
      <c r="B85" s="1" t="s">
        <v>231</v>
      </c>
      <c r="F85" s="299"/>
    </row>
    <row r="86" spans="2:6">
      <c r="B86" s="7" t="s">
        <v>232</v>
      </c>
    </row>
    <row r="87" spans="2:6">
      <c r="B87" s="7"/>
    </row>
    <row r="88" spans="2:6">
      <c r="B88" s="1" t="s">
        <v>1667</v>
      </c>
    </row>
    <row r="89" spans="2:6">
      <c r="B89" t="s">
        <v>1668</v>
      </c>
    </row>
    <row r="90" spans="2:6">
      <c r="B90" s="299" t="s">
        <v>1669</v>
      </c>
    </row>
    <row r="91" spans="2:6">
      <c r="B91" s="299"/>
    </row>
    <row r="92" spans="2:6" ht="14.4" customHeight="1">
      <c r="B92" s="350" t="s">
        <v>1676</v>
      </c>
      <c r="C92" s="350"/>
    </row>
    <row r="93" spans="2:6">
      <c r="B93" s="349" t="s">
        <v>1677</v>
      </c>
      <c r="C93" s="349" t="s">
        <v>1678</v>
      </c>
    </row>
    <row r="96" spans="2:6" s="141" customFormat="1" ht="23.4">
      <c r="B96" s="140" t="s">
        <v>233</v>
      </c>
    </row>
    <row r="98" spans="2:3">
      <c r="B98" t="s">
        <v>234</v>
      </c>
    </row>
    <row r="99" spans="2:3">
      <c r="B99" s="1" t="s">
        <v>221</v>
      </c>
      <c r="C99" t="s">
        <v>230</v>
      </c>
    </row>
    <row r="101" spans="2:3">
      <c r="B101" s="1" t="s">
        <v>231</v>
      </c>
    </row>
    <row r="102" spans="2:3">
      <c r="B102" s="139" t="s">
        <v>235</v>
      </c>
    </row>
    <row r="104" spans="2:3">
      <c r="B104" s="1" t="s">
        <v>1665</v>
      </c>
    </row>
    <row r="105" spans="2:3">
      <c r="B105" s="7" t="s">
        <v>1632</v>
      </c>
      <c r="C105" s="294"/>
    </row>
    <row r="106" spans="2:3">
      <c r="B106" s="294" t="s">
        <v>1631</v>
      </c>
      <c r="C106" s="294"/>
    </row>
    <row r="107" spans="2:3">
      <c r="B107" s="7"/>
      <c r="C107" s="294"/>
    </row>
    <row r="108" spans="2:3">
      <c r="B108" s="1" t="s">
        <v>1666</v>
      </c>
      <c r="C108" s="294" t="s">
        <v>505</v>
      </c>
    </row>
    <row r="109" spans="2:3">
      <c r="B109" s="7"/>
      <c r="C109" s="294"/>
    </row>
    <row r="111" spans="2:3" s="141" customFormat="1" ht="23.4">
      <c r="B111" s="140" t="s">
        <v>236</v>
      </c>
    </row>
    <row r="113" spans="2:3">
      <c r="B113" t="s">
        <v>1671</v>
      </c>
    </row>
    <row r="114" spans="2:3">
      <c r="B114" s="1" t="s">
        <v>221</v>
      </c>
      <c r="C114" t="s">
        <v>1672</v>
      </c>
    </row>
    <row r="116" spans="2:3">
      <c r="B116" s="1" t="s">
        <v>1674</v>
      </c>
    </row>
    <row r="117" spans="2:3">
      <c r="B117" s="7" t="s">
        <v>1675</v>
      </c>
    </row>
    <row r="119" spans="2:3">
      <c r="B119" s="1" t="s">
        <v>231</v>
      </c>
    </row>
    <row r="120" spans="2:3">
      <c r="B120" s="139" t="s">
        <v>1673</v>
      </c>
    </row>
    <row r="122" spans="2:3">
      <c r="B122" s="1" t="s">
        <v>1666</v>
      </c>
      <c r="C122" s="294" t="s">
        <v>1670</v>
      </c>
    </row>
    <row r="123" spans="2:3">
      <c r="B123" s="1"/>
      <c r="C123" s="294"/>
    </row>
    <row r="124" spans="2:3">
      <c r="B124" s="1"/>
      <c r="C124" s="294"/>
    </row>
    <row r="125" spans="2:3" s="141" customFormat="1" ht="23.4">
      <c r="B125" s="140" t="s">
        <v>237</v>
      </c>
    </row>
    <row r="126" spans="2:3">
      <c r="B126" t="s">
        <v>1641</v>
      </c>
    </row>
    <row r="129" spans="2:3" s="141" customFormat="1" ht="23.4">
      <c r="B129" s="140" t="s">
        <v>238</v>
      </c>
    </row>
    <row r="131" spans="2:3">
      <c r="B131" t="s">
        <v>1636</v>
      </c>
    </row>
    <row r="133" spans="2:3">
      <c r="B133" s="7" t="s">
        <v>1635</v>
      </c>
    </row>
    <row r="135" spans="2:3">
      <c r="B135" s="1" t="s">
        <v>1639</v>
      </c>
      <c r="C135" t="s">
        <v>1637</v>
      </c>
    </row>
    <row r="136" spans="2:3">
      <c r="B136" s="1" t="s">
        <v>218</v>
      </c>
      <c r="C136" t="s">
        <v>1638</v>
      </c>
    </row>
  </sheetData>
  <mergeCells count="1">
    <mergeCell ref="B92:C92"/>
  </mergeCells>
  <hyperlinks>
    <hyperlink ref="B74" r:id="rId1" xr:uid="{93154D31-A5BA-4F8A-9103-FC64961EED36}"/>
    <hyperlink ref="B77" r:id="rId2" xr:uid="{1A3B4A3D-DE19-4E6F-A7F9-81A3175EBD82}"/>
    <hyperlink ref="B86" r:id="rId3" xr:uid="{127B285F-F181-4BA7-A8B2-6B1AFED9D297}"/>
    <hyperlink ref="B102" r:id="rId4" location="/" xr:uid="{204449EC-23FB-474D-A291-7C3297F40D27}"/>
    <hyperlink ref="B105" r:id="rId5" xr:uid="{86ABA10B-CA12-4E61-BF25-4B063A1906B6}"/>
    <hyperlink ref="B7" r:id="rId6" xr:uid="{EB89A36B-038C-462B-9AB6-2673E7A56658}"/>
    <hyperlink ref="B133" r:id="rId7" xr:uid="{E40B3CC3-D3D7-41E4-AE46-5BFB08770E07}"/>
    <hyperlink ref="B117" r:id="rId8" xr:uid="{93CC6006-7793-4D11-83DE-8C08318871E9}"/>
  </hyperlinks>
  <pageMargins left="0.7" right="0.7" top="0.75" bottom="0.75" header="0.3" footer="0.3"/>
  <pageSetup paperSize="9"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CE668-6D75-46B1-BF7D-226CA138F623}">
  <sheetPr codeName="Hoja12"/>
  <dimension ref="C2:O16"/>
  <sheetViews>
    <sheetView workbookViewId="0">
      <selection activeCell="H14" sqref="H14"/>
    </sheetView>
  </sheetViews>
  <sheetFormatPr baseColWidth="10" defaultColWidth="11.44140625" defaultRowHeight="14.4"/>
  <cols>
    <col min="5" max="5" width="12.33203125" bestFit="1" customWidth="1"/>
    <col min="6" max="6" width="12.5546875" bestFit="1" customWidth="1"/>
    <col min="9" max="9" width="13.44140625" bestFit="1" customWidth="1"/>
    <col min="10" max="10" width="13.6640625" bestFit="1" customWidth="1"/>
    <col min="11" max="11" width="23.6640625" bestFit="1" customWidth="1"/>
    <col min="12" max="12" width="16" bestFit="1" customWidth="1"/>
    <col min="14" max="14" width="27.44140625" customWidth="1"/>
  </cols>
  <sheetData>
    <row r="2" spans="3:15">
      <c r="C2" s="142" t="s">
        <v>239</v>
      </c>
      <c r="G2" s="105"/>
      <c r="H2" s="105"/>
      <c r="I2" s="105"/>
      <c r="J2" s="105"/>
      <c r="K2" s="105"/>
    </row>
    <row r="3" spans="3:15">
      <c r="G3" s="105"/>
      <c r="H3" s="105"/>
      <c r="J3" s="105"/>
      <c r="K3" s="105"/>
      <c r="M3" s="1" t="s">
        <v>240</v>
      </c>
    </row>
    <row r="4" spans="3:15">
      <c r="C4" s="1" t="s">
        <v>241</v>
      </c>
      <c r="G4" s="105"/>
      <c r="H4" s="105"/>
      <c r="I4" s="105"/>
      <c r="J4" s="105"/>
      <c r="K4" s="105"/>
      <c r="M4" s="105" t="s">
        <v>242</v>
      </c>
      <c r="N4" s="105" t="s">
        <v>243</v>
      </c>
      <c r="O4" s="105"/>
    </row>
    <row r="5" spans="3:15">
      <c r="C5" s="209" t="s">
        <v>244</v>
      </c>
      <c r="G5" s="105"/>
      <c r="H5" s="105"/>
      <c r="I5" s="105"/>
      <c r="J5" s="105"/>
      <c r="K5" s="105"/>
      <c r="M5" s="105" t="s">
        <v>245</v>
      </c>
      <c r="N5" s="105" t="s">
        <v>246</v>
      </c>
      <c r="O5" s="105"/>
    </row>
    <row r="6" spans="3:15">
      <c r="C6" s="209" t="s">
        <v>247</v>
      </c>
      <c r="E6" s="105"/>
      <c r="F6" s="105"/>
      <c r="G6" s="105"/>
      <c r="H6" s="105"/>
      <c r="J6" s="105"/>
      <c r="K6" s="105"/>
      <c r="M6" s="105" t="s">
        <v>248</v>
      </c>
      <c r="N6" s="105" t="s">
        <v>249</v>
      </c>
      <c r="O6" s="105" t="s">
        <v>250</v>
      </c>
    </row>
    <row r="7" spans="3:15">
      <c r="C7" s="209" t="s">
        <v>251</v>
      </c>
      <c r="E7" s="105"/>
      <c r="F7" s="105"/>
      <c r="G7" s="105"/>
      <c r="H7" s="105"/>
      <c r="J7" s="105"/>
      <c r="K7" s="105"/>
      <c r="M7" s="105" t="s">
        <v>252</v>
      </c>
      <c r="N7" s="105" t="s">
        <v>253</v>
      </c>
      <c r="O7" s="105"/>
    </row>
    <row r="8" spans="3:15">
      <c r="C8" s="1" t="s">
        <v>254</v>
      </c>
      <c r="E8" s="105"/>
      <c r="F8" s="105"/>
      <c r="G8" s="105"/>
      <c r="H8" s="105"/>
      <c r="J8" s="105"/>
      <c r="K8" s="105"/>
      <c r="M8" s="105" t="s">
        <v>255</v>
      </c>
      <c r="N8" s="105" t="s">
        <v>256</v>
      </c>
      <c r="O8" s="105"/>
    </row>
    <row r="9" spans="3:15">
      <c r="C9" s="210" t="s">
        <v>257</v>
      </c>
      <c r="E9" s="105"/>
      <c r="F9" s="105"/>
      <c r="G9" s="105"/>
      <c r="H9" s="105"/>
      <c r="J9" s="105"/>
      <c r="K9" s="105"/>
      <c r="M9" s="105" t="s">
        <v>258</v>
      </c>
      <c r="N9" s="105" t="s">
        <v>259</v>
      </c>
      <c r="O9" s="105"/>
    </row>
    <row r="10" spans="3:15">
      <c r="C10" s="210" t="s">
        <v>260</v>
      </c>
      <c r="E10" s="105"/>
      <c r="F10" s="105"/>
      <c r="G10" s="105"/>
      <c r="H10" s="105"/>
      <c r="J10" s="105"/>
      <c r="K10" s="105"/>
      <c r="M10" s="105" t="s">
        <v>261</v>
      </c>
      <c r="N10" s="105" t="s">
        <v>262</v>
      </c>
      <c r="O10" s="105"/>
    </row>
    <row r="11" spans="3:15">
      <c r="C11" s="210" t="s">
        <v>263</v>
      </c>
      <c r="E11" s="105"/>
      <c r="F11" s="105"/>
      <c r="G11" s="105"/>
      <c r="H11" s="105"/>
      <c r="I11" s="105"/>
      <c r="J11" s="105"/>
      <c r="K11" s="105"/>
      <c r="M11" s="105" t="s">
        <v>264</v>
      </c>
      <c r="N11" s="105"/>
      <c r="O11" s="105"/>
    </row>
    <row r="12" spans="3:15">
      <c r="E12" s="105"/>
      <c r="F12" s="105"/>
      <c r="G12" s="105"/>
      <c r="H12" s="105"/>
      <c r="I12" s="105"/>
      <c r="M12" s="105" t="s">
        <v>265</v>
      </c>
      <c r="N12" s="105" t="s">
        <v>266</v>
      </c>
      <c r="O12" s="105"/>
    </row>
    <row r="13" spans="3:15">
      <c r="C13" s="142" t="s">
        <v>267</v>
      </c>
      <c r="E13" s="105"/>
      <c r="F13" s="105"/>
      <c r="G13" s="105"/>
      <c r="H13" s="105"/>
      <c r="I13" s="105"/>
      <c r="M13" s="105" t="s">
        <v>268</v>
      </c>
      <c r="N13" s="105" t="s">
        <v>266</v>
      </c>
      <c r="O13" s="105"/>
    </row>
    <row r="14" spans="3:15">
      <c r="C14" s="105" t="s">
        <v>269</v>
      </c>
      <c r="D14" s="105"/>
      <c r="E14" s="105"/>
      <c r="F14" s="105"/>
      <c r="G14" s="105"/>
      <c r="H14" s="105"/>
      <c r="I14" s="105"/>
    </row>
    <row r="15" spans="3:15">
      <c r="C15" s="105" t="s">
        <v>270</v>
      </c>
      <c r="G15" s="105"/>
      <c r="H15" s="105"/>
      <c r="I15" s="105"/>
    </row>
    <row r="16" spans="3:15">
      <c r="G16" s="105"/>
      <c r="H16" s="10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C8C6-2EAC-4F1F-A333-2F71B66A47CA}">
  <dimension ref="B1:H13"/>
  <sheetViews>
    <sheetView workbookViewId="0">
      <selection activeCell="A5" sqref="A5:XFD6"/>
    </sheetView>
  </sheetViews>
  <sheetFormatPr baseColWidth="10" defaultColWidth="9.109375" defaultRowHeight="14.4"/>
  <cols>
    <col min="2" max="2" width="33.44140625" bestFit="1" customWidth="1"/>
    <col min="3" max="3" width="13.6640625" bestFit="1" customWidth="1"/>
    <col min="4" max="5" width="19.109375" bestFit="1" customWidth="1"/>
    <col min="6" max="6" width="14" customWidth="1"/>
    <col min="7" max="7" width="17" bestFit="1" customWidth="1"/>
    <col min="8" max="8" width="13.5546875" customWidth="1"/>
  </cols>
  <sheetData>
    <row r="1" spans="2:8">
      <c r="B1" s="247" t="s">
        <v>271</v>
      </c>
      <c r="C1" s="142" t="s">
        <v>272</v>
      </c>
      <c r="D1" s="142" t="s">
        <v>273</v>
      </c>
      <c r="E1" s="142" t="s">
        <v>274</v>
      </c>
      <c r="F1" s="142" t="s">
        <v>275</v>
      </c>
      <c r="G1" s="142" t="s">
        <v>276</v>
      </c>
      <c r="H1" s="142" t="s">
        <v>277</v>
      </c>
    </row>
    <row r="2" spans="2:8">
      <c r="B2" s="105" t="s">
        <v>278</v>
      </c>
      <c r="C2" s="105" t="s">
        <v>279</v>
      </c>
      <c r="D2" t="s">
        <v>280</v>
      </c>
      <c r="E2" t="s">
        <v>280</v>
      </c>
      <c r="F2" t="s">
        <v>281</v>
      </c>
      <c r="G2" t="s">
        <v>280</v>
      </c>
      <c r="H2" t="s">
        <v>280</v>
      </c>
    </row>
    <row r="3" spans="2:8">
      <c r="B3" t="s">
        <v>282</v>
      </c>
      <c r="C3" t="s">
        <v>279</v>
      </c>
      <c r="D3" t="s">
        <v>283</v>
      </c>
      <c r="E3" t="s">
        <v>283</v>
      </c>
      <c r="F3" t="s">
        <v>281</v>
      </c>
      <c r="G3" t="s">
        <v>284</v>
      </c>
      <c r="H3" s="106" t="s">
        <v>285</v>
      </c>
    </row>
    <row r="4" spans="2:8">
      <c r="B4" t="s">
        <v>138</v>
      </c>
      <c r="C4" t="s">
        <v>279</v>
      </c>
      <c r="D4" t="s">
        <v>283</v>
      </c>
      <c r="E4" t="s">
        <v>283</v>
      </c>
      <c r="F4" t="s">
        <v>281</v>
      </c>
      <c r="G4" t="s">
        <v>284</v>
      </c>
      <c r="H4" s="106" t="s">
        <v>285</v>
      </c>
    </row>
    <row r="5" spans="2:8">
      <c r="B5" t="s">
        <v>286</v>
      </c>
      <c r="C5" s="105" t="s">
        <v>279</v>
      </c>
      <c r="D5" t="s">
        <v>283</v>
      </c>
      <c r="E5" s="106" t="s">
        <v>285</v>
      </c>
      <c r="F5" s="106" t="s">
        <v>285</v>
      </c>
      <c r="G5" t="s">
        <v>284</v>
      </c>
      <c r="H5" s="106" t="s">
        <v>285</v>
      </c>
    </row>
    <row r="6" spans="2:8">
      <c r="B6" s="105" t="s">
        <v>287</v>
      </c>
      <c r="C6" s="105" t="s">
        <v>279</v>
      </c>
      <c r="D6" t="s">
        <v>283</v>
      </c>
      <c r="E6" t="s">
        <v>283</v>
      </c>
      <c r="F6" t="s">
        <v>281</v>
      </c>
      <c r="G6" t="s">
        <v>284</v>
      </c>
      <c r="H6" s="106" t="s">
        <v>285</v>
      </c>
    </row>
    <row r="7" spans="2:8">
      <c r="B7" s="105" t="s">
        <v>288</v>
      </c>
      <c r="C7" s="105" t="s">
        <v>289</v>
      </c>
      <c r="D7" t="s">
        <v>283</v>
      </c>
      <c r="E7" t="s">
        <v>283</v>
      </c>
      <c r="F7" s="106" t="s">
        <v>285</v>
      </c>
      <c r="G7" s="106" t="s">
        <v>285</v>
      </c>
      <c r="H7" s="106" t="s">
        <v>285</v>
      </c>
    </row>
    <row r="8" spans="2:8">
      <c r="B8" t="s">
        <v>290</v>
      </c>
      <c r="C8" s="105" t="s">
        <v>289</v>
      </c>
      <c r="D8" t="s">
        <v>283</v>
      </c>
      <c r="E8" t="s">
        <v>283</v>
      </c>
      <c r="F8" s="106" t="s">
        <v>285</v>
      </c>
      <c r="G8" s="106" t="s">
        <v>285</v>
      </c>
      <c r="H8" s="106" t="s">
        <v>285</v>
      </c>
    </row>
    <row r="9" spans="2:8">
      <c r="B9" s="105" t="s">
        <v>291</v>
      </c>
      <c r="C9" s="105" t="s">
        <v>289</v>
      </c>
      <c r="D9" t="s">
        <v>292</v>
      </c>
      <c r="E9" s="106" t="s">
        <v>285</v>
      </c>
      <c r="F9" s="106" t="s">
        <v>285</v>
      </c>
      <c r="G9" s="106" t="s">
        <v>285</v>
      </c>
      <c r="H9" s="106" t="s">
        <v>285</v>
      </c>
    </row>
    <row r="10" spans="2:8">
      <c r="B10" t="s">
        <v>293</v>
      </c>
      <c r="C10" s="105" t="s">
        <v>289</v>
      </c>
      <c r="D10" t="s">
        <v>281</v>
      </c>
      <c r="E10" s="106" t="s">
        <v>285</v>
      </c>
      <c r="F10" s="106" t="s">
        <v>285</v>
      </c>
      <c r="G10" s="106" t="s">
        <v>285</v>
      </c>
      <c r="H10" s="106" t="s">
        <v>285</v>
      </c>
    </row>
    <row r="13" spans="2:8">
      <c r="B13" t="s">
        <v>294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B854-F325-4539-AB4B-E4CB4B3C6970}">
  <sheetPr codeName="Hoja13"/>
  <dimension ref="F2:X28"/>
  <sheetViews>
    <sheetView showGridLines="0" zoomScale="70" zoomScaleNormal="70" workbookViewId="0">
      <selection activeCell="R45" sqref="R45"/>
    </sheetView>
  </sheetViews>
  <sheetFormatPr baseColWidth="10" defaultColWidth="9.109375" defaultRowHeight="14.4"/>
  <cols>
    <col min="16" max="16" width="9.5546875" bestFit="1" customWidth="1"/>
    <col min="17" max="17" width="10.109375" bestFit="1" customWidth="1"/>
    <col min="18" max="18" width="10.109375" customWidth="1"/>
    <col min="22" max="22" width="10.33203125" bestFit="1" customWidth="1"/>
    <col min="23" max="23" width="15.6640625" bestFit="1" customWidth="1"/>
  </cols>
  <sheetData>
    <row r="2" spans="6:24">
      <c r="G2" s="143" t="s">
        <v>245</v>
      </c>
      <c r="H2" s="105"/>
      <c r="I2" s="145" t="s">
        <v>248</v>
      </c>
      <c r="J2" s="143" t="s">
        <v>252</v>
      </c>
      <c r="K2" s="143" t="s">
        <v>255</v>
      </c>
      <c r="L2" s="143" t="s">
        <v>258</v>
      </c>
      <c r="M2" s="143" t="s">
        <v>261</v>
      </c>
      <c r="N2" s="143" t="s">
        <v>264</v>
      </c>
      <c r="O2" s="145" t="s">
        <v>265</v>
      </c>
      <c r="P2" s="145" t="s">
        <v>268</v>
      </c>
      <c r="Q2" s="143" t="s">
        <v>295</v>
      </c>
      <c r="R2" s="143" t="s">
        <v>238</v>
      </c>
      <c r="V2" s="145" t="s">
        <v>248</v>
      </c>
      <c r="W2" s="146" t="s">
        <v>296</v>
      </c>
      <c r="X2" t="s">
        <v>297</v>
      </c>
    </row>
    <row r="3" spans="6:24">
      <c r="G3" s="105"/>
      <c r="H3" s="105"/>
      <c r="I3" s="105"/>
      <c r="J3" s="105"/>
      <c r="K3" s="105"/>
      <c r="L3" s="105"/>
      <c r="M3" s="105"/>
      <c r="N3" s="105"/>
      <c r="O3" s="105"/>
      <c r="P3" s="105"/>
      <c r="V3" s="143" t="s">
        <v>252</v>
      </c>
      <c r="W3" s="146" t="s">
        <v>296</v>
      </c>
      <c r="X3" t="s">
        <v>298</v>
      </c>
    </row>
    <row r="4" spans="6:24">
      <c r="G4" s="105"/>
      <c r="H4" s="105"/>
      <c r="I4" s="105"/>
      <c r="J4" s="105"/>
      <c r="K4" s="105"/>
      <c r="L4" s="105"/>
      <c r="M4" s="105"/>
      <c r="N4" s="105"/>
      <c r="O4" s="105"/>
      <c r="P4" s="105"/>
      <c r="V4" s="143" t="s">
        <v>255</v>
      </c>
      <c r="W4" s="146" t="s">
        <v>296</v>
      </c>
      <c r="X4" t="s">
        <v>298</v>
      </c>
    </row>
    <row r="5" spans="6:24">
      <c r="F5" s="211" t="s">
        <v>299</v>
      </c>
      <c r="G5" s="143" t="s">
        <v>300</v>
      </c>
      <c r="H5" s="105"/>
      <c r="I5" s="105"/>
      <c r="J5" s="105"/>
      <c r="K5" s="105"/>
      <c r="L5" s="143" t="s">
        <v>301</v>
      </c>
      <c r="M5" s="143"/>
      <c r="N5" s="143"/>
      <c r="O5" s="105"/>
      <c r="P5" s="105"/>
      <c r="V5" s="143" t="s">
        <v>258</v>
      </c>
      <c r="W5" s="146" t="s">
        <v>296</v>
      </c>
      <c r="X5" t="s">
        <v>302</v>
      </c>
    </row>
    <row r="6" spans="6:24">
      <c r="G6" s="105"/>
      <c r="H6" s="105"/>
      <c r="I6" s="105"/>
      <c r="J6" s="105"/>
      <c r="K6" s="105"/>
      <c r="L6" s="105"/>
      <c r="M6" s="105"/>
      <c r="N6" s="105"/>
      <c r="O6" s="105"/>
      <c r="P6" s="105"/>
      <c r="V6" s="143" t="s">
        <v>261</v>
      </c>
      <c r="W6" s="146" t="s">
        <v>303</v>
      </c>
      <c r="X6" t="s">
        <v>262</v>
      </c>
    </row>
    <row r="7" spans="6:24">
      <c r="G7" s="105"/>
      <c r="H7" s="105"/>
      <c r="I7" s="105"/>
      <c r="J7" s="105"/>
      <c r="K7" s="105"/>
      <c r="L7" s="105"/>
      <c r="M7" s="105"/>
      <c r="N7" s="105"/>
      <c r="O7" s="105"/>
      <c r="P7" s="105"/>
      <c r="V7" s="143" t="s">
        <v>264</v>
      </c>
      <c r="W7" s="146" t="s">
        <v>304</v>
      </c>
      <c r="X7" t="s">
        <v>305</v>
      </c>
    </row>
    <row r="8" spans="6:24">
      <c r="G8" s="105"/>
      <c r="H8" s="105"/>
      <c r="I8" s="105"/>
      <c r="J8" s="105"/>
      <c r="K8" s="105"/>
      <c r="L8" s="105"/>
      <c r="M8" s="105"/>
      <c r="N8" s="105"/>
      <c r="O8" s="105"/>
      <c r="P8" s="105"/>
      <c r="V8" s="145" t="s">
        <v>265</v>
      </c>
      <c r="X8" t="s">
        <v>306</v>
      </c>
    </row>
    <row r="9" spans="6:24">
      <c r="G9" s="105"/>
      <c r="H9" s="105"/>
      <c r="I9" s="143" t="s">
        <v>307</v>
      </c>
      <c r="J9" s="143"/>
      <c r="K9" s="105"/>
      <c r="L9" s="105"/>
      <c r="M9" s="105"/>
      <c r="N9" s="105"/>
      <c r="O9" s="105"/>
      <c r="P9" s="105"/>
      <c r="V9" s="145" t="s">
        <v>268</v>
      </c>
      <c r="X9" t="s">
        <v>306</v>
      </c>
    </row>
    <row r="10" spans="6:24">
      <c r="G10" s="105"/>
      <c r="H10" s="105"/>
      <c r="I10" s="105"/>
      <c r="J10" s="105"/>
      <c r="K10" s="105"/>
      <c r="L10" s="105"/>
      <c r="M10" s="105"/>
      <c r="N10" s="105"/>
      <c r="O10" s="105"/>
      <c r="P10" s="105"/>
      <c r="V10" s="143" t="s">
        <v>295</v>
      </c>
      <c r="X10" t="s">
        <v>308</v>
      </c>
    </row>
    <row r="11" spans="6:24">
      <c r="G11" s="105"/>
      <c r="H11" s="105"/>
      <c r="K11" s="105"/>
      <c r="L11" s="105"/>
      <c r="M11" s="105"/>
      <c r="N11" s="105"/>
      <c r="O11" s="105"/>
      <c r="P11" s="105"/>
    </row>
    <row r="12" spans="6:24">
      <c r="G12" s="105"/>
      <c r="H12" s="105"/>
      <c r="I12" s="143" t="s">
        <v>309</v>
      </c>
      <c r="J12" s="143"/>
      <c r="K12" s="143"/>
      <c r="L12" s="143"/>
      <c r="M12" s="105"/>
      <c r="N12" s="105"/>
      <c r="O12" s="105"/>
      <c r="P12" s="105"/>
    </row>
    <row r="13" spans="6:24">
      <c r="G13" s="105"/>
      <c r="H13" s="105"/>
      <c r="I13" s="105"/>
      <c r="O13" s="105"/>
      <c r="P13" s="105"/>
    </row>
    <row r="14" spans="6:24">
      <c r="G14" s="105"/>
      <c r="H14" s="105"/>
      <c r="J14" s="105"/>
      <c r="K14" s="105"/>
      <c r="L14" s="105"/>
      <c r="M14" s="105"/>
      <c r="N14" s="105"/>
      <c r="O14" s="105"/>
      <c r="P14" s="105"/>
    </row>
    <row r="15" spans="6:24">
      <c r="G15" s="105"/>
      <c r="H15" s="105"/>
      <c r="I15" s="143" t="s">
        <v>310</v>
      </c>
      <c r="J15" s="143"/>
      <c r="K15" s="143"/>
      <c r="L15" s="143"/>
      <c r="M15" s="143"/>
      <c r="N15" s="143"/>
      <c r="O15" s="105"/>
      <c r="P15" s="105"/>
    </row>
    <row r="16" spans="6:24">
      <c r="G16" s="105"/>
      <c r="H16" s="105"/>
      <c r="I16" s="105"/>
      <c r="J16" s="105"/>
      <c r="K16" s="105"/>
      <c r="L16" s="105"/>
      <c r="M16" s="105"/>
      <c r="N16" s="105"/>
      <c r="O16" s="105"/>
      <c r="P16" s="105"/>
    </row>
    <row r="17" spans="7:16">
      <c r="G17" s="105"/>
      <c r="H17" s="105"/>
      <c r="L17" s="105"/>
      <c r="M17" s="105"/>
      <c r="N17" s="105"/>
      <c r="O17" s="105"/>
      <c r="P17" s="105"/>
    </row>
    <row r="18" spans="7:16">
      <c r="G18" s="105"/>
      <c r="H18" s="105"/>
      <c r="I18" s="143" t="s">
        <v>311</v>
      </c>
      <c r="J18" s="143"/>
      <c r="K18" s="105"/>
      <c r="L18" s="105"/>
      <c r="M18" s="105"/>
      <c r="N18" s="105"/>
      <c r="O18" s="105"/>
      <c r="P18" s="105"/>
    </row>
    <row r="19" spans="7:16">
      <c r="G19" s="105"/>
      <c r="H19" s="105"/>
      <c r="I19" s="105"/>
      <c r="J19" s="105"/>
      <c r="K19" s="105"/>
      <c r="L19" s="105"/>
      <c r="M19" s="105"/>
      <c r="N19" s="105"/>
      <c r="O19" s="105"/>
      <c r="P19" s="105"/>
    </row>
    <row r="20" spans="7:16">
      <c r="G20" s="105"/>
      <c r="H20" s="105"/>
      <c r="O20" s="105"/>
      <c r="P20" s="105"/>
    </row>
    <row r="21" spans="7:16">
      <c r="G21" s="105"/>
      <c r="H21" s="105"/>
      <c r="I21" s="143" t="s">
        <v>312</v>
      </c>
      <c r="J21" s="143"/>
      <c r="K21" s="143"/>
      <c r="L21" s="105"/>
      <c r="M21" s="105"/>
      <c r="N21" s="105"/>
      <c r="O21" s="105"/>
      <c r="P21" s="105"/>
    </row>
    <row r="22" spans="7:16">
      <c r="G22" s="105"/>
      <c r="H22" s="105"/>
      <c r="I22" s="105"/>
      <c r="J22" s="105"/>
      <c r="K22" s="105"/>
      <c r="L22" s="105"/>
      <c r="M22" s="105"/>
      <c r="N22" s="105"/>
      <c r="O22" s="105"/>
      <c r="P22" s="105"/>
    </row>
    <row r="24" spans="7:16">
      <c r="I24" s="105" t="s">
        <v>313</v>
      </c>
    </row>
    <row r="25" spans="7:16">
      <c r="I25" s="143" t="s">
        <v>314</v>
      </c>
      <c r="J25" s="144"/>
      <c r="K25" s="144"/>
      <c r="L25" s="144"/>
      <c r="M25" s="144"/>
      <c r="N25" s="144"/>
    </row>
    <row r="26" spans="7:16">
      <c r="I26" s="105"/>
    </row>
    <row r="28" spans="7:16">
      <c r="I28" s="143" t="s">
        <v>315</v>
      </c>
      <c r="J28" s="14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C4AA6-1827-473C-9ED8-9AA31F7F0386}">
  <sheetPr codeName="Hoja16"/>
  <dimension ref="A1:K22"/>
  <sheetViews>
    <sheetView zoomScaleNormal="100" workbookViewId="0">
      <selection activeCell="A24" sqref="A24"/>
    </sheetView>
  </sheetViews>
  <sheetFormatPr baseColWidth="10" defaultColWidth="11.44140625" defaultRowHeight="14.4"/>
  <cols>
    <col min="1" max="1" width="32" customWidth="1"/>
    <col min="2" max="2" width="50.44140625" customWidth="1"/>
    <col min="4" max="4" width="27.44140625" customWidth="1"/>
    <col min="5" max="5" width="49.6640625" customWidth="1"/>
    <col min="7" max="7" width="16.33203125" bestFit="1" customWidth="1"/>
    <col min="8" max="8" width="34.44140625" bestFit="1" customWidth="1"/>
    <col min="11" max="11" width="19.109375" customWidth="1"/>
  </cols>
  <sheetData>
    <row r="1" spans="1:11">
      <c r="A1" s="7" t="s">
        <v>316</v>
      </c>
      <c r="D1" s="7" t="s">
        <v>317</v>
      </c>
      <c r="G1" s="7" t="s">
        <v>318</v>
      </c>
    </row>
    <row r="2" spans="1:11" ht="16.8">
      <c r="A2" s="303" t="s">
        <v>319</v>
      </c>
      <c r="B2" s="303"/>
      <c r="D2" s="303" t="s">
        <v>320</v>
      </c>
      <c r="E2" s="303"/>
      <c r="G2" s="303" t="s">
        <v>321</v>
      </c>
      <c r="H2" s="303"/>
      <c r="J2" s="151"/>
      <c r="K2" s="173" t="s">
        <v>322</v>
      </c>
    </row>
    <row r="3" spans="1:11">
      <c r="A3" s="152" t="s">
        <v>323</v>
      </c>
      <c r="B3" s="152" t="s">
        <v>324</v>
      </c>
      <c r="D3" s="152" t="s">
        <v>323</v>
      </c>
      <c r="E3" s="152" t="s">
        <v>324</v>
      </c>
      <c r="G3" s="152" t="s">
        <v>323</v>
      </c>
      <c r="H3" s="152" t="s">
        <v>324</v>
      </c>
      <c r="J3" s="159"/>
      <c r="K3" s="173" t="s">
        <v>325</v>
      </c>
    </row>
    <row r="4" spans="1:11">
      <c r="A4" s="171" t="s">
        <v>326</v>
      </c>
      <c r="B4" s="171" t="s">
        <v>327</v>
      </c>
      <c r="D4" s="171" t="s">
        <v>326</v>
      </c>
      <c r="E4" s="171" t="s">
        <v>327</v>
      </c>
      <c r="G4" s="171" t="s">
        <v>328</v>
      </c>
      <c r="H4" s="171" t="s">
        <v>329</v>
      </c>
    </row>
    <row r="5" spans="1:11">
      <c r="A5" s="171" t="s">
        <v>330</v>
      </c>
      <c r="B5" s="171" t="s">
        <v>331</v>
      </c>
      <c r="D5" s="171" t="s">
        <v>330</v>
      </c>
      <c r="E5" s="171" t="s">
        <v>331</v>
      </c>
      <c r="G5" s="160" t="s">
        <v>332</v>
      </c>
      <c r="H5" s="160" t="s">
        <v>333</v>
      </c>
    </row>
    <row r="6" spans="1:11">
      <c r="A6" s="160" t="s">
        <v>334</v>
      </c>
      <c r="B6" s="160" t="s">
        <v>335</v>
      </c>
      <c r="D6" s="160" t="s">
        <v>334</v>
      </c>
      <c r="E6" s="160" t="s">
        <v>335</v>
      </c>
      <c r="G6" s="171" t="s">
        <v>336</v>
      </c>
      <c r="H6" s="171" t="s">
        <v>337</v>
      </c>
      <c r="J6" t="s">
        <v>338</v>
      </c>
    </row>
    <row r="7" spans="1:11">
      <c r="A7" s="171" t="s">
        <v>339</v>
      </c>
      <c r="B7" s="171" t="s">
        <v>329</v>
      </c>
      <c r="D7" s="171" t="s">
        <v>339</v>
      </c>
      <c r="E7" s="171" t="s">
        <v>329</v>
      </c>
      <c r="J7" t="s">
        <v>340</v>
      </c>
    </row>
    <row r="8" spans="1:11">
      <c r="A8" t="s">
        <v>341</v>
      </c>
      <c r="B8" s="165" t="s">
        <v>342</v>
      </c>
      <c r="D8" t="s">
        <v>341</v>
      </c>
      <c r="E8" s="165" t="s">
        <v>342</v>
      </c>
    </row>
    <row r="9" spans="1:11">
      <c r="A9" s="160" t="s">
        <v>332</v>
      </c>
      <c r="B9" s="160" t="s">
        <v>333</v>
      </c>
      <c r="D9" s="160" t="s">
        <v>332</v>
      </c>
      <c r="E9" s="160" t="s">
        <v>333</v>
      </c>
    </row>
    <row r="10" spans="1:11">
      <c r="A10" s="171" t="s">
        <v>343</v>
      </c>
      <c r="B10" s="171" t="s">
        <v>344</v>
      </c>
      <c r="D10" s="171" t="s">
        <v>343</v>
      </c>
      <c r="E10" s="171" t="s">
        <v>344</v>
      </c>
    </row>
    <row r="11" spans="1:11">
      <c r="A11" s="171" t="s">
        <v>345</v>
      </c>
      <c r="B11" s="171" t="s">
        <v>346</v>
      </c>
      <c r="D11" s="171" t="s">
        <v>345</v>
      </c>
      <c r="E11" s="171" t="s">
        <v>346</v>
      </c>
    </row>
    <row r="12" spans="1:11">
      <c r="A12" s="171" t="s">
        <v>347</v>
      </c>
      <c r="B12" s="171" t="s">
        <v>348</v>
      </c>
      <c r="D12" s="171" t="s">
        <v>347</v>
      </c>
      <c r="E12" s="171" t="s">
        <v>348</v>
      </c>
    </row>
    <row r="16" spans="1:11">
      <c r="A16" s="1"/>
    </row>
    <row r="17" spans="1:1" s="295" customFormat="1"/>
    <row r="19" spans="1:1">
      <c r="A19" s="298" t="s">
        <v>1662</v>
      </c>
    </row>
    <row r="20" spans="1:1">
      <c r="A20" s="1" t="s">
        <v>1659</v>
      </c>
    </row>
    <row r="21" spans="1:1">
      <c r="A21" s="1" t="s">
        <v>1660</v>
      </c>
    </row>
    <row r="22" spans="1:1">
      <c r="A22" s="1" t="s">
        <v>1661</v>
      </c>
    </row>
  </sheetData>
  <mergeCells count="3">
    <mergeCell ref="A2:B2"/>
    <mergeCell ref="D2:E2"/>
    <mergeCell ref="G2:H2"/>
  </mergeCells>
  <hyperlinks>
    <hyperlink ref="A1" r:id="rId1" xr:uid="{238E1C4F-8322-45C8-B19A-FE91AD5394EA}"/>
    <hyperlink ref="D1" r:id="rId2" xr:uid="{4BE958C2-627A-4C00-A1FC-28C4C2150C83}"/>
    <hyperlink ref="G1" r:id="rId3" xr:uid="{92E6C19F-0176-4C6F-B7AA-60DD40197A29}"/>
  </hyperlink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BA33-03CC-4DEC-8386-072B9531CA5F}">
  <sheetPr codeName="Hoja17"/>
  <dimension ref="A1:K41"/>
  <sheetViews>
    <sheetView zoomScaleNormal="100" workbookViewId="0">
      <selection activeCell="F48" sqref="F48"/>
    </sheetView>
  </sheetViews>
  <sheetFormatPr baseColWidth="10" defaultColWidth="11.44140625" defaultRowHeight="14.4"/>
  <cols>
    <col min="1" max="1" width="35.6640625" bestFit="1" customWidth="1"/>
    <col min="2" max="2" width="38.44140625" bestFit="1" customWidth="1"/>
    <col min="3" max="3" width="40.6640625" bestFit="1" customWidth="1"/>
    <col min="5" max="5" width="11.33203125" customWidth="1"/>
    <col min="6" max="6" width="18" bestFit="1" customWidth="1"/>
    <col min="7" max="7" width="58.6640625" bestFit="1" customWidth="1"/>
    <col min="11" max="11" width="74.109375" customWidth="1"/>
  </cols>
  <sheetData>
    <row r="1" spans="1:11" ht="57.6">
      <c r="A1" s="1" t="s">
        <v>349</v>
      </c>
      <c r="E1" s="181"/>
      <c r="F1" s="173" t="s">
        <v>322</v>
      </c>
      <c r="G1" s="150" t="s">
        <v>350</v>
      </c>
      <c r="K1" s="216" t="s">
        <v>351</v>
      </c>
    </row>
    <row r="2" spans="1:11">
      <c r="A2" s="304" t="s">
        <v>352</v>
      </c>
      <c r="B2" s="304"/>
      <c r="C2" s="304"/>
      <c r="E2" s="182"/>
      <c r="F2" s="173" t="s">
        <v>325</v>
      </c>
      <c r="G2" s="150" t="s">
        <v>353</v>
      </c>
      <c r="K2" s="146" t="s">
        <v>354</v>
      </c>
    </row>
    <row r="3" spans="1:11">
      <c r="A3" s="179" t="s">
        <v>355</v>
      </c>
      <c r="B3" s="179" t="s">
        <v>356</v>
      </c>
      <c r="C3" s="179" t="s">
        <v>324</v>
      </c>
    </row>
    <row r="4" spans="1:11">
      <c r="A4" s="182" t="s">
        <v>357</v>
      </c>
      <c r="B4" s="182">
        <v>17355675</v>
      </c>
      <c r="C4" t="s">
        <v>358</v>
      </c>
    </row>
    <row r="5" spans="1:11">
      <c r="A5" s="181" t="s">
        <v>359</v>
      </c>
      <c r="B5" s="181" t="s">
        <v>360</v>
      </c>
      <c r="C5" t="s">
        <v>361</v>
      </c>
    </row>
    <row r="6" spans="1:11">
      <c r="A6" s="180" t="s">
        <v>362</v>
      </c>
    </row>
    <row r="7" spans="1:11">
      <c r="A7" s="180" t="s">
        <v>363</v>
      </c>
      <c r="B7" t="s">
        <v>364</v>
      </c>
    </row>
    <row r="8" spans="1:11">
      <c r="A8" s="180" t="s">
        <v>365</v>
      </c>
      <c r="B8" t="s">
        <v>366</v>
      </c>
    </row>
    <row r="9" spans="1:11">
      <c r="A9" s="180" t="s">
        <v>367</v>
      </c>
      <c r="B9" t="s">
        <v>368</v>
      </c>
    </row>
    <row r="10" spans="1:11">
      <c r="A10" s="180" t="s">
        <v>369</v>
      </c>
      <c r="B10" t="s">
        <v>370</v>
      </c>
    </row>
    <row r="11" spans="1:11">
      <c r="A11" s="180" t="s">
        <v>371</v>
      </c>
      <c r="B11" t="s">
        <v>368</v>
      </c>
    </row>
    <row r="12" spans="1:11">
      <c r="A12" s="181" t="s">
        <v>372</v>
      </c>
      <c r="B12" s="147" t="s">
        <v>373</v>
      </c>
      <c r="C12" t="s">
        <v>374</v>
      </c>
    </row>
    <row r="13" spans="1:11">
      <c r="A13" s="180" t="s">
        <v>375</v>
      </c>
      <c r="B13">
        <v>7644</v>
      </c>
    </row>
    <row r="14" spans="1:11">
      <c r="A14" s="180" t="s">
        <v>376</v>
      </c>
      <c r="B14" t="s">
        <v>373</v>
      </c>
      <c r="F14" s="108"/>
    </row>
    <row r="15" spans="1:11">
      <c r="A15" s="180" t="s">
        <v>377</v>
      </c>
      <c r="B15" t="s">
        <v>378</v>
      </c>
      <c r="F15" s="108"/>
    </row>
    <row r="16" spans="1:11">
      <c r="A16" s="180" t="s">
        <v>379</v>
      </c>
      <c r="B16" t="s">
        <v>370</v>
      </c>
    </row>
    <row r="17" spans="1:3">
      <c r="A17" s="180" t="s">
        <v>380</v>
      </c>
      <c r="B17" t="s">
        <v>378</v>
      </c>
    </row>
    <row r="18" spans="1:3">
      <c r="A18" s="180" t="s">
        <v>381</v>
      </c>
      <c r="B18" t="s">
        <v>370</v>
      </c>
    </row>
    <row r="19" spans="1:3">
      <c r="A19" s="181" t="s">
        <v>382</v>
      </c>
      <c r="B19" s="147" t="s">
        <v>383</v>
      </c>
      <c r="C19" t="s">
        <v>384</v>
      </c>
    </row>
    <row r="20" spans="1:3">
      <c r="A20" s="180" t="s">
        <v>385</v>
      </c>
      <c r="B20" t="s">
        <v>383</v>
      </c>
    </row>
    <row r="21" spans="1:3">
      <c r="A21" s="180" t="s">
        <v>386</v>
      </c>
      <c r="B21" t="s">
        <v>387</v>
      </c>
    </row>
    <row r="22" spans="1:3">
      <c r="A22" s="180" t="s">
        <v>388</v>
      </c>
      <c r="B22" t="s">
        <v>368</v>
      </c>
    </row>
    <row r="23" spans="1:3">
      <c r="A23" s="180" t="s">
        <v>389</v>
      </c>
      <c r="B23" t="s">
        <v>373</v>
      </c>
    </row>
    <row r="24" spans="1:3">
      <c r="A24" s="180" t="s">
        <v>390</v>
      </c>
      <c r="B24">
        <v>7644</v>
      </c>
    </row>
    <row r="25" spans="1:3">
      <c r="A25" s="180" t="s">
        <v>391</v>
      </c>
      <c r="B25" t="s">
        <v>392</v>
      </c>
    </row>
    <row r="26" spans="1:3">
      <c r="A26" s="180" t="s">
        <v>393</v>
      </c>
      <c r="B26" t="s">
        <v>394</v>
      </c>
    </row>
    <row r="27" spans="1:3">
      <c r="A27" s="180" t="s">
        <v>395</v>
      </c>
      <c r="B27" t="s">
        <v>370</v>
      </c>
    </row>
    <row r="28" spans="1:3">
      <c r="A28" s="180" t="s">
        <v>396</v>
      </c>
      <c r="B28" t="s">
        <v>370</v>
      </c>
    </row>
    <row r="29" spans="1:3">
      <c r="A29" s="180" t="s">
        <v>397</v>
      </c>
      <c r="B29">
        <v>0</v>
      </c>
    </row>
    <row r="30" spans="1:3">
      <c r="A30" s="180" t="s">
        <v>398</v>
      </c>
      <c r="B30" t="s">
        <v>370</v>
      </c>
    </row>
    <row r="31" spans="1:3">
      <c r="A31" s="181" t="s">
        <v>399</v>
      </c>
      <c r="B31" s="147">
        <v>22</v>
      </c>
      <c r="C31" t="s">
        <v>400</v>
      </c>
    </row>
    <row r="32" spans="1:3">
      <c r="A32" s="181" t="s">
        <v>401</v>
      </c>
      <c r="B32" s="147">
        <v>22</v>
      </c>
      <c r="C32" t="s">
        <v>402</v>
      </c>
    </row>
    <row r="33" spans="1:3">
      <c r="A33" s="180" t="s">
        <v>403</v>
      </c>
      <c r="B33">
        <v>0</v>
      </c>
    </row>
    <row r="34" spans="1:3">
      <c r="A34" s="180" t="s">
        <v>404</v>
      </c>
      <c r="B34">
        <v>0</v>
      </c>
    </row>
    <row r="35" spans="1:3">
      <c r="A35" s="180" t="s">
        <v>405</v>
      </c>
      <c r="B35">
        <v>0</v>
      </c>
    </row>
    <row r="36" spans="1:3">
      <c r="A36" s="180" t="s">
        <v>406</v>
      </c>
      <c r="B36">
        <v>0</v>
      </c>
    </row>
    <row r="37" spans="1:3">
      <c r="A37" s="180" t="s">
        <v>407</v>
      </c>
      <c r="B37">
        <v>31</v>
      </c>
    </row>
    <row r="38" spans="1:3">
      <c r="A38" s="181" t="s">
        <v>408</v>
      </c>
      <c r="B38" s="147" t="s">
        <v>409</v>
      </c>
      <c r="C38" t="s">
        <v>410</v>
      </c>
    </row>
    <row r="39" spans="1:3">
      <c r="A39" s="181" t="s">
        <v>411</v>
      </c>
      <c r="B39" s="147" t="s">
        <v>412</v>
      </c>
      <c r="C39" t="s">
        <v>413</v>
      </c>
    </row>
    <row r="40" spans="1:3">
      <c r="A40" s="184" t="s">
        <v>414</v>
      </c>
      <c r="B40" t="s">
        <v>415</v>
      </c>
    </row>
    <row r="41" spans="1:3">
      <c r="A41" s="180" t="s">
        <v>416</v>
      </c>
      <c r="B41" t="s">
        <v>417</v>
      </c>
    </row>
  </sheetData>
  <mergeCells count="1">
    <mergeCell ref="A2:C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9184-EF85-46DF-8D87-8FDDB4C8467B}">
  <sheetPr codeName="Hoja18"/>
  <dimension ref="B1:N40"/>
  <sheetViews>
    <sheetView topLeftCell="E1" workbookViewId="0">
      <selection activeCell="N21" sqref="N21"/>
    </sheetView>
  </sheetViews>
  <sheetFormatPr baseColWidth="10" defaultColWidth="11.44140625" defaultRowHeight="14.4"/>
  <cols>
    <col min="2" max="2" width="28.5546875" bestFit="1" customWidth="1"/>
    <col min="3" max="3" width="41.33203125" style="196" bestFit="1" customWidth="1"/>
    <col min="4" max="4" width="15.5546875" customWidth="1"/>
    <col min="6" max="6" width="26.44140625" bestFit="1" customWidth="1"/>
    <col min="7" max="7" width="57.5546875" style="196" bestFit="1" customWidth="1"/>
    <col min="8" max="8" width="21" customWidth="1"/>
    <col min="12" max="12" width="18.5546875" bestFit="1" customWidth="1"/>
    <col min="14" max="14" width="120.6640625" customWidth="1"/>
  </cols>
  <sheetData>
    <row r="1" spans="2:14" ht="28.8">
      <c r="B1" s="1" t="s">
        <v>418</v>
      </c>
      <c r="N1" s="217" t="s">
        <v>419</v>
      </c>
    </row>
    <row r="2" spans="2:14" ht="16.8">
      <c r="B2" s="303" t="s">
        <v>420</v>
      </c>
      <c r="C2" s="303"/>
      <c r="D2" s="303"/>
      <c r="F2" s="303" t="s">
        <v>421</v>
      </c>
      <c r="G2" s="303"/>
      <c r="H2" s="303"/>
      <c r="K2" s="151"/>
      <c r="L2" s="173" t="s">
        <v>322</v>
      </c>
      <c r="N2" s="146" t="s">
        <v>354</v>
      </c>
    </row>
    <row r="3" spans="2:14">
      <c r="B3" s="152" t="s">
        <v>323</v>
      </c>
      <c r="C3" s="197" t="s">
        <v>422</v>
      </c>
      <c r="D3" s="152" t="s">
        <v>324</v>
      </c>
      <c r="F3" s="152" t="s">
        <v>323</v>
      </c>
      <c r="G3" s="197" t="s">
        <v>422</v>
      </c>
      <c r="H3" s="152" t="s">
        <v>324</v>
      </c>
      <c r="K3" s="159"/>
      <c r="L3" s="173" t="s">
        <v>325</v>
      </c>
    </row>
    <row r="4" spans="2:14">
      <c r="B4" s="160" t="s">
        <v>423</v>
      </c>
      <c r="C4" s="199">
        <v>6326</v>
      </c>
      <c r="D4" s="160"/>
      <c r="F4" s="199" t="s">
        <v>424</v>
      </c>
      <c r="G4" s="199">
        <v>9641714</v>
      </c>
      <c r="H4" s="199"/>
    </row>
    <row r="5" spans="2:14">
      <c r="B5" s="165" t="s">
        <v>425</v>
      </c>
      <c r="C5" s="198" t="s">
        <v>426</v>
      </c>
      <c r="D5" s="165"/>
      <c r="F5" s="199" t="s">
        <v>427</v>
      </c>
      <c r="G5" s="199">
        <v>6326</v>
      </c>
      <c r="H5" s="199"/>
    </row>
    <row r="6" spans="2:14">
      <c r="B6" s="171" t="s">
        <v>428</v>
      </c>
      <c r="C6" s="171" t="s">
        <v>429</v>
      </c>
      <c r="D6" s="171"/>
      <c r="F6" s="171" t="s">
        <v>430</v>
      </c>
      <c r="G6" s="200">
        <v>0</v>
      </c>
      <c r="H6" s="171"/>
    </row>
    <row r="7" spans="2:14">
      <c r="B7" s="171" t="s">
        <v>431</v>
      </c>
      <c r="C7" s="171" t="s">
        <v>432</v>
      </c>
      <c r="D7" s="171"/>
      <c r="F7" s="171" t="s">
        <v>433</v>
      </c>
      <c r="G7" s="171" t="s">
        <v>434</v>
      </c>
      <c r="H7" s="171"/>
    </row>
    <row r="8" spans="2:14">
      <c r="B8" s="165" t="s">
        <v>435</v>
      </c>
      <c r="C8" s="198" t="s">
        <v>436</v>
      </c>
      <c r="D8" s="165"/>
      <c r="F8" s="165" t="s">
        <v>437</v>
      </c>
      <c r="G8" s="198">
        <v>1</v>
      </c>
      <c r="H8" s="165"/>
    </row>
    <row r="9" spans="2:14">
      <c r="B9" s="165" t="s">
        <v>438</v>
      </c>
      <c r="C9" s="198"/>
      <c r="D9" s="165"/>
      <c r="F9" s="165" t="s">
        <v>439</v>
      </c>
      <c r="G9" s="198">
        <v>200200</v>
      </c>
      <c r="H9" s="165"/>
    </row>
    <row r="10" spans="2:14">
      <c r="B10" s="199" t="s">
        <v>440</v>
      </c>
      <c r="C10" s="199" t="s">
        <v>441</v>
      </c>
      <c r="D10" s="199"/>
      <c r="F10" s="165" t="s">
        <v>442</v>
      </c>
      <c r="G10" s="198">
        <v>1</v>
      </c>
      <c r="H10" s="165"/>
    </row>
    <row r="11" spans="2:14">
      <c r="B11" s="165" t="s">
        <v>443</v>
      </c>
      <c r="C11" s="198"/>
      <c r="D11" s="165"/>
      <c r="F11" s="199" t="s">
        <v>444</v>
      </c>
      <c r="G11" s="199" t="s">
        <v>445</v>
      </c>
      <c r="H11" s="199"/>
    </row>
    <row r="12" spans="2:14">
      <c r="B12" s="165" t="s">
        <v>446</v>
      </c>
      <c r="C12" s="198">
        <v>0</v>
      </c>
      <c r="D12" s="165"/>
      <c r="F12" s="165" t="s">
        <v>447</v>
      </c>
      <c r="G12" s="198" t="s">
        <v>448</v>
      </c>
      <c r="H12" s="165"/>
    </row>
    <row r="13" spans="2:14">
      <c r="B13" s="171" t="s">
        <v>449</v>
      </c>
      <c r="C13" s="171" t="s">
        <v>432</v>
      </c>
      <c r="D13" s="171"/>
      <c r="F13" s="171" t="s">
        <v>450</v>
      </c>
      <c r="G13" s="171" t="s">
        <v>445</v>
      </c>
      <c r="H13" s="171"/>
    </row>
    <row r="14" spans="2:14">
      <c r="B14" s="165" t="s">
        <v>451</v>
      </c>
      <c r="C14" s="198" t="s">
        <v>452</v>
      </c>
      <c r="D14" s="165"/>
      <c r="F14" s="165" t="s">
        <v>453</v>
      </c>
      <c r="G14" s="198" t="s">
        <v>445</v>
      </c>
      <c r="H14" s="165"/>
    </row>
    <row r="15" spans="2:14">
      <c r="B15" s="199" t="s">
        <v>454</v>
      </c>
      <c r="C15" s="199">
        <v>5842</v>
      </c>
      <c r="D15" s="199"/>
      <c r="F15" s="165" t="s">
        <v>455</v>
      </c>
      <c r="G15" s="198" t="s">
        <v>448</v>
      </c>
      <c r="H15" s="165"/>
    </row>
    <row r="16" spans="2:14">
      <c r="B16" s="171" t="s">
        <v>456</v>
      </c>
      <c r="C16" s="171" t="s">
        <v>457</v>
      </c>
      <c r="D16" s="171"/>
      <c r="F16" s="165" t="s">
        <v>458</v>
      </c>
      <c r="G16" s="198">
        <v>2384</v>
      </c>
      <c r="H16" s="165"/>
    </row>
    <row r="17" spans="2:8">
      <c r="B17" s="165" t="s">
        <v>459</v>
      </c>
      <c r="C17" s="198" t="s">
        <v>426</v>
      </c>
      <c r="D17" s="165"/>
      <c r="F17" s="165" t="s">
        <v>460</v>
      </c>
      <c r="G17" s="198">
        <v>50000</v>
      </c>
      <c r="H17" s="165"/>
    </row>
    <row r="18" spans="2:8">
      <c r="B18" s="165" t="s">
        <v>461</v>
      </c>
      <c r="C18" s="198" t="s">
        <v>445</v>
      </c>
      <c r="D18" s="165"/>
      <c r="F18" s="165" t="s">
        <v>462</v>
      </c>
      <c r="G18" s="198"/>
      <c r="H18" s="165"/>
    </row>
    <row r="19" spans="2:8">
      <c r="B19" s="165" t="s">
        <v>463</v>
      </c>
      <c r="C19" s="198"/>
      <c r="D19" s="165"/>
      <c r="F19" s="171" t="s">
        <v>464</v>
      </c>
      <c r="G19" s="171" t="s">
        <v>445</v>
      </c>
      <c r="H19" s="171"/>
    </row>
    <row r="20" spans="2:8">
      <c r="B20" s="199" t="s">
        <v>465</v>
      </c>
      <c r="C20" s="199">
        <v>3135</v>
      </c>
      <c r="D20" s="199"/>
      <c r="F20" s="165" t="s">
        <v>466</v>
      </c>
      <c r="G20" s="198" t="s">
        <v>467</v>
      </c>
      <c r="H20" s="165"/>
    </row>
    <row r="21" spans="2:8">
      <c r="B21" s="165" t="s">
        <v>468</v>
      </c>
      <c r="C21" s="198" t="s">
        <v>426</v>
      </c>
      <c r="D21" s="165"/>
      <c r="F21" s="165" t="s">
        <v>469</v>
      </c>
      <c r="G21" s="198" t="s">
        <v>445</v>
      </c>
      <c r="H21" s="165"/>
    </row>
    <row r="22" spans="2:8">
      <c r="B22" s="171" t="s">
        <v>470</v>
      </c>
      <c r="C22" s="171" t="s">
        <v>471</v>
      </c>
      <c r="D22" s="171"/>
    </row>
    <row r="23" spans="2:8">
      <c r="B23" s="165" t="s">
        <v>472</v>
      </c>
      <c r="C23" s="198" t="s">
        <v>473</v>
      </c>
      <c r="D23" s="165"/>
    </row>
    <row r="24" spans="2:8">
      <c r="B24" s="171" t="s">
        <v>474</v>
      </c>
      <c r="C24" s="171" t="s">
        <v>475</v>
      </c>
      <c r="D24" s="171"/>
    </row>
    <row r="25" spans="2:8">
      <c r="B25" s="171" t="s">
        <v>476</v>
      </c>
      <c r="C25" s="171" t="s">
        <v>475</v>
      </c>
      <c r="D25" s="171"/>
    </row>
    <row r="26" spans="2:8">
      <c r="B26" s="171" t="s">
        <v>477</v>
      </c>
      <c r="C26" s="171" t="s">
        <v>478</v>
      </c>
      <c r="D26" s="171"/>
    </row>
    <row r="27" spans="2:8">
      <c r="B27" s="171" t="s">
        <v>479</v>
      </c>
      <c r="C27" s="200">
        <v>8037</v>
      </c>
      <c r="D27" s="171"/>
    </row>
    <row r="28" spans="2:8">
      <c r="B28" s="165" t="s">
        <v>480</v>
      </c>
      <c r="C28" s="198" t="s">
        <v>481</v>
      </c>
      <c r="D28" s="165"/>
    </row>
    <row r="29" spans="2:8">
      <c r="B29" s="165" t="s">
        <v>482</v>
      </c>
      <c r="C29" s="198" t="s">
        <v>445</v>
      </c>
      <c r="D29" s="165"/>
    </row>
    <row r="30" spans="2:8">
      <c r="B30" s="199" t="s">
        <v>483</v>
      </c>
      <c r="C30" s="199">
        <v>3508</v>
      </c>
      <c r="D30" s="199"/>
    </row>
    <row r="31" spans="2:8">
      <c r="B31" s="165" t="s">
        <v>484</v>
      </c>
      <c r="C31" s="198" t="s">
        <v>426</v>
      </c>
      <c r="D31" s="165"/>
    </row>
    <row r="32" spans="2:8">
      <c r="B32" s="171" t="s">
        <v>485</v>
      </c>
      <c r="C32" s="200" t="s">
        <v>486</v>
      </c>
      <c r="D32" s="171"/>
    </row>
    <row r="33" spans="2:4">
      <c r="B33" s="165" t="s">
        <v>487</v>
      </c>
      <c r="C33" s="198" t="s">
        <v>473</v>
      </c>
      <c r="D33" s="165"/>
    </row>
    <row r="34" spans="2:4">
      <c r="B34" s="165" t="s">
        <v>488</v>
      </c>
      <c r="C34" s="198" t="s">
        <v>475</v>
      </c>
      <c r="D34" s="165"/>
    </row>
    <row r="35" spans="2:4">
      <c r="B35" s="171" t="s">
        <v>489</v>
      </c>
      <c r="C35" s="200" t="s">
        <v>475</v>
      </c>
      <c r="D35" s="171"/>
    </row>
    <row r="36" spans="2:4">
      <c r="B36" s="171" t="s">
        <v>490</v>
      </c>
      <c r="C36" s="200" t="s">
        <v>478</v>
      </c>
      <c r="D36" s="171"/>
    </row>
    <row r="37" spans="2:4">
      <c r="B37" s="171" t="s">
        <v>491</v>
      </c>
      <c r="C37" s="200">
        <v>8037</v>
      </c>
      <c r="D37" s="171"/>
    </row>
    <row r="38" spans="2:4">
      <c r="B38" s="165" t="s">
        <v>492</v>
      </c>
      <c r="C38" s="198" t="s">
        <v>481</v>
      </c>
      <c r="D38" s="165"/>
    </row>
    <row r="39" spans="2:4">
      <c r="B39" s="165" t="s">
        <v>493</v>
      </c>
      <c r="C39" s="198" t="s">
        <v>494</v>
      </c>
      <c r="D39" s="165"/>
    </row>
    <row r="40" spans="2:4">
      <c r="B40" s="165" t="s">
        <v>495</v>
      </c>
      <c r="C40" s="198" t="s">
        <v>445</v>
      </c>
      <c r="D40" s="165"/>
    </row>
  </sheetData>
  <mergeCells count="2">
    <mergeCell ref="B2:D2"/>
    <mergeCell ref="F2:H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F5BD1-D452-47D6-A9C5-9DE4D188F5D1}">
  <sheetPr codeName="Hoja14"/>
  <dimension ref="A1:G79"/>
  <sheetViews>
    <sheetView topLeftCell="A52" zoomScaleNormal="100" workbookViewId="0">
      <selection activeCell="A82" sqref="A82"/>
    </sheetView>
  </sheetViews>
  <sheetFormatPr baseColWidth="10" defaultColWidth="11.44140625" defaultRowHeight="14.4"/>
  <cols>
    <col min="1" max="1" width="29.44140625" bestFit="1" customWidth="1"/>
    <col min="2" max="2" width="36" bestFit="1" customWidth="1"/>
    <col min="3" max="3" width="81.5546875" bestFit="1" customWidth="1"/>
    <col min="4" max="4" width="28.88671875" bestFit="1" customWidth="1"/>
    <col min="5" max="5" width="35.109375" bestFit="1" customWidth="1"/>
    <col min="6" max="6" width="32.88671875" bestFit="1" customWidth="1"/>
    <col min="7" max="7" width="92.33203125" customWidth="1"/>
    <col min="8" max="8" width="104.88671875" bestFit="1" customWidth="1"/>
    <col min="13" max="13" width="120.5546875" bestFit="1" customWidth="1"/>
    <col min="15" max="15" width="20.44140625" bestFit="1" customWidth="1"/>
    <col min="16" max="16" width="35.109375" bestFit="1" customWidth="1"/>
  </cols>
  <sheetData>
    <row r="1" spans="1:7">
      <c r="A1" s="173" t="s">
        <v>496</v>
      </c>
      <c r="B1" s="173"/>
      <c r="C1" s="146"/>
      <c r="E1" s="181"/>
      <c r="F1" s="173" t="s">
        <v>322</v>
      </c>
      <c r="G1" s="150" t="s">
        <v>350</v>
      </c>
    </row>
    <row r="2" spans="1:7">
      <c r="A2" s="304" t="s">
        <v>352</v>
      </c>
      <c r="B2" s="304"/>
      <c r="C2" s="304"/>
      <c r="E2" s="182"/>
      <c r="F2" s="173" t="s">
        <v>325</v>
      </c>
      <c r="G2" s="150" t="s">
        <v>353</v>
      </c>
    </row>
    <row r="3" spans="1:7">
      <c r="A3" s="179" t="s">
        <v>355</v>
      </c>
      <c r="B3" s="179" t="s">
        <v>356</v>
      </c>
      <c r="C3" s="179" t="s">
        <v>324</v>
      </c>
    </row>
    <row r="4" spans="1:7">
      <c r="A4" s="160" t="s">
        <v>497</v>
      </c>
      <c r="B4" s="178" t="s">
        <v>498</v>
      </c>
      <c r="C4" s="178" t="s">
        <v>499</v>
      </c>
    </row>
    <row r="5" spans="1:7">
      <c r="A5" t="s">
        <v>500</v>
      </c>
      <c r="B5" s="178"/>
      <c r="C5" s="178"/>
      <c r="E5" t="s">
        <v>501</v>
      </c>
      <c r="F5" t="s">
        <v>502</v>
      </c>
    </row>
    <row r="6" spans="1:7">
      <c r="A6" t="s">
        <v>503</v>
      </c>
      <c r="B6" s="178"/>
      <c r="C6" s="178"/>
      <c r="E6" s="7" t="s">
        <v>504</v>
      </c>
      <c r="F6" t="s">
        <v>505</v>
      </c>
    </row>
    <row r="7" spans="1:7">
      <c r="A7" t="s">
        <v>506</v>
      </c>
      <c r="B7" s="178"/>
      <c r="C7" s="178"/>
    </row>
    <row r="8" spans="1:7">
      <c r="A8" s="151" t="s">
        <v>507</v>
      </c>
      <c r="B8" s="178" t="s">
        <v>508</v>
      </c>
      <c r="C8" s="178" t="s">
        <v>509</v>
      </c>
    </row>
    <row r="9" spans="1:7">
      <c r="A9" t="s">
        <v>510</v>
      </c>
      <c r="B9" s="178"/>
      <c r="C9" s="178"/>
      <c r="E9" t="s">
        <v>511</v>
      </c>
    </row>
    <row r="10" spans="1:7">
      <c r="A10" t="s">
        <v>512</v>
      </c>
      <c r="B10" s="178"/>
      <c r="C10" s="178"/>
      <c r="E10" s="146" t="s">
        <v>513</v>
      </c>
    </row>
    <row r="11" spans="1:7">
      <c r="A11" t="s">
        <v>514</v>
      </c>
      <c r="B11" s="178"/>
      <c r="C11" s="178"/>
    </row>
    <row r="12" spans="1:7">
      <c r="A12" t="s">
        <v>515</v>
      </c>
      <c r="B12" s="178"/>
      <c r="C12" s="178"/>
    </row>
    <row r="13" spans="1:7">
      <c r="A13" t="s">
        <v>516</v>
      </c>
      <c r="B13" s="178"/>
      <c r="C13" s="178"/>
    </row>
    <row r="14" spans="1:7">
      <c r="A14" t="s">
        <v>517</v>
      </c>
      <c r="B14" s="178"/>
      <c r="C14" s="178"/>
    </row>
    <row r="15" spans="1:7">
      <c r="A15" t="s">
        <v>518</v>
      </c>
      <c r="B15" s="178"/>
      <c r="C15" s="178"/>
    </row>
    <row r="16" spans="1:7">
      <c r="A16" s="160" t="s">
        <v>519</v>
      </c>
      <c r="B16" s="178">
        <v>12.32</v>
      </c>
      <c r="C16" s="178" t="s">
        <v>520</v>
      </c>
    </row>
    <row r="17" spans="1:3">
      <c r="A17" t="s">
        <v>521</v>
      </c>
      <c r="B17" s="178"/>
      <c r="C17" s="178"/>
    </row>
    <row r="18" spans="1:3">
      <c r="A18" s="151" t="s">
        <v>522</v>
      </c>
      <c r="B18" s="178" t="s">
        <v>523</v>
      </c>
      <c r="C18" s="178" t="s">
        <v>524</v>
      </c>
    </row>
    <row r="19" spans="1:3">
      <c r="A19" t="s">
        <v>525</v>
      </c>
      <c r="B19" s="178"/>
      <c r="C19" s="178"/>
    </row>
    <row r="20" spans="1:3">
      <c r="A20" s="151" t="s">
        <v>526</v>
      </c>
      <c r="B20" s="178" t="s">
        <v>527</v>
      </c>
      <c r="C20" s="178" t="s">
        <v>528</v>
      </c>
    </row>
    <row r="21" spans="1:3">
      <c r="A21" t="s">
        <v>529</v>
      </c>
      <c r="B21" s="178"/>
      <c r="C21" s="178"/>
    </row>
    <row r="22" spans="1:3">
      <c r="A22" t="s">
        <v>530</v>
      </c>
      <c r="B22" s="178" t="s">
        <v>531</v>
      </c>
      <c r="C22" s="178"/>
    </row>
    <row r="23" spans="1:3">
      <c r="A23" t="s">
        <v>532</v>
      </c>
      <c r="B23" s="178"/>
      <c r="C23" s="178"/>
    </row>
    <row r="24" spans="1:3">
      <c r="A24" s="160" t="s">
        <v>289</v>
      </c>
      <c r="B24" s="178" t="s">
        <v>533</v>
      </c>
      <c r="C24" s="178" t="s">
        <v>534</v>
      </c>
    </row>
    <row r="25" spans="1:3">
      <c r="A25" s="160" t="s">
        <v>535</v>
      </c>
      <c r="B25" s="178" t="s">
        <v>536</v>
      </c>
      <c r="C25" s="178" t="s">
        <v>537</v>
      </c>
    </row>
    <row r="26" spans="1:3">
      <c r="A26" s="160" t="s">
        <v>538</v>
      </c>
      <c r="B26" s="178" t="s">
        <v>539</v>
      </c>
      <c r="C26" s="178" t="s">
        <v>540</v>
      </c>
    </row>
    <row r="27" spans="1:3">
      <c r="A27" s="151" t="s">
        <v>541</v>
      </c>
      <c r="B27" s="178" t="s">
        <v>542</v>
      </c>
      <c r="C27" s="178" t="s">
        <v>543</v>
      </c>
    </row>
    <row r="28" spans="1:3">
      <c r="A28" t="s">
        <v>544</v>
      </c>
      <c r="B28" s="178" t="s">
        <v>545</v>
      </c>
      <c r="C28" s="178"/>
    </row>
    <row r="29" spans="1:3">
      <c r="A29" t="s">
        <v>546</v>
      </c>
      <c r="B29" s="178"/>
      <c r="C29" s="178"/>
    </row>
    <row r="30" spans="1:3">
      <c r="A30" t="s">
        <v>547</v>
      </c>
      <c r="B30" s="178"/>
      <c r="C30" s="178"/>
    </row>
    <row r="31" spans="1:3">
      <c r="A31" t="s">
        <v>548</v>
      </c>
      <c r="B31" s="178"/>
      <c r="C31" s="178"/>
    </row>
    <row r="32" spans="1:3">
      <c r="A32" t="s">
        <v>549</v>
      </c>
      <c r="B32" s="178"/>
      <c r="C32" s="178"/>
    </row>
    <row r="33" spans="1:3">
      <c r="A33" s="160" t="s">
        <v>550</v>
      </c>
      <c r="B33" s="178">
        <v>45967</v>
      </c>
      <c r="C33" s="178" t="s">
        <v>551</v>
      </c>
    </row>
    <row r="34" spans="1:3">
      <c r="A34" t="s">
        <v>552</v>
      </c>
      <c r="B34" s="178"/>
      <c r="C34" s="178"/>
    </row>
    <row r="35" spans="1:3">
      <c r="A35" t="s">
        <v>553</v>
      </c>
      <c r="B35" s="178"/>
      <c r="C35" s="178"/>
    </row>
    <row r="36" spans="1:3">
      <c r="A36" t="s">
        <v>554</v>
      </c>
      <c r="B36" s="178"/>
      <c r="C36" s="178"/>
    </row>
    <row r="37" spans="1:3">
      <c r="A37" t="s">
        <v>555</v>
      </c>
      <c r="B37" s="178"/>
      <c r="C37" s="178"/>
    </row>
    <row r="38" spans="1:3">
      <c r="A38" t="s">
        <v>556</v>
      </c>
      <c r="B38" s="178"/>
      <c r="C38" s="178"/>
    </row>
    <row r="39" spans="1:3">
      <c r="A39" t="s">
        <v>557</v>
      </c>
      <c r="B39" s="178"/>
      <c r="C39" s="178"/>
    </row>
    <row r="40" spans="1:3">
      <c r="A40" t="s">
        <v>558</v>
      </c>
      <c r="B40" s="178"/>
      <c r="C40" s="178"/>
    </row>
    <row r="41" spans="1:3">
      <c r="A41" t="s">
        <v>559</v>
      </c>
      <c r="B41" s="178"/>
      <c r="C41" s="178"/>
    </row>
    <row r="42" spans="1:3">
      <c r="A42" t="s">
        <v>560</v>
      </c>
      <c r="B42" s="178"/>
      <c r="C42" s="178"/>
    </row>
    <row r="43" spans="1:3">
      <c r="A43" t="s">
        <v>561</v>
      </c>
      <c r="B43" s="178"/>
      <c r="C43" s="178"/>
    </row>
    <row r="44" spans="1:3">
      <c r="A44" t="s">
        <v>562</v>
      </c>
      <c r="B44" s="178"/>
      <c r="C44" s="178"/>
    </row>
    <row r="45" spans="1:3">
      <c r="A45" t="s">
        <v>563</v>
      </c>
      <c r="B45" s="178"/>
      <c r="C45" s="178"/>
    </row>
    <row r="46" spans="1:3">
      <c r="A46" s="151" t="s">
        <v>564</v>
      </c>
      <c r="B46" s="178" t="s">
        <v>565</v>
      </c>
      <c r="C46" s="178" t="s">
        <v>566</v>
      </c>
    </row>
    <row r="47" spans="1:3">
      <c r="A47" s="160" t="s">
        <v>567</v>
      </c>
      <c r="B47" s="178" t="s">
        <v>568</v>
      </c>
      <c r="C47" s="178" t="s">
        <v>569</v>
      </c>
    </row>
    <row r="48" spans="1:3">
      <c r="A48" s="151" t="s">
        <v>570</v>
      </c>
      <c r="B48" s="151" t="s">
        <v>571</v>
      </c>
      <c r="C48" s="178" t="s">
        <v>572</v>
      </c>
    </row>
    <row r="49" spans="1:3">
      <c r="A49" s="151" t="s">
        <v>573</v>
      </c>
      <c r="B49" s="151" t="s">
        <v>574</v>
      </c>
      <c r="C49" s="178" t="s">
        <v>575</v>
      </c>
    </row>
    <row r="50" spans="1:3">
      <c r="A50" t="s">
        <v>576</v>
      </c>
      <c r="B50" s="177"/>
      <c r="C50" s="177"/>
    </row>
    <row r="51" spans="1:3">
      <c r="A51" t="s">
        <v>577</v>
      </c>
      <c r="B51" s="177"/>
      <c r="C51" s="177"/>
    </row>
    <row r="52" spans="1:3">
      <c r="A52" t="s">
        <v>578</v>
      </c>
      <c r="B52" s="177"/>
      <c r="C52" s="177"/>
    </row>
    <row r="55" spans="1:3" s="295" customFormat="1"/>
    <row r="57" spans="1:3">
      <c r="A57" s="1" t="s">
        <v>1642</v>
      </c>
    </row>
    <row r="59" spans="1:3">
      <c r="A59" t="s">
        <v>1643</v>
      </c>
    </row>
    <row r="60" spans="1:3">
      <c r="A60" s="296" t="s">
        <v>1644</v>
      </c>
    </row>
    <row r="61" spans="1:3">
      <c r="A61" s="210" t="s">
        <v>1645</v>
      </c>
    </row>
    <row r="62" spans="1:3">
      <c r="A62" s="210" t="s">
        <v>1646</v>
      </c>
    </row>
    <row r="63" spans="1:3">
      <c r="A63" s="210" t="s">
        <v>1647</v>
      </c>
    </row>
    <row r="64" spans="1:3">
      <c r="A64" s="210" t="s">
        <v>1648</v>
      </c>
    </row>
    <row r="65" spans="1:1">
      <c r="A65" s="210" t="s">
        <v>1649</v>
      </c>
    </row>
    <row r="66" spans="1:1">
      <c r="A66" s="210" t="s">
        <v>1650</v>
      </c>
    </row>
    <row r="68" spans="1:1">
      <c r="A68" s="297" t="s">
        <v>1653</v>
      </c>
    </row>
    <row r="69" spans="1:1">
      <c r="A69" s="196" t="s">
        <v>1654</v>
      </c>
    </row>
    <row r="70" spans="1:1">
      <c r="A70" s="196" t="s">
        <v>1651</v>
      </c>
    </row>
    <row r="71" spans="1:1">
      <c r="A71" t="s">
        <v>1652</v>
      </c>
    </row>
    <row r="73" spans="1:1">
      <c r="A73" s="196" t="s">
        <v>1655</v>
      </c>
    </row>
    <row r="74" spans="1:1">
      <c r="A74" s="196" t="s">
        <v>1651</v>
      </c>
    </row>
    <row r="75" spans="1:1">
      <c r="A75" t="s">
        <v>1656</v>
      </c>
    </row>
    <row r="77" spans="1:1">
      <c r="A77" s="196" t="s">
        <v>1657</v>
      </c>
    </row>
    <row r="78" spans="1:1">
      <c r="A78" s="196" t="s">
        <v>1651</v>
      </c>
    </row>
    <row r="79" spans="1:1">
      <c r="A79" t="s">
        <v>1658</v>
      </c>
    </row>
  </sheetData>
  <mergeCells count="1">
    <mergeCell ref="A2:C2"/>
  </mergeCells>
  <hyperlinks>
    <hyperlink ref="E6" r:id="rId1" display="https://sigespana.sharepoint.com/:x:/s/msteams_6e3448_001962-CIERRES/IQBME6KdUeqJQqHFjlSg6QtyAUV3KvJ-uafBtIRwqVshPAw?e=1v6TEC" xr:uid="{6F8202E2-B955-4E40-AF0B-68BB43292C6A}"/>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9385B-D6B8-44DD-8107-31C828E75550}">
  <sheetPr codeName="Hoja15"/>
  <dimension ref="A1:AN2434"/>
  <sheetViews>
    <sheetView zoomScale="120" zoomScaleNormal="120" workbookViewId="0">
      <selection activeCell="F10" sqref="F10"/>
    </sheetView>
  </sheetViews>
  <sheetFormatPr baseColWidth="10" defaultColWidth="11.44140625" defaultRowHeight="14.25" customHeight="1"/>
  <cols>
    <col min="1" max="1" width="21.33203125" style="150" bestFit="1" customWidth="1"/>
    <col min="2" max="2" width="56.5546875" style="150" bestFit="1" customWidth="1"/>
    <col min="3" max="3" width="19.6640625" style="150" bestFit="1" customWidth="1"/>
    <col min="4" max="4" width="68.6640625" style="150" bestFit="1" customWidth="1"/>
    <col min="5" max="5" width="14.88671875" style="150" bestFit="1" customWidth="1"/>
    <col min="6" max="6" width="67.33203125" style="150" bestFit="1" customWidth="1"/>
    <col min="7" max="7" width="19.44140625" style="150" bestFit="1" customWidth="1"/>
    <col min="8" max="8" width="86.6640625" style="150" bestFit="1" customWidth="1"/>
    <col min="9" max="9" width="28.33203125" style="150" bestFit="1" customWidth="1"/>
    <col min="10" max="10" width="149.88671875" style="150" bestFit="1" customWidth="1"/>
    <col min="11" max="11" width="18.44140625" style="150" bestFit="1" customWidth="1"/>
    <col min="12" max="12" width="51.33203125" style="150" bestFit="1" customWidth="1"/>
    <col min="13" max="13" width="18.44140625" style="150" customWidth="1"/>
    <col min="14" max="14" width="39.33203125" style="150" bestFit="1" customWidth="1"/>
    <col min="15" max="15" width="27.44140625" style="150" bestFit="1" customWidth="1"/>
    <col min="16" max="16" width="86.6640625" style="150" bestFit="1" customWidth="1"/>
    <col min="17" max="18" width="20.5546875" style="150" bestFit="1" customWidth="1"/>
    <col min="19" max="19" width="27" style="150" bestFit="1" customWidth="1"/>
    <col min="20" max="20" width="21.6640625" style="150" bestFit="1" customWidth="1"/>
    <col min="21" max="21" width="51.33203125" style="150" customWidth="1"/>
    <col min="22" max="23" width="11.44140625" style="150"/>
    <col min="24" max="24" width="28" style="150" bestFit="1" customWidth="1"/>
    <col min="25" max="25" width="51.6640625" style="150" bestFit="1" customWidth="1"/>
    <col min="26" max="26" width="51.6640625" style="150" customWidth="1"/>
    <col min="27" max="27" width="50.88671875" style="150" customWidth="1"/>
    <col min="28" max="28" width="14.88671875" style="150" customWidth="1"/>
    <col min="29" max="29" width="21.5546875" style="150" bestFit="1" customWidth="1"/>
    <col min="30" max="30" width="6.33203125" style="150" bestFit="1" customWidth="1"/>
    <col min="31" max="31" width="17.33203125" style="150" bestFit="1" customWidth="1"/>
    <col min="32" max="32" width="11.44140625" style="150"/>
    <col min="33" max="33" width="27.5546875" style="150" customWidth="1"/>
    <col min="34" max="34" width="11.44140625" style="150"/>
    <col min="35" max="35" width="19.109375" style="150" bestFit="1" customWidth="1"/>
    <col min="36" max="36" width="14.88671875" style="150" bestFit="1" customWidth="1"/>
    <col min="37" max="37" width="11.44140625" style="150"/>
    <col min="38" max="38" width="23.109375" style="150" bestFit="1" customWidth="1"/>
    <col min="39" max="39" width="93.5546875" style="150" bestFit="1" customWidth="1"/>
    <col min="40" max="40" width="112.33203125" style="150" customWidth="1"/>
    <col min="41" max="16384" width="11.44140625" style="150"/>
  </cols>
  <sheetData>
    <row r="1" spans="1:40" ht="18">
      <c r="A1" s="305" t="s">
        <v>579</v>
      </c>
      <c r="B1" s="305"/>
      <c r="C1" s="305"/>
      <c r="D1" s="305"/>
      <c r="E1" s="305"/>
      <c r="F1" s="305"/>
      <c r="G1" s="305"/>
      <c r="H1" s="305"/>
      <c r="I1" s="305"/>
      <c r="J1" s="305"/>
      <c r="K1" s="305"/>
      <c r="L1" s="305"/>
      <c r="M1" s="305"/>
      <c r="N1" s="305"/>
      <c r="O1" s="305"/>
      <c r="P1" s="305"/>
      <c r="Q1" s="305"/>
      <c r="R1" s="305"/>
      <c r="S1" s="305"/>
      <c r="T1" s="305"/>
      <c r="U1" s="305"/>
      <c r="W1" s="181"/>
      <c r="X1" s="173" t="s">
        <v>322</v>
      </c>
      <c r="Y1" s="150" t="s">
        <v>350</v>
      </c>
    </row>
    <row r="2" spans="1:40" ht="28.8">
      <c r="A2" s="306" t="s">
        <v>580</v>
      </c>
      <c r="B2" s="306"/>
      <c r="C2" s="306"/>
      <c r="D2" s="306"/>
      <c r="E2" s="306"/>
      <c r="F2" s="306"/>
      <c r="G2" s="306"/>
      <c r="H2" s="306"/>
      <c r="I2" s="306"/>
      <c r="J2" s="306"/>
      <c r="K2" s="306"/>
      <c r="L2" s="306"/>
      <c r="M2" s="306"/>
      <c r="N2" s="306"/>
      <c r="O2" s="306"/>
      <c r="P2" s="306"/>
      <c r="Q2" s="306"/>
      <c r="R2" s="306"/>
      <c r="S2" s="306"/>
      <c r="T2" s="306"/>
      <c r="U2" s="306"/>
      <c r="W2" s="182"/>
      <c r="X2" s="173" t="s">
        <v>325</v>
      </c>
      <c r="Y2" s="150" t="s">
        <v>353</v>
      </c>
      <c r="AC2" s="175"/>
      <c r="AF2"/>
      <c r="AN2" s="175" t="s">
        <v>581</v>
      </c>
    </row>
    <row r="3" spans="1:40" ht="14.25" customHeight="1">
      <c r="A3" s="152" t="s">
        <v>582</v>
      </c>
      <c r="B3" s="153" t="s">
        <v>324</v>
      </c>
      <c r="C3" s="154" t="s">
        <v>583</v>
      </c>
      <c r="D3" s="155" t="s">
        <v>324</v>
      </c>
      <c r="E3" s="156" t="s">
        <v>584</v>
      </c>
      <c r="F3" s="153" t="s">
        <v>324</v>
      </c>
      <c r="G3" s="154" t="s">
        <v>585</v>
      </c>
      <c r="H3" s="155" t="s">
        <v>324</v>
      </c>
      <c r="I3" s="156" t="s">
        <v>586</v>
      </c>
      <c r="J3" s="153" t="s">
        <v>324</v>
      </c>
      <c r="K3" s="154" t="s">
        <v>270</v>
      </c>
      <c r="L3" s="155" t="s">
        <v>324</v>
      </c>
      <c r="M3" s="156" t="s">
        <v>587</v>
      </c>
      <c r="N3" s="153" t="s">
        <v>324</v>
      </c>
      <c r="O3" s="157" t="s">
        <v>588</v>
      </c>
      <c r="P3" s="158" t="s">
        <v>324</v>
      </c>
      <c r="Q3" s="156" t="s">
        <v>589</v>
      </c>
      <c r="R3" s="153" t="s">
        <v>324</v>
      </c>
      <c r="S3" s="154" t="s">
        <v>590</v>
      </c>
      <c r="T3" s="154" t="s">
        <v>243</v>
      </c>
      <c r="U3" s="154" t="s">
        <v>324</v>
      </c>
      <c r="W3" s="183"/>
      <c r="X3" s="176" t="s">
        <v>591</v>
      </c>
      <c r="Y3" s="150" t="s">
        <v>592</v>
      </c>
      <c r="AC3" s="175"/>
      <c r="AN3" s="7" t="s">
        <v>593</v>
      </c>
    </row>
    <row r="4" spans="1:40" ht="14.25" customHeight="1">
      <c r="A4" s="160" t="s">
        <v>594</v>
      </c>
      <c r="B4" s="168" t="s">
        <v>595</v>
      </c>
      <c r="C4" s="169" t="s">
        <v>596</v>
      </c>
      <c r="D4" s="161" t="s">
        <v>597</v>
      </c>
      <c r="E4" s="151" t="s">
        <v>598</v>
      </c>
      <c r="F4" s="167" t="s">
        <v>599</v>
      </c>
      <c r="G4" s="169" t="s">
        <v>600</v>
      </c>
      <c r="H4" s="161" t="s">
        <v>601</v>
      </c>
      <c r="I4" s="169" t="s">
        <v>602</v>
      </c>
      <c r="J4" s="161" t="s">
        <v>603</v>
      </c>
      <c r="K4" s="169" t="s">
        <v>604</v>
      </c>
      <c r="L4" s="161" t="s">
        <v>605</v>
      </c>
      <c r="M4" s="169" t="s">
        <v>606</v>
      </c>
      <c r="N4" s="161" t="s">
        <v>607</v>
      </c>
      <c r="O4" s="169" t="s">
        <v>608</v>
      </c>
      <c r="P4" s="161" t="s">
        <v>609</v>
      </c>
      <c r="Q4" s="159" t="s">
        <v>608</v>
      </c>
      <c r="R4" s="161" t="s">
        <v>609</v>
      </c>
      <c r="S4" s="182" t="s">
        <v>610</v>
      </c>
      <c r="T4" s="148">
        <v>18</v>
      </c>
      <c r="U4" s="148" t="s">
        <v>611</v>
      </c>
    </row>
    <row r="5" spans="1:40" ht="14.25" customHeight="1">
      <c r="A5" s="165" t="s">
        <v>612</v>
      </c>
      <c r="B5" s="166"/>
      <c r="C5" s="150" t="s">
        <v>613</v>
      </c>
      <c r="D5" s="166"/>
      <c r="E5" s="150" t="s">
        <v>614</v>
      </c>
      <c r="F5" s="166"/>
      <c r="G5" s="150" t="s">
        <v>615</v>
      </c>
      <c r="H5" s="166"/>
      <c r="I5" s="151" t="s">
        <v>616</v>
      </c>
      <c r="J5" s="167" t="s">
        <v>617</v>
      </c>
      <c r="K5" s="150" t="s">
        <v>618</v>
      </c>
      <c r="L5" s="166"/>
      <c r="M5" s="150" t="s">
        <v>619</v>
      </c>
      <c r="N5" s="166"/>
      <c r="O5" s="169" t="s">
        <v>604</v>
      </c>
      <c r="P5" s="161" t="s">
        <v>605</v>
      </c>
      <c r="Q5" s="150" t="s">
        <v>602</v>
      </c>
      <c r="R5" s="166"/>
      <c r="S5" t="s">
        <v>620</v>
      </c>
      <c r="T5" t="s">
        <v>621</v>
      </c>
      <c r="U5"/>
    </row>
    <row r="6" spans="1:40" ht="14.25" customHeight="1">
      <c r="A6" s="165" t="s">
        <v>622</v>
      </c>
      <c r="B6" s="166"/>
      <c r="C6" s="150" t="s">
        <v>623</v>
      </c>
      <c r="D6" s="166"/>
      <c r="E6" s="151" t="s">
        <v>624</v>
      </c>
      <c r="F6" s="167" t="s">
        <v>625</v>
      </c>
      <c r="G6" s="150" t="s">
        <v>626</v>
      </c>
      <c r="H6" s="166"/>
      <c r="I6" s="151" t="s">
        <v>627</v>
      </c>
      <c r="J6" s="167" t="s">
        <v>628</v>
      </c>
      <c r="K6" s="150" t="s">
        <v>629</v>
      </c>
      <c r="L6" s="166"/>
      <c r="M6" s="151" t="s">
        <v>630</v>
      </c>
      <c r="N6" s="167" t="s">
        <v>631</v>
      </c>
      <c r="O6" s="150" t="s">
        <v>602</v>
      </c>
      <c r="P6" s="166"/>
      <c r="Q6" s="150" t="s">
        <v>632</v>
      </c>
      <c r="R6" s="166"/>
      <c r="S6" t="s">
        <v>633</v>
      </c>
      <c r="T6" t="s">
        <v>634</v>
      </c>
      <c r="U6"/>
      <c r="AA6" s="218" t="s">
        <v>635</v>
      </c>
    </row>
    <row r="7" spans="1:40" ht="14.25" customHeight="1">
      <c r="A7" s="165" t="s">
        <v>636</v>
      </c>
      <c r="B7" s="166"/>
      <c r="C7" s="170" t="s">
        <v>637</v>
      </c>
      <c r="D7" s="162" t="s">
        <v>638</v>
      </c>
      <c r="E7" s="150" t="s">
        <v>639</v>
      </c>
      <c r="F7" s="166"/>
      <c r="G7" s="151" t="s">
        <v>640</v>
      </c>
      <c r="H7" s="167" t="s">
        <v>641</v>
      </c>
      <c r="I7" s="151" t="s">
        <v>642</v>
      </c>
      <c r="J7" s="167" t="s">
        <v>643</v>
      </c>
      <c r="K7" s="150" t="s">
        <v>644</v>
      </c>
      <c r="L7" s="166"/>
      <c r="M7" s="151" t="s">
        <v>645</v>
      </c>
      <c r="N7" s="167" t="s">
        <v>646</v>
      </c>
      <c r="O7" s="151" t="s">
        <v>647</v>
      </c>
      <c r="P7" s="167" t="s">
        <v>648</v>
      </c>
      <c r="Q7" s="150" t="s">
        <v>604</v>
      </c>
      <c r="R7" s="166"/>
      <c r="S7" t="s">
        <v>649</v>
      </c>
      <c r="T7" t="b">
        <v>1</v>
      </c>
      <c r="U7"/>
      <c r="AA7" s="219" t="s">
        <v>650</v>
      </c>
    </row>
    <row r="8" spans="1:40" ht="14.25" customHeight="1">
      <c r="A8" s="165" t="s">
        <v>651</v>
      </c>
      <c r="B8" s="166"/>
      <c r="C8" s="150" t="s">
        <v>652</v>
      </c>
      <c r="D8" s="166"/>
      <c r="E8" s="169" t="s">
        <v>653</v>
      </c>
      <c r="F8" s="161" t="s">
        <v>654</v>
      </c>
      <c r="G8" s="169" t="s">
        <v>655</v>
      </c>
      <c r="H8" s="161" t="s">
        <v>656</v>
      </c>
      <c r="I8" s="150" t="s">
        <v>657</v>
      </c>
      <c r="J8" s="166"/>
      <c r="K8" s="150" t="s">
        <v>658</v>
      </c>
      <c r="L8" s="166"/>
      <c r="M8" s="151" t="s">
        <v>659</v>
      </c>
      <c r="N8" s="167" t="s">
        <v>660</v>
      </c>
      <c r="O8" s="150" t="s">
        <v>661</v>
      </c>
      <c r="P8" s="166"/>
      <c r="Q8" s="150" t="s">
        <v>662</v>
      </c>
      <c r="R8" s="166"/>
      <c r="S8" s="147" t="s">
        <v>663</v>
      </c>
      <c r="T8" s="147" t="b">
        <v>0</v>
      </c>
      <c r="U8" s="147" t="s">
        <v>664</v>
      </c>
    </row>
    <row r="9" spans="1:40" ht="14.25" customHeight="1">
      <c r="A9" s="165" t="s">
        <v>665</v>
      </c>
      <c r="B9" s="166"/>
      <c r="C9" s="150" t="s">
        <v>666</v>
      </c>
      <c r="F9" s="166"/>
      <c r="G9" s="151" t="s">
        <v>667</v>
      </c>
      <c r="H9" s="167" t="s">
        <v>668</v>
      </c>
      <c r="I9" s="150" t="s">
        <v>669</v>
      </c>
      <c r="J9" s="166"/>
      <c r="K9" s="169" t="s">
        <v>632</v>
      </c>
      <c r="L9" s="161" t="s">
        <v>670</v>
      </c>
      <c r="M9" s="151" t="s">
        <v>671</v>
      </c>
      <c r="N9" s="167" t="s">
        <v>672</v>
      </c>
      <c r="O9" s="159" t="s">
        <v>610</v>
      </c>
      <c r="P9" s="163" t="s">
        <v>673</v>
      </c>
      <c r="Q9" s="150" t="s">
        <v>674</v>
      </c>
      <c r="R9" s="166"/>
      <c r="S9" t="s">
        <v>675</v>
      </c>
      <c r="T9" t="b">
        <v>0</v>
      </c>
      <c r="U9"/>
    </row>
    <row r="10" spans="1:40" ht="14.25" customHeight="1">
      <c r="A10" s="171" t="s">
        <v>676</v>
      </c>
      <c r="B10" s="167" t="s">
        <v>677</v>
      </c>
      <c r="C10" s="169" t="s">
        <v>678</v>
      </c>
      <c r="D10" s="169" t="s">
        <v>679</v>
      </c>
      <c r="F10" s="166"/>
      <c r="G10" s="150" t="s">
        <v>680</v>
      </c>
      <c r="H10" s="166"/>
      <c r="I10" s="150" t="s">
        <v>647</v>
      </c>
      <c r="J10" s="166"/>
      <c r="K10" s="150" t="s">
        <v>681</v>
      </c>
      <c r="L10" s="166"/>
      <c r="M10" s="151" t="s">
        <v>682</v>
      </c>
      <c r="N10" s="167" t="s">
        <v>683</v>
      </c>
      <c r="O10" s="151" t="s">
        <v>620</v>
      </c>
      <c r="P10" s="167" t="s">
        <v>684</v>
      </c>
      <c r="Q10" s="150" t="s">
        <v>676</v>
      </c>
      <c r="R10" s="166"/>
      <c r="S10" t="s">
        <v>685</v>
      </c>
      <c r="T10"/>
      <c r="U10"/>
      <c r="AL10" s="203" t="s">
        <v>686</v>
      </c>
      <c r="AM10" s="204" t="s">
        <v>687</v>
      </c>
      <c r="AN10" s="204" t="s">
        <v>324</v>
      </c>
    </row>
    <row r="11" spans="1:40" ht="14.25" customHeight="1">
      <c r="A11" s="165" t="s">
        <v>667</v>
      </c>
      <c r="F11" s="166"/>
      <c r="G11" s="150" t="s">
        <v>688</v>
      </c>
      <c r="H11" s="166"/>
      <c r="I11" s="150" t="s">
        <v>661</v>
      </c>
      <c r="J11" s="166"/>
      <c r="K11" s="151" t="s">
        <v>689</v>
      </c>
      <c r="L11" s="167" t="s">
        <v>690</v>
      </c>
      <c r="M11" s="151" t="s">
        <v>691</v>
      </c>
      <c r="N11" s="167" t="s">
        <v>692</v>
      </c>
      <c r="O11" s="169" t="s">
        <v>594</v>
      </c>
      <c r="P11" s="161" t="s">
        <v>693</v>
      </c>
      <c r="Q11" s="150" t="s">
        <v>694</v>
      </c>
      <c r="R11" s="166"/>
      <c r="S11" t="s">
        <v>695</v>
      </c>
      <c r="T11">
        <v>30</v>
      </c>
      <c r="U11"/>
      <c r="AL11" s="152" t="s">
        <v>696</v>
      </c>
      <c r="AM11" s="213" t="s">
        <v>697</v>
      </c>
      <c r="AN11" s="184" t="s">
        <v>698</v>
      </c>
    </row>
    <row r="12" spans="1:40" ht="14.25" customHeight="1">
      <c r="A12" s="165" t="s">
        <v>699</v>
      </c>
      <c r="F12" s="166"/>
      <c r="G12" s="150" t="s">
        <v>700</v>
      </c>
      <c r="H12" s="166"/>
      <c r="I12" s="169" t="s">
        <v>600</v>
      </c>
      <c r="J12" s="161" t="s">
        <v>701</v>
      </c>
      <c r="K12" s="150" t="s">
        <v>702</v>
      </c>
      <c r="L12" s="166"/>
      <c r="M12" s="150" t="s">
        <v>703</v>
      </c>
      <c r="N12" s="166"/>
      <c r="O12" s="150" t="s">
        <v>676</v>
      </c>
      <c r="P12" s="166"/>
      <c r="Q12" s="150" t="s">
        <v>620</v>
      </c>
      <c r="R12" s="166"/>
      <c r="S12" t="s">
        <v>704</v>
      </c>
      <c r="T12">
        <v>1</v>
      </c>
      <c r="U12"/>
      <c r="AL12" s="214" t="s">
        <v>583</v>
      </c>
      <c r="AM12" s="213" t="s">
        <v>705</v>
      </c>
      <c r="AN12" s="212" t="s">
        <v>706</v>
      </c>
    </row>
    <row r="13" spans="1:40" ht="14.25" customHeight="1">
      <c r="A13" s="165" t="s">
        <v>707</v>
      </c>
      <c r="F13" s="166"/>
      <c r="G13" s="151" t="s">
        <v>699</v>
      </c>
      <c r="H13" s="167" t="s">
        <v>708</v>
      </c>
      <c r="I13" s="150" t="s">
        <v>640</v>
      </c>
      <c r="J13" s="166"/>
      <c r="K13" s="151" t="s">
        <v>682</v>
      </c>
      <c r="L13" s="167" t="s">
        <v>683</v>
      </c>
      <c r="M13" s="150" t="s">
        <v>709</v>
      </c>
      <c r="N13" s="166"/>
      <c r="O13" s="150" t="s">
        <v>596</v>
      </c>
      <c r="P13" s="166"/>
      <c r="Q13" s="150" t="s">
        <v>710</v>
      </c>
      <c r="R13" s="166"/>
      <c r="S13" t="s">
        <v>711</v>
      </c>
      <c r="T13" t="s">
        <v>712</v>
      </c>
      <c r="U13"/>
      <c r="AL13" s="152" t="s">
        <v>584</v>
      </c>
      <c r="AM13" s="213" t="s">
        <v>713</v>
      </c>
      <c r="AN13" s="184" t="s">
        <v>714</v>
      </c>
    </row>
    <row r="14" spans="1:40" ht="14.25" customHeight="1">
      <c r="A14" s="165" t="s">
        <v>715</v>
      </c>
      <c r="F14" s="166"/>
      <c r="G14" s="151" t="s">
        <v>707</v>
      </c>
      <c r="H14" s="167" t="s">
        <v>716</v>
      </c>
      <c r="I14" s="159" t="s">
        <v>655</v>
      </c>
      <c r="J14" s="161" t="s">
        <v>656</v>
      </c>
      <c r="K14" s="169" t="s">
        <v>678</v>
      </c>
      <c r="L14" s="161" t="s">
        <v>717</v>
      </c>
      <c r="M14" s="151" t="s">
        <v>718</v>
      </c>
      <c r="N14" s="167" t="s">
        <v>719</v>
      </c>
      <c r="O14" s="150" t="s">
        <v>718</v>
      </c>
      <c r="P14" s="166"/>
      <c r="Q14" s="150" t="s">
        <v>720</v>
      </c>
      <c r="R14" s="166"/>
      <c r="S14" s="202" t="s">
        <v>721</v>
      </c>
      <c r="T14" s="202" t="s">
        <v>722</v>
      </c>
      <c r="U14" s="202" t="s">
        <v>723</v>
      </c>
      <c r="AL14" s="214" t="s">
        <v>585</v>
      </c>
      <c r="AM14" s="213" t="s">
        <v>724</v>
      </c>
      <c r="AN14" s="184" t="s">
        <v>725</v>
      </c>
    </row>
    <row r="15" spans="1:40" ht="14.25" customHeight="1">
      <c r="A15" s="165" t="s">
        <v>726</v>
      </c>
      <c r="F15" s="166"/>
      <c r="G15" s="150" t="s">
        <v>715</v>
      </c>
      <c r="H15" s="166"/>
      <c r="I15" s="159" t="s">
        <v>610</v>
      </c>
      <c r="J15" s="163"/>
      <c r="K15" s="150" t="s">
        <v>653</v>
      </c>
      <c r="L15" s="166"/>
      <c r="M15" s="151" t="s">
        <v>727</v>
      </c>
      <c r="N15" s="167" t="s">
        <v>728</v>
      </c>
      <c r="O15" s="150" t="s">
        <v>727</v>
      </c>
      <c r="P15" s="166"/>
      <c r="Q15" s="150" t="s">
        <v>655</v>
      </c>
      <c r="R15" s="166"/>
      <c r="S15" s="202" t="s">
        <v>729</v>
      </c>
      <c r="T15" s="202" t="s">
        <v>730</v>
      </c>
      <c r="U15" s="202" t="s">
        <v>731</v>
      </c>
      <c r="AC15" s="169" t="s">
        <v>594</v>
      </c>
      <c r="AE15" s="154" t="s">
        <v>583</v>
      </c>
      <c r="AF15" s="228" t="s">
        <v>584</v>
      </c>
      <c r="AL15" s="152" t="s">
        <v>587</v>
      </c>
      <c r="AM15" s="213" t="s">
        <v>732</v>
      </c>
      <c r="AN15" s="184" t="s">
        <v>733</v>
      </c>
    </row>
    <row r="16" spans="1:40" ht="14.25" customHeight="1">
      <c r="A16" s="171" t="s">
        <v>653</v>
      </c>
      <c r="B16" s="151" t="s">
        <v>734</v>
      </c>
      <c r="F16" s="166"/>
      <c r="G16" s="150" t="s">
        <v>726</v>
      </c>
      <c r="H16" s="166"/>
      <c r="I16" s="150" t="s">
        <v>620</v>
      </c>
      <c r="J16" s="166"/>
      <c r="K16" s="151" t="s">
        <v>718</v>
      </c>
      <c r="L16" s="167" t="s">
        <v>735</v>
      </c>
      <c r="M16" s="150" t="s">
        <v>736</v>
      </c>
      <c r="N16" s="166"/>
      <c r="O16" s="169" t="s">
        <v>600</v>
      </c>
      <c r="P16" s="161" t="s">
        <v>701</v>
      </c>
      <c r="Q16" s="150" t="s">
        <v>640</v>
      </c>
      <c r="R16" s="166"/>
      <c r="S16" t="s">
        <v>737</v>
      </c>
      <c r="T16"/>
      <c r="U16"/>
      <c r="AC16" s="154" t="s">
        <v>696</v>
      </c>
      <c r="AL16" s="214" t="s">
        <v>270</v>
      </c>
      <c r="AM16" s="213" t="s">
        <v>738</v>
      </c>
      <c r="AN16" s="184" t="s">
        <v>739</v>
      </c>
    </row>
    <row r="17" spans="1:40" ht="14.25" customHeight="1">
      <c r="A17" s="150" t="s">
        <v>740</v>
      </c>
      <c r="F17" s="166"/>
      <c r="G17" s="150" t="s">
        <v>741</v>
      </c>
      <c r="H17" s="166"/>
      <c r="I17" s="150" t="s">
        <v>742</v>
      </c>
      <c r="J17" s="166"/>
      <c r="K17" s="151" t="s">
        <v>727</v>
      </c>
      <c r="L17" s="167" t="s">
        <v>743</v>
      </c>
      <c r="M17" s="150" t="s">
        <v>667</v>
      </c>
      <c r="N17" s="166"/>
      <c r="O17" s="150" t="s">
        <v>640</v>
      </c>
      <c r="P17" s="166"/>
      <c r="Q17" s="150" t="s">
        <v>744</v>
      </c>
      <c r="R17" s="166"/>
      <c r="S17" t="s">
        <v>745</v>
      </c>
      <c r="T17" t="b">
        <v>0</v>
      </c>
      <c r="U17"/>
      <c r="AL17" s="215" t="s">
        <v>588</v>
      </c>
      <c r="AM17" s="213" t="s">
        <v>746</v>
      </c>
      <c r="AN17" s="184" t="s">
        <v>747</v>
      </c>
    </row>
    <row r="18" spans="1:40" ht="14.25" customHeight="1">
      <c r="F18" s="166"/>
      <c r="G18" s="150" t="s">
        <v>748</v>
      </c>
      <c r="H18" s="166"/>
      <c r="I18" s="150" t="s">
        <v>749</v>
      </c>
      <c r="J18" s="166"/>
      <c r="K18" s="150" t="s">
        <v>750</v>
      </c>
      <c r="L18" s="166"/>
      <c r="M18" s="150" t="s">
        <v>699</v>
      </c>
      <c r="N18" s="166"/>
      <c r="O18" s="150" t="s">
        <v>682</v>
      </c>
      <c r="P18" s="166"/>
      <c r="Q18" s="150" t="s">
        <v>667</v>
      </c>
      <c r="R18" s="166"/>
      <c r="S18" t="s">
        <v>751</v>
      </c>
      <c r="T18"/>
      <c r="U18"/>
      <c r="AL18" s="152" t="s">
        <v>589</v>
      </c>
      <c r="AM18" s="213" t="s">
        <v>752</v>
      </c>
      <c r="AN18" s="184" t="s">
        <v>753</v>
      </c>
    </row>
    <row r="19" spans="1:40" ht="14.25" customHeight="1">
      <c r="F19" s="166"/>
      <c r="G19" s="150" t="s">
        <v>754</v>
      </c>
      <c r="H19" s="166"/>
      <c r="I19" s="169" t="s">
        <v>594</v>
      </c>
      <c r="J19" s="172" t="s">
        <v>595</v>
      </c>
      <c r="K19" s="150" t="s">
        <v>736</v>
      </c>
      <c r="L19" s="166"/>
      <c r="M19" s="150" t="s">
        <v>707</v>
      </c>
      <c r="N19" s="166"/>
      <c r="O19" s="151" t="s">
        <v>755</v>
      </c>
      <c r="P19" s="167" t="s">
        <v>756</v>
      </c>
      <c r="Q19" s="150" t="s">
        <v>680</v>
      </c>
      <c r="R19" s="166"/>
      <c r="S19" t="s">
        <v>757</v>
      </c>
      <c r="T19" t="b">
        <v>0</v>
      </c>
      <c r="U19"/>
      <c r="AL19" s="214" t="s">
        <v>590</v>
      </c>
      <c r="AM19" s="213" t="s">
        <v>758</v>
      </c>
      <c r="AN19" s="184" t="s">
        <v>759</v>
      </c>
    </row>
    <row r="20" spans="1:40" ht="14.25" customHeight="1">
      <c r="F20" s="166"/>
      <c r="G20" s="150" t="s">
        <v>694</v>
      </c>
      <c r="H20" s="166"/>
      <c r="I20" s="150" t="s">
        <v>676</v>
      </c>
      <c r="J20" s="166"/>
      <c r="K20" s="150" t="s">
        <v>667</v>
      </c>
      <c r="L20" s="166"/>
      <c r="M20" s="150" t="s">
        <v>715</v>
      </c>
      <c r="N20" s="166"/>
      <c r="O20" s="151" t="s">
        <v>760</v>
      </c>
      <c r="P20" s="167" t="s">
        <v>761</v>
      </c>
      <c r="Q20" s="150" t="s">
        <v>688</v>
      </c>
      <c r="R20" s="166"/>
      <c r="S20" t="s">
        <v>762</v>
      </c>
      <c r="T20" t="b">
        <v>0</v>
      </c>
      <c r="U20"/>
      <c r="AC20" s="185" t="s">
        <v>594</v>
      </c>
    </row>
    <row r="21" spans="1:40" ht="14.25" customHeight="1">
      <c r="F21" s="166"/>
      <c r="G21" s="150" t="s">
        <v>720</v>
      </c>
      <c r="H21" s="166"/>
      <c r="I21" s="150" t="s">
        <v>694</v>
      </c>
      <c r="J21" s="166"/>
      <c r="K21" s="150" t="s">
        <v>680</v>
      </c>
      <c r="L21" s="166"/>
      <c r="M21" s="150" t="s">
        <v>726</v>
      </c>
      <c r="N21" s="166"/>
      <c r="O21" s="150" t="s">
        <v>763</v>
      </c>
      <c r="P21" s="166"/>
      <c r="Q21" s="150" t="s">
        <v>700</v>
      </c>
      <c r="R21" s="166"/>
      <c r="S21" t="s">
        <v>764</v>
      </c>
      <c r="T21"/>
      <c r="U21"/>
      <c r="AC21" s="157" t="s">
        <v>588</v>
      </c>
    </row>
    <row r="22" spans="1:40" ht="14.25" customHeight="1">
      <c r="F22" s="166"/>
      <c r="G22" s="150" t="s">
        <v>765</v>
      </c>
      <c r="H22" s="166"/>
      <c r="I22" s="150" t="s">
        <v>720</v>
      </c>
      <c r="J22" s="166"/>
      <c r="K22" s="150" t="s">
        <v>688</v>
      </c>
      <c r="L22" s="166"/>
      <c r="M22" s="169" t="s">
        <v>678</v>
      </c>
      <c r="N22" s="161" t="s">
        <v>766</v>
      </c>
      <c r="O22" s="169" t="s">
        <v>632</v>
      </c>
      <c r="P22" s="161" t="s">
        <v>670</v>
      </c>
      <c r="Q22" s="150" t="s">
        <v>699</v>
      </c>
      <c r="R22" s="166"/>
      <c r="S22" t="s">
        <v>767</v>
      </c>
      <c r="T22" t="b">
        <v>0</v>
      </c>
      <c r="U22"/>
      <c r="AB22" s="185" t="s">
        <v>600</v>
      </c>
      <c r="AC22" s="185" t="s">
        <v>604</v>
      </c>
      <c r="AD22" s="185" t="s">
        <v>608</v>
      </c>
    </row>
    <row r="23" spans="1:40" ht="14.25" customHeight="1">
      <c r="F23" s="166"/>
      <c r="G23" s="150" t="s">
        <v>768</v>
      </c>
      <c r="H23" s="166"/>
      <c r="I23" s="150" t="s">
        <v>667</v>
      </c>
      <c r="J23" s="166"/>
      <c r="K23" s="150" t="s">
        <v>700</v>
      </c>
      <c r="L23" s="166"/>
      <c r="M23" s="150" t="s">
        <v>653</v>
      </c>
      <c r="N23" s="166"/>
      <c r="O23" s="150" t="s">
        <v>694</v>
      </c>
      <c r="P23" s="166"/>
      <c r="Q23" s="150" t="s">
        <v>707</v>
      </c>
      <c r="R23" s="166"/>
      <c r="S23" t="s">
        <v>769</v>
      </c>
      <c r="T23" t="b">
        <v>0</v>
      </c>
      <c r="U23"/>
      <c r="AC23" s="185" t="s">
        <v>632</v>
      </c>
    </row>
    <row r="24" spans="1:40" ht="14.25" customHeight="1">
      <c r="F24" s="166"/>
      <c r="G24" s="150" t="s">
        <v>770</v>
      </c>
      <c r="H24" s="166"/>
      <c r="I24" s="150" t="s">
        <v>699</v>
      </c>
      <c r="J24" s="166"/>
      <c r="K24" s="150" t="s">
        <v>707</v>
      </c>
      <c r="L24" s="166"/>
      <c r="M24" s="150" t="s">
        <v>771</v>
      </c>
      <c r="N24" s="166"/>
      <c r="O24" s="150" t="s">
        <v>720</v>
      </c>
      <c r="P24" s="166"/>
      <c r="Q24" s="150" t="s">
        <v>715</v>
      </c>
      <c r="R24" s="166"/>
      <c r="S24" t="s">
        <v>772</v>
      </c>
      <c r="T24" t="s">
        <v>773</v>
      </c>
      <c r="U24"/>
    </row>
    <row r="25" spans="1:40" ht="14.25" customHeight="1">
      <c r="F25" s="166"/>
      <c r="G25" s="150" t="s">
        <v>774</v>
      </c>
      <c r="H25" s="166"/>
      <c r="I25" s="150" t="s">
        <v>707</v>
      </c>
      <c r="J25" s="166"/>
      <c r="K25" s="150" t="s">
        <v>715</v>
      </c>
      <c r="L25" s="166"/>
      <c r="M25" s="150" t="s">
        <v>775</v>
      </c>
      <c r="N25" s="166"/>
      <c r="O25" s="150" t="s">
        <v>667</v>
      </c>
      <c r="P25" s="166"/>
      <c r="Q25" s="150" t="s">
        <v>726</v>
      </c>
      <c r="R25" s="166"/>
      <c r="S25" t="s">
        <v>776</v>
      </c>
      <c r="T25" t="s">
        <v>777</v>
      </c>
      <c r="U25"/>
    </row>
    <row r="26" spans="1:40" ht="14.25" customHeight="1">
      <c r="F26" s="166"/>
      <c r="G26" s="150" t="s">
        <v>778</v>
      </c>
      <c r="H26" s="166"/>
      <c r="I26" s="150" t="s">
        <v>715</v>
      </c>
      <c r="J26" s="166"/>
      <c r="K26" s="150" t="s">
        <v>699</v>
      </c>
      <c r="N26" s="166"/>
      <c r="O26" s="150" t="s">
        <v>699</v>
      </c>
      <c r="P26" s="166"/>
      <c r="Q26" s="150" t="s">
        <v>755</v>
      </c>
      <c r="R26" s="166"/>
      <c r="S26" s="147" t="s">
        <v>596</v>
      </c>
      <c r="T26" s="147">
        <v>2</v>
      </c>
      <c r="U26" s="147" t="s">
        <v>779</v>
      </c>
      <c r="AA26" s="154" t="s">
        <v>585</v>
      </c>
      <c r="AE26" s="154" t="s">
        <v>589</v>
      </c>
    </row>
    <row r="27" spans="1:40" ht="14.25" customHeight="1">
      <c r="F27" s="166"/>
      <c r="G27" s="150" t="s">
        <v>780</v>
      </c>
      <c r="H27" s="166"/>
      <c r="I27" s="150" t="s">
        <v>726</v>
      </c>
      <c r="J27" s="166"/>
      <c r="K27" s="150" t="s">
        <v>726</v>
      </c>
      <c r="N27" s="166"/>
      <c r="O27" s="150" t="s">
        <v>707</v>
      </c>
      <c r="P27" s="166"/>
      <c r="Q27" s="150" t="s">
        <v>781</v>
      </c>
      <c r="R27" s="166"/>
      <c r="S27" t="s">
        <v>637</v>
      </c>
      <c r="T27" t="s">
        <v>782</v>
      </c>
      <c r="U27"/>
      <c r="AA27" s="169" t="s">
        <v>600</v>
      </c>
      <c r="AC27" s="154" t="s">
        <v>587</v>
      </c>
      <c r="AE27" s="159" t="s">
        <v>608</v>
      </c>
    </row>
    <row r="28" spans="1:40" ht="14.25" customHeight="1">
      <c r="F28" s="166"/>
      <c r="G28" s="169" t="s">
        <v>783</v>
      </c>
      <c r="H28" s="161" t="s">
        <v>784</v>
      </c>
      <c r="I28" s="150" t="s">
        <v>680</v>
      </c>
      <c r="J28" s="166"/>
      <c r="K28" s="150" t="s">
        <v>748</v>
      </c>
      <c r="N28" s="166"/>
      <c r="O28" s="150" t="s">
        <v>715</v>
      </c>
      <c r="P28" s="166"/>
      <c r="Q28" s="150" t="s">
        <v>785</v>
      </c>
      <c r="R28" s="166"/>
      <c r="S28" s="148" t="s">
        <v>594</v>
      </c>
      <c r="T28" s="148">
        <v>5</v>
      </c>
      <c r="U28" s="148" t="s">
        <v>786</v>
      </c>
      <c r="AA28" s="169" t="s">
        <v>655</v>
      </c>
      <c r="AC28" s="169" t="s">
        <v>606</v>
      </c>
      <c r="AE28" s="164" t="s">
        <v>787</v>
      </c>
    </row>
    <row r="29" spans="1:40" ht="14.25" customHeight="1">
      <c r="F29" s="166"/>
      <c r="G29" s="151" t="s">
        <v>788</v>
      </c>
      <c r="H29" s="167" t="s">
        <v>789</v>
      </c>
      <c r="I29" s="150" t="s">
        <v>688</v>
      </c>
      <c r="J29" s="166"/>
      <c r="K29" s="150" t="s">
        <v>790</v>
      </c>
      <c r="N29" s="166"/>
      <c r="O29" s="150" t="s">
        <v>726</v>
      </c>
      <c r="P29" s="166"/>
      <c r="Q29" s="150" t="s">
        <v>791</v>
      </c>
      <c r="R29" s="166"/>
      <c r="S29" t="s">
        <v>676</v>
      </c>
      <c r="T29" t="s">
        <v>777</v>
      </c>
      <c r="U29"/>
      <c r="AA29" s="151" t="s">
        <v>640</v>
      </c>
      <c r="AC29" s="169" t="s">
        <v>632</v>
      </c>
    </row>
    <row r="30" spans="1:40" ht="14.25" customHeight="1">
      <c r="F30" s="166"/>
      <c r="G30" s="150" t="s">
        <v>792</v>
      </c>
      <c r="H30" s="166"/>
      <c r="I30" s="150" t="s">
        <v>700</v>
      </c>
      <c r="J30" s="166"/>
      <c r="K30" s="150" t="s">
        <v>793</v>
      </c>
      <c r="N30" s="166"/>
      <c r="O30" s="150" t="s">
        <v>794</v>
      </c>
      <c r="P30" s="166"/>
      <c r="Q30" s="150" t="s">
        <v>795</v>
      </c>
      <c r="R30" s="166"/>
      <c r="S30"/>
      <c r="T30"/>
      <c r="U30"/>
      <c r="AA30" s="151" t="s">
        <v>667</v>
      </c>
    </row>
    <row r="31" spans="1:40" ht="14.25" customHeight="1">
      <c r="H31" s="166"/>
      <c r="I31" s="150" t="s">
        <v>796</v>
      </c>
      <c r="J31" s="166"/>
      <c r="K31" s="151" t="s">
        <v>797</v>
      </c>
      <c r="L31" s="151" t="s">
        <v>798</v>
      </c>
      <c r="N31" s="166"/>
      <c r="O31" s="150" t="s">
        <v>655</v>
      </c>
      <c r="P31" s="166"/>
      <c r="Q31" s="150" t="s">
        <v>760</v>
      </c>
      <c r="R31" s="166"/>
      <c r="S31"/>
      <c r="T31"/>
      <c r="U31"/>
      <c r="AA31" s="151" t="s">
        <v>699</v>
      </c>
    </row>
    <row r="32" spans="1:40" ht="14.25" customHeight="1">
      <c r="H32" s="166"/>
      <c r="I32" s="150" t="s">
        <v>799</v>
      </c>
      <c r="J32" s="166"/>
      <c r="K32" s="151" t="s">
        <v>671</v>
      </c>
      <c r="L32" s="151" t="s">
        <v>672</v>
      </c>
      <c r="N32" s="166"/>
      <c r="O32" s="150" t="s">
        <v>781</v>
      </c>
      <c r="P32" s="166"/>
      <c r="Q32" s="150" t="s">
        <v>800</v>
      </c>
      <c r="R32" s="166"/>
      <c r="S32"/>
      <c r="T32"/>
      <c r="U32"/>
      <c r="AA32" s="151" t="s">
        <v>707</v>
      </c>
    </row>
    <row r="33" spans="8:21" ht="14.25" customHeight="1">
      <c r="H33" s="166"/>
      <c r="I33" s="150" t="s">
        <v>801</v>
      </c>
      <c r="J33" s="166"/>
      <c r="K33" s="150" t="s">
        <v>802</v>
      </c>
      <c r="L33" s="150" t="s">
        <v>803</v>
      </c>
      <c r="N33" s="166"/>
      <c r="O33" s="150" t="s">
        <v>785</v>
      </c>
      <c r="P33" s="166"/>
      <c r="Q33" s="150" t="s">
        <v>804</v>
      </c>
      <c r="R33" s="166"/>
      <c r="S33"/>
      <c r="T33"/>
      <c r="U33"/>
    </row>
    <row r="34" spans="8:21" ht="14.25" customHeight="1">
      <c r="H34" s="166"/>
      <c r="I34" s="150" t="s">
        <v>805</v>
      </c>
      <c r="J34" s="166"/>
      <c r="K34" s="150" t="s">
        <v>806</v>
      </c>
      <c r="N34" s="166"/>
      <c r="O34" s="150" t="s">
        <v>807</v>
      </c>
      <c r="P34" s="166"/>
      <c r="Q34" s="150" t="s">
        <v>807</v>
      </c>
      <c r="R34" s="166"/>
      <c r="S34"/>
      <c r="T34"/>
      <c r="U34"/>
    </row>
    <row r="35" spans="8:21" ht="14.25" customHeight="1">
      <c r="H35" s="166"/>
      <c r="I35" s="150" t="s">
        <v>808</v>
      </c>
      <c r="J35" s="166"/>
      <c r="K35" s="151" t="s">
        <v>809</v>
      </c>
      <c r="L35" s="151" t="s">
        <v>631</v>
      </c>
      <c r="N35" s="166"/>
      <c r="O35" s="150" t="s">
        <v>810</v>
      </c>
      <c r="P35" s="166"/>
      <c r="Q35" s="150" t="s">
        <v>810</v>
      </c>
      <c r="R35" s="166"/>
      <c r="S35"/>
      <c r="T35"/>
      <c r="U35"/>
    </row>
    <row r="36" spans="8:21" ht="14.25" customHeight="1">
      <c r="H36" s="166"/>
      <c r="I36" s="150" t="s">
        <v>811</v>
      </c>
      <c r="J36" s="166"/>
      <c r="K36" s="151" t="s">
        <v>812</v>
      </c>
      <c r="L36" s="151" t="s">
        <v>646</v>
      </c>
      <c r="N36" s="166"/>
      <c r="O36" s="150" t="s">
        <v>813</v>
      </c>
      <c r="P36" s="166"/>
      <c r="Q36" s="150" t="s">
        <v>813</v>
      </c>
      <c r="R36" s="166"/>
      <c r="S36"/>
      <c r="T36"/>
      <c r="U36"/>
    </row>
    <row r="37" spans="8:21" ht="14.25" customHeight="1">
      <c r="H37" s="166"/>
      <c r="I37" s="150" t="s">
        <v>814</v>
      </c>
      <c r="J37" s="166"/>
      <c r="K37" s="151" t="s">
        <v>606</v>
      </c>
      <c r="L37" s="151" t="s">
        <v>815</v>
      </c>
      <c r="N37" s="166"/>
      <c r="O37" s="150" t="s">
        <v>791</v>
      </c>
      <c r="P37" s="166"/>
      <c r="Q37" s="150" t="s">
        <v>627</v>
      </c>
      <c r="R37" s="166"/>
      <c r="S37"/>
      <c r="T37"/>
      <c r="U37"/>
    </row>
    <row r="38" spans="8:21" ht="14.25" customHeight="1">
      <c r="H38" s="166"/>
      <c r="I38" s="150" t="s">
        <v>816</v>
      </c>
      <c r="J38" s="166"/>
      <c r="K38" s="150" t="s">
        <v>619</v>
      </c>
      <c r="N38" s="166"/>
      <c r="O38" s="150" t="s">
        <v>817</v>
      </c>
      <c r="P38" s="166"/>
      <c r="Q38" s="150" t="s">
        <v>642</v>
      </c>
      <c r="R38" s="166"/>
      <c r="S38"/>
      <c r="T38"/>
      <c r="U38"/>
    </row>
    <row r="39" spans="8:21" ht="14.25" customHeight="1">
      <c r="H39" s="166"/>
      <c r="I39" s="150" t="s">
        <v>818</v>
      </c>
      <c r="J39" s="166"/>
      <c r="K39" s="151" t="s">
        <v>691</v>
      </c>
      <c r="L39" s="151" t="s">
        <v>692</v>
      </c>
      <c r="N39" s="166"/>
      <c r="O39" s="151" t="s">
        <v>795</v>
      </c>
      <c r="P39" s="167" t="s">
        <v>819</v>
      </c>
      <c r="Q39" s="150" t="s">
        <v>794</v>
      </c>
      <c r="R39" s="166"/>
      <c r="S39"/>
      <c r="T39"/>
      <c r="U39"/>
    </row>
    <row r="40" spans="8:21" ht="14.25" customHeight="1">
      <c r="H40" s="166"/>
      <c r="I40" s="150" t="s">
        <v>820</v>
      </c>
      <c r="J40" s="166"/>
      <c r="K40" s="150" t="s">
        <v>703</v>
      </c>
      <c r="N40" s="166"/>
      <c r="O40" s="150" t="s">
        <v>800</v>
      </c>
      <c r="P40" s="166"/>
      <c r="Q40" s="150" t="s">
        <v>821</v>
      </c>
      <c r="R40" s="166"/>
      <c r="S40"/>
      <c r="T40"/>
      <c r="U40"/>
    </row>
    <row r="41" spans="8:21" ht="14.25" customHeight="1">
      <c r="H41" s="166"/>
      <c r="I41" s="150" t="s">
        <v>822</v>
      </c>
      <c r="J41" s="166"/>
      <c r="K41" s="150" t="s">
        <v>823</v>
      </c>
      <c r="N41" s="166"/>
      <c r="O41" s="150" t="s">
        <v>824</v>
      </c>
      <c r="P41" s="166"/>
      <c r="Q41" s="164" t="s">
        <v>787</v>
      </c>
      <c r="R41" s="201"/>
      <c r="S41"/>
      <c r="T41"/>
      <c r="U41"/>
    </row>
    <row r="42" spans="8:21" ht="14.25" customHeight="1">
      <c r="H42" s="166"/>
      <c r="I42" s="150" t="s">
        <v>825</v>
      </c>
      <c r="N42" s="166"/>
      <c r="O42" s="150" t="s">
        <v>826</v>
      </c>
      <c r="P42" s="166"/>
      <c r="Q42" s="164" t="s">
        <v>827</v>
      </c>
      <c r="R42" s="201"/>
      <c r="S42"/>
      <c r="T42"/>
      <c r="U42"/>
    </row>
    <row r="43" spans="8:21" ht="14.25" customHeight="1">
      <c r="H43" s="166"/>
      <c r="I43" s="150" t="s">
        <v>828</v>
      </c>
      <c r="N43" s="166"/>
      <c r="O43" s="150" t="s">
        <v>829</v>
      </c>
      <c r="P43" s="166"/>
      <c r="Q43" s="164" t="s">
        <v>830</v>
      </c>
      <c r="R43" s="201"/>
      <c r="S43"/>
      <c r="T43"/>
      <c r="U43"/>
    </row>
    <row r="44" spans="8:21" ht="14.25" customHeight="1">
      <c r="H44" s="166"/>
      <c r="I44" s="150" t="s">
        <v>831</v>
      </c>
      <c r="N44" s="166"/>
      <c r="O44" s="150" t="s">
        <v>832</v>
      </c>
      <c r="P44" s="166"/>
      <c r="Q44" s="164" t="s">
        <v>833</v>
      </c>
      <c r="R44" s="201"/>
      <c r="S44"/>
      <c r="T44"/>
      <c r="U44"/>
    </row>
    <row r="45" spans="8:21" ht="14.25" customHeight="1">
      <c r="H45" s="166"/>
      <c r="I45" s="150" t="s">
        <v>834</v>
      </c>
      <c r="N45" s="166"/>
      <c r="O45" s="150" t="s">
        <v>835</v>
      </c>
      <c r="S45"/>
      <c r="T45"/>
      <c r="U45"/>
    </row>
    <row r="46" spans="8:21" ht="14.25" customHeight="1">
      <c r="H46" s="166"/>
      <c r="I46" s="150" t="s">
        <v>836</v>
      </c>
      <c r="N46" s="166"/>
      <c r="O46" s="150" t="s">
        <v>804</v>
      </c>
      <c r="S46"/>
      <c r="T46"/>
      <c r="U46"/>
    </row>
    <row r="47" spans="8:21" ht="14.25" customHeight="1">
      <c r="H47" s="166"/>
      <c r="I47" s="150" t="s">
        <v>837</v>
      </c>
      <c r="N47" s="166"/>
      <c r="O47" s="150" t="s">
        <v>627</v>
      </c>
      <c r="S47"/>
      <c r="T47"/>
      <c r="U47"/>
    </row>
    <row r="48" spans="8:21" ht="14.25" customHeight="1">
      <c r="H48" s="166"/>
      <c r="I48" s="150" t="s">
        <v>838</v>
      </c>
      <c r="N48" s="166"/>
      <c r="O48" s="150" t="s">
        <v>642</v>
      </c>
      <c r="S48"/>
      <c r="T48"/>
      <c r="U48"/>
    </row>
    <row r="49" spans="8:21" ht="14.25" customHeight="1">
      <c r="H49" s="166"/>
      <c r="I49" s="150" t="s">
        <v>839</v>
      </c>
      <c r="N49" s="166"/>
      <c r="O49" s="151" t="s">
        <v>821</v>
      </c>
      <c r="P49" s="151" t="s">
        <v>840</v>
      </c>
      <c r="S49"/>
      <c r="T49"/>
      <c r="U49"/>
    </row>
    <row r="50" spans="8:21" ht="14.25" customHeight="1">
      <c r="H50" s="166"/>
      <c r="I50" s="150" t="s">
        <v>841</v>
      </c>
      <c r="S50"/>
      <c r="T50"/>
      <c r="U50"/>
    </row>
    <row r="51" spans="8:21" ht="14.25" customHeight="1">
      <c r="H51" s="166"/>
      <c r="I51" s="150" t="s">
        <v>842</v>
      </c>
      <c r="S51"/>
      <c r="T51"/>
      <c r="U51"/>
    </row>
    <row r="52" spans="8:21" ht="14.25" customHeight="1">
      <c r="S52"/>
      <c r="T52"/>
      <c r="U52"/>
    </row>
    <row r="53" spans="8:21" ht="14.25" customHeight="1">
      <c r="S53"/>
      <c r="T53"/>
      <c r="U53"/>
    </row>
    <row r="54" spans="8:21" ht="14.25" customHeight="1">
      <c r="S54"/>
      <c r="T54"/>
      <c r="U54"/>
    </row>
    <row r="55" spans="8:21" ht="14.25" customHeight="1">
      <c r="S55"/>
      <c r="T55"/>
      <c r="U55"/>
    </row>
    <row r="56" spans="8:21" ht="14.25" customHeight="1">
      <c r="S56"/>
      <c r="T56"/>
      <c r="U56"/>
    </row>
    <row r="57" spans="8:21" ht="14.25" customHeight="1">
      <c r="S57"/>
      <c r="T57"/>
      <c r="U57"/>
    </row>
    <row r="58" spans="8:21" ht="14.25" customHeight="1">
      <c r="S58"/>
      <c r="T58"/>
      <c r="U58"/>
    </row>
    <row r="59" spans="8:21" ht="14.25" customHeight="1">
      <c r="S59"/>
      <c r="T59"/>
      <c r="U59"/>
    </row>
    <row r="60" spans="8:21" ht="14.25" customHeight="1">
      <c r="S60"/>
      <c r="T60"/>
      <c r="U60"/>
    </row>
    <row r="61" spans="8:21" ht="14.25" customHeight="1">
      <c r="S61"/>
      <c r="T61"/>
      <c r="U61"/>
    </row>
    <row r="62" spans="8:21" ht="14.25" customHeight="1">
      <c r="S62"/>
      <c r="T62"/>
      <c r="U62"/>
    </row>
    <row r="63" spans="8:21" ht="14.25" customHeight="1">
      <c r="S63"/>
      <c r="T63"/>
      <c r="U63"/>
    </row>
    <row r="64" spans="8:21" ht="14.25" customHeight="1">
      <c r="S64"/>
      <c r="T64"/>
      <c r="U64"/>
    </row>
    <row r="65" spans="19:38" ht="14.25" customHeight="1">
      <c r="S65"/>
      <c r="T65"/>
      <c r="U65"/>
    </row>
    <row r="66" spans="19:38" ht="14.25" customHeight="1">
      <c r="S66"/>
      <c r="T66"/>
      <c r="U66"/>
    </row>
    <row r="67" spans="19:38" ht="14.25" customHeight="1">
      <c r="S67"/>
      <c r="T67"/>
      <c r="U67"/>
    </row>
    <row r="68" spans="19:38" ht="14.25" customHeight="1">
      <c r="S68"/>
      <c r="T68"/>
      <c r="U68"/>
      <c r="AL68" s="150" t="s">
        <v>843</v>
      </c>
    </row>
    <row r="69" spans="19:38" ht="14.25" customHeight="1">
      <c r="S69"/>
      <c r="T69"/>
      <c r="U69"/>
    </row>
    <row r="70" spans="19:38" ht="14.25" customHeight="1">
      <c r="S70"/>
      <c r="T70"/>
      <c r="U70"/>
    </row>
    <row r="71" spans="19:38" ht="14.25" customHeight="1">
      <c r="S71"/>
      <c r="T71"/>
      <c r="U71"/>
    </row>
    <row r="72" spans="19:38" ht="14.25" customHeight="1">
      <c r="S72"/>
      <c r="T72"/>
      <c r="U72"/>
    </row>
    <row r="73" spans="19:38" ht="14.25" customHeight="1">
      <c r="S73"/>
      <c r="T73"/>
      <c r="U73"/>
    </row>
    <row r="74" spans="19:38" ht="14.25" customHeight="1">
      <c r="S74"/>
      <c r="T74"/>
      <c r="U74"/>
    </row>
    <row r="75" spans="19:38" ht="14.25" customHeight="1">
      <c r="S75"/>
      <c r="T75"/>
      <c r="U75"/>
    </row>
    <row r="76" spans="19:38" ht="14.25" customHeight="1">
      <c r="S76"/>
      <c r="T76"/>
      <c r="U76"/>
    </row>
    <row r="77" spans="19:38" ht="14.25" customHeight="1">
      <c r="S77"/>
      <c r="T77"/>
      <c r="U77"/>
    </row>
    <row r="78" spans="19:38" ht="14.25" customHeight="1">
      <c r="S78"/>
      <c r="T78"/>
      <c r="U78"/>
    </row>
    <row r="79" spans="19:38" ht="14.25" customHeight="1">
      <c r="S79"/>
      <c r="T79"/>
      <c r="U79"/>
    </row>
    <row r="80" spans="19:38" ht="14.25" customHeight="1">
      <c r="S80"/>
      <c r="T80"/>
      <c r="U80"/>
    </row>
    <row r="81" spans="19:21" ht="14.25" customHeight="1">
      <c r="S81"/>
      <c r="T81"/>
      <c r="U81"/>
    </row>
    <row r="82" spans="19:21" ht="14.25" customHeight="1">
      <c r="S82"/>
      <c r="T82"/>
      <c r="U82"/>
    </row>
    <row r="83" spans="19:21" ht="14.25" customHeight="1">
      <c r="S83"/>
      <c r="T83"/>
      <c r="U83"/>
    </row>
    <row r="84" spans="19:21" ht="14.25" customHeight="1">
      <c r="S84"/>
      <c r="T84"/>
      <c r="U84"/>
    </row>
    <row r="85" spans="19:21" ht="14.25" customHeight="1">
      <c r="S85"/>
      <c r="T85"/>
      <c r="U85"/>
    </row>
    <row r="86" spans="19:21" ht="14.25" customHeight="1">
      <c r="S86"/>
      <c r="T86"/>
      <c r="U86"/>
    </row>
    <row r="87" spans="19:21" ht="14.25" customHeight="1">
      <c r="S87"/>
      <c r="T87"/>
      <c r="U87"/>
    </row>
    <row r="88" spans="19:21" ht="14.25" customHeight="1">
      <c r="S88"/>
      <c r="T88"/>
      <c r="U88"/>
    </row>
    <row r="89" spans="19:21" ht="14.25" customHeight="1">
      <c r="S89"/>
      <c r="T89"/>
      <c r="U89"/>
    </row>
    <row r="90" spans="19:21" ht="14.25" customHeight="1">
      <c r="S90"/>
      <c r="T90"/>
      <c r="U90"/>
    </row>
    <row r="91" spans="19:21" ht="14.25" customHeight="1">
      <c r="S91"/>
      <c r="T91"/>
      <c r="U91"/>
    </row>
    <row r="92" spans="19:21" ht="14.25" customHeight="1">
      <c r="S92"/>
      <c r="T92"/>
      <c r="U92"/>
    </row>
    <row r="93" spans="19:21" ht="14.25" customHeight="1">
      <c r="S93"/>
      <c r="T93"/>
      <c r="U93"/>
    </row>
    <row r="94" spans="19:21" ht="14.25" customHeight="1">
      <c r="S94"/>
      <c r="T94"/>
      <c r="U94"/>
    </row>
    <row r="95" spans="19:21" ht="14.25" customHeight="1">
      <c r="S95"/>
      <c r="T95"/>
      <c r="U95"/>
    </row>
    <row r="96" spans="19:21" ht="14.25" customHeight="1">
      <c r="S96"/>
      <c r="T96"/>
      <c r="U96"/>
    </row>
    <row r="97" spans="19:21" ht="14.25" customHeight="1">
      <c r="S97"/>
      <c r="T97"/>
      <c r="U97"/>
    </row>
    <row r="98" spans="19:21" ht="14.25" customHeight="1">
      <c r="S98"/>
      <c r="T98"/>
      <c r="U98"/>
    </row>
    <row r="99" spans="19:21" ht="14.25" customHeight="1">
      <c r="S99"/>
      <c r="T99"/>
      <c r="U99"/>
    </row>
    <row r="100" spans="19:21" ht="14.25" customHeight="1">
      <c r="S100"/>
      <c r="T100"/>
      <c r="U100"/>
    </row>
    <row r="101" spans="19:21" ht="14.25" customHeight="1">
      <c r="S101"/>
      <c r="T101"/>
      <c r="U101"/>
    </row>
    <row r="102" spans="19:21" ht="14.25" customHeight="1">
      <c r="S102"/>
      <c r="T102"/>
      <c r="U102"/>
    </row>
    <row r="103" spans="19:21" ht="14.25" customHeight="1">
      <c r="S103"/>
      <c r="T103"/>
      <c r="U103"/>
    </row>
    <row r="104" spans="19:21" ht="14.25" customHeight="1">
      <c r="S104"/>
      <c r="T104"/>
      <c r="U104"/>
    </row>
    <row r="105" spans="19:21" ht="14.25" customHeight="1">
      <c r="S105"/>
      <c r="T105"/>
      <c r="U105"/>
    </row>
    <row r="106" spans="19:21" ht="14.25" customHeight="1">
      <c r="S106"/>
      <c r="T106"/>
      <c r="U106"/>
    </row>
    <row r="107" spans="19:21" ht="14.25" customHeight="1">
      <c r="S107"/>
      <c r="T107"/>
      <c r="U107"/>
    </row>
    <row r="108" spans="19:21" ht="14.25" customHeight="1">
      <c r="S108"/>
      <c r="T108"/>
      <c r="U108"/>
    </row>
    <row r="109" spans="19:21" ht="14.25" customHeight="1">
      <c r="S109"/>
      <c r="T109"/>
      <c r="U109"/>
    </row>
    <row r="110" spans="19:21" ht="14.25" customHeight="1">
      <c r="S110"/>
      <c r="T110"/>
      <c r="U110"/>
    </row>
    <row r="111" spans="19:21" ht="14.25" customHeight="1">
      <c r="S111"/>
      <c r="T111"/>
      <c r="U111"/>
    </row>
    <row r="112" spans="19:21" ht="14.25" customHeight="1">
      <c r="S112"/>
      <c r="T112"/>
      <c r="U112"/>
    </row>
    <row r="113" spans="19:21" ht="14.25" customHeight="1">
      <c r="S113"/>
      <c r="T113"/>
      <c r="U113"/>
    </row>
    <row r="114" spans="19:21" ht="14.25" customHeight="1">
      <c r="S114"/>
      <c r="T114"/>
      <c r="U114"/>
    </row>
    <row r="115" spans="19:21" ht="14.25" customHeight="1">
      <c r="S115"/>
      <c r="T115"/>
      <c r="U115"/>
    </row>
    <row r="116" spans="19:21" ht="14.25" customHeight="1">
      <c r="S116"/>
      <c r="T116"/>
      <c r="U116"/>
    </row>
    <row r="117" spans="19:21" ht="14.25" customHeight="1">
      <c r="S117"/>
      <c r="T117"/>
      <c r="U117"/>
    </row>
    <row r="118" spans="19:21" ht="14.25" customHeight="1">
      <c r="S118"/>
      <c r="T118"/>
      <c r="U118"/>
    </row>
    <row r="119" spans="19:21" ht="14.25" customHeight="1">
      <c r="S119"/>
      <c r="T119"/>
      <c r="U119"/>
    </row>
    <row r="120" spans="19:21" ht="14.25" customHeight="1">
      <c r="S120"/>
      <c r="T120"/>
      <c r="U120"/>
    </row>
    <row r="121" spans="19:21" ht="14.25" customHeight="1">
      <c r="S121"/>
      <c r="T121"/>
      <c r="U121"/>
    </row>
    <row r="122" spans="19:21" ht="14.25" customHeight="1">
      <c r="S122"/>
      <c r="T122"/>
      <c r="U122"/>
    </row>
    <row r="123" spans="19:21" ht="14.25" customHeight="1">
      <c r="S123"/>
      <c r="T123"/>
      <c r="U123"/>
    </row>
    <row r="124" spans="19:21" ht="14.25" customHeight="1">
      <c r="S124"/>
      <c r="T124"/>
      <c r="U124"/>
    </row>
    <row r="125" spans="19:21" ht="14.25" customHeight="1">
      <c r="S125"/>
      <c r="T125"/>
      <c r="U125"/>
    </row>
    <row r="126" spans="19:21" ht="14.25" customHeight="1">
      <c r="S126"/>
      <c r="T126"/>
      <c r="U126"/>
    </row>
    <row r="127" spans="19:21" ht="14.25" customHeight="1">
      <c r="S127"/>
      <c r="T127"/>
      <c r="U127"/>
    </row>
    <row r="128" spans="19:21" ht="14.25" customHeight="1">
      <c r="S128"/>
      <c r="T128"/>
      <c r="U128"/>
    </row>
    <row r="129" spans="19:21" ht="14.25" customHeight="1">
      <c r="S129"/>
      <c r="T129"/>
      <c r="U129"/>
    </row>
    <row r="130" spans="19:21" ht="14.25" customHeight="1">
      <c r="S130"/>
      <c r="T130"/>
      <c r="U130"/>
    </row>
    <row r="131" spans="19:21" ht="14.25" customHeight="1">
      <c r="S131"/>
      <c r="T131"/>
      <c r="U131"/>
    </row>
    <row r="132" spans="19:21" ht="14.25" customHeight="1">
      <c r="S132"/>
      <c r="T132"/>
      <c r="U132"/>
    </row>
    <row r="133" spans="19:21" ht="14.25" customHeight="1">
      <c r="S133"/>
      <c r="T133"/>
      <c r="U133"/>
    </row>
    <row r="134" spans="19:21" ht="14.25" customHeight="1">
      <c r="S134"/>
      <c r="T134"/>
      <c r="U134"/>
    </row>
    <row r="135" spans="19:21" ht="14.25" customHeight="1">
      <c r="S135"/>
      <c r="T135"/>
      <c r="U135"/>
    </row>
    <row r="136" spans="19:21" ht="14.25" customHeight="1">
      <c r="S136"/>
      <c r="T136"/>
      <c r="U136"/>
    </row>
    <row r="137" spans="19:21" ht="14.25" customHeight="1">
      <c r="S137"/>
      <c r="T137"/>
      <c r="U137"/>
    </row>
    <row r="138" spans="19:21" ht="14.25" customHeight="1">
      <c r="S138"/>
      <c r="T138"/>
      <c r="U138"/>
    </row>
    <row r="139" spans="19:21" ht="14.25" customHeight="1">
      <c r="S139"/>
      <c r="T139"/>
      <c r="U139"/>
    </row>
    <row r="140" spans="19:21" ht="14.25" customHeight="1">
      <c r="S140"/>
      <c r="T140"/>
      <c r="U140"/>
    </row>
    <row r="141" spans="19:21" ht="14.25" customHeight="1">
      <c r="S141"/>
      <c r="T141"/>
      <c r="U141"/>
    </row>
    <row r="142" spans="19:21" ht="14.25" customHeight="1">
      <c r="S142"/>
      <c r="T142"/>
      <c r="U142"/>
    </row>
    <row r="143" spans="19:21" ht="14.25" customHeight="1">
      <c r="S143"/>
      <c r="T143"/>
      <c r="U143"/>
    </row>
    <row r="144" spans="19:21" ht="14.25" customHeight="1">
      <c r="S144"/>
      <c r="T144"/>
      <c r="U144"/>
    </row>
    <row r="145" spans="19:21" ht="14.25" customHeight="1">
      <c r="S145"/>
      <c r="T145"/>
      <c r="U145"/>
    </row>
    <row r="146" spans="19:21" ht="14.25" customHeight="1">
      <c r="S146"/>
      <c r="T146"/>
      <c r="U146"/>
    </row>
    <row r="147" spans="19:21" ht="14.25" customHeight="1">
      <c r="S147"/>
      <c r="T147"/>
      <c r="U147"/>
    </row>
    <row r="148" spans="19:21" ht="14.25" customHeight="1">
      <c r="S148"/>
      <c r="T148"/>
      <c r="U148"/>
    </row>
    <row r="149" spans="19:21" ht="14.25" customHeight="1">
      <c r="S149"/>
      <c r="T149"/>
      <c r="U149"/>
    </row>
    <row r="150" spans="19:21" ht="14.25" customHeight="1">
      <c r="S150"/>
      <c r="T150"/>
      <c r="U150"/>
    </row>
    <row r="151" spans="19:21" ht="14.25" customHeight="1">
      <c r="S151"/>
      <c r="T151"/>
      <c r="U151"/>
    </row>
    <row r="152" spans="19:21" ht="14.25" customHeight="1">
      <c r="S152"/>
      <c r="T152"/>
      <c r="U152"/>
    </row>
    <row r="153" spans="19:21" ht="14.25" customHeight="1">
      <c r="S153"/>
      <c r="T153"/>
      <c r="U153"/>
    </row>
    <row r="154" spans="19:21" ht="14.25" customHeight="1">
      <c r="S154"/>
      <c r="T154"/>
      <c r="U154"/>
    </row>
    <row r="155" spans="19:21" ht="14.25" customHeight="1">
      <c r="S155"/>
      <c r="T155"/>
      <c r="U155"/>
    </row>
    <row r="156" spans="19:21" ht="14.25" customHeight="1">
      <c r="S156"/>
      <c r="T156"/>
      <c r="U156"/>
    </row>
    <row r="157" spans="19:21" ht="14.25" customHeight="1">
      <c r="S157"/>
      <c r="T157"/>
      <c r="U157"/>
    </row>
    <row r="158" spans="19:21" ht="14.25" customHeight="1">
      <c r="S158"/>
      <c r="T158"/>
      <c r="U158"/>
    </row>
    <row r="159" spans="19:21" ht="14.25" customHeight="1">
      <c r="S159"/>
      <c r="T159"/>
      <c r="U159"/>
    </row>
    <row r="160" spans="19:21" ht="14.25" customHeight="1">
      <c r="S160"/>
      <c r="T160"/>
      <c r="U160"/>
    </row>
    <row r="161" spans="19:21" ht="14.25" customHeight="1">
      <c r="S161"/>
      <c r="T161"/>
      <c r="U161"/>
    </row>
    <row r="162" spans="19:21" ht="14.25" customHeight="1">
      <c r="S162"/>
      <c r="T162"/>
      <c r="U162"/>
    </row>
    <row r="163" spans="19:21" ht="14.25" customHeight="1">
      <c r="S163"/>
      <c r="T163"/>
      <c r="U163"/>
    </row>
    <row r="164" spans="19:21" ht="14.25" customHeight="1">
      <c r="S164"/>
      <c r="T164"/>
      <c r="U164"/>
    </row>
    <row r="165" spans="19:21" ht="14.25" customHeight="1">
      <c r="S165"/>
      <c r="T165"/>
      <c r="U165"/>
    </row>
    <row r="166" spans="19:21" ht="14.25" customHeight="1">
      <c r="S166"/>
      <c r="T166"/>
      <c r="U166"/>
    </row>
    <row r="167" spans="19:21" ht="14.25" customHeight="1">
      <c r="S167"/>
      <c r="T167"/>
      <c r="U167"/>
    </row>
    <row r="168" spans="19:21" ht="14.25" customHeight="1">
      <c r="S168"/>
      <c r="T168"/>
      <c r="U168"/>
    </row>
    <row r="169" spans="19:21" ht="14.25" customHeight="1">
      <c r="S169"/>
      <c r="T169"/>
      <c r="U169"/>
    </row>
    <row r="170" spans="19:21" ht="14.25" customHeight="1">
      <c r="S170"/>
      <c r="T170"/>
      <c r="U170"/>
    </row>
    <row r="171" spans="19:21" ht="14.25" customHeight="1">
      <c r="S171"/>
      <c r="T171"/>
      <c r="U171"/>
    </row>
    <row r="172" spans="19:21" ht="14.25" customHeight="1">
      <c r="S172"/>
      <c r="T172"/>
      <c r="U172"/>
    </row>
    <row r="173" spans="19:21" ht="14.25" customHeight="1">
      <c r="S173"/>
      <c r="T173"/>
      <c r="U173"/>
    </row>
    <row r="174" spans="19:21" ht="14.25" customHeight="1">
      <c r="S174"/>
      <c r="T174"/>
      <c r="U174"/>
    </row>
    <row r="175" spans="19:21" ht="14.25" customHeight="1">
      <c r="S175"/>
      <c r="T175"/>
      <c r="U175"/>
    </row>
    <row r="176" spans="19:21" ht="14.25" customHeight="1">
      <c r="S176"/>
      <c r="T176"/>
      <c r="U176"/>
    </row>
    <row r="177" spans="19:21" ht="14.25" customHeight="1">
      <c r="S177"/>
      <c r="T177"/>
      <c r="U177"/>
    </row>
    <row r="178" spans="19:21" ht="14.25" customHeight="1">
      <c r="S178"/>
      <c r="T178"/>
      <c r="U178"/>
    </row>
    <row r="179" spans="19:21" ht="14.25" customHeight="1">
      <c r="S179"/>
      <c r="T179"/>
      <c r="U179"/>
    </row>
    <row r="180" spans="19:21" ht="14.25" customHeight="1">
      <c r="S180"/>
      <c r="T180"/>
      <c r="U180"/>
    </row>
    <row r="181" spans="19:21" ht="14.25" customHeight="1">
      <c r="S181"/>
      <c r="T181"/>
      <c r="U181"/>
    </row>
    <row r="182" spans="19:21" ht="14.25" customHeight="1">
      <c r="S182"/>
      <c r="T182"/>
      <c r="U182"/>
    </row>
    <row r="183" spans="19:21" ht="14.25" customHeight="1">
      <c r="S183"/>
      <c r="T183"/>
      <c r="U183"/>
    </row>
    <row r="184" spans="19:21" ht="14.25" customHeight="1">
      <c r="S184"/>
      <c r="T184"/>
      <c r="U184"/>
    </row>
    <row r="185" spans="19:21" ht="14.25" customHeight="1">
      <c r="S185"/>
      <c r="T185"/>
      <c r="U185"/>
    </row>
    <row r="186" spans="19:21" ht="14.25" customHeight="1">
      <c r="S186"/>
      <c r="T186"/>
      <c r="U186"/>
    </row>
    <row r="187" spans="19:21" ht="14.25" customHeight="1">
      <c r="S187"/>
      <c r="T187"/>
      <c r="U187"/>
    </row>
    <row r="188" spans="19:21" ht="14.25" customHeight="1">
      <c r="S188"/>
      <c r="T188"/>
      <c r="U188"/>
    </row>
    <row r="189" spans="19:21" ht="14.25" customHeight="1">
      <c r="S189"/>
      <c r="T189"/>
      <c r="U189"/>
    </row>
    <row r="190" spans="19:21" ht="14.25" customHeight="1">
      <c r="S190"/>
      <c r="T190"/>
      <c r="U190"/>
    </row>
    <row r="191" spans="19:21" ht="14.25" customHeight="1">
      <c r="S191"/>
      <c r="T191"/>
      <c r="U191"/>
    </row>
    <row r="192" spans="19:21" ht="14.25" customHeight="1">
      <c r="S192"/>
      <c r="T192"/>
      <c r="U192"/>
    </row>
    <row r="193" spans="19:21" ht="14.25" customHeight="1">
      <c r="S193"/>
      <c r="T193"/>
      <c r="U193"/>
    </row>
    <row r="194" spans="19:21" ht="14.25" customHeight="1">
      <c r="S194"/>
      <c r="T194"/>
      <c r="U194"/>
    </row>
    <row r="195" spans="19:21" ht="14.25" customHeight="1">
      <c r="S195"/>
      <c r="T195"/>
      <c r="U195"/>
    </row>
    <row r="196" spans="19:21" ht="14.25" customHeight="1">
      <c r="S196"/>
      <c r="T196"/>
      <c r="U196"/>
    </row>
    <row r="197" spans="19:21" ht="14.25" customHeight="1">
      <c r="S197"/>
      <c r="T197"/>
      <c r="U197"/>
    </row>
    <row r="198" spans="19:21" ht="14.25" customHeight="1">
      <c r="S198"/>
      <c r="T198"/>
      <c r="U198"/>
    </row>
    <row r="199" spans="19:21" ht="14.25" customHeight="1">
      <c r="S199"/>
      <c r="T199"/>
      <c r="U199"/>
    </row>
    <row r="200" spans="19:21" ht="14.25" customHeight="1">
      <c r="S200"/>
      <c r="T200"/>
      <c r="U200"/>
    </row>
    <row r="201" spans="19:21" ht="14.25" customHeight="1">
      <c r="S201"/>
      <c r="T201"/>
      <c r="U201"/>
    </row>
    <row r="202" spans="19:21" ht="14.25" customHeight="1">
      <c r="S202"/>
      <c r="T202"/>
      <c r="U202"/>
    </row>
    <row r="203" spans="19:21" ht="14.25" customHeight="1">
      <c r="S203"/>
      <c r="T203"/>
      <c r="U203"/>
    </row>
    <row r="204" spans="19:21" ht="14.25" customHeight="1">
      <c r="S204"/>
      <c r="T204"/>
      <c r="U204"/>
    </row>
    <row r="205" spans="19:21" ht="14.25" customHeight="1">
      <c r="S205"/>
      <c r="T205"/>
      <c r="U205"/>
    </row>
    <row r="206" spans="19:21" ht="14.25" customHeight="1">
      <c r="S206"/>
      <c r="T206"/>
      <c r="U206"/>
    </row>
    <row r="207" spans="19:21" ht="14.25" customHeight="1">
      <c r="S207"/>
      <c r="T207"/>
      <c r="U207"/>
    </row>
    <row r="208" spans="19:21" ht="14.25" customHeight="1">
      <c r="S208"/>
      <c r="T208"/>
      <c r="U208"/>
    </row>
    <row r="209" spans="19:21" ht="14.25" customHeight="1">
      <c r="S209"/>
      <c r="T209"/>
      <c r="U209"/>
    </row>
    <row r="210" spans="19:21" ht="14.25" customHeight="1">
      <c r="S210"/>
      <c r="T210"/>
      <c r="U210"/>
    </row>
    <row r="211" spans="19:21" ht="14.25" customHeight="1">
      <c r="S211"/>
      <c r="T211"/>
      <c r="U211"/>
    </row>
    <row r="212" spans="19:21" ht="14.25" customHeight="1">
      <c r="S212"/>
      <c r="T212"/>
      <c r="U212"/>
    </row>
    <row r="213" spans="19:21" ht="14.25" customHeight="1">
      <c r="S213"/>
      <c r="T213"/>
      <c r="U213"/>
    </row>
    <row r="214" spans="19:21" ht="14.25" customHeight="1">
      <c r="S214"/>
      <c r="T214"/>
      <c r="U214"/>
    </row>
    <row r="215" spans="19:21" ht="14.25" customHeight="1">
      <c r="S215"/>
      <c r="T215"/>
      <c r="U215"/>
    </row>
    <row r="216" spans="19:21" ht="14.25" customHeight="1">
      <c r="S216"/>
      <c r="T216"/>
      <c r="U216"/>
    </row>
    <row r="217" spans="19:21" ht="14.25" customHeight="1">
      <c r="S217"/>
      <c r="T217"/>
      <c r="U217"/>
    </row>
    <row r="218" spans="19:21" ht="14.25" customHeight="1">
      <c r="S218"/>
      <c r="T218"/>
      <c r="U218"/>
    </row>
    <row r="219" spans="19:21" ht="14.25" customHeight="1">
      <c r="S219"/>
      <c r="T219"/>
      <c r="U219"/>
    </row>
    <row r="220" spans="19:21" ht="14.25" customHeight="1">
      <c r="S220"/>
      <c r="T220"/>
      <c r="U220"/>
    </row>
    <row r="221" spans="19:21" ht="14.25" customHeight="1">
      <c r="S221"/>
      <c r="T221"/>
      <c r="U221"/>
    </row>
    <row r="222" spans="19:21" ht="14.25" customHeight="1">
      <c r="S222"/>
      <c r="T222"/>
      <c r="U222"/>
    </row>
    <row r="223" spans="19:21" ht="14.25" customHeight="1">
      <c r="S223"/>
      <c r="T223"/>
      <c r="U223"/>
    </row>
    <row r="224" spans="19:21" ht="14.25" customHeight="1">
      <c r="S224"/>
      <c r="T224"/>
      <c r="U224"/>
    </row>
    <row r="225" spans="19:21" ht="14.25" customHeight="1">
      <c r="S225"/>
      <c r="T225"/>
      <c r="U225"/>
    </row>
    <row r="226" spans="19:21" ht="14.25" customHeight="1">
      <c r="S226"/>
      <c r="T226"/>
      <c r="U226"/>
    </row>
    <row r="227" spans="19:21" ht="14.25" customHeight="1">
      <c r="S227"/>
      <c r="T227"/>
      <c r="U227"/>
    </row>
    <row r="228" spans="19:21" ht="14.25" customHeight="1">
      <c r="S228"/>
      <c r="T228"/>
      <c r="U228"/>
    </row>
    <row r="229" spans="19:21" ht="14.25" customHeight="1">
      <c r="S229"/>
      <c r="T229"/>
      <c r="U229"/>
    </row>
    <row r="230" spans="19:21" ht="14.25" customHeight="1">
      <c r="S230"/>
      <c r="T230"/>
      <c r="U230"/>
    </row>
    <row r="231" spans="19:21" ht="14.25" customHeight="1">
      <c r="S231"/>
      <c r="T231"/>
      <c r="U231"/>
    </row>
    <row r="232" spans="19:21" ht="14.25" customHeight="1">
      <c r="S232"/>
      <c r="T232"/>
      <c r="U232"/>
    </row>
    <row r="233" spans="19:21" ht="14.25" customHeight="1">
      <c r="S233"/>
      <c r="T233"/>
      <c r="U233"/>
    </row>
    <row r="234" spans="19:21" ht="14.25" customHeight="1">
      <c r="S234"/>
      <c r="T234"/>
      <c r="U234"/>
    </row>
    <row r="235" spans="19:21" ht="14.25" customHeight="1">
      <c r="S235"/>
      <c r="T235"/>
      <c r="U235"/>
    </row>
    <row r="236" spans="19:21" ht="14.25" customHeight="1">
      <c r="S236"/>
      <c r="T236"/>
      <c r="U236"/>
    </row>
    <row r="237" spans="19:21" ht="14.25" customHeight="1">
      <c r="S237"/>
      <c r="T237"/>
      <c r="U237"/>
    </row>
    <row r="238" spans="19:21" ht="14.25" customHeight="1">
      <c r="S238"/>
      <c r="T238"/>
      <c r="U238"/>
    </row>
    <row r="239" spans="19:21" ht="14.25" customHeight="1">
      <c r="S239"/>
      <c r="T239"/>
      <c r="U239"/>
    </row>
    <row r="240" spans="19:21" ht="14.25" customHeight="1">
      <c r="S240"/>
      <c r="T240"/>
      <c r="U240"/>
    </row>
    <row r="241" spans="19:21" ht="14.25" customHeight="1">
      <c r="S241"/>
      <c r="T241"/>
      <c r="U241"/>
    </row>
    <row r="242" spans="19:21" ht="14.25" customHeight="1">
      <c r="S242"/>
      <c r="T242"/>
      <c r="U242"/>
    </row>
    <row r="243" spans="19:21" ht="14.25" customHeight="1">
      <c r="S243"/>
      <c r="T243"/>
      <c r="U243"/>
    </row>
    <row r="244" spans="19:21" ht="14.25" customHeight="1">
      <c r="S244"/>
      <c r="T244"/>
      <c r="U244"/>
    </row>
    <row r="245" spans="19:21" ht="14.25" customHeight="1">
      <c r="S245"/>
      <c r="T245"/>
      <c r="U245"/>
    </row>
    <row r="246" spans="19:21" ht="14.25" customHeight="1">
      <c r="S246"/>
      <c r="T246"/>
      <c r="U246"/>
    </row>
    <row r="247" spans="19:21" ht="14.25" customHeight="1">
      <c r="S247"/>
      <c r="T247"/>
      <c r="U247"/>
    </row>
    <row r="248" spans="19:21" ht="14.25" customHeight="1">
      <c r="S248"/>
      <c r="T248"/>
      <c r="U248"/>
    </row>
    <row r="249" spans="19:21" ht="14.25" customHeight="1">
      <c r="S249"/>
      <c r="T249"/>
      <c r="U249"/>
    </row>
    <row r="250" spans="19:21" ht="14.25" customHeight="1">
      <c r="S250"/>
      <c r="T250"/>
      <c r="U250"/>
    </row>
    <row r="251" spans="19:21" ht="14.25" customHeight="1">
      <c r="S251"/>
      <c r="T251"/>
      <c r="U251"/>
    </row>
    <row r="252" spans="19:21" ht="14.25" customHeight="1">
      <c r="S252"/>
      <c r="T252"/>
      <c r="U252"/>
    </row>
    <row r="253" spans="19:21" ht="14.25" customHeight="1">
      <c r="S253"/>
      <c r="T253"/>
      <c r="U253"/>
    </row>
    <row r="254" spans="19:21" ht="14.25" customHeight="1">
      <c r="S254"/>
      <c r="T254"/>
      <c r="U254"/>
    </row>
    <row r="255" spans="19:21" ht="14.25" customHeight="1">
      <c r="S255"/>
      <c r="T255"/>
      <c r="U255"/>
    </row>
    <row r="256" spans="19:21" ht="14.25" customHeight="1">
      <c r="S256"/>
      <c r="T256"/>
      <c r="U256"/>
    </row>
    <row r="257" spans="19:21" ht="14.25" customHeight="1">
      <c r="S257"/>
      <c r="T257"/>
      <c r="U257"/>
    </row>
    <row r="258" spans="19:21" ht="14.25" customHeight="1">
      <c r="S258"/>
      <c r="T258"/>
      <c r="U258"/>
    </row>
    <row r="259" spans="19:21" ht="14.25" customHeight="1">
      <c r="S259"/>
      <c r="T259"/>
      <c r="U259"/>
    </row>
    <row r="260" spans="19:21" ht="14.25" customHeight="1">
      <c r="S260"/>
      <c r="T260"/>
      <c r="U260"/>
    </row>
    <row r="261" spans="19:21" ht="14.25" customHeight="1">
      <c r="S261"/>
      <c r="T261"/>
      <c r="U261"/>
    </row>
    <row r="262" spans="19:21" ht="14.25" customHeight="1">
      <c r="S262"/>
      <c r="T262"/>
      <c r="U262"/>
    </row>
    <row r="263" spans="19:21" ht="14.25" customHeight="1">
      <c r="S263"/>
      <c r="T263"/>
      <c r="U263"/>
    </row>
    <row r="264" spans="19:21" ht="14.25" customHeight="1">
      <c r="S264"/>
      <c r="T264"/>
      <c r="U264"/>
    </row>
    <row r="265" spans="19:21" ht="14.25" customHeight="1">
      <c r="S265"/>
      <c r="T265"/>
      <c r="U265"/>
    </row>
    <row r="266" spans="19:21" ht="14.25" customHeight="1">
      <c r="S266"/>
      <c r="T266"/>
      <c r="U266"/>
    </row>
    <row r="267" spans="19:21" ht="14.25" customHeight="1">
      <c r="S267"/>
      <c r="T267"/>
      <c r="U267"/>
    </row>
    <row r="268" spans="19:21" ht="14.25" customHeight="1">
      <c r="S268"/>
      <c r="T268"/>
      <c r="U268"/>
    </row>
    <row r="269" spans="19:21" ht="14.25" customHeight="1">
      <c r="S269"/>
      <c r="T269"/>
      <c r="U269"/>
    </row>
    <row r="270" spans="19:21" ht="14.25" customHeight="1">
      <c r="S270"/>
      <c r="T270"/>
      <c r="U270"/>
    </row>
    <row r="271" spans="19:21" ht="14.25" customHeight="1">
      <c r="S271"/>
      <c r="T271"/>
      <c r="U271"/>
    </row>
    <row r="272" spans="19:21" ht="14.25" customHeight="1">
      <c r="S272"/>
      <c r="T272"/>
      <c r="U272"/>
    </row>
    <row r="273" spans="19:21" ht="14.25" customHeight="1">
      <c r="S273"/>
      <c r="T273"/>
      <c r="U273"/>
    </row>
    <row r="274" spans="19:21" ht="14.25" customHeight="1">
      <c r="S274"/>
      <c r="T274"/>
      <c r="U274"/>
    </row>
    <row r="275" spans="19:21" ht="14.25" customHeight="1">
      <c r="S275"/>
      <c r="T275"/>
      <c r="U275"/>
    </row>
    <row r="276" spans="19:21" ht="14.25" customHeight="1">
      <c r="S276"/>
      <c r="T276"/>
      <c r="U276"/>
    </row>
    <row r="277" spans="19:21" ht="14.25" customHeight="1">
      <c r="S277"/>
      <c r="T277"/>
      <c r="U277"/>
    </row>
    <row r="278" spans="19:21" ht="14.25" customHeight="1">
      <c r="S278"/>
      <c r="T278"/>
      <c r="U278"/>
    </row>
    <row r="279" spans="19:21" ht="14.25" customHeight="1">
      <c r="S279"/>
      <c r="T279"/>
      <c r="U279"/>
    </row>
    <row r="280" spans="19:21" ht="14.25" customHeight="1">
      <c r="S280"/>
      <c r="T280"/>
      <c r="U280"/>
    </row>
    <row r="281" spans="19:21" ht="14.25" customHeight="1">
      <c r="S281"/>
      <c r="T281"/>
      <c r="U281"/>
    </row>
    <row r="282" spans="19:21" ht="14.25" customHeight="1">
      <c r="S282"/>
      <c r="T282"/>
      <c r="U282"/>
    </row>
    <row r="283" spans="19:21" ht="14.25" customHeight="1">
      <c r="S283"/>
      <c r="T283"/>
      <c r="U283"/>
    </row>
    <row r="284" spans="19:21" ht="14.25" customHeight="1">
      <c r="S284"/>
      <c r="T284"/>
      <c r="U284"/>
    </row>
    <row r="285" spans="19:21" ht="14.25" customHeight="1">
      <c r="S285"/>
      <c r="T285"/>
      <c r="U285"/>
    </row>
    <row r="286" spans="19:21" ht="14.25" customHeight="1">
      <c r="S286"/>
      <c r="T286"/>
      <c r="U286"/>
    </row>
    <row r="287" spans="19:21" ht="14.25" customHeight="1">
      <c r="S287"/>
      <c r="T287"/>
      <c r="U287"/>
    </row>
    <row r="288" spans="19:21" ht="14.25" customHeight="1">
      <c r="S288"/>
      <c r="T288"/>
      <c r="U288"/>
    </row>
    <row r="289" spans="19:21" ht="14.25" customHeight="1">
      <c r="S289"/>
      <c r="T289"/>
      <c r="U289"/>
    </row>
    <row r="290" spans="19:21" ht="14.25" customHeight="1">
      <c r="S290"/>
      <c r="T290"/>
      <c r="U290"/>
    </row>
    <row r="291" spans="19:21" ht="14.25" customHeight="1">
      <c r="S291"/>
      <c r="T291"/>
      <c r="U291"/>
    </row>
    <row r="292" spans="19:21" ht="14.25" customHeight="1">
      <c r="S292"/>
      <c r="T292"/>
      <c r="U292"/>
    </row>
    <row r="293" spans="19:21" ht="14.25" customHeight="1">
      <c r="S293"/>
      <c r="T293"/>
      <c r="U293"/>
    </row>
    <row r="294" spans="19:21" ht="14.25" customHeight="1">
      <c r="S294"/>
      <c r="T294"/>
      <c r="U294"/>
    </row>
    <row r="295" spans="19:21" ht="14.25" customHeight="1">
      <c r="S295"/>
      <c r="T295"/>
      <c r="U295"/>
    </row>
    <row r="296" spans="19:21" ht="14.25" customHeight="1">
      <c r="S296"/>
      <c r="T296"/>
      <c r="U296"/>
    </row>
    <row r="297" spans="19:21" ht="14.25" customHeight="1">
      <c r="S297"/>
      <c r="T297"/>
      <c r="U297"/>
    </row>
    <row r="298" spans="19:21" ht="14.25" customHeight="1">
      <c r="S298"/>
      <c r="T298"/>
      <c r="U298"/>
    </row>
    <row r="299" spans="19:21" ht="14.25" customHeight="1">
      <c r="S299"/>
      <c r="T299"/>
      <c r="U299"/>
    </row>
    <row r="300" spans="19:21" ht="14.25" customHeight="1">
      <c r="S300"/>
      <c r="T300"/>
      <c r="U300"/>
    </row>
    <row r="301" spans="19:21" ht="14.25" customHeight="1">
      <c r="S301"/>
      <c r="T301"/>
      <c r="U301"/>
    </row>
    <row r="302" spans="19:21" ht="14.25" customHeight="1">
      <c r="S302"/>
      <c r="T302"/>
      <c r="U302"/>
    </row>
    <row r="303" spans="19:21" ht="14.25" customHeight="1">
      <c r="S303"/>
      <c r="T303"/>
      <c r="U303"/>
    </row>
    <row r="304" spans="19:21" ht="14.25" customHeight="1">
      <c r="S304"/>
      <c r="T304"/>
      <c r="U304"/>
    </row>
    <row r="305" spans="19:21" ht="14.25" customHeight="1">
      <c r="S305"/>
      <c r="T305"/>
      <c r="U305"/>
    </row>
    <row r="306" spans="19:21" ht="14.25" customHeight="1">
      <c r="S306"/>
      <c r="T306"/>
      <c r="U306"/>
    </row>
    <row r="307" spans="19:21" ht="14.25" customHeight="1">
      <c r="S307"/>
      <c r="T307"/>
      <c r="U307"/>
    </row>
    <row r="308" spans="19:21" ht="14.25" customHeight="1">
      <c r="S308"/>
      <c r="T308"/>
      <c r="U308"/>
    </row>
    <row r="309" spans="19:21" ht="14.25" customHeight="1">
      <c r="S309"/>
      <c r="T309"/>
      <c r="U309"/>
    </row>
    <row r="310" spans="19:21" ht="14.25" customHeight="1">
      <c r="S310"/>
      <c r="T310"/>
      <c r="U310"/>
    </row>
    <row r="311" spans="19:21" ht="14.25" customHeight="1">
      <c r="S311"/>
      <c r="T311"/>
      <c r="U311"/>
    </row>
    <row r="312" spans="19:21" ht="14.25" customHeight="1">
      <c r="S312"/>
      <c r="T312"/>
      <c r="U312"/>
    </row>
    <row r="313" spans="19:21" ht="14.25" customHeight="1">
      <c r="S313"/>
      <c r="T313"/>
      <c r="U313"/>
    </row>
    <row r="314" spans="19:21" ht="14.25" customHeight="1">
      <c r="S314"/>
      <c r="T314"/>
      <c r="U314"/>
    </row>
    <row r="315" spans="19:21" ht="14.25" customHeight="1">
      <c r="S315"/>
      <c r="T315"/>
      <c r="U315"/>
    </row>
    <row r="316" spans="19:21" ht="14.25" customHeight="1">
      <c r="S316"/>
      <c r="T316"/>
      <c r="U316"/>
    </row>
    <row r="317" spans="19:21" ht="14.25" customHeight="1">
      <c r="S317"/>
      <c r="T317"/>
      <c r="U317"/>
    </row>
    <row r="318" spans="19:21" ht="14.25" customHeight="1">
      <c r="S318"/>
      <c r="T318"/>
      <c r="U318"/>
    </row>
    <row r="319" spans="19:21" ht="14.25" customHeight="1">
      <c r="S319"/>
      <c r="T319"/>
      <c r="U319"/>
    </row>
    <row r="320" spans="19:21" ht="14.25" customHeight="1">
      <c r="S320"/>
      <c r="T320"/>
      <c r="U320"/>
    </row>
    <row r="321" spans="19:21" ht="14.25" customHeight="1">
      <c r="S321"/>
      <c r="T321"/>
      <c r="U321"/>
    </row>
    <row r="322" spans="19:21" ht="14.25" customHeight="1">
      <c r="S322"/>
      <c r="T322"/>
      <c r="U322"/>
    </row>
    <row r="323" spans="19:21" ht="14.25" customHeight="1">
      <c r="S323"/>
      <c r="T323"/>
      <c r="U323"/>
    </row>
    <row r="324" spans="19:21" ht="14.25" customHeight="1">
      <c r="S324"/>
      <c r="T324"/>
      <c r="U324"/>
    </row>
    <row r="325" spans="19:21" ht="14.25" customHeight="1">
      <c r="S325"/>
      <c r="T325"/>
      <c r="U325"/>
    </row>
    <row r="326" spans="19:21" ht="14.25" customHeight="1">
      <c r="S326"/>
      <c r="T326"/>
      <c r="U326"/>
    </row>
    <row r="327" spans="19:21" ht="14.25" customHeight="1">
      <c r="S327"/>
      <c r="T327"/>
      <c r="U327"/>
    </row>
    <row r="328" spans="19:21" ht="14.25" customHeight="1">
      <c r="S328"/>
      <c r="T328"/>
      <c r="U328"/>
    </row>
    <row r="329" spans="19:21" ht="14.25" customHeight="1">
      <c r="S329"/>
      <c r="T329"/>
      <c r="U329"/>
    </row>
    <row r="330" spans="19:21" ht="14.25" customHeight="1">
      <c r="S330"/>
      <c r="T330"/>
      <c r="U330"/>
    </row>
    <row r="331" spans="19:21" ht="14.25" customHeight="1">
      <c r="S331"/>
      <c r="T331"/>
      <c r="U331"/>
    </row>
    <row r="332" spans="19:21" ht="14.25" customHeight="1">
      <c r="S332"/>
      <c r="T332"/>
      <c r="U332"/>
    </row>
    <row r="333" spans="19:21" ht="14.25" customHeight="1">
      <c r="S333"/>
      <c r="T333"/>
      <c r="U333"/>
    </row>
    <row r="334" spans="19:21" ht="14.25" customHeight="1">
      <c r="S334"/>
      <c r="T334"/>
      <c r="U334"/>
    </row>
    <row r="335" spans="19:21" ht="14.25" customHeight="1">
      <c r="S335"/>
      <c r="T335"/>
      <c r="U335"/>
    </row>
    <row r="336" spans="19:21" ht="14.25" customHeight="1">
      <c r="S336"/>
      <c r="T336"/>
      <c r="U336"/>
    </row>
    <row r="337" spans="19:21" ht="14.25" customHeight="1">
      <c r="S337"/>
      <c r="T337"/>
      <c r="U337"/>
    </row>
    <row r="338" spans="19:21" ht="14.25" customHeight="1">
      <c r="S338"/>
      <c r="T338"/>
      <c r="U338"/>
    </row>
    <row r="339" spans="19:21" ht="14.25" customHeight="1">
      <c r="S339"/>
      <c r="T339"/>
      <c r="U339"/>
    </row>
    <row r="340" spans="19:21" ht="14.25" customHeight="1">
      <c r="S340"/>
      <c r="T340"/>
      <c r="U340"/>
    </row>
    <row r="341" spans="19:21" ht="14.25" customHeight="1">
      <c r="S341"/>
      <c r="T341"/>
      <c r="U341"/>
    </row>
    <row r="342" spans="19:21" ht="14.25" customHeight="1">
      <c r="S342"/>
      <c r="T342"/>
      <c r="U342"/>
    </row>
    <row r="343" spans="19:21" ht="14.25" customHeight="1">
      <c r="S343"/>
      <c r="T343"/>
      <c r="U343"/>
    </row>
    <row r="344" spans="19:21" ht="14.25" customHeight="1">
      <c r="S344"/>
      <c r="T344"/>
      <c r="U344"/>
    </row>
    <row r="345" spans="19:21" ht="14.25" customHeight="1">
      <c r="S345"/>
      <c r="T345"/>
      <c r="U345"/>
    </row>
    <row r="346" spans="19:21" ht="14.25" customHeight="1">
      <c r="S346"/>
      <c r="T346"/>
      <c r="U346"/>
    </row>
    <row r="347" spans="19:21" ht="14.25" customHeight="1">
      <c r="S347"/>
      <c r="T347"/>
      <c r="U347"/>
    </row>
    <row r="348" spans="19:21" ht="14.25" customHeight="1">
      <c r="S348"/>
      <c r="T348"/>
      <c r="U348"/>
    </row>
    <row r="349" spans="19:21" ht="14.25" customHeight="1">
      <c r="S349"/>
      <c r="T349"/>
      <c r="U349"/>
    </row>
    <row r="350" spans="19:21" ht="14.25" customHeight="1">
      <c r="S350"/>
      <c r="T350"/>
      <c r="U350"/>
    </row>
    <row r="351" spans="19:21" ht="14.25" customHeight="1">
      <c r="S351"/>
      <c r="T351"/>
      <c r="U351"/>
    </row>
    <row r="352" spans="19:21" ht="14.25" customHeight="1">
      <c r="S352"/>
      <c r="T352"/>
      <c r="U352"/>
    </row>
    <row r="353" spans="19:21" ht="14.25" customHeight="1">
      <c r="S353"/>
      <c r="T353"/>
      <c r="U353"/>
    </row>
    <row r="354" spans="19:21" ht="14.25" customHeight="1">
      <c r="S354"/>
      <c r="T354"/>
      <c r="U354"/>
    </row>
    <row r="355" spans="19:21" ht="14.25" customHeight="1">
      <c r="S355"/>
      <c r="T355"/>
      <c r="U355"/>
    </row>
    <row r="356" spans="19:21" ht="14.25" customHeight="1">
      <c r="S356"/>
      <c r="T356"/>
      <c r="U356"/>
    </row>
    <row r="357" spans="19:21" ht="14.25" customHeight="1">
      <c r="S357"/>
      <c r="T357"/>
      <c r="U357"/>
    </row>
    <row r="358" spans="19:21" ht="14.25" customHeight="1">
      <c r="S358"/>
      <c r="T358"/>
      <c r="U358"/>
    </row>
    <row r="359" spans="19:21" ht="14.25" customHeight="1">
      <c r="S359"/>
      <c r="T359"/>
      <c r="U359"/>
    </row>
    <row r="360" spans="19:21" ht="14.25" customHeight="1">
      <c r="S360"/>
      <c r="T360"/>
      <c r="U360"/>
    </row>
    <row r="361" spans="19:21" ht="14.25" customHeight="1">
      <c r="S361"/>
      <c r="T361"/>
      <c r="U361"/>
    </row>
    <row r="362" spans="19:21" ht="14.25" customHeight="1">
      <c r="S362"/>
      <c r="T362"/>
      <c r="U362"/>
    </row>
    <row r="363" spans="19:21" ht="14.25" customHeight="1">
      <c r="S363"/>
      <c r="T363"/>
      <c r="U363"/>
    </row>
    <row r="364" spans="19:21" ht="14.25" customHeight="1">
      <c r="S364"/>
      <c r="T364"/>
      <c r="U364"/>
    </row>
    <row r="365" spans="19:21" ht="14.25" customHeight="1">
      <c r="S365"/>
      <c r="T365"/>
      <c r="U365"/>
    </row>
    <row r="366" spans="19:21" ht="14.25" customHeight="1">
      <c r="S366"/>
      <c r="T366"/>
      <c r="U366"/>
    </row>
    <row r="367" spans="19:21" ht="14.25" customHeight="1">
      <c r="S367"/>
      <c r="T367"/>
      <c r="U367"/>
    </row>
    <row r="368" spans="19:21" ht="14.25" customHeight="1">
      <c r="S368"/>
      <c r="T368"/>
      <c r="U368"/>
    </row>
    <row r="369" spans="19:21" ht="14.25" customHeight="1">
      <c r="S369"/>
      <c r="T369"/>
      <c r="U369"/>
    </row>
    <row r="370" spans="19:21" ht="14.25" customHeight="1">
      <c r="S370"/>
      <c r="T370"/>
      <c r="U370"/>
    </row>
    <row r="371" spans="19:21" ht="14.25" customHeight="1">
      <c r="S371"/>
      <c r="T371"/>
      <c r="U371"/>
    </row>
    <row r="372" spans="19:21" ht="14.25" customHeight="1">
      <c r="S372"/>
      <c r="T372"/>
      <c r="U372"/>
    </row>
    <row r="373" spans="19:21" ht="14.25" customHeight="1">
      <c r="S373"/>
      <c r="T373"/>
      <c r="U373"/>
    </row>
    <row r="374" spans="19:21" ht="14.25" customHeight="1">
      <c r="S374"/>
      <c r="T374"/>
      <c r="U374"/>
    </row>
    <row r="375" spans="19:21" ht="14.25" customHeight="1">
      <c r="S375"/>
      <c r="T375"/>
      <c r="U375"/>
    </row>
    <row r="376" spans="19:21" ht="14.25" customHeight="1">
      <c r="S376"/>
      <c r="T376"/>
      <c r="U376"/>
    </row>
    <row r="377" spans="19:21" ht="14.25" customHeight="1">
      <c r="S377"/>
      <c r="T377"/>
      <c r="U377"/>
    </row>
    <row r="378" spans="19:21" ht="14.25" customHeight="1">
      <c r="S378"/>
      <c r="T378"/>
      <c r="U378"/>
    </row>
    <row r="379" spans="19:21" ht="14.25" customHeight="1">
      <c r="S379"/>
      <c r="T379"/>
      <c r="U379"/>
    </row>
    <row r="380" spans="19:21" ht="14.25" customHeight="1">
      <c r="S380"/>
      <c r="T380"/>
      <c r="U380"/>
    </row>
    <row r="381" spans="19:21" ht="14.25" customHeight="1">
      <c r="S381"/>
      <c r="T381"/>
      <c r="U381"/>
    </row>
    <row r="382" spans="19:21" ht="14.25" customHeight="1">
      <c r="S382"/>
      <c r="T382"/>
      <c r="U382"/>
    </row>
    <row r="383" spans="19:21" ht="14.25" customHeight="1">
      <c r="S383"/>
      <c r="T383"/>
      <c r="U383"/>
    </row>
    <row r="384" spans="19:21" ht="14.25" customHeight="1">
      <c r="S384"/>
      <c r="T384"/>
      <c r="U384"/>
    </row>
    <row r="385" spans="19:21" ht="14.25" customHeight="1">
      <c r="S385"/>
      <c r="T385"/>
      <c r="U385"/>
    </row>
    <row r="386" spans="19:21" ht="14.25" customHeight="1">
      <c r="S386"/>
      <c r="T386"/>
      <c r="U386"/>
    </row>
    <row r="387" spans="19:21" ht="14.25" customHeight="1">
      <c r="S387"/>
      <c r="T387"/>
      <c r="U387"/>
    </row>
    <row r="388" spans="19:21" ht="14.25" customHeight="1">
      <c r="S388"/>
      <c r="T388"/>
      <c r="U388"/>
    </row>
    <row r="389" spans="19:21" ht="14.25" customHeight="1">
      <c r="S389"/>
      <c r="T389"/>
      <c r="U389"/>
    </row>
    <row r="390" spans="19:21" ht="14.25" customHeight="1">
      <c r="S390"/>
      <c r="T390"/>
      <c r="U390"/>
    </row>
    <row r="391" spans="19:21" ht="14.25" customHeight="1">
      <c r="S391"/>
      <c r="T391"/>
      <c r="U391"/>
    </row>
    <row r="392" spans="19:21" ht="14.25" customHeight="1">
      <c r="S392"/>
      <c r="T392"/>
      <c r="U392"/>
    </row>
    <row r="393" spans="19:21" ht="14.25" customHeight="1">
      <c r="S393"/>
      <c r="T393"/>
      <c r="U393"/>
    </row>
    <row r="394" spans="19:21" ht="14.25" customHeight="1">
      <c r="S394"/>
      <c r="T394"/>
      <c r="U394"/>
    </row>
    <row r="395" spans="19:21" ht="14.25" customHeight="1">
      <c r="S395"/>
      <c r="T395"/>
      <c r="U395"/>
    </row>
    <row r="396" spans="19:21" ht="14.25" customHeight="1">
      <c r="S396"/>
      <c r="T396"/>
      <c r="U396"/>
    </row>
    <row r="397" spans="19:21" ht="14.25" customHeight="1">
      <c r="S397"/>
      <c r="T397"/>
      <c r="U397"/>
    </row>
    <row r="398" spans="19:21" ht="14.25" customHeight="1">
      <c r="S398"/>
      <c r="T398"/>
      <c r="U398"/>
    </row>
    <row r="399" spans="19:21" ht="14.25" customHeight="1">
      <c r="S399"/>
      <c r="T399"/>
      <c r="U399"/>
    </row>
    <row r="400" spans="19:21" ht="14.25" customHeight="1">
      <c r="S400"/>
      <c r="T400"/>
      <c r="U400"/>
    </row>
    <row r="401" spans="19:21" ht="14.25" customHeight="1">
      <c r="S401"/>
      <c r="T401"/>
      <c r="U401"/>
    </row>
    <row r="402" spans="19:21" ht="14.25" customHeight="1">
      <c r="S402"/>
      <c r="T402"/>
      <c r="U402"/>
    </row>
    <row r="403" spans="19:21" ht="14.25" customHeight="1">
      <c r="S403"/>
      <c r="T403"/>
      <c r="U403"/>
    </row>
    <row r="404" spans="19:21" ht="14.25" customHeight="1">
      <c r="S404"/>
      <c r="T404"/>
      <c r="U404"/>
    </row>
    <row r="405" spans="19:21" ht="14.25" customHeight="1">
      <c r="S405"/>
      <c r="T405"/>
      <c r="U405"/>
    </row>
    <row r="406" spans="19:21" ht="14.25" customHeight="1">
      <c r="S406"/>
      <c r="T406"/>
      <c r="U406"/>
    </row>
    <row r="407" spans="19:21" ht="14.25" customHeight="1">
      <c r="S407"/>
      <c r="T407"/>
      <c r="U407"/>
    </row>
    <row r="408" spans="19:21" ht="14.25" customHeight="1">
      <c r="S408"/>
      <c r="T408"/>
      <c r="U408"/>
    </row>
    <row r="409" spans="19:21" ht="14.25" customHeight="1">
      <c r="S409"/>
      <c r="T409"/>
      <c r="U409"/>
    </row>
    <row r="410" spans="19:21" ht="14.25" customHeight="1">
      <c r="S410"/>
      <c r="T410"/>
      <c r="U410"/>
    </row>
    <row r="411" spans="19:21" ht="14.25" customHeight="1">
      <c r="S411"/>
      <c r="T411"/>
      <c r="U411"/>
    </row>
    <row r="412" spans="19:21" ht="14.25" customHeight="1">
      <c r="S412"/>
      <c r="T412"/>
      <c r="U412"/>
    </row>
    <row r="413" spans="19:21" ht="14.25" customHeight="1">
      <c r="S413"/>
      <c r="T413"/>
      <c r="U413"/>
    </row>
    <row r="414" spans="19:21" ht="14.25" customHeight="1">
      <c r="S414"/>
      <c r="T414"/>
      <c r="U414"/>
    </row>
    <row r="415" spans="19:21" ht="14.25" customHeight="1">
      <c r="S415"/>
      <c r="T415"/>
      <c r="U415"/>
    </row>
    <row r="416" spans="19:21" ht="14.25" customHeight="1">
      <c r="S416"/>
      <c r="T416"/>
      <c r="U416"/>
    </row>
    <row r="417" spans="19:21" ht="14.25" customHeight="1">
      <c r="S417"/>
      <c r="T417"/>
      <c r="U417"/>
    </row>
    <row r="418" spans="19:21" ht="14.25" customHeight="1">
      <c r="S418"/>
      <c r="T418"/>
      <c r="U418"/>
    </row>
    <row r="419" spans="19:21" ht="14.25" customHeight="1">
      <c r="S419"/>
      <c r="T419"/>
      <c r="U419"/>
    </row>
    <row r="420" spans="19:21" ht="14.25" customHeight="1">
      <c r="S420"/>
      <c r="T420"/>
      <c r="U420"/>
    </row>
    <row r="421" spans="19:21" ht="14.25" customHeight="1">
      <c r="S421"/>
      <c r="T421"/>
      <c r="U421"/>
    </row>
    <row r="422" spans="19:21" ht="14.25" customHeight="1">
      <c r="S422"/>
      <c r="T422"/>
      <c r="U422"/>
    </row>
    <row r="423" spans="19:21" ht="14.25" customHeight="1">
      <c r="S423"/>
      <c r="T423"/>
      <c r="U423"/>
    </row>
    <row r="424" spans="19:21" ht="14.25" customHeight="1">
      <c r="S424"/>
      <c r="T424"/>
      <c r="U424"/>
    </row>
    <row r="425" spans="19:21" ht="14.25" customHeight="1">
      <c r="S425"/>
      <c r="T425"/>
      <c r="U425"/>
    </row>
    <row r="426" spans="19:21" ht="14.25" customHeight="1">
      <c r="S426"/>
      <c r="T426"/>
      <c r="U426"/>
    </row>
    <row r="427" spans="19:21" ht="14.25" customHeight="1">
      <c r="S427"/>
      <c r="T427"/>
      <c r="U427"/>
    </row>
    <row r="428" spans="19:21" ht="14.25" customHeight="1">
      <c r="S428"/>
      <c r="T428"/>
      <c r="U428"/>
    </row>
    <row r="429" spans="19:21" ht="14.25" customHeight="1">
      <c r="S429"/>
      <c r="T429"/>
      <c r="U429"/>
    </row>
    <row r="430" spans="19:21" ht="14.25" customHeight="1">
      <c r="S430"/>
      <c r="T430"/>
      <c r="U430"/>
    </row>
    <row r="431" spans="19:21" ht="14.25" customHeight="1">
      <c r="S431"/>
      <c r="T431"/>
      <c r="U431"/>
    </row>
    <row r="432" spans="19:21" ht="14.25" customHeight="1">
      <c r="S432"/>
      <c r="T432"/>
      <c r="U432"/>
    </row>
    <row r="433" spans="19:21" ht="14.25" customHeight="1">
      <c r="S433"/>
      <c r="T433"/>
      <c r="U433"/>
    </row>
    <row r="434" spans="19:21" ht="14.25" customHeight="1">
      <c r="S434"/>
      <c r="T434"/>
      <c r="U434"/>
    </row>
    <row r="435" spans="19:21" ht="14.25" customHeight="1">
      <c r="S435"/>
      <c r="T435"/>
      <c r="U435"/>
    </row>
    <row r="436" spans="19:21" ht="14.25" customHeight="1">
      <c r="S436"/>
      <c r="T436"/>
      <c r="U436"/>
    </row>
    <row r="437" spans="19:21" ht="14.25" customHeight="1">
      <c r="S437"/>
      <c r="T437"/>
      <c r="U437"/>
    </row>
    <row r="438" spans="19:21" ht="14.25" customHeight="1">
      <c r="S438"/>
      <c r="T438"/>
      <c r="U438"/>
    </row>
    <row r="439" spans="19:21" ht="14.25" customHeight="1">
      <c r="S439"/>
      <c r="T439"/>
      <c r="U439"/>
    </row>
    <row r="440" spans="19:21" ht="14.25" customHeight="1">
      <c r="S440"/>
      <c r="T440"/>
      <c r="U440"/>
    </row>
    <row r="441" spans="19:21" ht="14.25" customHeight="1">
      <c r="S441"/>
      <c r="T441"/>
      <c r="U441"/>
    </row>
    <row r="442" spans="19:21" ht="14.25" customHeight="1">
      <c r="S442"/>
      <c r="T442"/>
      <c r="U442"/>
    </row>
    <row r="443" spans="19:21" ht="14.25" customHeight="1">
      <c r="S443"/>
      <c r="T443"/>
      <c r="U443"/>
    </row>
    <row r="444" spans="19:21" ht="14.25" customHeight="1">
      <c r="S444"/>
      <c r="T444"/>
      <c r="U444"/>
    </row>
    <row r="445" spans="19:21" ht="14.25" customHeight="1">
      <c r="S445"/>
      <c r="T445"/>
      <c r="U445"/>
    </row>
    <row r="446" spans="19:21" ht="14.25" customHeight="1">
      <c r="S446"/>
      <c r="T446"/>
      <c r="U446"/>
    </row>
    <row r="447" spans="19:21" ht="14.25" customHeight="1">
      <c r="S447"/>
      <c r="T447"/>
      <c r="U447"/>
    </row>
    <row r="448" spans="19:21" ht="14.25" customHeight="1">
      <c r="S448"/>
      <c r="T448"/>
      <c r="U448"/>
    </row>
    <row r="449" spans="19:21" ht="14.25" customHeight="1">
      <c r="S449"/>
      <c r="T449"/>
      <c r="U449"/>
    </row>
    <row r="450" spans="19:21" ht="14.25" customHeight="1">
      <c r="S450"/>
      <c r="T450"/>
      <c r="U450"/>
    </row>
    <row r="451" spans="19:21" ht="14.25" customHeight="1">
      <c r="S451"/>
      <c r="T451"/>
      <c r="U451"/>
    </row>
    <row r="452" spans="19:21" ht="14.25" customHeight="1">
      <c r="S452"/>
      <c r="T452"/>
      <c r="U452"/>
    </row>
    <row r="453" spans="19:21" ht="14.25" customHeight="1">
      <c r="S453"/>
      <c r="T453"/>
      <c r="U453"/>
    </row>
    <row r="454" spans="19:21" ht="14.25" customHeight="1">
      <c r="S454"/>
      <c r="T454"/>
      <c r="U454"/>
    </row>
    <row r="455" spans="19:21" ht="14.25" customHeight="1">
      <c r="S455"/>
      <c r="T455"/>
      <c r="U455"/>
    </row>
    <row r="456" spans="19:21" ht="14.25" customHeight="1">
      <c r="S456"/>
      <c r="T456"/>
      <c r="U456"/>
    </row>
    <row r="457" spans="19:21" ht="14.25" customHeight="1">
      <c r="S457"/>
      <c r="T457"/>
      <c r="U457"/>
    </row>
    <row r="458" spans="19:21" ht="14.25" customHeight="1">
      <c r="S458"/>
      <c r="T458"/>
      <c r="U458"/>
    </row>
    <row r="459" spans="19:21" ht="14.25" customHeight="1">
      <c r="S459"/>
      <c r="T459"/>
      <c r="U459"/>
    </row>
    <row r="460" spans="19:21" ht="14.25" customHeight="1">
      <c r="S460"/>
      <c r="T460"/>
      <c r="U460"/>
    </row>
    <row r="461" spans="19:21" ht="14.25" customHeight="1">
      <c r="S461"/>
      <c r="T461"/>
      <c r="U461"/>
    </row>
    <row r="462" spans="19:21" ht="14.25" customHeight="1">
      <c r="S462"/>
      <c r="T462"/>
      <c r="U462"/>
    </row>
    <row r="463" spans="19:21" ht="14.25" customHeight="1">
      <c r="S463"/>
      <c r="T463"/>
      <c r="U463"/>
    </row>
    <row r="464" spans="19:21" ht="14.25" customHeight="1">
      <c r="S464"/>
      <c r="T464"/>
      <c r="U464"/>
    </row>
    <row r="465" spans="19:21" ht="14.25" customHeight="1">
      <c r="S465"/>
      <c r="T465"/>
      <c r="U465"/>
    </row>
    <row r="466" spans="19:21" ht="14.25" customHeight="1">
      <c r="S466"/>
      <c r="T466"/>
      <c r="U466"/>
    </row>
    <row r="467" spans="19:21" ht="14.25" customHeight="1">
      <c r="S467"/>
      <c r="T467"/>
      <c r="U467"/>
    </row>
    <row r="468" spans="19:21" ht="14.25" customHeight="1">
      <c r="S468"/>
      <c r="T468"/>
      <c r="U468"/>
    </row>
    <row r="469" spans="19:21" ht="14.25" customHeight="1">
      <c r="S469"/>
      <c r="T469"/>
      <c r="U469"/>
    </row>
    <row r="470" spans="19:21" ht="14.25" customHeight="1">
      <c r="S470"/>
      <c r="T470"/>
      <c r="U470"/>
    </row>
    <row r="471" spans="19:21" ht="14.25" customHeight="1">
      <c r="S471"/>
      <c r="T471"/>
      <c r="U471"/>
    </row>
    <row r="472" spans="19:21" ht="14.25" customHeight="1">
      <c r="S472"/>
      <c r="T472"/>
      <c r="U472"/>
    </row>
    <row r="473" spans="19:21" ht="14.25" customHeight="1">
      <c r="S473"/>
      <c r="T473"/>
      <c r="U473"/>
    </row>
    <row r="474" spans="19:21" ht="14.25" customHeight="1">
      <c r="S474"/>
      <c r="T474"/>
      <c r="U474"/>
    </row>
    <row r="475" spans="19:21" ht="14.25" customHeight="1">
      <c r="S475"/>
      <c r="T475"/>
      <c r="U475"/>
    </row>
    <row r="476" spans="19:21" ht="14.25" customHeight="1">
      <c r="S476"/>
      <c r="T476"/>
      <c r="U476"/>
    </row>
    <row r="477" spans="19:21" ht="14.25" customHeight="1">
      <c r="S477"/>
      <c r="T477"/>
      <c r="U477"/>
    </row>
    <row r="478" spans="19:21" ht="14.25" customHeight="1">
      <c r="S478"/>
      <c r="T478"/>
      <c r="U478"/>
    </row>
    <row r="479" spans="19:21" ht="14.25" customHeight="1">
      <c r="S479"/>
      <c r="T479"/>
      <c r="U479"/>
    </row>
    <row r="480" spans="19:21" ht="14.25" customHeight="1">
      <c r="S480"/>
      <c r="T480"/>
      <c r="U480"/>
    </row>
    <row r="481" spans="19:21" ht="14.25" customHeight="1">
      <c r="S481"/>
      <c r="T481"/>
      <c r="U481"/>
    </row>
    <row r="482" spans="19:21" ht="14.25" customHeight="1">
      <c r="S482"/>
      <c r="T482"/>
      <c r="U482"/>
    </row>
    <row r="483" spans="19:21" ht="14.25" customHeight="1">
      <c r="S483"/>
      <c r="T483"/>
      <c r="U483"/>
    </row>
    <row r="484" spans="19:21" ht="14.25" customHeight="1">
      <c r="S484"/>
      <c r="T484"/>
      <c r="U484"/>
    </row>
    <row r="485" spans="19:21" ht="14.25" customHeight="1">
      <c r="S485"/>
      <c r="T485"/>
      <c r="U485"/>
    </row>
    <row r="486" spans="19:21" ht="14.25" customHeight="1">
      <c r="S486"/>
      <c r="T486"/>
      <c r="U486"/>
    </row>
    <row r="487" spans="19:21" ht="14.25" customHeight="1">
      <c r="S487"/>
      <c r="T487"/>
      <c r="U487"/>
    </row>
    <row r="488" spans="19:21" ht="14.25" customHeight="1">
      <c r="S488"/>
      <c r="T488"/>
      <c r="U488"/>
    </row>
    <row r="489" spans="19:21" ht="14.25" customHeight="1">
      <c r="S489"/>
      <c r="T489"/>
      <c r="U489"/>
    </row>
    <row r="490" spans="19:21" ht="14.25" customHeight="1">
      <c r="S490"/>
      <c r="T490"/>
      <c r="U490"/>
    </row>
    <row r="491" spans="19:21" ht="14.25" customHeight="1">
      <c r="S491"/>
      <c r="T491"/>
      <c r="U491"/>
    </row>
    <row r="492" spans="19:21" ht="14.25" customHeight="1">
      <c r="S492"/>
      <c r="T492"/>
      <c r="U492"/>
    </row>
    <row r="493" spans="19:21" ht="14.25" customHeight="1">
      <c r="S493"/>
      <c r="T493"/>
      <c r="U493"/>
    </row>
    <row r="494" spans="19:21" ht="14.25" customHeight="1">
      <c r="S494"/>
      <c r="T494"/>
      <c r="U494"/>
    </row>
    <row r="495" spans="19:21" ht="14.25" customHeight="1">
      <c r="S495"/>
      <c r="T495"/>
      <c r="U495"/>
    </row>
    <row r="496" spans="19:21" ht="14.25" customHeight="1">
      <c r="S496"/>
      <c r="T496"/>
      <c r="U496"/>
    </row>
    <row r="497" spans="19:21" ht="14.25" customHeight="1">
      <c r="S497"/>
      <c r="T497"/>
      <c r="U497"/>
    </row>
    <row r="498" spans="19:21" ht="14.25" customHeight="1">
      <c r="S498"/>
      <c r="T498"/>
      <c r="U498"/>
    </row>
    <row r="499" spans="19:21" ht="14.25" customHeight="1">
      <c r="S499"/>
      <c r="T499"/>
      <c r="U499"/>
    </row>
    <row r="500" spans="19:21" ht="14.25" customHeight="1">
      <c r="S500"/>
      <c r="T500"/>
      <c r="U500"/>
    </row>
    <row r="501" spans="19:21" ht="14.25" customHeight="1">
      <c r="S501"/>
      <c r="T501"/>
      <c r="U501"/>
    </row>
    <row r="502" spans="19:21" ht="14.25" customHeight="1">
      <c r="S502"/>
      <c r="T502"/>
      <c r="U502"/>
    </row>
    <row r="503" spans="19:21" ht="14.25" customHeight="1">
      <c r="S503"/>
      <c r="T503"/>
      <c r="U503"/>
    </row>
    <row r="504" spans="19:21" ht="14.25" customHeight="1">
      <c r="S504"/>
      <c r="T504"/>
      <c r="U504"/>
    </row>
    <row r="505" spans="19:21" ht="14.25" customHeight="1">
      <c r="S505"/>
      <c r="T505"/>
      <c r="U505"/>
    </row>
    <row r="506" spans="19:21" ht="14.25" customHeight="1">
      <c r="S506"/>
      <c r="T506"/>
      <c r="U506"/>
    </row>
    <row r="507" spans="19:21" ht="14.25" customHeight="1">
      <c r="S507"/>
      <c r="T507"/>
      <c r="U507"/>
    </row>
    <row r="508" spans="19:21" ht="14.25" customHeight="1">
      <c r="S508"/>
      <c r="T508"/>
      <c r="U508"/>
    </row>
    <row r="509" spans="19:21" ht="14.25" customHeight="1">
      <c r="S509"/>
      <c r="T509"/>
      <c r="U509"/>
    </row>
    <row r="510" spans="19:21" ht="14.25" customHeight="1">
      <c r="S510"/>
      <c r="T510"/>
      <c r="U510"/>
    </row>
    <row r="511" spans="19:21" ht="14.25" customHeight="1">
      <c r="S511"/>
      <c r="T511"/>
      <c r="U511"/>
    </row>
    <row r="512" spans="19:21" ht="14.25" customHeight="1">
      <c r="S512"/>
      <c r="T512"/>
      <c r="U512"/>
    </row>
    <row r="513" spans="19:21" ht="14.25" customHeight="1">
      <c r="S513"/>
      <c r="T513"/>
      <c r="U513"/>
    </row>
    <row r="514" spans="19:21" ht="14.25" customHeight="1">
      <c r="S514"/>
      <c r="T514"/>
      <c r="U514"/>
    </row>
    <row r="515" spans="19:21" ht="14.25" customHeight="1">
      <c r="S515"/>
      <c r="T515"/>
      <c r="U515"/>
    </row>
    <row r="516" spans="19:21" ht="14.25" customHeight="1">
      <c r="S516"/>
      <c r="T516"/>
      <c r="U516"/>
    </row>
    <row r="517" spans="19:21" ht="14.25" customHeight="1">
      <c r="S517"/>
      <c r="T517"/>
      <c r="U517"/>
    </row>
    <row r="518" spans="19:21" ht="14.25" customHeight="1">
      <c r="S518"/>
      <c r="T518"/>
      <c r="U518"/>
    </row>
    <row r="519" spans="19:21" ht="14.25" customHeight="1">
      <c r="S519"/>
      <c r="T519"/>
      <c r="U519"/>
    </row>
    <row r="520" spans="19:21" ht="14.25" customHeight="1">
      <c r="S520"/>
      <c r="T520"/>
      <c r="U520"/>
    </row>
    <row r="521" spans="19:21" ht="14.25" customHeight="1">
      <c r="S521"/>
      <c r="T521"/>
      <c r="U521"/>
    </row>
    <row r="522" spans="19:21" ht="14.25" customHeight="1">
      <c r="S522"/>
      <c r="T522"/>
      <c r="U522"/>
    </row>
    <row r="523" spans="19:21" ht="14.25" customHeight="1">
      <c r="S523"/>
      <c r="T523"/>
      <c r="U523"/>
    </row>
    <row r="524" spans="19:21" ht="14.25" customHeight="1">
      <c r="S524"/>
      <c r="T524"/>
      <c r="U524"/>
    </row>
    <row r="525" spans="19:21" ht="14.25" customHeight="1">
      <c r="S525"/>
      <c r="T525"/>
      <c r="U525"/>
    </row>
    <row r="526" spans="19:21" ht="14.25" customHeight="1">
      <c r="S526"/>
      <c r="T526"/>
      <c r="U526"/>
    </row>
    <row r="527" spans="19:21" ht="14.25" customHeight="1">
      <c r="S527"/>
      <c r="T527"/>
      <c r="U527"/>
    </row>
    <row r="528" spans="19:21" ht="14.25" customHeight="1">
      <c r="S528"/>
      <c r="T528"/>
      <c r="U528"/>
    </row>
    <row r="529" spans="19:21" ht="14.25" customHeight="1">
      <c r="S529"/>
      <c r="T529"/>
      <c r="U529"/>
    </row>
    <row r="530" spans="19:21" ht="14.25" customHeight="1">
      <c r="S530"/>
      <c r="T530"/>
      <c r="U530"/>
    </row>
    <row r="531" spans="19:21" ht="14.25" customHeight="1">
      <c r="S531"/>
      <c r="T531"/>
      <c r="U531"/>
    </row>
    <row r="532" spans="19:21" ht="14.25" customHeight="1">
      <c r="S532"/>
      <c r="T532"/>
      <c r="U532"/>
    </row>
    <row r="533" spans="19:21" ht="14.25" customHeight="1">
      <c r="S533"/>
      <c r="T533"/>
      <c r="U533"/>
    </row>
    <row r="534" spans="19:21" ht="14.25" customHeight="1">
      <c r="S534"/>
      <c r="T534"/>
      <c r="U534"/>
    </row>
    <row r="535" spans="19:21" ht="14.25" customHeight="1">
      <c r="S535"/>
      <c r="T535"/>
      <c r="U535"/>
    </row>
    <row r="536" spans="19:21" ht="14.25" customHeight="1">
      <c r="S536"/>
      <c r="T536"/>
      <c r="U536"/>
    </row>
    <row r="537" spans="19:21" ht="14.25" customHeight="1">
      <c r="S537"/>
      <c r="T537"/>
      <c r="U537"/>
    </row>
    <row r="538" spans="19:21" ht="14.25" customHeight="1">
      <c r="S538"/>
      <c r="T538"/>
      <c r="U538"/>
    </row>
    <row r="539" spans="19:21" ht="14.25" customHeight="1">
      <c r="S539"/>
      <c r="T539"/>
      <c r="U539"/>
    </row>
    <row r="540" spans="19:21" ht="14.25" customHeight="1">
      <c r="S540"/>
      <c r="T540"/>
      <c r="U540"/>
    </row>
    <row r="541" spans="19:21" ht="14.25" customHeight="1">
      <c r="S541"/>
      <c r="T541"/>
      <c r="U541"/>
    </row>
    <row r="542" spans="19:21" ht="14.25" customHeight="1">
      <c r="S542"/>
      <c r="T542"/>
      <c r="U542"/>
    </row>
    <row r="543" spans="19:21" ht="14.25" customHeight="1">
      <c r="S543"/>
      <c r="T543"/>
      <c r="U543"/>
    </row>
    <row r="544" spans="19:21" ht="14.25" customHeight="1">
      <c r="S544"/>
      <c r="T544"/>
      <c r="U544"/>
    </row>
    <row r="545" spans="19:21" ht="14.25" customHeight="1">
      <c r="S545"/>
      <c r="T545"/>
      <c r="U545"/>
    </row>
    <row r="546" spans="19:21" ht="14.25" customHeight="1">
      <c r="S546"/>
      <c r="T546"/>
      <c r="U546"/>
    </row>
    <row r="547" spans="19:21" ht="14.25" customHeight="1">
      <c r="S547"/>
      <c r="T547"/>
      <c r="U547"/>
    </row>
    <row r="548" spans="19:21" ht="14.25" customHeight="1">
      <c r="S548"/>
      <c r="T548"/>
      <c r="U548"/>
    </row>
    <row r="549" spans="19:21" ht="14.25" customHeight="1">
      <c r="S549"/>
      <c r="T549"/>
      <c r="U549"/>
    </row>
    <row r="550" spans="19:21" ht="14.25" customHeight="1">
      <c r="S550"/>
      <c r="T550"/>
      <c r="U550"/>
    </row>
    <row r="551" spans="19:21" ht="14.25" customHeight="1">
      <c r="S551"/>
      <c r="T551"/>
      <c r="U551"/>
    </row>
    <row r="552" spans="19:21" ht="14.25" customHeight="1">
      <c r="S552"/>
      <c r="T552"/>
      <c r="U552"/>
    </row>
    <row r="553" spans="19:21" ht="14.25" customHeight="1">
      <c r="S553"/>
      <c r="T553"/>
      <c r="U553"/>
    </row>
    <row r="554" spans="19:21" ht="14.25" customHeight="1">
      <c r="S554"/>
      <c r="T554"/>
      <c r="U554"/>
    </row>
    <row r="555" spans="19:21" ht="14.25" customHeight="1">
      <c r="S555"/>
      <c r="T555"/>
      <c r="U555"/>
    </row>
    <row r="556" spans="19:21" ht="14.25" customHeight="1">
      <c r="S556"/>
      <c r="T556"/>
      <c r="U556"/>
    </row>
    <row r="557" spans="19:21" ht="14.25" customHeight="1">
      <c r="S557"/>
      <c r="T557"/>
      <c r="U557"/>
    </row>
    <row r="558" spans="19:21" ht="14.25" customHeight="1">
      <c r="S558"/>
      <c r="T558"/>
      <c r="U558"/>
    </row>
    <row r="559" spans="19:21" ht="14.25" customHeight="1">
      <c r="S559"/>
      <c r="T559"/>
      <c r="U559"/>
    </row>
    <row r="560" spans="19:21" ht="14.25" customHeight="1">
      <c r="S560"/>
      <c r="T560"/>
      <c r="U560"/>
    </row>
    <row r="561" spans="19:21" ht="14.25" customHeight="1">
      <c r="S561"/>
      <c r="T561"/>
      <c r="U561"/>
    </row>
    <row r="562" spans="19:21" ht="14.25" customHeight="1">
      <c r="S562"/>
      <c r="T562"/>
      <c r="U562"/>
    </row>
    <row r="563" spans="19:21" ht="14.25" customHeight="1">
      <c r="S563"/>
      <c r="T563"/>
      <c r="U563"/>
    </row>
    <row r="564" spans="19:21" ht="14.25" customHeight="1">
      <c r="S564"/>
      <c r="T564"/>
      <c r="U564"/>
    </row>
    <row r="565" spans="19:21" ht="14.25" customHeight="1">
      <c r="S565"/>
      <c r="T565"/>
      <c r="U565"/>
    </row>
    <row r="566" spans="19:21" ht="14.25" customHeight="1">
      <c r="S566"/>
      <c r="T566"/>
      <c r="U566"/>
    </row>
    <row r="567" spans="19:21" ht="14.25" customHeight="1">
      <c r="S567"/>
      <c r="T567"/>
      <c r="U567"/>
    </row>
    <row r="568" spans="19:21" ht="14.25" customHeight="1">
      <c r="S568"/>
      <c r="T568"/>
      <c r="U568"/>
    </row>
    <row r="569" spans="19:21" ht="14.25" customHeight="1">
      <c r="S569"/>
      <c r="T569"/>
      <c r="U569"/>
    </row>
    <row r="570" spans="19:21" ht="14.25" customHeight="1">
      <c r="S570"/>
      <c r="T570"/>
      <c r="U570"/>
    </row>
    <row r="571" spans="19:21" ht="14.25" customHeight="1">
      <c r="S571"/>
      <c r="T571"/>
      <c r="U571"/>
    </row>
    <row r="572" spans="19:21" ht="14.25" customHeight="1">
      <c r="S572"/>
      <c r="T572"/>
      <c r="U572"/>
    </row>
    <row r="573" spans="19:21" ht="14.25" customHeight="1">
      <c r="S573"/>
      <c r="T573"/>
      <c r="U573"/>
    </row>
    <row r="574" spans="19:21" ht="14.25" customHeight="1">
      <c r="S574"/>
      <c r="T574"/>
      <c r="U574"/>
    </row>
    <row r="575" spans="19:21" ht="14.25" customHeight="1">
      <c r="S575"/>
      <c r="T575"/>
      <c r="U575"/>
    </row>
    <row r="576" spans="19:21" ht="14.25" customHeight="1">
      <c r="S576"/>
      <c r="T576"/>
      <c r="U576"/>
    </row>
    <row r="577" spans="19:21" ht="14.25" customHeight="1">
      <c r="S577"/>
      <c r="T577"/>
      <c r="U577"/>
    </row>
    <row r="578" spans="19:21" ht="14.25" customHeight="1">
      <c r="S578"/>
      <c r="T578"/>
      <c r="U578"/>
    </row>
    <row r="579" spans="19:21" ht="14.25" customHeight="1">
      <c r="S579"/>
      <c r="T579"/>
      <c r="U579"/>
    </row>
    <row r="580" spans="19:21" ht="14.25" customHeight="1">
      <c r="S580"/>
      <c r="T580"/>
      <c r="U580"/>
    </row>
    <row r="581" spans="19:21" ht="14.25" customHeight="1">
      <c r="S581"/>
      <c r="T581"/>
      <c r="U581"/>
    </row>
    <row r="582" spans="19:21" ht="14.25" customHeight="1">
      <c r="S582"/>
      <c r="T582"/>
      <c r="U582"/>
    </row>
    <row r="583" spans="19:21" ht="14.25" customHeight="1">
      <c r="S583"/>
      <c r="T583"/>
      <c r="U583"/>
    </row>
    <row r="584" spans="19:21" ht="14.25" customHeight="1">
      <c r="S584"/>
      <c r="T584"/>
      <c r="U584"/>
    </row>
    <row r="585" spans="19:21" ht="14.25" customHeight="1">
      <c r="S585"/>
      <c r="T585"/>
      <c r="U585"/>
    </row>
    <row r="586" spans="19:21" ht="14.25" customHeight="1">
      <c r="S586"/>
      <c r="T586"/>
      <c r="U586"/>
    </row>
    <row r="587" spans="19:21" ht="14.25" customHeight="1">
      <c r="S587"/>
      <c r="T587"/>
      <c r="U587"/>
    </row>
    <row r="588" spans="19:21" ht="14.25" customHeight="1">
      <c r="S588"/>
      <c r="T588"/>
      <c r="U588"/>
    </row>
    <row r="589" spans="19:21" ht="14.25" customHeight="1">
      <c r="S589"/>
      <c r="T589"/>
      <c r="U589"/>
    </row>
    <row r="590" spans="19:21" ht="14.25" customHeight="1">
      <c r="S590"/>
      <c r="T590"/>
      <c r="U590"/>
    </row>
    <row r="591" spans="19:21" ht="14.25" customHeight="1">
      <c r="S591"/>
      <c r="T591"/>
      <c r="U591"/>
    </row>
    <row r="592" spans="19:21" ht="14.25" customHeight="1">
      <c r="S592"/>
      <c r="T592"/>
      <c r="U592"/>
    </row>
    <row r="593" spans="19:21" ht="14.25" customHeight="1">
      <c r="S593"/>
      <c r="T593"/>
      <c r="U593"/>
    </row>
    <row r="594" spans="19:21" ht="14.25" customHeight="1">
      <c r="S594"/>
      <c r="T594"/>
      <c r="U594"/>
    </row>
    <row r="595" spans="19:21" ht="14.25" customHeight="1">
      <c r="S595"/>
      <c r="T595"/>
      <c r="U595"/>
    </row>
    <row r="596" spans="19:21" ht="14.25" customHeight="1">
      <c r="S596"/>
      <c r="T596"/>
      <c r="U596"/>
    </row>
    <row r="597" spans="19:21" ht="14.25" customHeight="1">
      <c r="S597"/>
      <c r="T597"/>
      <c r="U597"/>
    </row>
    <row r="598" spans="19:21" ht="14.25" customHeight="1">
      <c r="S598"/>
      <c r="T598"/>
      <c r="U598"/>
    </row>
    <row r="599" spans="19:21" ht="14.25" customHeight="1">
      <c r="S599"/>
      <c r="T599"/>
      <c r="U599"/>
    </row>
    <row r="600" spans="19:21" ht="14.25" customHeight="1">
      <c r="S600"/>
      <c r="T600"/>
      <c r="U600"/>
    </row>
    <row r="601" spans="19:21" ht="14.25" customHeight="1">
      <c r="S601"/>
      <c r="T601"/>
      <c r="U601"/>
    </row>
    <row r="602" spans="19:21" ht="14.25" customHeight="1">
      <c r="S602"/>
      <c r="T602"/>
      <c r="U602"/>
    </row>
    <row r="603" spans="19:21" ht="14.25" customHeight="1">
      <c r="S603"/>
      <c r="T603"/>
      <c r="U603"/>
    </row>
    <row r="604" spans="19:21" ht="14.25" customHeight="1">
      <c r="S604"/>
      <c r="T604"/>
      <c r="U604"/>
    </row>
    <row r="605" spans="19:21" ht="14.25" customHeight="1">
      <c r="S605"/>
      <c r="T605"/>
      <c r="U605"/>
    </row>
    <row r="606" spans="19:21" ht="14.25" customHeight="1">
      <c r="S606"/>
      <c r="T606"/>
      <c r="U606"/>
    </row>
    <row r="607" spans="19:21" ht="14.25" customHeight="1">
      <c r="S607"/>
      <c r="T607"/>
      <c r="U607"/>
    </row>
    <row r="608" spans="19:21" ht="14.25" customHeight="1">
      <c r="S608"/>
      <c r="T608"/>
      <c r="U608"/>
    </row>
    <row r="609" spans="19:21" ht="14.25" customHeight="1">
      <c r="S609"/>
      <c r="T609"/>
      <c r="U609"/>
    </row>
    <row r="610" spans="19:21" ht="14.25" customHeight="1">
      <c r="S610"/>
      <c r="T610"/>
      <c r="U610"/>
    </row>
    <row r="611" spans="19:21" ht="14.25" customHeight="1">
      <c r="S611"/>
      <c r="T611"/>
      <c r="U611"/>
    </row>
    <row r="612" spans="19:21" ht="14.25" customHeight="1">
      <c r="S612"/>
      <c r="T612"/>
      <c r="U612"/>
    </row>
    <row r="613" spans="19:21" ht="14.25" customHeight="1">
      <c r="S613"/>
      <c r="T613"/>
      <c r="U613"/>
    </row>
    <row r="614" spans="19:21" ht="14.25" customHeight="1">
      <c r="S614"/>
      <c r="T614"/>
      <c r="U614"/>
    </row>
    <row r="615" spans="19:21" ht="14.25" customHeight="1">
      <c r="S615"/>
      <c r="T615"/>
      <c r="U615"/>
    </row>
    <row r="616" spans="19:21" ht="14.25" customHeight="1">
      <c r="S616"/>
      <c r="T616"/>
      <c r="U616"/>
    </row>
    <row r="617" spans="19:21" ht="14.25" customHeight="1">
      <c r="S617"/>
      <c r="T617"/>
      <c r="U617"/>
    </row>
    <row r="618" spans="19:21" ht="14.25" customHeight="1">
      <c r="S618"/>
      <c r="T618"/>
      <c r="U618"/>
    </row>
    <row r="619" spans="19:21" ht="14.25" customHeight="1">
      <c r="S619"/>
      <c r="T619"/>
      <c r="U619"/>
    </row>
    <row r="620" spans="19:21" ht="14.25" customHeight="1">
      <c r="S620"/>
      <c r="T620"/>
      <c r="U620"/>
    </row>
    <row r="621" spans="19:21" ht="14.25" customHeight="1">
      <c r="S621"/>
      <c r="T621"/>
      <c r="U621"/>
    </row>
    <row r="622" spans="19:21" ht="14.25" customHeight="1">
      <c r="S622"/>
      <c r="T622"/>
      <c r="U622"/>
    </row>
    <row r="623" spans="19:21" ht="14.25" customHeight="1">
      <c r="S623"/>
      <c r="T623"/>
      <c r="U623"/>
    </row>
    <row r="624" spans="19:21" ht="14.25" customHeight="1">
      <c r="S624"/>
      <c r="T624"/>
      <c r="U624"/>
    </row>
    <row r="625" spans="19:21" ht="14.25" customHeight="1">
      <c r="S625"/>
      <c r="T625"/>
      <c r="U625"/>
    </row>
    <row r="626" spans="19:21" ht="14.25" customHeight="1">
      <c r="S626"/>
      <c r="T626"/>
      <c r="U626"/>
    </row>
    <row r="627" spans="19:21" ht="14.25" customHeight="1">
      <c r="S627"/>
      <c r="T627"/>
      <c r="U627"/>
    </row>
    <row r="628" spans="19:21" ht="14.25" customHeight="1">
      <c r="S628"/>
      <c r="T628"/>
      <c r="U628"/>
    </row>
    <row r="629" spans="19:21" ht="14.25" customHeight="1">
      <c r="S629"/>
      <c r="T629"/>
      <c r="U629"/>
    </row>
    <row r="630" spans="19:21" ht="14.25" customHeight="1">
      <c r="S630"/>
      <c r="T630"/>
      <c r="U630"/>
    </row>
    <row r="631" spans="19:21" ht="14.25" customHeight="1">
      <c r="S631"/>
      <c r="T631"/>
      <c r="U631"/>
    </row>
    <row r="632" spans="19:21" ht="14.25" customHeight="1">
      <c r="S632"/>
      <c r="T632"/>
      <c r="U632"/>
    </row>
    <row r="633" spans="19:21" ht="14.25" customHeight="1">
      <c r="S633"/>
      <c r="T633"/>
      <c r="U633"/>
    </row>
    <row r="634" spans="19:21" ht="14.25" customHeight="1">
      <c r="S634"/>
      <c r="T634"/>
      <c r="U634"/>
    </row>
    <row r="635" spans="19:21" ht="14.25" customHeight="1">
      <c r="S635"/>
      <c r="T635"/>
      <c r="U635"/>
    </row>
    <row r="636" spans="19:21" ht="14.25" customHeight="1">
      <c r="S636"/>
      <c r="T636"/>
      <c r="U636"/>
    </row>
    <row r="637" spans="19:21" ht="14.25" customHeight="1">
      <c r="S637"/>
      <c r="T637"/>
      <c r="U637"/>
    </row>
    <row r="638" spans="19:21" ht="14.25" customHeight="1">
      <c r="S638"/>
      <c r="T638"/>
      <c r="U638"/>
    </row>
    <row r="639" spans="19:21" ht="14.25" customHeight="1">
      <c r="S639"/>
      <c r="T639"/>
      <c r="U639"/>
    </row>
    <row r="640" spans="19:21" ht="14.25" customHeight="1">
      <c r="S640"/>
      <c r="T640"/>
      <c r="U640"/>
    </row>
    <row r="641" spans="19:21" ht="14.25" customHeight="1">
      <c r="S641"/>
      <c r="T641"/>
      <c r="U641"/>
    </row>
    <row r="642" spans="19:21" ht="14.25" customHeight="1">
      <c r="S642"/>
      <c r="T642"/>
      <c r="U642"/>
    </row>
    <row r="643" spans="19:21" ht="14.25" customHeight="1">
      <c r="S643"/>
      <c r="T643"/>
      <c r="U643"/>
    </row>
    <row r="644" spans="19:21" ht="14.25" customHeight="1">
      <c r="S644"/>
      <c r="T644"/>
      <c r="U644"/>
    </row>
    <row r="645" spans="19:21" ht="14.25" customHeight="1">
      <c r="S645"/>
      <c r="T645"/>
      <c r="U645"/>
    </row>
    <row r="646" spans="19:21" ht="14.25" customHeight="1">
      <c r="S646"/>
      <c r="T646"/>
      <c r="U646"/>
    </row>
    <row r="647" spans="19:21" ht="14.25" customHeight="1">
      <c r="S647"/>
      <c r="T647"/>
      <c r="U647"/>
    </row>
    <row r="648" spans="19:21" ht="14.25" customHeight="1">
      <c r="S648"/>
      <c r="T648"/>
      <c r="U648"/>
    </row>
    <row r="649" spans="19:21" ht="14.25" customHeight="1">
      <c r="S649"/>
      <c r="T649"/>
      <c r="U649"/>
    </row>
    <row r="650" spans="19:21" ht="14.25" customHeight="1">
      <c r="S650"/>
      <c r="T650"/>
      <c r="U650"/>
    </row>
    <row r="651" spans="19:21" ht="14.25" customHeight="1">
      <c r="S651"/>
      <c r="T651"/>
      <c r="U651"/>
    </row>
    <row r="652" spans="19:21" ht="14.25" customHeight="1">
      <c r="S652"/>
      <c r="T652"/>
      <c r="U652"/>
    </row>
    <row r="653" spans="19:21" ht="14.25" customHeight="1">
      <c r="S653"/>
      <c r="T653"/>
      <c r="U653"/>
    </row>
    <row r="654" spans="19:21" ht="14.25" customHeight="1">
      <c r="S654"/>
      <c r="T654"/>
      <c r="U654"/>
    </row>
    <row r="655" spans="19:21" ht="14.25" customHeight="1">
      <c r="S655"/>
      <c r="T655"/>
      <c r="U655"/>
    </row>
    <row r="656" spans="19:21" ht="14.25" customHeight="1">
      <c r="S656"/>
      <c r="T656"/>
      <c r="U656"/>
    </row>
    <row r="657" spans="19:21" ht="14.25" customHeight="1">
      <c r="S657"/>
      <c r="T657"/>
      <c r="U657"/>
    </row>
    <row r="658" spans="19:21" ht="14.25" customHeight="1">
      <c r="S658"/>
      <c r="T658"/>
      <c r="U658"/>
    </row>
    <row r="659" spans="19:21" ht="14.25" customHeight="1">
      <c r="S659"/>
      <c r="T659"/>
      <c r="U659"/>
    </row>
    <row r="660" spans="19:21" ht="14.25" customHeight="1">
      <c r="S660"/>
      <c r="T660"/>
      <c r="U660"/>
    </row>
    <row r="661" spans="19:21" ht="14.25" customHeight="1">
      <c r="S661"/>
      <c r="T661"/>
      <c r="U661"/>
    </row>
    <row r="662" spans="19:21" ht="14.25" customHeight="1">
      <c r="S662"/>
      <c r="T662"/>
      <c r="U662"/>
    </row>
    <row r="663" spans="19:21" ht="14.25" customHeight="1">
      <c r="S663"/>
      <c r="T663"/>
      <c r="U663"/>
    </row>
    <row r="664" spans="19:21" ht="14.25" customHeight="1">
      <c r="S664"/>
      <c r="T664"/>
      <c r="U664"/>
    </row>
    <row r="665" spans="19:21" ht="14.25" customHeight="1">
      <c r="S665"/>
      <c r="T665"/>
      <c r="U665"/>
    </row>
    <row r="666" spans="19:21" ht="14.25" customHeight="1">
      <c r="S666"/>
      <c r="T666"/>
      <c r="U666"/>
    </row>
    <row r="667" spans="19:21" ht="14.25" customHeight="1">
      <c r="S667"/>
      <c r="T667"/>
      <c r="U667"/>
    </row>
    <row r="668" spans="19:21" ht="14.25" customHeight="1">
      <c r="S668"/>
      <c r="T668"/>
      <c r="U668"/>
    </row>
    <row r="669" spans="19:21" ht="14.25" customHeight="1">
      <c r="S669"/>
      <c r="T669"/>
      <c r="U669"/>
    </row>
    <row r="670" spans="19:21" ht="14.25" customHeight="1">
      <c r="S670"/>
      <c r="T670"/>
      <c r="U670"/>
    </row>
    <row r="671" spans="19:21" ht="14.25" customHeight="1">
      <c r="S671"/>
      <c r="T671"/>
      <c r="U671"/>
    </row>
    <row r="672" spans="19:21" ht="14.25" customHeight="1">
      <c r="S672"/>
      <c r="T672"/>
      <c r="U672"/>
    </row>
    <row r="673" spans="19:21" ht="14.25" customHeight="1">
      <c r="S673"/>
      <c r="T673"/>
      <c r="U673"/>
    </row>
    <row r="674" spans="19:21" ht="14.25" customHeight="1">
      <c r="S674"/>
      <c r="T674"/>
      <c r="U674"/>
    </row>
    <row r="675" spans="19:21" ht="14.25" customHeight="1">
      <c r="S675"/>
      <c r="T675"/>
      <c r="U675"/>
    </row>
    <row r="676" spans="19:21" ht="14.25" customHeight="1">
      <c r="S676"/>
      <c r="T676"/>
      <c r="U676"/>
    </row>
    <row r="677" spans="19:21" ht="14.25" customHeight="1">
      <c r="S677"/>
      <c r="T677"/>
      <c r="U677"/>
    </row>
    <row r="678" spans="19:21" ht="14.25" customHeight="1">
      <c r="S678"/>
      <c r="T678"/>
      <c r="U678"/>
    </row>
    <row r="679" spans="19:21" ht="14.25" customHeight="1">
      <c r="S679"/>
      <c r="T679"/>
      <c r="U679"/>
    </row>
    <row r="680" spans="19:21" ht="14.25" customHeight="1">
      <c r="S680"/>
      <c r="T680"/>
      <c r="U680"/>
    </row>
    <row r="681" spans="19:21" ht="14.25" customHeight="1">
      <c r="S681"/>
      <c r="T681"/>
      <c r="U681"/>
    </row>
    <row r="682" spans="19:21" ht="14.25" customHeight="1">
      <c r="S682"/>
      <c r="T682"/>
      <c r="U682"/>
    </row>
    <row r="683" spans="19:21" ht="14.25" customHeight="1">
      <c r="S683"/>
      <c r="T683"/>
      <c r="U683"/>
    </row>
    <row r="684" spans="19:21" ht="14.25" customHeight="1">
      <c r="S684"/>
      <c r="T684"/>
      <c r="U684"/>
    </row>
    <row r="685" spans="19:21" ht="14.25" customHeight="1">
      <c r="S685"/>
      <c r="T685"/>
      <c r="U685"/>
    </row>
    <row r="686" spans="19:21" ht="14.25" customHeight="1">
      <c r="S686"/>
      <c r="T686"/>
      <c r="U686"/>
    </row>
    <row r="687" spans="19:21" ht="14.25" customHeight="1">
      <c r="S687"/>
      <c r="T687"/>
      <c r="U687"/>
    </row>
    <row r="688" spans="19:21" ht="14.25" customHeight="1">
      <c r="S688"/>
      <c r="T688"/>
      <c r="U688"/>
    </row>
    <row r="689" spans="19:21" ht="14.25" customHeight="1">
      <c r="S689"/>
      <c r="T689"/>
      <c r="U689"/>
    </row>
    <row r="690" spans="19:21" ht="14.25" customHeight="1">
      <c r="S690"/>
      <c r="T690"/>
      <c r="U690"/>
    </row>
    <row r="691" spans="19:21" ht="14.25" customHeight="1">
      <c r="S691"/>
      <c r="T691"/>
      <c r="U691"/>
    </row>
    <row r="692" spans="19:21" ht="14.25" customHeight="1">
      <c r="S692"/>
      <c r="T692"/>
      <c r="U692"/>
    </row>
    <row r="693" spans="19:21" ht="14.25" customHeight="1">
      <c r="S693"/>
      <c r="T693"/>
      <c r="U693"/>
    </row>
    <row r="694" spans="19:21" ht="14.25" customHeight="1">
      <c r="S694"/>
      <c r="T694"/>
      <c r="U694"/>
    </row>
    <row r="695" spans="19:21" ht="14.25" customHeight="1">
      <c r="S695"/>
      <c r="T695"/>
      <c r="U695"/>
    </row>
    <row r="696" spans="19:21" ht="14.25" customHeight="1">
      <c r="S696"/>
      <c r="T696"/>
      <c r="U696"/>
    </row>
    <row r="697" spans="19:21" ht="14.25" customHeight="1">
      <c r="S697"/>
      <c r="T697"/>
      <c r="U697"/>
    </row>
    <row r="698" spans="19:21" ht="14.25" customHeight="1">
      <c r="S698"/>
      <c r="T698"/>
      <c r="U698"/>
    </row>
    <row r="699" spans="19:21" ht="14.25" customHeight="1">
      <c r="S699"/>
      <c r="T699"/>
      <c r="U699"/>
    </row>
    <row r="700" spans="19:21" ht="14.25" customHeight="1">
      <c r="S700"/>
      <c r="T700"/>
      <c r="U700"/>
    </row>
    <row r="701" spans="19:21" ht="14.25" customHeight="1">
      <c r="S701"/>
      <c r="T701"/>
      <c r="U701"/>
    </row>
    <row r="702" spans="19:21" ht="14.25" customHeight="1">
      <c r="S702"/>
      <c r="T702"/>
      <c r="U702"/>
    </row>
    <row r="703" spans="19:21" ht="14.25" customHeight="1">
      <c r="S703"/>
      <c r="T703"/>
      <c r="U703"/>
    </row>
    <row r="704" spans="19:21" ht="14.25" customHeight="1">
      <c r="S704"/>
      <c r="T704"/>
      <c r="U704"/>
    </row>
    <row r="705" spans="19:21" ht="14.25" customHeight="1">
      <c r="S705"/>
      <c r="T705"/>
      <c r="U705"/>
    </row>
    <row r="706" spans="19:21" ht="14.25" customHeight="1">
      <c r="S706"/>
      <c r="T706"/>
      <c r="U706"/>
    </row>
    <row r="707" spans="19:21" ht="14.25" customHeight="1">
      <c r="S707"/>
      <c r="T707"/>
      <c r="U707"/>
    </row>
    <row r="708" spans="19:21" ht="14.25" customHeight="1">
      <c r="S708"/>
      <c r="T708"/>
      <c r="U708"/>
    </row>
    <row r="709" spans="19:21" ht="14.25" customHeight="1">
      <c r="S709"/>
      <c r="T709"/>
      <c r="U709"/>
    </row>
    <row r="710" spans="19:21" ht="14.25" customHeight="1">
      <c r="S710"/>
      <c r="T710"/>
      <c r="U710"/>
    </row>
    <row r="711" spans="19:21" ht="14.25" customHeight="1">
      <c r="S711"/>
      <c r="T711"/>
      <c r="U711"/>
    </row>
    <row r="712" spans="19:21" ht="14.25" customHeight="1">
      <c r="S712"/>
      <c r="T712"/>
      <c r="U712"/>
    </row>
    <row r="713" spans="19:21" ht="14.25" customHeight="1">
      <c r="S713"/>
      <c r="T713"/>
      <c r="U713"/>
    </row>
    <row r="714" spans="19:21" ht="14.25" customHeight="1">
      <c r="S714"/>
      <c r="T714"/>
      <c r="U714"/>
    </row>
    <row r="715" spans="19:21" ht="14.25" customHeight="1">
      <c r="S715"/>
      <c r="T715"/>
      <c r="U715"/>
    </row>
    <row r="716" spans="19:21" ht="14.25" customHeight="1">
      <c r="S716"/>
      <c r="T716"/>
      <c r="U716"/>
    </row>
    <row r="717" spans="19:21" ht="14.25" customHeight="1">
      <c r="S717"/>
      <c r="T717"/>
      <c r="U717"/>
    </row>
    <row r="718" spans="19:21" ht="14.25" customHeight="1">
      <c r="S718"/>
      <c r="T718"/>
      <c r="U718"/>
    </row>
    <row r="719" spans="19:21" ht="14.25" customHeight="1">
      <c r="S719"/>
      <c r="T719"/>
      <c r="U719"/>
    </row>
    <row r="720" spans="19:21" ht="14.25" customHeight="1">
      <c r="S720"/>
      <c r="T720"/>
      <c r="U720"/>
    </row>
    <row r="721" spans="19:21" ht="14.25" customHeight="1">
      <c r="S721"/>
      <c r="T721"/>
      <c r="U721"/>
    </row>
    <row r="722" spans="19:21" ht="14.25" customHeight="1">
      <c r="S722"/>
      <c r="T722"/>
      <c r="U722"/>
    </row>
    <row r="723" spans="19:21" ht="14.25" customHeight="1">
      <c r="S723"/>
      <c r="T723"/>
      <c r="U723"/>
    </row>
    <row r="724" spans="19:21" ht="14.25" customHeight="1">
      <c r="S724"/>
      <c r="T724"/>
      <c r="U724"/>
    </row>
    <row r="725" spans="19:21" ht="14.25" customHeight="1">
      <c r="S725"/>
      <c r="T725"/>
      <c r="U725"/>
    </row>
    <row r="726" spans="19:21" ht="14.25" customHeight="1">
      <c r="S726"/>
      <c r="T726"/>
      <c r="U726"/>
    </row>
    <row r="727" spans="19:21" ht="14.25" customHeight="1">
      <c r="S727"/>
      <c r="T727"/>
      <c r="U727"/>
    </row>
    <row r="728" spans="19:21" ht="14.25" customHeight="1">
      <c r="S728"/>
      <c r="T728"/>
      <c r="U728"/>
    </row>
    <row r="729" spans="19:21" ht="14.25" customHeight="1">
      <c r="S729"/>
      <c r="T729"/>
      <c r="U729"/>
    </row>
    <row r="730" spans="19:21" ht="14.25" customHeight="1">
      <c r="S730"/>
      <c r="T730"/>
      <c r="U730"/>
    </row>
    <row r="731" spans="19:21" ht="14.25" customHeight="1">
      <c r="S731"/>
      <c r="T731"/>
      <c r="U731"/>
    </row>
    <row r="732" spans="19:21" ht="14.25" customHeight="1">
      <c r="S732"/>
      <c r="T732"/>
      <c r="U732"/>
    </row>
    <row r="733" spans="19:21" ht="14.25" customHeight="1">
      <c r="S733"/>
      <c r="T733"/>
      <c r="U733"/>
    </row>
    <row r="734" spans="19:21" ht="14.25" customHeight="1">
      <c r="S734"/>
      <c r="T734"/>
      <c r="U734"/>
    </row>
    <row r="735" spans="19:21" ht="14.25" customHeight="1">
      <c r="S735"/>
      <c r="T735"/>
      <c r="U735"/>
    </row>
    <row r="736" spans="19:21" ht="14.25" customHeight="1">
      <c r="S736"/>
      <c r="T736"/>
      <c r="U736"/>
    </row>
    <row r="737" spans="19:21" ht="14.25" customHeight="1">
      <c r="S737"/>
      <c r="T737"/>
      <c r="U737"/>
    </row>
    <row r="738" spans="19:21" ht="14.25" customHeight="1">
      <c r="S738"/>
      <c r="T738"/>
      <c r="U738"/>
    </row>
    <row r="739" spans="19:21" ht="14.25" customHeight="1">
      <c r="S739"/>
      <c r="T739"/>
      <c r="U739"/>
    </row>
    <row r="740" spans="19:21" ht="14.25" customHeight="1">
      <c r="S740"/>
      <c r="T740"/>
      <c r="U740"/>
    </row>
    <row r="741" spans="19:21" ht="14.25" customHeight="1">
      <c r="S741"/>
      <c r="T741"/>
      <c r="U741"/>
    </row>
    <row r="742" spans="19:21" ht="14.25" customHeight="1">
      <c r="S742"/>
      <c r="T742"/>
      <c r="U742"/>
    </row>
    <row r="743" spans="19:21" ht="14.25" customHeight="1">
      <c r="S743"/>
      <c r="T743"/>
      <c r="U743"/>
    </row>
    <row r="744" spans="19:21" ht="14.25" customHeight="1">
      <c r="S744"/>
      <c r="T744"/>
      <c r="U744"/>
    </row>
    <row r="745" spans="19:21" ht="14.25" customHeight="1">
      <c r="S745"/>
      <c r="T745"/>
      <c r="U745"/>
    </row>
    <row r="746" spans="19:21" ht="14.25" customHeight="1">
      <c r="S746"/>
      <c r="T746"/>
      <c r="U746"/>
    </row>
    <row r="747" spans="19:21" ht="14.25" customHeight="1">
      <c r="S747"/>
      <c r="T747"/>
      <c r="U747"/>
    </row>
    <row r="748" spans="19:21" ht="14.25" customHeight="1">
      <c r="S748"/>
      <c r="T748"/>
      <c r="U748"/>
    </row>
    <row r="749" spans="19:21" ht="14.25" customHeight="1">
      <c r="S749"/>
      <c r="T749"/>
      <c r="U749"/>
    </row>
    <row r="750" spans="19:21" ht="14.25" customHeight="1">
      <c r="S750"/>
      <c r="T750"/>
      <c r="U750"/>
    </row>
    <row r="751" spans="19:21" ht="14.25" customHeight="1">
      <c r="S751"/>
      <c r="T751"/>
      <c r="U751"/>
    </row>
    <row r="752" spans="19:21" ht="14.25" customHeight="1">
      <c r="S752"/>
      <c r="T752"/>
      <c r="U752"/>
    </row>
    <row r="753" spans="19:21" ht="14.25" customHeight="1">
      <c r="S753"/>
      <c r="T753"/>
      <c r="U753"/>
    </row>
    <row r="754" spans="19:21" ht="14.25" customHeight="1">
      <c r="S754"/>
      <c r="T754"/>
      <c r="U754"/>
    </row>
    <row r="755" spans="19:21" ht="14.25" customHeight="1">
      <c r="S755"/>
      <c r="T755"/>
      <c r="U755"/>
    </row>
    <row r="756" spans="19:21" ht="14.25" customHeight="1">
      <c r="S756"/>
      <c r="T756"/>
      <c r="U756"/>
    </row>
    <row r="757" spans="19:21" ht="14.25" customHeight="1">
      <c r="S757"/>
      <c r="T757"/>
      <c r="U757"/>
    </row>
    <row r="758" spans="19:21" ht="14.25" customHeight="1">
      <c r="S758"/>
      <c r="T758"/>
      <c r="U758"/>
    </row>
    <row r="759" spans="19:21" ht="14.25" customHeight="1">
      <c r="S759"/>
      <c r="T759"/>
      <c r="U759"/>
    </row>
    <row r="760" spans="19:21" ht="14.25" customHeight="1">
      <c r="S760"/>
      <c r="T760"/>
      <c r="U760"/>
    </row>
    <row r="761" spans="19:21" ht="14.25" customHeight="1">
      <c r="S761"/>
      <c r="T761"/>
      <c r="U761"/>
    </row>
    <row r="762" spans="19:21" ht="14.25" customHeight="1">
      <c r="S762"/>
      <c r="T762"/>
      <c r="U762"/>
    </row>
    <row r="763" spans="19:21" ht="14.25" customHeight="1">
      <c r="S763"/>
      <c r="T763"/>
      <c r="U763"/>
    </row>
    <row r="764" spans="19:21" ht="14.25" customHeight="1">
      <c r="S764"/>
      <c r="T764"/>
      <c r="U764"/>
    </row>
    <row r="765" spans="19:21" ht="14.25" customHeight="1">
      <c r="S765"/>
      <c r="T765"/>
      <c r="U765"/>
    </row>
    <row r="766" spans="19:21" ht="14.25" customHeight="1">
      <c r="S766"/>
      <c r="T766"/>
      <c r="U766"/>
    </row>
    <row r="767" spans="19:21" ht="14.25" customHeight="1">
      <c r="S767"/>
      <c r="T767"/>
      <c r="U767"/>
    </row>
    <row r="768" spans="19:21" ht="14.25" customHeight="1">
      <c r="S768"/>
      <c r="T768"/>
      <c r="U768"/>
    </row>
    <row r="769" spans="19:21" ht="14.25" customHeight="1">
      <c r="S769"/>
      <c r="T769"/>
      <c r="U769"/>
    </row>
    <row r="770" spans="19:21" ht="14.25" customHeight="1">
      <c r="S770"/>
      <c r="T770"/>
      <c r="U770"/>
    </row>
    <row r="771" spans="19:21" ht="14.25" customHeight="1">
      <c r="S771"/>
      <c r="T771"/>
      <c r="U771"/>
    </row>
    <row r="772" spans="19:21" ht="14.25" customHeight="1">
      <c r="S772"/>
      <c r="T772"/>
      <c r="U772"/>
    </row>
    <row r="773" spans="19:21" ht="14.25" customHeight="1">
      <c r="S773"/>
      <c r="T773"/>
      <c r="U773"/>
    </row>
    <row r="774" spans="19:21" ht="14.25" customHeight="1">
      <c r="S774"/>
      <c r="T774"/>
      <c r="U774"/>
    </row>
    <row r="775" spans="19:21" ht="14.25" customHeight="1">
      <c r="S775"/>
      <c r="T775"/>
      <c r="U775"/>
    </row>
    <row r="776" spans="19:21" ht="14.25" customHeight="1">
      <c r="S776"/>
      <c r="T776"/>
      <c r="U776"/>
    </row>
    <row r="777" spans="19:21" ht="14.25" customHeight="1">
      <c r="S777"/>
      <c r="T777"/>
      <c r="U777"/>
    </row>
    <row r="778" spans="19:21" ht="14.25" customHeight="1">
      <c r="S778"/>
      <c r="T778"/>
      <c r="U778"/>
    </row>
    <row r="779" spans="19:21" ht="14.25" customHeight="1">
      <c r="S779"/>
      <c r="T779"/>
      <c r="U779"/>
    </row>
    <row r="780" spans="19:21" ht="14.25" customHeight="1">
      <c r="S780"/>
      <c r="T780"/>
      <c r="U780"/>
    </row>
    <row r="781" spans="19:21" ht="14.25" customHeight="1">
      <c r="S781"/>
      <c r="T781"/>
      <c r="U781"/>
    </row>
    <row r="782" spans="19:21" ht="14.25" customHeight="1">
      <c r="S782"/>
      <c r="T782"/>
      <c r="U782"/>
    </row>
    <row r="783" spans="19:21" ht="14.25" customHeight="1">
      <c r="S783"/>
      <c r="T783"/>
      <c r="U783"/>
    </row>
    <row r="784" spans="19:21" ht="14.25" customHeight="1">
      <c r="S784"/>
      <c r="T784"/>
      <c r="U784"/>
    </row>
    <row r="785" spans="19:21" ht="14.25" customHeight="1">
      <c r="S785"/>
      <c r="T785"/>
      <c r="U785"/>
    </row>
    <row r="786" spans="19:21" ht="14.25" customHeight="1">
      <c r="S786"/>
      <c r="T786"/>
      <c r="U786"/>
    </row>
    <row r="787" spans="19:21" ht="14.25" customHeight="1">
      <c r="S787"/>
      <c r="T787"/>
      <c r="U787"/>
    </row>
    <row r="788" spans="19:21" ht="14.25" customHeight="1">
      <c r="S788"/>
      <c r="T788"/>
      <c r="U788"/>
    </row>
    <row r="789" spans="19:21" ht="14.25" customHeight="1">
      <c r="S789"/>
      <c r="T789"/>
      <c r="U789"/>
    </row>
    <row r="790" spans="19:21" ht="14.25" customHeight="1">
      <c r="S790"/>
      <c r="T790"/>
      <c r="U790"/>
    </row>
    <row r="791" spans="19:21" ht="14.25" customHeight="1">
      <c r="S791"/>
      <c r="T791"/>
      <c r="U791"/>
    </row>
    <row r="792" spans="19:21" ht="14.25" customHeight="1">
      <c r="S792"/>
      <c r="T792"/>
      <c r="U792"/>
    </row>
    <row r="793" spans="19:21" ht="14.25" customHeight="1">
      <c r="S793"/>
      <c r="T793"/>
      <c r="U793"/>
    </row>
    <row r="794" spans="19:21" ht="14.25" customHeight="1">
      <c r="S794"/>
      <c r="T794"/>
      <c r="U794"/>
    </row>
    <row r="795" spans="19:21" ht="14.25" customHeight="1">
      <c r="S795"/>
      <c r="T795"/>
      <c r="U795"/>
    </row>
    <row r="796" spans="19:21" ht="14.25" customHeight="1">
      <c r="S796"/>
      <c r="T796"/>
      <c r="U796"/>
    </row>
    <row r="797" spans="19:21" ht="14.25" customHeight="1">
      <c r="S797"/>
      <c r="T797"/>
      <c r="U797"/>
    </row>
    <row r="798" spans="19:21" ht="14.25" customHeight="1">
      <c r="S798"/>
      <c r="T798"/>
      <c r="U798"/>
    </row>
    <row r="799" spans="19:21" ht="14.25" customHeight="1">
      <c r="S799"/>
      <c r="T799"/>
      <c r="U799"/>
    </row>
    <row r="800" spans="19:21" ht="14.25" customHeight="1">
      <c r="S800"/>
      <c r="T800"/>
      <c r="U800"/>
    </row>
    <row r="801" spans="19:21" ht="14.25" customHeight="1">
      <c r="S801"/>
      <c r="T801"/>
      <c r="U801"/>
    </row>
    <row r="802" spans="19:21" ht="14.25" customHeight="1">
      <c r="S802"/>
      <c r="T802"/>
      <c r="U802"/>
    </row>
    <row r="803" spans="19:21" ht="14.25" customHeight="1">
      <c r="S803"/>
      <c r="T803"/>
      <c r="U803"/>
    </row>
    <row r="804" spans="19:21" ht="14.25" customHeight="1">
      <c r="S804"/>
      <c r="T804"/>
      <c r="U804"/>
    </row>
    <row r="805" spans="19:21" ht="14.25" customHeight="1">
      <c r="S805"/>
      <c r="T805"/>
      <c r="U805"/>
    </row>
    <row r="806" spans="19:21" ht="14.25" customHeight="1">
      <c r="S806"/>
      <c r="T806"/>
      <c r="U806"/>
    </row>
    <row r="807" spans="19:21" ht="14.25" customHeight="1">
      <c r="S807"/>
      <c r="T807"/>
      <c r="U807"/>
    </row>
    <row r="808" spans="19:21" ht="14.25" customHeight="1">
      <c r="S808"/>
      <c r="T808"/>
      <c r="U808"/>
    </row>
    <row r="809" spans="19:21" ht="14.25" customHeight="1">
      <c r="S809"/>
      <c r="T809"/>
      <c r="U809"/>
    </row>
    <row r="810" spans="19:21" ht="14.25" customHeight="1">
      <c r="S810"/>
      <c r="T810"/>
      <c r="U810"/>
    </row>
    <row r="811" spans="19:21" ht="14.25" customHeight="1">
      <c r="S811"/>
      <c r="T811"/>
      <c r="U811"/>
    </row>
    <row r="812" spans="19:21" ht="14.25" customHeight="1">
      <c r="S812"/>
      <c r="T812"/>
      <c r="U812"/>
    </row>
    <row r="813" spans="19:21" ht="14.25" customHeight="1">
      <c r="S813"/>
      <c r="T813"/>
      <c r="U813"/>
    </row>
    <row r="814" spans="19:21" ht="14.25" customHeight="1">
      <c r="S814"/>
      <c r="T814"/>
      <c r="U814"/>
    </row>
    <row r="815" spans="19:21" ht="14.25" customHeight="1">
      <c r="S815"/>
      <c r="T815"/>
      <c r="U815"/>
    </row>
    <row r="816" spans="19:21" ht="14.25" customHeight="1">
      <c r="S816"/>
      <c r="T816"/>
      <c r="U816"/>
    </row>
    <row r="817" spans="19:21" ht="14.25" customHeight="1">
      <c r="S817"/>
      <c r="T817"/>
      <c r="U817"/>
    </row>
    <row r="818" spans="19:21" ht="14.25" customHeight="1">
      <c r="S818"/>
      <c r="T818"/>
      <c r="U818"/>
    </row>
    <row r="819" spans="19:21" ht="14.25" customHeight="1">
      <c r="S819"/>
      <c r="T819"/>
      <c r="U819"/>
    </row>
    <row r="820" spans="19:21" ht="14.25" customHeight="1">
      <c r="S820"/>
      <c r="T820"/>
      <c r="U820"/>
    </row>
    <row r="821" spans="19:21" ht="14.25" customHeight="1">
      <c r="S821"/>
      <c r="T821"/>
      <c r="U821"/>
    </row>
    <row r="822" spans="19:21" ht="14.25" customHeight="1">
      <c r="S822"/>
      <c r="T822"/>
      <c r="U822"/>
    </row>
    <row r="823" spans="19:21" ht="14.25" customHeight="1">
      <c r="S823"/>
      <c r="T823"/>
      <c r="U823"/>
    </row>
    <row r="824" spans="19:21" ht="14.25" customHeight="1">
      <c r="S824"/>
      <c r="T824"/>
      <c r="U824"/>
    </row>
    <row r="825" spans="19:21" ht="14.25" customHeight="1">
      <c r="S825"/>
      <c r="T825"/>
      <c r="U825"/>
    </row>
    <row r="826" spans="19:21" ht="14.25" customHeight="1">
      <c r="S826"/>
      <c r="T826"/>
      <c r="U826"/>
    </row>
    <row r="827" spans="19:21" ht="14.25" customHeight="1">
      <c r="S827"/>
      <c r="T827"/>
      <c r="U827"/>
    </row>
    <row r="828" spans="19:21" ht="14.25" customHeight="1">
      <c r="S828"/>
      <c r="T828"/>
      <c r="U828"/>
    </row>
    <row r="829" spans="19:21" ht="14.25" customHeight="1">
      <c r="S829"/>
      <c r="T829"/>
      <c r="U829"/>
    </row>
    <row r="830" spans="19:21" ht="14.25" customHeight="1">
      <c r="S830"/>
      <c r="T830"/>
      <c r="U830"/>
    </row>
    <row r="831" spans="19:21" ht="14.25" customHeight="1">
      <c r="S831"/>
      <c r="T831"/>
      <c r="U831"/>
    </row>
    <row r="832" spans="19:21" ht="14.25" customHeight="1">
      <c r="S832"/>
      <c r="T832"/>
      <c r="U832"/>
    </row>
    <row r="833" spans="19:21" ht="14.25" customHeight="1">
      <c r="S833"/>
      <c r="T833"/>
      <c r="U833"/>
    </row>
    <row r="834" spans="19:21" ht="14.25" customHeight="1">
      <c r="S834"/>
      <c r="T834"/>
      <c r="U834"/>
    </row>
    <row r="835" spans="19:21" ht="14.25" customHeight="1">
      <c r="S835"/>
      <c r="T835"/>
      <c r="U835"/>
    </row>
    <row r="836" spans="19:21" ht="14.25" customHeight="1">
      <c r="S836"/>
      <c r="T836"/>
      <c r="U836"/>
    </row>
    <row r="837" spans="19:21" ht="14.25" customHeight="1">
      <c r="S837"/>
      <c r="T837"/>
      <c r="U837"/>
    </row>
    <row r="838" spans="19:21" ht="14.25" customHeight="1">
      <c r="S838"/>
      <c r="T838"/>
      <c r="U838"/>
    </row>
    <row r="839" spans="19:21" ht="14.25" customHeight="1">
      <c r="S839"/>
      <c r="T839"/>
      <c r="U839"/>
    </row>
    <row r="840" spans="19:21" ht="14.25" customHeight="1">
      <c r="S840"/>
      <c r="T840"/>
      <c r="U840"/>
    </row>
    <row r="841" spans="19:21" ht="14.25" customHeight="1">
      <c r="S841"/>
      <c r="T841"/>
      <c r="U841"/>
    </row>
    <row r="842" spans="19:21" ht="14.25" customHeight="1">
      <c r="S842"/>
      <c r="T842"/>
      <c r="U842"/>
    </row>
    <row r="843" spans="19:21" ht="14.25" customHeight="1">
      <c r="S843"/>
      <c r="T843"/>
      <c r="U843"/>
    </row>
    <row r="844" spans="19:21" ht="14.25" customHeight="1">
      <c r="S844"/>
      <c r="T844"/>
      <c r="U844"/>
    </row>
    <row r="845" spans="19:21" ht="14.25" customHeight="1">
      <c r="S845"/>
      <c r="T845"/>
      <c r="U845"/>
    </row>
    <row r="846" spans="19:21" ht="14.25" customHeight="1">
      <c r="S846"/>
      <c r="T846"/>
      <c r="U846"/>
    </row>
    <row r="847" spans="19:21" ht="14.25" customHeight="1">
      <c r="S847"/>
      <c r="T847"/>
      <c r="U847"/>
    </row>
    <row r="848" spans="19:21" ht="14.25" customHeight="1">
      <c r="S848"/>
      <c r="T848"/>
      <c r="U848"/>
    </row>
    <row r="849" spans="19:21" ht="14.25" customHeight="1">
      <c r="S849"/>
      <c r="T849"/>
      <c r="U849"/>
    </row>
    <row r="850" spans="19:21" ht="14.25" customHeight="1">
      <c r="S850"/>
      <c r="T850"/>
      <c r="U850"/>
    </row>
    <row r="851" spans="19:21" ht="14.25" customHeight="1">
      <c r="S851"/>
      <c r="T851"/>
      <c r="U851"/>
    </row>
    <row r="852" spans="19:21" ht="14.25" customHeight="1">
      <c r="S852"/>
      <c r="T852"/>
      <c r="U852"/>
    </row>
    <row r="853" spans="19:21" ht="14.25" customHeight="1">
      <c r="S853"/>
      <c r="T853"/>
      <c r="U853"/>
    </row>
    <row r="854" spans="19:21" ht="14.25" customHeight="1">
      <c r="S854"/>
      <c r="T854"/>
      <c r="U854"/>
    </row>
    <row r="855" spans="19:21" ht="14.25" customHeight="1">
      <c r="S855"/>
      <c r="T855"/>
      <c r="U855"/>
    </row>
    <row r="856" spans="19:21" ht="14.25" customHeight="1">
      <c r="S856"/>
      <c r="T856"/>
      <c r="U856"/>
    </row>
    <row r="857" spans="19:21" ht="14.25" customHeight="1">
      <c r="S857"/>
      <c r="T857"/>
      <c r="U857"/>
    </row>
    <row r="858" spans="19:21" ht="14.25" customHeight="1">
      <c r="S858"/>
      <c r="T858"/>
      <c r="U858"/>
    </row>
    <row r="859" spans="19:21" ht="14.25" customHeight="1">
      <c r="S859"/>
      <c r="T859"/>
      <c r="U859"/>
    </row>
    <row r="860" spans="19:21" ht="14.25" customHeight="1">
      <c r="S860"/>
      <c r="T860"/>
      <c r="U860"/>
    </row>
    <row r="861" spans="19:21" ht="14.25" customHeight="1">
      <c r="S861"/>
      <c r="T861"/>
      <c r="U861"/>
    </row>
    <row r="862" spans="19:21" ht="14.25" customHeight="1">
      <c r="S862"/>
      <c r="T862"/>
      <c r="U862"/>
    </row>
    <row r="863" spans="19:21" ht="14.25" customHeight="1">
      <c r="S863"/>
      <c r="T863"/>
      <c r="U863"/>
    </row>
    <row r="864" spans="19:21" ht="14.25" customHeight="1">
      <c r="S864"/>
      <c r="T864"/>
      <c r="U864"/>
    </row>
    <row r="865" spans="19:21" ht="14.25" customHeight="1">
      <c r="S865"/>
      <c r="T865"/>
      <c r="U865"/>
    </row>
    <row r="866" spans="19:21" ht="14.25" customHeight="1">
      <c r="S866"/>
      <c r="T866"/>
      <c r="U866"/>
    </row>
    <row r="867" spans="19:21" ht="14.25" customHeight="1">
      <c r="S867"/>
      <c r="T867"/>
      <c r="U867"/>
    </row>
    <row r="868" spans="19:21" ht="14.25" customHeight="1">
      <c r="S868"/>
      <c r="T868"/>
      <c r="U868"/>
    </row>
    <row r="869" spans="19:21" ht="14.25" customHeight="1">
      <c r="S869"/>
      <c r="T869"/>
      <c r="U869"/>
    </row>
    <row r="870" spans="19:21" ht="14.25" customHeight="1">
      <c r="S870"/>
      <c r="T870"/>
      <c r="U870"/>
    </row>
    <row r="871" spans="19:21" ht="14.25" customHeight="1">
      <c r="S871"/>
      <c r="T871"/>
      <c r="U871"/>
    </row>
    <row r="872" spans="19:21" ht="14.25" customHeight="1">
      <c r="S872"/>
      <c r="T872"/>
      <c r="U872"/>
    </row>
    <row r="873" spans="19:21" ht="14.25" customHeight="1">
      <c r="S873"/>
      <c r="T873"/>
      <c r="U873"/>
    </row>
    <row r="874" spans="19:21" ht="14.25" customHeight="1">
      <c r="S874"/>
      <c r="T874"/>
      <c r="U874"/>
    </row>
    <row r="875" spans="19:21" ht="14.25" customHeight="1">
      <c r="S875"/>
      <c r="T875"/>
      <c r="U875"/>
    </row>
    <row r="876" spans="19:21" ht="14.25" customHeight="1">
      <c r="S876"/>
      <c r="T876"/>
      <c r="U876"/>
    </row>
    <row r="877" spans="19:21" ht="14.25" customHeight="1">
      <c r="S877"/>
      <c r="T877"/>
      <c r="U877"/>
    </row>
    <row r="878" spans="19:21" ht="14.25" customHeight="1">
      <c r="S878"/>
      <c r="T878"/>
      <c r="U878"/>
    </row>
    <row r="879" spans="19:21" ht="14.25" customHeight="1">
      <c r="S879"/>
      <c r="T879"/>
      <c r="U879"/>
    </row>
    <row r="880" spans="19:21" ht="14.25" customHeight="1">
      <c r="S880"/>
      <c r="T880"/>
      <c r="U880"/>
    </row>
    <row r="881" spans="19:21" ht="14.25" customHeight="1">
      <c r="S881"/>
      <c r="T881"/>
      <c r="U881"/>
    </row>
    <row r="882" spans="19:21" ht="14.25" customHeight="1">
      <c r="S882"/>
      <c r="T882"/>
      <c r="U882"/>
    </row>
    <row r="883" spans="19:21" ht="14.25" customHeight="1">
      <c r="S883"/>
      <c r="T883"/>
      <c r="U883"/>
    </row>
    <row r="884" spans="19:21" ht="14.25" customHeight="1">
      <c r="S884"/>
      <c r="T884"/>
      <c r="U884"/>
    </row>
    <row r="885" spans="19:21" ht="14.25" customHeight="1">
      <c r="S885"/>
      <c r="T885"/>
      <c r="U885"/>
    </row>
    <row r="886" spans="19:21" ht="14.25" customHeight="1">
      <c r="S886"/>
      <c r="T886"/>
      <c r="U886"/>
    </row>
    <row r="887" spans="19:21" ht="14.25" customHeight="1">
      <c r="S887"/>
      <c r="T887"/>
      <c r="U887"/>
    </row>
    <row r="888" spans="19:21" ht="14.25" customHeight="1">
      <c r="S888"/>
      <c r="T888"/>
      <c r="U888"/>
    </row>
    <row r="889" spans="19:21" ht="14.25" customHeight="1">
      <c r="S889"/>
      <c r="T889"/>
      <c r="U889"/>
    </row>
    <row r="890" spans="19:21" ht="14.25" customHeight="1">
      <c r="S890"/>
      <c r="T890"/>
      <c r="U890"/>
    </row>
    <row r="891" spans="19:21" ht="14.25" customHeight="1">
      <c r="S891"/>
      <c r="T891"/>
      <c r="U891"/>
    </row>
    <row r="892" spans="19:21" ht="14.25" customHeight="1">
      <c r="S892"/>
      <c r="T892"/>
      <c r="U892"/>
    </row>
    <row r="893" spans="19:21" ht="14.25" customHeight="1">
      <c r="S893"/>
      <c r="T893"/>
      <c r="U893"/>
    </row>
    <row r="894" spans="19:21" ht="14.25" customHeight="1">
      <c r="S894"/>
      <c r="T894"/>
      <c r="U894"/>
    </row>
    <row r="895" spans="19:21" ht="14.25" customHeight="1">
      <c r="S895"/>
      <c r="T895"/>
      <c r="U895"/>
    </row>
    <row r="896" spans="19:21" ht="14.25" customHeight="1">
      <c r="S896"/>
      <c r="T896"/>
      <c r="U896"/>
    </row>
    <row r="897" spans="19:21" ht="14.25" customHeight="1">
      <c r="S897"/>
      <c r="T897"/>
      <c r="U897"/>
    </row>
    <row r="898" spans="19:21" ht="14.25" customHeight="1">
      <c r="S898"/>
      <c r="T898"/>
      <c r="U898"/>
    </row>
    <row r="899" spans="19:21" ht="14.25" customHeight="1">
      <c r="S899"/>
      <c r="T899"/>
      <c r="U899"/>
    </row>
    <row r="900" spans="19:21" ht="14.25" customHeight="1">
      <c r="S900"/>
      <c r="T900"/>
      <c r="U900"/>
    </row>
    <row r="901" spans="19:21" ht="14.25" customHeight="1">
      <c r="S901"/>
      <c r="T901"/>
      <c r="U901"/>
    </row>
    <row r="902" spans="19:21" ht="14.25" customHeight="1">
      <c r="S902"/>
      <c r="T902"/>
      <c r="U902"/>
    </row>
    <row r="903" spans="19:21" ht="14.25" customHeight="1">
      <c r="S903"/>
      <c r="T903"/>
      <c r="U903"/>
    </row>
    <row r="904" spans="19:21" ht="14.25" customHeight="1">
      <c r="S904"/>
      <c r="T904"/>
      <c r="U904"/>
    </row>
    <row r="905" spans="19:21" ht="14.25" customHeight="1">
      <c r="S905"/>
      <c r="T905"/>
      <c r="U905"/>
    </row>
    <row r="906" spans="19:21" ht="14.25" customHeight="1">
      <c r="S906"/>
      <c r="T906"/>
      <c r="U906"/>
    </row>
    <row r="907" spans="19:21" ht="14.25" customHeight="1">
      <c r="S907"/>
      <c r="T907"/>
      <c r="U907"/>
    </row>
    <row r="908" spans="19:21" ht="14.25" customHeight="1">
      <c r="S908"/>
      <c r="T908"/>
      <c r="U908"/>
    </row>
    <row r="909" spans="19:21" ht="14.25" customHeight="1">
      <c r="S909"/>
      <c r="T909"/>
      <c r="U909"/>
    </row>
    <row r="910" spans="19:21" ht="14.25" customHeight="1">
      <c r="S910"/>
      <c r="T910"/>
      <c r="U910"/>
    </row>
    <row r="911" spans="19:21" ht="14.25" customHeight="1">
      <c r="S911"/>
      <c r="T911"/>
      <c r="U911"/>
    </row>
    <row r="912" spans="19:21" ht="14.25" customHeight="1">
      <c r="S912"/>
      <c r="T912"/>
      <c r="U912"/>
    </row>
    <row r="913" spans="19:21" ht="14.25" customHeight="1">
      <c r="S913"/>
      <c r="T913"/>
      <c r="U913"/>
    </row>
    <row r="914" spans="19:21" ht="14.25" customHeight="1">
      <c r="S914"/>
      <c r="T914"/>
      <c r="U914"/>
    </row>
    <row r="915" spans="19:21" ht="14.25" customHeight="1">
      <c r="S915"/>
      <c r="T915"/>
      <c r="U915"/>
    </row>
    <row r="916" spans="19:21" ht="14.25" customHeight="1">
      <c r="S916"/>
      <c r="T916"/>
      <c r="U916"/>
    </row>
    <row r="917" spans="19:21" ht="14.25" customHeight="1">
      <c r="S917"/>
      <c r="T917"/>
      <c r="U917"/>
    </row>
    <row r="918" spans="19:21" ht="14.25" customHeight="1">
      <c r="S918"/>
      <c r="T918"/>
      <c r="U918"/>
    </row>
    <row r="919" spans="19:21" ht="14.25" customHeight="1">
      <c r="S919"/>
      <c r="T919"/>
      <c r="U919"/>
    </row>
    <row r="920" spans="19:21" ht="14.25" customHeight="1">
      <c r="S920"/>
      <c r="T920"/>
      <c r="U920"/>
    </row>
    <row r="921" spans="19:21" ht="14.25" customHeight="1">
      <c r="S921"/>
      <c r="T921"/>
      <c r="U921"/>
    </row>
    <row r="922" spans="19:21" ht="14.25" customHeight="1">
      <c r="S922"/>
      <c r="T922"/>
      <c r="U922"/>
    </row>
    <row r="923" spans="19:21" ht="14.25" customHeight="1">
      <c r="S923"/>
      <c r="T923"/>
      <c r="U923"/>
    </row>
    <row r="924" spans="19:21" ht="14.25" customHeight="1">
      <c r="S924"/>
      <c r="T924"/>
      <c r="U924"/>
    </row>
    <row r="925" spans="19:21" ht="14.25" customHeight="1">
      <c r="S925"/>
      <c r="T925"/>
      <c r="U925"/>
    </row>
    <row r="926" spans="19:21" ht="14.25" customHeight="1">
      <c r="S926"/>
      <c r="T926"/>
      <c r="U926"/>
    </row>
    <row r="927" spans="19:21" ht="14.25" customHeight="1">
      <c r="S927"/>
      <c r="T927"/>
      <c r="U927"/>
    </row>
    <row r="928" spans="19:21" ht="14.25" customHeight="1">
      <c r="S928"/>
      <c r="T928"/>
      <c r="U928"/>
    </row>
    <row r="929" spans="19:21" ht="14.25" customHeight="1">
      <c r="S929"/>
      <c r="T929"/>
      <c r="U929"/>
    </row>
    <row r="930" spans="19:21" ht="14.25" customHeight="1">
      <c r="S930"/>
      <c r="T930"/>
      <c r="U930"/>
    </row>
    <row r="931" spans="19:21" ht="14.25" customHeight="1">
      <c r="S931"/>
      <c r="T931"/>
      <c r="U931"/>
    </row>
    <row r="932" spans="19:21" ht="14.25" customHeight="1">
      <c r="S932"/>
      <c r="T932"/>
      <c r="U932"/>
    </row>
    <row r="933" spans="19:21" ht="14.25" customHeight="1">
      <c r="S933"/>
      <c r="T933"/>
      <c r="U933"/>
    </row>
    <row r="934" spans="19:21" ht="14.25" customHeight="1">
      <c r="S934"/>
      <c r="T934"/>
      <c r="U934"/>
    </row>
    <row r="935" spans="19:21" ht="14.25" customHeight="1">
      <c r="S935"/>
      <c r="T935"/>
      <c r="U935"/>
    </row>
    <row r="936" spans="19:21" ht="14.25" customHeight="1">
      <c r="S936"/>
      <c r="T936"/>
      <c r="U936"/>
    </row>
    <row r="937" spans="19:21" ht="14.25" customHeight="1">
      <c r="S937"/>
      <c r="T937"/>
      <c r="U937"/>
    </row>
    <row r="938" spans="19:21" ht="14.25" customHeight="1">
      <c r="S938"/>
      <c r="T938"/>
      <c r="U938"/>
    </row>
    <row r="939" spans="19:21" ht="14.25" customHeight="1">
      <c r="S939"/>
      <c r="T939"/>
      <c r="U939"/>
    </row>
    <row r="940" spans="19:21" ht="14.25" customHeight="1">
      <c r="S940"/>
      <c r="T940"/>
      <c r="U940"/>
    </row>
    <row r="941" spans="19:21" ht="14.25" customHeight="1">
      <c r="S941"/>
      <c r="T941"/>
      <c r="U941"/>
    </row>
    <row r="942" spans="19:21" ht="14.25" customHeight="1">
      <c r="S942"/>
      <c r="T942"/>
      <c r="U942"/>
    </row>
    <row r="943" spans="19:21" ht="14.25" customHeight="1">
      <c r="S943"/>
      <c r="T943"/>
      <c r="U943"/>
    </row>
    <row r="944" spans="19:21" ht="14.25" customHeight="1">
      <c r="S944"/>
      <c r="T944"/>
      <c r="U944"/>
    </row>
    <row r="945" spans="19:21" ht="14.25" customHeight="1">
      <c r="S945"/>
      <c r="T945"/>
      <c r="U945"/>
    </row>
    <row r="946" spans="19:21" ht="14.25" customHeight="1">
      <c r="S946"/>
      <c r="T946"/>
      <c r="U946"/>
    </row>
    <row r="947" spans="19:21" ht="14.25" customHeight="1">
      <c r="S947"/>
      <c r="T947"/>
      <c r="U947"/>
    </row>
    <row r="948" spans="19:21" ht="14.25" customHeight="1">
      <c r="S948"/>
      <c r="T948"/>
      <c r="U948"/>
    </row>
    <row r="949" spans="19:21" ht="14.25" customHeight="1">
      <c r="S949"/>
      <c r="T949"/>
      <c r="U949"/>
    </row>
    <row r="950" spans="19:21" ht="14.25" customHeight="1">
      <c r="S950"/>
      <c r="T950"/>
      <c r="U950"/>
    </row>
    <row r="951" spans="19:21" ht="14.25" customHeight="1">
      <c r="S951"/>
      <c r="T951"/>
      <c r="U951"/>
    </row>
    <row r="952" spans="19:21" ht="14.25" customHeight="1">
      <c r="S952"/>
      <c r="T952"/>
      <c r="U952"/>
    </row>
    <row r="953" spans="19:21" ht="14.25" customHeight="1">
      <c r="S953"/>
      <c r="T953"/>
      <c r="U953"/>
    </row>
    <row r="954" spans="19:21" ht="14.25" customHeight="1">
      <c r="S954"/>
      <c r="T954"/>
      <c r="U954"/>
    </row>
    <row r="955" spans="19:21" ht="14.25" customHeight="1">
      <c r="S955"/>
      <c r="T955"/>
      <c r="U955"/>
    </row>
    <row r="956" spans="19:21" ht="14.25" customHeight="1">
      <c r="S956"/>
      <c r="T956"/>
      <c r="U956"/>
    </row>
    <row r="957" spans="19:21" ht="14.25" customHeight="1">
      <c r="S957"/>
      <c r="T957"/>
      <c r="U957"/>
    </row>
    <row r="958" spans="19:21" ht="14.25" customHeight="1">
      <c r="S958"/>
      <c r="T958"/>
      <c r="U958"/>
    </row>
    <row r="959" spans="19:21" ht="14.25" customHeight="1">
      <c r="S959"/>
      <c r="T959"/>
      <c r="U959"/>
    </row>
    <row r="960" spans="19:21" ht="14.25" customHeight="1">
      <c r="S960"/>
      <c r="T960"/>
      <c r="U960"/>
    </row>
    <row r="961" spans="19:21" ht="14.25" customHeight="1">
      <c r="S961"/>
      <c r="T961"/>
      <c r="U961"/>
    </row>
    <row r="962" spans="19:21" ht="14.25" customHeight="1">
      <c r="S962"/>
      <c r="T962"/>
      <c r="U962"/>
    </row>
    <row r="963" spans="19:21" ht="14.25" customHeight="1">
      <c r="S963"/>
      <c r="T963"/>
      <c r="U963"/>
    </row>
    <row r="964" spans="19:21" ht="14.25" customHeight="1">
      <c r="S964"/>
      <c r="T964"/>
      <c r="U964"/>
    </row>
    <row r="965" spans="19:21" ht="14.25" customHeight="1">
      <c r="S965"/>
      <c r="T965"/>
      <c r="U965"/>
    </row>
    <row r="966" spans="19:21" ht="14.25" customHeight="1">
      <c r="S966"/>
      <c r="T966"/>
      <c r="U966"/>
    </row>
    <row r="967" spans="19:21" ht="14.25" customHeight="1">
      <c r="S967"/>
      <c r="T967"/>
      <c r="U967"/>
    </row>
    <row r="968" spans="19:21" ht="14.25" customHeight="1">
      <c r="S968"/>
      <c r="T968"/>
      <c r="U968"/>
    </row>
    <row r="969" spans="19:21" ht="14.25" customHeight="1">
      <c r="S969"/>
      <c r="T969"/>
      <c r="U969"/>
    </row>
    <row r="970" spans="19:21" ht="14.25" customHeight="1">
      <c r="S970"/>
      <c r="T970"/>
      <c r="U970"/>
    </row>
    <row r="971" spans="19:21" ht="14.25" customHeight="1">
      <c r="S971"/>
      <c r="T971"/>
      <c r="U971"/>
    </row>
    <row r="972" spans="19:21" ht="14.25" customHeight="1">
      <c r="S972"/>
      <c r="T972"/>
      <c r="U972"/>
    </row>
    <row r="973" spans="19:21" ht="14.25" customHeight="1">
      <c r="S973"/>
      <c r="T973"/>
      <c r="U973"/>
    </row>
    <row r="974" spans="19:21" ht="14.25" customHeight="1">
      <c r="S974"/>
      <c r="T974"/>
      <c r="U974"/>
    </row>
    <row r="975" spans="19:21" ht="14.25" customHeight="1">
      <c r="S975"/>
      <c r="T975"/>
      <c r="U975"/>
    </row>
    <row r="976" spans="19:21" ht="14.25" customHeight="1">
      <c r="S976"/>
      <c r="T976"/>
      <c r="U976"/>
    </row>
    <row r="977" spans="19:21" ht="14.25" customHeight="1">
      <c r="S977"/>
      <c r="T977"/>
      <c r="U977"/>
    </row>
    <row r="978" spans="19:21" ht="14.25" customHeight="1">
      <c r="S978"/>
      <c r="T978"/>
      <c r="U978"/>
    </row>
    <row r="979" spans="19:21" ht="14.25" customHeight="1">
      <c r="S979"/>
      <c r="T979"/>
      <c r="U979"/>
    </row>
    <row r="980" spans="19:21" ht="14.25" customHeight="1">
      <c r="S980"/>
      <c r="T980"/>
      <c r="U980"/>
    </row>
    <row r="981" spans="19:21" ht="14.25" customHeight="1">
      <c r="S981"/>
      <c r="T981"/>
      <c r="U981"/>
    </row>
    <row r="982" spans="19:21" ht="14.25" customHeight="1">
      <c r="S982"/>
      <c r="T982"/>
      <c r="U982"/>
    </row>
    <row r="983" spans="19:21" ht="14.25" customHeight="1">
      <c r="S983"/>
      <c r="T983"/>
      <c r="U983"/>
    </row>
    <row r="984" spans="19:21" ht="14.25" customHeight="1">
      <c r="S984"/>
      <c r="T984"/>
      <c r="U984"/>
    </row>
    <row r="985" spans="19:21" ht="14.25" customHeight="1">
      <c r="S985"/>
      <c r="T985"/>
      <c r="U985"/>
    </row>
    <row r="986" spans="19:21" ht="14.25" customHeight="1">
      <c r="S986"/>
      <c r="T986"/>
      <c r="U986"/>
    </row>
    <row r="987" spans="19:21" ht="14.25" customHeight="1">
      <c r="S987"/>
      <c r="T987"/>
      <c r="U987"/>
    </row>
    <row r="988" spans="19:21" ht="14.25" customHeight="1">
      <c r="S988"/>
      <c r="T988"/>
      <c r="U988"/>
    </row>
    <row r="989" spans="19:21" ht="14.25" customHeight="1">
      <c r="S989"/>
      <c r="T989"/>
      <c r="U989"/>
    </row>
    <row r="990" spans="19:21" ht="14.25" customHeight="1">
      <c r="S990"/>
      <c r="T990"/>
      <c r="U990"/>
    </row>
    <row r="991" spans="19:21" ht="14.25" customHeight="1">
      <c r="S991"/>
      <c r="T991"/>
      <c r="U991"/>
    </row>
    <row r="992" spans="19:21" ht="14.25" customHeight="1">
      <c r="S992"/>
      <c r="T992"/>
      <c r="U992"/>
    </row>
    <row r="993" spans="19:21" ht="14.25" customHeight="1">
      <c r="S993"/>
      <c r="T993"/>
      <c r="U993"/>
    </row>
    <row r="994" spans="19:21" ht="14.25" customHeight="1">
      <c r="S994"/>
      <c r="T994"/>
      <c r="U994"/>
    </row>
    <row r="995" spans="19:21" ht="14.25" customHeight="1">
      <c r="S995"/>
      <c r="T995"/>
      <c r="U995"/>
    </row>
    <row r="996" spans="19:21" ht="14.25" customHeight="1">
      <c r="S996"/>
      <c r="T996"/>
      <c r="U996"/>
    </row>
    <row r="997" spans="19:21" ht="14.25" customHeight="1">
      <c r="S997"/>
      <c r="T997"/>
      <c r="U997"/>
    </row>
    <row r="998" spans="19:21" ht="14.25" customHeight="1">
      <c r="S998"/>
      <c r="T998"/>
      <c r="U998"/>
    </row>
    <row r="999" spans="19:21" ht="14.25" customHeight="1">
      <c r="S999"/>
      <c r="T999"/>
      <c r="U999"/>
    </row>
    <row r="1000" spans="19:21" ht="14.25" customHeight="1">
      <c r="S1000"/>
      <c r="T1000"/>
      <c r="U1000"/>
    </row>
    <row r="1001" spans="19:21" ht="14.25" customHeight="1">
      <c r="S1001"/>
      <c r="T1001"/>
      <c r="U1001"/>
    </row>
    <row r="1002" spans="19:21" ht="14.25" customHeight="1">
      <c r="S1002"/>
      <c r="T1002"/>
      <c r="U1002"/>
    </row>
    <row r="1003" spans="19:21" ht="14.25" customHeight="1">
      <c r="S1003"/>
      <c r="T1003"/>
      <c r="U1003"/>
    </row>
    <row r="1004" spans="19:21" ht="14.25" customHeight="1">
      <c r="S1004"/>
      <c r="T1004"/>
      <c r="U1004"/>
    </row>
    <row r="1005" spans="19:21" ht="14.25" customHeight="1">
      <c r="S1005"/>
      <c r="T1005"/>
      <c r="U1005"/>
    </row>
    <row r="1006" spans="19:21" ht="14.25" customHeight="1">
      <c r="S1006"/>
      <c r="T1006"/>
      <c r="U1006"/>
    </row>
    <row r="1007" spans="19:21" ht="14.25" customHeight="1">
      <c r="S1007"/>
      <c r="T1007"/>
      <c r="U1007"/>
    </row>
    <row r="1008" spans="19:21" ht="14.25" customHeight="1">
      <c r="S1008"/>
      <c r="T1008"/>
      <c r="U1008"/>
    </row>
    <row r="1009" spans="19:21" ht="14.25" customHeight="1">
      <c r="S1009"/>
      <c r="T1009"/>
      <c r="U1009"/>
    </row>
    <row r="1010" spans="19:21" ht="14.25" customHeight="1">
      <c r="S1010"/>
      <c r="T1010"/>
      <c r="U1010"/>
    </row>
    <row r="1011" spans="19:21" ht="14.25" customHeight="1">
      <c r="S1011"/>
      <c r="T1011"/>
      <c r="U1011"/>
    </row>
    <row r="1012" spans="19:21" ht="14.25" customHeight="1">
      <c r="S1012"/>
      <c r="T1012"/>
      <c r="U1012"/>
    </row>
    <row r="1013" spans="19:21" ht="14.25" customHeight="1">
      <c r="S1013"/>
      <c r="T1013"/>
      <c r="U1013"/>
    </row>
    <row r="1014" spans="19:21" ht="14.25" customHeight="1">
      <c r="S1014"/>
      <c r="T1014"/>
      <c r="U1014"/>
    </row>
    <row r="1015" spans="19:21" ht="14.25" customHeight="1">
      <c r="S1015"/>
      <c r="T1015"/>
      <c r="U1015"/>
    </row>
    <row r="1016" spans="19:21" ht="14.25" customHeight="1">
      <c r="S1016"/>
      <c r="T1016"/>
      <c r="U1016"/>
    </row>
    <row r="1017" spans="19:21" ht="14.25" customHeight="1">
      <c r="S1017"/>
      <c r="T1017"/>
      <c r="U1017"/>
    </row>
    <row r="1018" spans="19:21" ht="14.25" customHeight="1">
      <c r="S1018"/>
      <c r="T1018"/>
      <c r="U1018"/>
    </row>
    <row r="1019" spans="19:21" ht="14.25" customHeight="1">
      <c r="S1019"/>
      <c r="T1019"/>
      <c r="U1019"/>
    </row>
    <row r="1020" spans="19:21" ht="14.25" customHeight="1">
      <c r="S1020"/>
      <c r="T1020"/>
      <c r="U1020"/>
    </row>
    <row r="1021" spans="19:21" ht="14.25" customHeight="1">
      <c r="S1021"/>
      <c r="T1021"/>
      <c r="U1021"/>
    </row>
    <row r="1022" spans="19:21" ht="14.25" customHeight="1">
      <c r="S1022"/>
      <c r="T1022"/>
      <c r="U1022"/>
    </row>
    <row r="1023" spans="19:21" ht="14.25" customHeight="1">
      <c r="S1023"/>
      <c r="T1023"/>
      <c r="U1023"/>
    </row>
    <row r="1024" spans="19:21" ht="14.25" customHeight="1">
      <c r="S1024"/>
      <c r="T1024"/>
      <c r="U1024"/>
    </row>
    <row r="1025" spans="19:21" ht="14.25" customHeight="1">
      <c r="S1025"/>
      <c r="T1025"/>
      <c r="U1025"/>
    </row>
    <row r="1026" spans="19:21" ht="14.25" customHeight="1">
      <c r="S1026"/>
      <c r="T1026"/>
      <c r="U1026"/>
    </row>
    <row r="1027" spans="19:21" ht="14.25" customHeight="1">
      <c r="S1027"/>
      <c r="T1027"/>
      <c r="U1027"/>
    </row>
    <row r="1028" spans="19:21" ht="14.25" customHeight="1">
      <c r="S1028"/>
      <c r="T1028"/>
      <c r="U1028"/>
    </row>
    <row r="1029" spans="19:21" ht="14.25" customHeight="1">
      <c r="S1029"/>
      <c r="T1029"/>
      <c r="U1029"/>
    </row>
    <row r="1030" spans="19:21" ht="14.25" customHeight="1">
      <c r="S1030"/>
      <c r="T1030"/>
      <c r="U1030"/>
    </row>
    <row r="1031" spans="19:21" ht="14.25" customHeight="1">
      <c r="S1031"/>
      <c r="T1031"/>
      <c r="U1031"/>
    </row>
    <row r="1032" spans="19:21" ht="14.25" customHeight="1">
      <c r="S1032"/>
      <c r="T1032"/>
      <c r="U1032"/>
    </row>
    <row r="1033" spans="19:21" ht="14.25" customHeight="1">
      <c r="S1033"/>
      <c r="T1033"/>
      <c r="U1033"/>
    </row>
    <row r="1034" spans="19:21" ht="14.25" customHeight="1">
      <c r="S1034"/>
      <c r="T1034"/>
      <c r="U1034"/>
    </row>
    <row r="1035" spans="19:21" ht="14.25" customHeight="1">
      <c r="S1035"/>
      <c r="T1035"/>
      <c r="U1035"/>
    </row>
    <row r="1036" spans="19:21" ht="14.25" customHeight="1">
      <c r="S1036"/>
      <c r="T1036"/>
      <c r="U1036"/>
    </row>
    <row r="1037" spans="19:21" ht="14.25" customHeight="1">
      <c r="S1037"/>
      <c r="T1037"/>
      <c r="U1037"/>
    </row>
    <row r="1038" spans="19:21" ht="14.25" customHeight="1">
      <c r="S1038"/>
      <c r="T1038"/>
      <c r="U1038"/>
    </row>
    <row r="1039" spans="19:21" ht="14.25" customHeight="1">
      <c r="S1039"/>
      <c r="T1039"/>
      <c r="U1039"/>
    </row>
    <row r="1040" spans="19:21" ht="14.25" customHeight="1">
      <c r="S1040"/>
      <c r="T1040"/>
      <c r="U1040"/>
    </row>
    <row r="1041" spans="19:21" ht="14.25" customHeight="1">
      <c r="S1041"/>
      <c r="T1041"/>
      <c r="U1041"/>
    </row>
    <row r="1042" spans="19:21" ht="14.25" customHeight="1">
      <c r="S1042"/>
      <c r="T1042"/>
      <c r="U1042"/>
    </row>
    <row r="1043" spans="19:21" ht="14.25" customHeight="1">
      <c r="S1043"/>
      <c r="T1043"/>
      <c r="U1043"/>
    </row>
    <row r="1044" spans="19:21" ht="14.25" customHeight="1">
      <c r="S1044"/>
      <c r="T1044"/>
      <c r="U1044"/>
    </row>
    <row r="1045" spans="19:21" ht="14.25" customHeight="1">
      <c r="S1045"/>
      <c r="T1045"/>
      <c r="U1045"/>
    </row>
    <row r="1046" spans="19:21" ht="14.25" customHeight="1">
      <c r="S1046"/>
      <c r="T1046"/>
      <c r="U1046"/>
    </row>
    <row r="1047" spans="19:21" ht="14.25" customHeight="1">
      <c r="S1047"/>
      <c r="T1047"/>
      <c r="U1047"/>
    </row>
    <row r="1048" spans="19:21" ht="14.25" customHeight="1">
      <c r="S1048"/>
      <c r="T1048"/>
      <c r="U1048"/>
    </row>
    <row r="1049" spans="19:21" ht="14.25" customHeight="1">
      <c r="S1049"/>
      <c r="T1049"/>
      <c r="U1049"/>
    </row>
    <row r="1050" spans="19:21" ht="14.25" customHeight="1">
      <c r="S1050"/>
      <c r="T1050"/>
      <c r="U1050"/>
    </row>
    <row r="1051" spans="19:21" ht="14.25" customHeight="1">
      <c r="S1051"/>
      <c r="T1051"/>
      <c r="U1051"/>
    </row>
    <row r="1052" spans="19:21" ht="14.25" customHeight="1">
      <c r="S1052"/>
      <c r="T1052"/>
      <c r="U1052"/>
    </row>
    <row r="1053" spans="19:21" ht="14.25" customHeight="1">
      <c r="S1053"/>
      <c r="T1053"/>
      <c r="U1053"/>
    </row>
    <row r="1054" spans="19:21" ht="14.25" customHeight="1">
      <c r="S1054"/>
      <c r="T1054"/>
      <c r="U1054"/>
    </row>
    <row r="1055" spans="19:21" ht="14.25" customHeight="1">
      <c r="S1055"/>
      <c r="T1055"/>
      <c r="U1055"/>
    </row>
    <row r="1056" spans="19:21" ht="14.25" customHeight="1">
      <c r="S1056"/>
      <c r="T1056"/>
      <c r="U1056"/>
    </row>
    <row r="1057" spans="19:21" ht="14.25" customHeight="1">
      <c r="S1057"/>
      <c r="T1057"/>
      <c r="U1057"/>
    </row>
    <row r="1058" spans="19:21" ht="14.25" customHeight="1">
      <c r="S1058"/>
      <c r="T1058"/>
      <c r="U1058"/>
    </row>
    <row r="1059" spans="19:21" ht="14.25" customHeight="1">
      <c r="S1059"/>
      <c r="T1059"/>
      <c r="U1059"/>
    </row>
    <row r="1060" spans="19:21" ht="14.25" customHeight="1">
      <c r="S1060"/>
      <c r="T1060"/>
      <c r="U1060"/>
    </row>
    <row r="1061" spans="19:21" ht="14.25" customHeight="1">
      <c r="S1061"/>
      <c r="T1061"/>
      <c r="U1061"/>
    </row>
    <row r="1062" spans="19:21" ht="14.25" customHeight="1">
      <c r="S1062"/>
      <c r="T1062"/>
      <c r="U1062"/>
    </row>
    <row r="1063" spans="19:21" ht="14.25" customHeight="1">
      <c r="S1063"/>
      <c r="T1063"/>
      <c r="U1063"/>
    </row>
    <row r="1064" spans="19:21" ht="14.25" customHeight="1">
      <c r="S1064"/>
      <c r="T1064"/>
      <c r="U1064"/>
    </row>
    <row r="1065" spans="19:21" ht="14.25" customHeight="1">
      <c r="S1065"/>
      <c r="T1065"/>
      <c r="U1065"/>
    </row>
    <row r="1066" spans="19:21" ht="14.25" customHeight="1">
      <c r="S1066"/>
      <c r="T1066"/>
      <c r="U1066"/>
    </row>
    <row r="1067" spans="19:21" ht="14.25" customHeight="1">
      <c r="S1067"/>
      <c r="T1067"/>
      <c r="U1067"/>
    </row>
    <row r="1068" spans="19:21" ht="14.25" customHeight="1">
      <c r="S1068"/>
      <c r="T1068"/>
      <c r="U1068"/>
    </row>
    <row r="1069" spans="19:21" ht="14.25" customHeight="1">
      <c r="S1069"/>
      <c r="T1069"/>
      <c r="U1069"/>
    </row>
    <row r="1070" spans="19:21" ht="14.25" customHeight="1">
      <c r="S1070"/>
      <c r="T1070"/>
      <c r="U1070"/>
    </row>
    <row r="1071" spans="19:21" ht="14.25" customHeight="1">
      <c r="S1071"/>
      <c r="T1071"/>
      <c r="U1071"/>
    </row>
    <row r="1072" spans="19:21" ht="14.25" customHeight="1">
      <c r="S1072"/>
      <c r="T1072"/>
      <c r="U1072"/>
    </row>
    <row r="1073" spans="19:21" ht="14.25" customHeight="1">
      <c r="S1073"/>
      <c r="T1073"/>
      <c r="U1073"/>
    </row>
    <row r="1074" spans="19:21" ht="14.25" customHeight="1">
      <c r="S1074"/>
      <c r="T1074"/>
      <c r="U1074"/>
    </row>
    <row r="1075" spans="19:21" ht="14.25" customHeight="1">
      <c r="S1075"/>
      <c r="T1075"/>
      <c r="U1075"/>
    </row>
    <row r="1076" spans="19:21" ht="14.25" customHeight="1">
      <c r="S1076"/>
      <c r="T1076"/>
      <c r="U1076"/>
    </row>
    <row r="1077" spans="19:21" ht="14.25" customHeight="1">
      <c r="S1077"/>
      <c r="T1077"/>
      <c r="U1077"/>
    </row>
    <row r="1078" spans="19:21" ht="14.25" customHeight="1">
      <c r="S1078"/>
      <c r="T1078"/>
      <c r="U1078"/>
    </row>
    <row r="1079" spans="19:21" ht="14.25" customHeight="1">
      <c r="S1079"/>
      <c r="T1079"/>
      <c r="U1079"/>
    </row>
    <row r="1080" spans="19:21" ht="14.25" customHeight="1">
      <c r="S1080"/>
      <c r="T1080"/>
      <c r="U1080"/>
    </row>
    <row r="1081" spans="19:21" ht="14.25" customHeight="1">
      <c r="S1081"/>
      <c r="T1081"/>
      <c r="U1081"/>
    </row>
    <row r="1082" spans="19:21" ht="14.25" customHeight="1">
      <c r="S1082"/>
      <c r="T1082"/>
      <c r="U1082"/>
    </row>
    <row r="1083" spans="19:21" ht="14.25" customHeight="1">
      <c r="S1083"/>
      <c r="T1083"/>
      <c r="U1083"/>
    </row>
    <row r="1084" spans="19:21" ht="14.25" customHeight="1">
      <c r="S1084"/>
      <c r="T1084"/>
      <c r="U1084"/>
    </row>
    <row r="1085" spans="19:21" ht="14.25" customHeight="1">
      <c r="S1085"/>
      <c r="T1085"/>
      <c r="U1085"/>
    </row>
    <row r="1086" spans="19:21" ht="14.25" customHeight="1">
      <c r="S1086"/>
      <c r="T1086"/>
      <c r="U1086"/>
    </row>
    <row r="1087" spans="19:21" ht="14.25" customHeight="1">
      <c r="S1087"/>
      <c r="T1087"/>
      <c r="U1087"/>
    </row>
    <row r="1088" spans="19:21" ht="14.25" customHeight="1">
      <c r="S1088"/>
      <c r="T1088"/>
      <c r="U1088"/>
    </row>
    <row r="1089" spans="19:21" ht="14.25" customHeight="1">
      <c r="S1089"/>
      <c r="T1089"/>
      <c r="U1089"/>
    </row>
    <row r="1090" spans="19:21" ht="14.25" customHeight="1">
      <c r="S1090"/>
      <c r="T1090"/>
      <c r="U1090"/>
    </row>
    <row r="1091" spans="19:21" ht="14.25" customHeight="1">
      <c r="S1091"/>
      <c r="T1091"/>
      <c r="U1091"/>
    </row>
    <row r="1092" spans="19:21" ht="14.25" customHeight="1">
      <c r="S1092"/>
      <c r="T1092"/>
      <c r="U1092"/>
    </row>
    <row r="1093" spans="19:21" ht="14.25" customHeight="1">
      <c r="S1093"/>
      <c r="T1093"/>
      <c r="U1093"/>
    </row>
    <row r="1094" spans="19:21" ht="14.25" customHeight="1">
      <c r="S1094"/>
      <c r="T1094"/>
      <c r="U1094"/>
    </row>
    <row r="1095" spans="19:21" ht="14.25" customHeight="1">
      <c r="S1095"/>
      <c r="T1095"/>
      <c r="U1095"/>
    </row>
    <row r="1096" spans="19:21" ht="14.25" customHeight="1">
      <c r="S1096"/>
      <c r="T1096"/>
      <c r="U1096"/>
    </row>
    <row r="1097" spans="19:21" ht="14.25" customHeight="1">
      <c r="S1097"/>
      <c r="T1097"/>
      <c r="U1097"/>
    </row>
    <row r="1098" spans="19:21" ht="14.25" customHeight="1">
      <c r="S1098"/>
      <c r="T1098"/>
      <c r="U1098"/>
    </row>
    <row r="1099" spans="19:21" ht="14.25" customHeight="1">
      <c r="S1099"/>
      <c r="T1099"/>
      <c r="U1099"/>
    </row>
    <row r="1100" spans="19:21" ht="14.25" customHeight="1">
      <c r="S1100"/>
      <c r="T1100"/>
      <c r="U1100"/>
    </row>
    <row r="1101" spans="19:21" ht="14.25" customHeight="1">
      <c r="S1101"/>
      <c r="T1101"/>
      <c r="U1101"/>
    </row>
    <row r="1102" spans="19:21" ht="14.25" customHeight="1">
      <c r="S1102"/>
      <c r="T1102"/>
      <c r="U1102"/>
    </row>
    <row r="1103" spans="19:21" ht="14.25" customHeight="1">
      <c r="S1103"/>
      <c r="T1103"/>
      <c r="U1103"/>
    </row>
    <row r="1104" spans="19:21" ht="14.25" customHeight="1">
      <c r="S1104"/>
      <c r="T1104"/>
      <c r="U1104"/>
    </row>
    <row r="1105" spans="19:21" ht="14.25" customHeight="1">
      <c r="S1105"/>
      <c r="T1105"/>
      <c r="U1105"/>
    </row>
    <row r="1106" spans="19:21" ht="14.25" customHeight="1">
      <c r="S1106"/>
      <c r="T1106"/>
      <c r="U1106"/>
    </row>
    <row r="1107" spans="19:21" ht="14.25" customHeight="1">
      <c r="S1107"/>
      <c r="T1107"/>
      <c r="U1107"/>
    </row>
    <row r="1108" spans="19:21" ht="14.25" customHeight="1">
      <c r="S1108"/>
      <c r="T1108"/>
      <c r="U1108"/>
    </row>
    <row r="1109" spans="19:21" ht="14.25" customHeight="1">
      <c r="S1109"/>
      <c r="T1109"/>
      <c r="U1109"/>
    </row>
    <row r="1110" spans="19:21" ht="14.25" customHeight="1">
      <c r="S1110"/>
      <c r="T1110"/>
      <c r="U1110"/>
    </row>
    <row r="1111" spans="19:21" ht="14.25" customHeight="1">
      <c r="S1111"/>
      <c r="T1111"/>
      <c r="U1111"/>
    </row>
    <row r="1112" spans="19:21" ht="14.25" customHeight="1">
      <c r="S1112"/>
      <c r="T1112"/>
      <c r="U1112"/>
    </row>
    <row r="1113" spans="19:21" ht="14.25" customHeight="1">
      <c r="S1113"/>
      <c r="T1113"/>
      <c r="U1113"/>
    </row>
    <row r="1114" spans="19:21" ht="14.25" customHeight="1">
      <c r="S1114"/>
      <c r="T1114"/>
      <c r="U1114"/>
    </row>
    <row r="1115" spans="19:21" ht="14.25" customHeight="1">
      <c r="S1115"/>
      <c r="T1115"/>
      <c r="U1115"/>
    </row>
    <row r="1116" spans="19:21" ht="14.25" customHeight="1">
      <c r="S1116"/>
      <c r="T1116"/>
      <c r="U1116"/>
    </row>
    <row r="1117" spans="19:21" ht="14.25" customHeight="1">
      <c r="S1117"/>
      <c r="T1117"/>
      <c r="U1117"/>
    </row>
    <row r="1118" spans="19:21" ht="14.25" customHeight="1">
      <c r="S1118"/>
      <c r="T1118"/>
      <c r="U1118"/>
    </row>
    <row r="1119" spans="19:21" ht="14.25" customHeight="1">
      <c r="S1119"/>
      <c r="T1119"/>
      <c r="U1119"/>
    </row>
    <row r="1120" spans="19:21" ht="14.25" customHeight="1">
      <c r="S1120"/>
      <c r="T1120"/>
      <c r="U1120"/>
    </row>
    <row r="1121" spans="19:21" ht="14.25" customHeight="1">
      <c r="S1121"/>
      <c r="T1121"/>
      <c r="U1121"/>
    </row>
    <row r="1122" spans="19:21" ht="14.25" customHeight="1">
      <c r="S1122"/>
      <c r="T1122"/>
      <c r="U1122"/>
    </row>
    <row r="1123" spans="19:21" ht="14.25" customHeight="1">
      <c r="S1123"/>
      <c r="T1123"/>
      <c r="U1123"/>
    </row>
    <row r="1124" spans="19:21" ht="14.25" customHeight="1">
      <c r="S1124"/>
      <c r="T1124"/>
      <c r="U1124"/>
    </row>
    <row r="1125" spans="19:21" ht="14.25" customHeight="1">
      <c r="S1125"/>
      <c r="T1125"/>
      <c r="U1125"/>
    </row>
    <row r="1126" spans="19:21" ht="14.25" customHeight="1">
      <c r="S1126"/>
      <c r="T1126"/>
      <c r="U1126"/>
    </row>
    <row r="1127" spans="19:21" ht="14.25" customHeight="1">
      <c r="S1127"/>
      <c r="T1127"/>
      <c r="U1127"/>
    </row>
    <row r="1128" spans="19:21" ht="14.25" customHeight="1">
      <c r="S1128"/>
      <c r="T1128"/>
      <c r="U1128"/>
    </row>
    <row r="1129" spans="19:21" ht="14.25" customHeight="1">
      <c r="S1129"/>
      <c r="T1129"/>
      <c r="U1129"/>
    </row>
    <row r="1130" spans="19:21" ht="14.25" customHeight="1">
      <c r="S1130"/>
      <c r="T1130"/>
      <c r="U1130"/>
    </row>
    <row r="1131" spans="19:21" ht="14.25" customHeight="1">
      <c r="S1131"/>
      <c r="T1131"/>
      <c r="U1131"/>
    </row>
    <row r="1132" spans="19:21" ht="14.25" customHeight="1">
      <c r="S1132"/>
      <c r="T1132"/>
      <c r="U1132"/>
    </row>
    <row r="1133" spans="19:21" ht="14.25" customHeight="1">
      <c r="S1133"/>
      <c r="T1133"/>
      <c r="U1133"/>
    </row>
    <row r="1134" spans="19:21" ht="14.25" customHeight="1">
      <c r="S1134"/>
      <c r="T1134"/>
      <c r="U1134"/>
    </row>
    <row r="1135" spans="19:21" ht="14.25" customHeight="1">
      <c r="S1135"/>
      <c r="T1135"/>
      <c r="U1135"/>
    </row>
    <row r="1136" spans="19:21" ht="14.25" customHeight="1">
      <c r="S1136"/>
      <c r="T1136"/>
      <c r="U1136"/>
    </row>
    <row r="1137" spans="19:21" ht="14.25" customHeight="1">
      <c r="S1137"/>
      <c r="T1137"/>
      <c r="U1137"/>
    </row>
    <row r="1138" spans="19:21" ht="14.25" customHeight="1">
      <c r="S1138"/>
      <c r="T1138"/>
      <c r="U1138"/>
    </row>
    <row r="1139" spans="19:21" ht="14.25" customHeight="1">
      <c r="S1139"/>
      <c r="T1139"/>
      <c r="U1139"/>
    </row>
    <row r="1140" spans="19:21" ht="14.25" customHeight="1">
      <c r="S1140"/>
      <c r="T1140"/>
      <c r="U1140"/>
    </row>
    <row r="1141" spans="19:21" ht="14.25" customHeight="1">
      <c r="S1141"/>
      <c r="T1141"/>
      <c r="U1141"/>
    </row>
    <row r="1142" spans="19:21" ht="14.25" customHeight="1">
      <c r="S1142"/>
      <c r="T1142"/>
      <c r="U1142"/>
    </row>
    <row r="1143" spans="19:21" ht="14.25" customHeight="1">
      <c r="S1143"/>
      <c r="T1143"/>
      <c r="U1143"/>
    </row>
    <row r="1144" spans="19:21" ht="14.25" customHeight="1">
      <c r="S1144"/>
      <c r="T1144"/>
      <c r="U1144"/>
    </row>
    <row r="1145" spans="19:21" ht="14.25" customHeight="1">
      <c r="S1145"/>
      <c r="T1145"/>
      <c r="U1145"/>
    </row>
    <row r="1146" spans="19:21" ht="14.25" customHeight="1">
      <c r="S1146"/>
      <c r="T1146"/>
      <c r="U1146"/>
    </row>
    <row r="1147" spans="19:21" ht="14.25" customHeight="1">
      <c r="S1147"/>
      <c r="T1147"/>
      <c r="U1147"/>
    </row>
    <row r="1148" spans="19:21" ht="14.25" customHeight="1">
      <c r="S1148"/>
      <c r="T1148"/>
      <c r="U1148"/>
    </row>
    <row r="1149" spans="19:21" ht="14.25" customHeight="1">
      <c r="S1149"/>
      <c r="T1149"/>
      <c r="U1149"/>
    </row>
    <row r="1150" spans="19:21" ht="14.25" customHeight="1">
      <c r="S1150"/>
      <c r="T1150"/>
      <c r="U1150"/>
    </row>
    <row r="1151" spans="19:21" ht="14.25" customHeight="1">
      <c r="S1151"/>
      <c r="T1151"/>
      <c r="U1151"/>
    </row>
    <row r="1152" spans="19:21" ht="14.25" customHeight="1">
      <c r="S1152"/>
      <c r="T1152"/>
      <c r="U1152"/>
    </row>
    <row r="1153" spans="19:21" ht="14.25" customHeight="1">
      <c r="S1153"/>
      <c r="T1153"/>
      <c r="U1153"/>
    </row>
    <row r="1154" spans="19:21" ht="14.25" customHeight="1">
      <c r="S1154"/>
      <c r="T1154"/>
      <c r="U1154"/>
    </row>
    <row r="1155" spans="19:21" ht="14.25" customHeight="1">
      <c r="S1155"/>
      <c r="T1155"/>
      <c r="U1155"/>
    </row>
    <row r="1156" spans="19:21" ht="14.25" customHeight="1">
      <c r="S1156"/>
      <c r="T1156"/>
      <c r="U1156"/>
    </row>
    <row r="1157" spans="19:21" ht="14.25" customHeight="1">
      <c r="S1157"/>
      <c r="T1157"/>
      <c r="U1157"/>
    </row>
    <row r="1158" spans="19:21" ht="14.25" customHeight="1">
      <c r="S1158"/>
      <c r="T1158"/>
      <c r="U1158"/>
    </row>
    <row r="1159" spans="19:21" ht="14.25" customHeight="1">
      <c r="S1159"/>
      <c r="T1159"/>
      <c r="U1159"/>
    </row>
    <row r="1160" spans="19:21" ht="14.25" customHeight="1">
      <c r="S1160"/>
      <c r="T1160"/>
      <c r="U1160"/>
    </row>
    <row r="1161" spans="19:21" ht="14.25" customHeight="1">
      <c r="S1161"/>
      <c r="T1161"/>
      <c r="U1161"/>
    </row>
    <row r="1162" spans="19:21" ht="14.25" customHeight="1">
      <c r="S1162"/>
      <c r="T1162"/>
      <c r="U1162"/>
    </row>
    <row r="1163" spans="19:21" ht="14.25" customHeight="1">
      <c r="S1163"/>
      <c r="T1163"/>
      <c r="U1163"/>
    </row>
    <row r="1164" spans="19:21" ht="14.25" customHeight="1">
      <c r="S1164"/>
      <c r="T1164"/>
      <c r="U1164"/>
    </row>
    <row r="1165" spans="19:21" ht="14.25" customHeight="1">
      <c r="S1165"/>
      <c r="T1165"/>
      <c r="U1165"/>
    </row>
    <row r="1166" spans="19:21" ht="14.25" customHeight="1">
      <c r="S1166"/>
      <c r="T1166"/>
      <c r="U1166"/>
    </row>
    <row r="1167" spans="19:21" ht="14.25" customHeight="1">
      <c r="S1167"/>
      <c r="T1167"/>
      <c r="U1167"/>
    </row>
    <row r="1168" spans="19:21" ht="14.25" customHeight="1">
      <c r="S1168"/>
      <c r="T1168"/>
      <c r="U1168"/>
    </row>
    <row r="1169" spans="19:21" ht="14.25" customHeight="1">
      <c r="S1169"/>
      <c r="T1169"/>
      <c r="U1169"/>
    </row>
    <row r="1170" spans="19:21" ht="14.25" customHeight="1">
      <c r="S1170"/>
      <c r="T1170"/>
      <c r="U1170"/>
    </row>
    <row r="1171" spans="19:21" ht="14.25" customHeight="1">
      <c r="S1171"/>
      <c r="T1171"/>
      <c r="U1171"/>
    </row>
    <row r="1172" spans="19:21" ht="14.25" customHeight="1">
      <c r="S1172"/>
      <c r="T1172"/>
      <c r="U1172"/>
    </row>
    <row r="1173" spans="19:21" ht="14.25" customHeight="1">
      <c r="S1173"/>
      <c r="T1173"/>
      <c r="U1173"/>
    </row>
    <row r="1174" spans="19:21" ht="14.25" customHeight="1">
      <c r="S1174"/>
      <c r="T1174"/>
      <c r="U1174"/>
    </row>
    <row r="1175" spans="19:21" ht="14.25" customHeight="1">
      <c r="S1175"/>
      <c r="T1175"/>
      <c r="U1175"/>
    </row>
    <row r="1176" spans="19:21" ht="14.25" customHeight="1">
      <c r="S1176"/>
      <c r="T1176"/>
      <c r="U1176"/>
    </row>
    <row r="1177" spans="19:21" ht="14.25" customHeight="1">
      <c r="S1177"/>
      <c r="T1177"/>
      <c r="U1177"/>
    </row>
    <row r="1178" spans="19:21" ht="14.25" customHeight="1">
      <c r="S1178"/>
      <c r="T1178"/>
      <c r="U1178"/>
    </row>
    <row r="1179" spans="19:21" ht="14.25" customHeight="1">
      <c r="S1179"/>
      <c r="T1179"/>
      <c r="U1179"/>
    </row>
    <row r="1180" spans="19:21" ht="14.25" customHeight="1">
      <c r="S1180"/>
      <c r="T1180"/>
      <c r="U1180"/>
    </row>
    <row r="1181" spans="19:21" ht="14.25" customHeight="1">
      <c r="S1181"/>
      <c r="T1181"/>
      <c r="U1181"/>
    </row>
    <row r="1182" spans="19:21" ht="14.25" customHeight="1">
      <c r="S1182"/>
      <c r="T1182"/>
      <c r="U1182"/>
    </row>
    <row r="1183" spans="19:21" ht="14.25" customHeight="1">
      <c r="S1183"/>
      <c r="T1183"/>
      <c r="U1183"/>
    </row>
    <row r="1184" spans="19:21" ht="14.25" customHeight="1">
      <c r="S1184"/>
      <c r="T1184"/>
      <c r="U1184"/>
    </row>
    <row r="1185" spans="19:21" ht="14.25" customHeight="1">
      <c r="S1185"/>
      <c r="T1185"/>
      <c r="U1185"/>
    </row>
    <row r="1186" spans="19:21" ht="14.25" customHeight="1">
      <c r="S1186"/>
      <c r="T1186"/>
      <c r="U1186"/>
    </row>
    <row r="1187" spans="19:21" ht="14.25" customHeight="1">
      <c r="S1187"/>
      <c r="T1187"/>
      <c r="U1187"/>
    </row>
    <row r="1188" spans="19:21" ht="14.25" customHeight="1">
      <c r="S1188"/>
      <c r="T1188"/>
      <c r="U1188"/>
    </row>
    <row r="1189" spans="19:21" ht="14.25" customHeight="1">
      <c r="S1189"/>
      <c r="T1189"/>
      <c r="U1189"/>
    </row>
    <row r="1190" spans="19:21" ht="14.25" customHeight="1">
      <c r="S1190"/>
      <c r="T1190"/>
      <c r="U1190"/>
    </row>
    <row r="1191" spans="19:21" ht="14.25" customHeight="1">
      <c r="S1191"/>
      <c r="T1191"/>
      <c r="U1191"/>
    </row>
    <row r="1192" spans="19:21" ht="14.25" customHeight="1">
      <c r="S1192"/>
      <c r="T1192"/>
      <c r="U1192"/>
    </row>
    <row r="1193" spans="19:21" ht="14.25" customHeight="1">
      <c r="S1193"/>
      <c r="T1193"/>
      <c r="U1193"/>
    </row>
    <row r="1194" spans="19:21" ht="14.25" customHeight="1">
      <c r="S1194"/>
      <c r="T1194"/>
      <c r="U1194"/>
    </row>
    <row r="1195" spans="19:21" ht="14.25" customHeight="1">
      <c r="S1195"/>
      <c r="T1195"/>
      <c r="U1195"/>
    </row>
    <row r="1196" spans="19:21" ht="14.25" customHeight="1">
      <c r="S1196"/>
      <c r="T1196"/>
      <c r="U1196"/>
    </row>
    <row r="1197" spans="19:21" ht="14.25" customHeight="1">
      <c r="S1197"/>
      <c r="T1197"/>
      <c r="U1197"/>
    </row>
    <row r="1198" spans="19:21" ht="14.25" customHeight="1">
      <c r="S1198"/>
      <c r="T1198"/>
      <c r="U1198"/>
    </row>
    <row r="1199" spans="19:21" ht="14.25" customHeight="1">
      <c r="S1199"/>
      <c r="T1199"/>
      <c r="U1199"/>
    </row>
    <row r="1200" spans="19:21" ht="14.25" customHeight="1">
      <c r="S1200"/>
      <c r="T1200"/>
      <c r="U1200"/>
    </row>
    <row r="1201" spans="19:21" ht="14.25" customHeight="1">
      <c r="S1201"/>
      <c r="T1201"/>
      <c r="U1201"/>
    </row>
    <row r="1202" spans="19:21" ht="14.25" customHeight="1">
      <c r="S1202"/>
      <c r="T1202"/>
      <c r="U1202"/>
    </row>
    <row r="1203" spans="19:21" ht="14.25" customHeight="1">
      <c r="S1203"/>
      <c r="T1203"/>
      <c r="U1203"/>
    </row>
    <row r="1204" spans="19:21" ht="14.25" customHeight="1">
      <c r="S1204"/>
      <c r="T1204"/>
      <c r="U1204"/>
    </row>
    <row r="1205" spans="19:21" ht="14.25" customHeight="1">
      <c r="S1205"/>
      <c r="T1205"/>
      <c r="U1205"/>
    </row>
    <row r="1206" spans="19:21" ht="14.25" customHeight="1">
      <c r="S1206"/>
      <c r="T1206"/>
      <c r="U1206"/>
    </row>
    <row r="1207" spans="19:21" ht="14.25" customHeight="1">
      <c r="S1207"/>
      <c r="T1207"/>
      <c r="U1207"/>
    </row>
    <row r="1208" spans="19:21" ht="14.25" customHeight="1">
      <c r="S1208"/>
      <c r="T1208"/>
      <c r="U1208"/>
    </row>
    <row r="1209" spans="19:21" ht="14.25" customHeight="1">
      <c r="S1209"/>
      <c r="T1209"/>
      <c r="U1209"/>
    </row>
    <row r="1210" spans="19:21" ht="14.25" customHeight="1">
      <c r="S1210"/>
      <c r="T1210"/>
      <c r="U1210"/>
    </row>
    <row r="1211" spans="19:21" ht="14.25" customHeight="1">
      <c r="S1211"/>
      <c r="T1211"/>
      <c r="U1211"/>
    </row>
    <row r="1212" spans="19:21" ht="14.25" customHeight="1">
      <c r="S1212"/>
      <c r="T1212"/>
      <c r="U1212"/>
    </row>
    <row r="1213" spans="19:21" ht="14.25" customHeight="1">
      <c r="S1213"/>
      <c r="T1213"/>
      <c r="U1213"/>
    </row>
    <row r="1214" spans="19:21" ht="14.25" customHeight="1">
      <c r="S1214"/>
      <c r="T1214"/>
      <c r="U1214"/>
    </row>
    <row r="1215" spans="19:21" ht="14.25" customHeight="1">
      <c r="S1215"/>
      <c r="T1215"/>
      <c r="U1215"/>
    </row>
    <row r="1216" spans="19:21" ht="14.25" customHeight="1">
      <c r="S1216"/>
      <c r="T1216"/>
      <c r="U1216"/>
    </row>
    <row r="1217" spans="19:21" ht="14.25" customHeight="1">
      <c r="S1217"/>
      <c r="T1217"/>
      <c r="U1217"/>
    </row>
    <row r="1218" spans="19:21" ht="14.25" customHeight="1">
      <c r="S1218"/>
      <c r="T1218"/>
      <c r="U1218"/>
    </row>
    <row r="1219" spans="19:21" ht="14.25" customHeight="1">
      <c r="S1219"/>
      <c r="T1219"/>
      <c r="U1219"/>
    </row>
    <row r="1220" spans="19:21" ht="14.25" customHeight="1">
      <c r="S1220"/>
      <c r="T1220"/>
      <c r="U1220"/>
    </row>
    <row r="1221" spans="19:21" ht="14.25" customHeight="1">
      <c r="S1221"/>
      <c r="T1221"/>
      <c r="U1221"/>
    </row>
    <row r="1222" spans="19:21" ht="14.25" customHeight="1">
      <c r="S1222"/>
      <c r="T1222"/>
      <c r="U1222"/>
    </row>
    <row r="1223" spans="19:21" ht="14.25" customHeight="1">
      <c r="S1223"/>
      <c r="T1223"/>
      <c r="U1223"/>
    </row>
    <row r="1224" spans="19:21" ht="14.25" customHeight="1">
      <c r="S1224"/>
      <c r="T1224"/>
      <c r="U1224"/>
    </row>
    <row r="1225" spans="19:21" ht="14.25" customHeight="1">
      <c r="S1225"/>
      <c r="T1225"/>
      <c r="U1225"/>
    </row>
    <row r="1226" spans="19:21" ht="14.25" customHeight="1">
      <c r="S1226"/>
      <c r="T1226"/>
      <c r="U1226"/>
    </row>
    <row r="1227" spans="19:21" ht="14.25" customHeight="1">
      <c r="S1227"/>
      <c r="T1227"/>
      <c r="U1227"/>
    </row>
    <row r="1228" spans="19:21" ht="14.25" customHeight="1">
      <c r="S1228"/>
      <c r="T1228"/>
      <c r="U1228"/>
    </row>
    <row r="1229" spans="19:21" ht="14.25" customHeight="1">
      <c r="S1229"/>
      <c r="T1229"/>
      <c r="U1229"/>
    </row>
    <row r="1230" spans="19:21" ht="14.25" customHeight="1">
      <c r="S1230"/>
      <c r="T1230"/>
      <c r="U1230"/>
    </row>
    <row r="1231" spans="19:21" ht="14.25" customHeight="1">
      <c r="S1231"/>
      <c r="T1231"/>
      <c r="U1231"/>
    </row>
    <row r="1232" spans="19:21" ht="14.25" customHeight="1">
      <c r="S1232"/>
      <c r="T1232"/>
      <c r="U1232"/>
    </row>
    <row r="1233" spans="19:21" ht="14.25" customHeight="1">
      <c r="S1233"/>
      <c r="T1233"/>
      <c r="U1233"/>
    </row>
    <row r="1234" spans="19:21" ht="14.25" customHeight="1">
      <c r="S1234"/>
      <c r="T1234"/>
      <c r="U1234"/>
    </row>
    <row r="1235" spans="19:21" ht="14.25" customHeight="1">
      <c r="S1235"/>
      <c r="T1235"/>
      <c r="U1235"/>
    </row>
    <row r="1236" spans="19:21" ht="14.25" customHeight="1">
      <c r="S1236"/>
      <c r="T1236"/>
      <c r="U1236"/>
    </row>
    <row r="1237" spans="19:21" ht="14.25" customHeight="1">
      <c r="S1237"/>
      <c r="T1237"/>
      <c r="U1237"/>
    </row>
    <row r="1238" spans="19:21" ht="14.25" customHeight="1">
      <c r="S1238"/>
      <c r="T1238"/>
      <c r="U1238"/>
    </row>
    <row r="1239" spans="19:21" ht="14.25" customHeight="1">
      <c r="S1239"/>
      <c r="T1239"/>
      <c r="U1239"/>
    </row>
    <row r="1240" spans="19:21" ht="14.25" customHeight="1">
      <c r="S1240"/>
      <c r="T1240"/>
      <c r="U1240"/>
    </row>
    <row r="1241" spans="19:21" ht="14.25" customHeight="1">
      <c r="S1241"/>
      <c r="T1241"/>
      <c r="U1241"/>
    </row>
    <row r="1242" spans="19:21" ht="14.25" customHeight="1">
      <c r="S1242"/>
      <c r="T1242"/>
      <c r="U1242"/>
    </row>
    <row r="1243" spans="19:21" ht="14.25" customHeight="1">
      <c r="S1243"/>
      <c r="T1243"/>
      <c r="U1243"/>
    </row>
    <row r="1244" spans="19:21" ht="14.25" customHeight="1">
      <c r="S1244"/>
      <c r="T1244"/>
      <c r="U1244"/>
    </row>
    <row r="1245" spans="19:21" ht="14.25" customHeight="1">
      <c r="S1245"/>
      <c r="T1245"/>
      <c r="U1245"/>
    </row>
    <row r="1246" spans="19:21" ht="14.25" customHeight="1">
      <c r="S1246"/>
      <c r="T1246"/>
      <c r="U1246"/>
    </row>
    <row r="1247" spans="19:21" ht="14.25" customHeight="1">
      <c r="S1247"/>
      <c r="T1247"/>
      <c r="U1247"/>
    </row>
    <row r="1248" spans="19:21" ht="14.25" customHeight="1">
      <c r="S1248"/>
      <c r="T1248"/>
      <c r="U1248"/>
    </row>
    <row r="1249" spans="19:21" ht="14.25" customHeight="1">
      <c r="S1249"/>
      <c r="T1249"/>
      <c r="U1249"/>
    </row>
    <row r="1250" spans="19:21" ht="14.25" customHeight="1">
      <c r="S1250"/>
      <c r="T1250"/>
      <c r="U1250"/>
    </row>
    <row r="1251" spans="19:21" ht="14.25" customHeight="1">
      <c r="S1251"/>
      <c r="T1251"/>
      <c r="U1251"/>
    </row>
    <row r="1252" spans="19:21" ht="14.25" customHeight="1">
      <c r="S1252"/>
      <c r="T1252"/>
      <c r="U1252"/>
    </row>
    <row r="1253" spans="19:21" ht="14.25" customHeight="1">
      <c r="S1253"/>
      <c r="T1253"/>
      <c r="U1253"/>
    </row>
    <row r="1254" spans="19:21" ht="14.25" customHeight="1">
      <c r="S1254"/>
      <c r="T1254"/>
      <c r="U1254"/>
    </row>
    <row r="1255" spans="19:21" ht="14.25" customHeight="1">
      <c r="S1255"/>
      <c r="T1255"/>
      <c r="U1255"/>
    </row>
    <row r="1256" spans="19:21" ht="14.25" customHeight="1">
      <c r="S1256"/>
      <c r="T1256"/>
      <c r="U1256"/>
    </row>
    <row r="1257" spans="19:21" ht="14.25" customHeight="1">
      <c r="S1257"/>
      <c r="T1257"/>
      <c r="U1257"/>
    </row>
    <row r="1258" spans="19:21" ht="14.25" customHeight="1">
      <c r="S1258"/>
      <c r="T1258"/>
      <c r="U1258"/>
    </row>
    <row r="1259" spans="19:21" ht="14.25" customHeight="1">
      <c r="S1259"/>
      <c r="T1259"/>
      <c r="U1259"/>
    </row>
    <row r="1260" spans="19:21" ht="14.25" customHeight="1">
      <c r="S1260"/>
      <c r="T1260"/>
      <c r="U1260"/>
    </row>
    <row r="1261" spans="19:21" ht="14.25" customHeight="1">
      <c r="S1261"/>
      <c r="T1261"/>
      <c r="U1261"/>
    </row>
    <row r="1262" spans="19:21" ht="14.25" customHeight="1">
      <c r="S1262"/>
      <c r="T1262"/>
      <c r="U1262"/>
    </row>
    <row r="1263" spans="19:21" ht="14.25" customHeight="1">
      <c r="S1263"/>
      <c r="T1263"/>
      <c r="U1263"/>
    </row>
    <row r="1264" spans="19:21" ht="14.25" customHeight="1">
      <c r="S1264"/>
      <c r="T1264"/>
      <c r="U1264"/>
    </row>
    <row r="1265" spans="19:21" ht="14.25" customHeight="1">
      <c r="S1265"/>
      <c r="T1265"/>
      <c r="U1265"/>
    </row>
    <row r="1266" spans="19:21" ht="14.25" customHeight="1">
      <c r="S1266"/>
      <c r="T1266"/>
      <c r="U1266"/>
    </row>
    <row r="1267" spans="19:21" ht="14.25" customHeight="1">
      <c r="S1267"/>
      <c r="T1267"/>
      <c r="U1267"/>
    </row>
    <row r="1268" spans="19:21" ht="14.25" customHeight="1">
      <c r="S1268"/>
      <c r="T1268"/>
      <c r="U1268"/>
    </row>
    <row r="1269" spans="19:21" ht="14.25" customHeight="1">
      <c r="S1269"/>
      <c r="T1269"/>
      <c r="U1269"/>
    </row>
    <row r="1270" spans="19:21" ht="14.25" customHeight="1">
      <c r="S1270"/>
      <c r="T1270"/>
      <c r="U1270"/>
    </row>
    <row r="1271" spans="19:21" ht="14.25" customHeight="1">
      <c r="S1271"/>
      <c r="T1271"/>
      <c r="U1271"/>
    </row>
    <row r="1272" spans="19:21" ht="14.25" customHeight="1">
      <c r="S1272"/>
      <c r="T1272"/>
      <c r="U1272"/>
    </row>
    <row r="1273" spans="19:21" ht="14.25" customHeight="1">
      <c r="S1273"/>
      <c r="T1273"/>
      <c r="U1273"/>
    </row>
    <row r="1274" spans="19:21" ht="14.25" customHeight="1">
      <c r="S1274"/>
      <c r="T1274"/>
      <c r="U1274"/>
    </row>
    <row r="1275" spans="19:21" ht="14.25" customHeight="1">
      <c r="S1275"/>
      <c r="T1275"/>
      <c r="U1275"/>
    </row>
    <row r="1276" spans="19:21" ht="14.25" customHeight="1">
      <c r="S1276"/>
      <c r="T1276"/>
      <c r="U1276"/>
    </row>
    <row r="1277" spans="19:21" ht="14.25" customHeight="1">
      <c r="S1277"/>
      <c r="T1277"/>
      <c r="U1277"/>
    </row>
    <row r="1278" spans="19:21" ht="14.25" customHeight="1">
      <c r="S1278"/>
      <c r="T1278"/>
      <c r="U1278"/>
    </row>
    <row r="1279" spans="19:21" ht="14.25" customHeight="1">
      <c r="S1279"/>
      <c r="T1279"/>
      <c r="U1279"/>
    </row>
    <row r="1280" spans="19:21" ht="14.25" customHeight="1">
      <c r="S1280"/>
      <c r="T1280"/>
      <c r="U1280"/>
    </row>
    <row r="1281" spans="19:21" ht="14.25" customHeight="1">
      <c r="S1281"/>
      <c r="T1281"/>
      <c r="U1281"/>
    </row>
    <row r="1282" spans="19:21" ht="14.25" customHeight="1">
      <c r="S1282"/>
      <c r="T1282"/>
      <c r="U1282"/>
    </row>
    <row r="1283" spans="19:21" ht="14.25" customHeight="1">
      <c r="S1283"/>
      <c r="T1283"/>
      <c r="U1283"/>
    </row>
    <row r="1284" spans="19:21" ht="14.25" customHeight="1">
      <c r="S1284"/>
      <c r="T1284"/>
      <c r="U1284"/>
    </row>
    <row r="1285" spans="19:21" ht="14.25" customHeight="1">
      <c r="S1285"/>
      <c r="T1285"/>
      <c r="U1285"/>
    </row>
    <row r="1286" spans="19:21" ht="14.25" customHeight="1">
      <c r="S1286"/>
      <c r="T1286"/>
      <c r="U1286"/>
    </row>
    <row r="1287" spans="19:21" ht="14.25" customHeight="1">
      <c r="S1287"/>
      <c r="T1287"/>
      <c r="U1287"/>
    </row>
    <row r="1288" spans="19:21" ht="14.25" customHeight="1">
      <c r="S1288"/>
      <c r="T1288"/>
      <c r="U1288"/>
    </row>
    <row r="1289" spans="19:21" ht="14.25" customHeight="1">
      <c r="S1289"/>
      <c r="T1289"/>
      <c r="U1289"/>
    </row>
    <row r="1290" spans="19:21" ht="14.25" customHeight="1">
      <c r="S1290"/>
      <c r="T1290"/>
      <c r="U1290"/>
    </row>
    <row r="1291" spans="19:21" ht="14.25" customHeight="1">
      <c r="S1291"/>
      <c r="T1291"/>
      <c r="U1291"/>
    </row>
    <row r="1292" spans="19:21" ht="14.25" customHeight="1">
      <c r="S1292"/>
      <c r="T1292"/>
      <c r="U1292"/>
    </row>
    <row r="1293" spans="19:21" ht="14.25" customHeight="1">
      <c r="S1293"/>
      <c r="T1293"/>
      <c r="U1293"/>
    </row>
    <row r="1294" spans="19:21" ht="14.25" customHeight="1">
      <c r="S1294"/>
      <c r="T1294"/>
      <c r="U1294"/>
    </row>
    <row r="1295" spans="19:21" ht="14.25" customHeight="1">
      <c r="S1295"/>
      <c r="T1295"/>
      <c r="U1295"/>
    </row>
    <row r="1296" spans="19:21" ht="14.25" customHeight="1">
      <c r="S1296"/>
      <c r="T1296"/>
      <c r="U1296"/>
    </row>
    <row r="1297" spans="19:21" ht="14.25" customHeight="1">
      <c r="S1297"/>
      <c r="T1297"/>
      <c r="U1297"/>
    </row>
    <row r="1298" spans="19:21" ht="14.25" customHeight="1">
      <c r="S1298"/>
      <c r="T1298"/>
      <c r="U1298"/>
    </row>
    <row r="1299" spans="19:21" ht="14.25" customHeight="1">
      <c r="S1299"/>
      <c r="T1299"/>
      <c r="U1299"/>
    </row>
    <row r="1300" spans="19:21" ht="14.25" customHeight="1">
      <c r="S1300"/>
      <c r="T1300"/>
      <c r="U1300"/>
    </row>
    <row r="1301" spans="19:21" ht="14.25" customHeight="1">
      <c r="S1301"/>
      <c r="T1301"/>
      <c r="U1301"/>
    </row>
    <row r="1302" spans="19:21" ht="14.25" customHeight="1">
      <c r="S1302"/>
      <c r="T1302"/>
      <c r="U1302"/>
    </row>
    <row r="1303" spans="19:21" ht="14.25" customHeight="1">
      <c r="S1303"/>
      <c r="T1303"/>
      <c r="U1303"/>
    </row>
    <row r="1304" spans="19:21" ht="14.25" customHeight="1">
      <c r="S1304"/>
      <c r="T1304"/>
      <c r="U1304"/>
    </row>
    <row r="1305" spans="19:21" ht="14.25" customHeight="1">
      <c r="S1305"/>
      <c r="T1305"/>
      <c r="U1305"/>
    </row>
    <row r="1306" spans="19:21" ht="14.25" customHeight="1">
      <c r="S1306"/>
      <c r="T1306"/>
      <c r="U1306"/>
    </row>
    <row r="1307" spans="19:21" ht="14.25" customHeight="1">
      <c r="S1307"/>
      <c r="T1307"/>
      <c r="U1307"/>
    </row>
    <row r="1308" spans="19:21" ht="14.25" customHeight="1">
      <c r="S1308"/>
      <c r="T1308"/>
      <c r="U1308"/>
    </row>
    <row r="1309" spans="19:21" ht="14.25" customHeight="1">
      <c r="S1309"/>
      <c r="T1309"/>
      <c r="U1309"/>
    </row>
    <row r="1310" spans="19:21" ht="14.25" customHeight="1">
      <c r="S1310"/>
      <c r="T1310"/>
      <c r="U1310"/>
    </row>
    <row r="1311" spans="19:21" ht="14.25" customHeight="1">
      <c r="S1311"/>
      <c r="T1311"/>
      <c r="U1311"/>
    </row>
    <row r="1312" spans="19:21" ht="14.25" customHeight="1">
      <c r="S1312"/>
      <c r="T1312"/>
      <c r="U1312"/>
    </row>
    <row r="1313" spans="19:21" ht="14.25" customHeight="1">
      <c r="S1313"/>
      <c r="T1313"/>
      <c r="U1313"/>
    </row>
    <row r="1314" spans="19:21" ht="14.25" customHeight="1">
      <c r="S1314"/>
      <c r="T1314"/>
      <c r="U1314"/>
    </row>
    <row r="1315" spans="19:21" ht="14.25" customHeight="1">
      <c r="S1315"/>
      <c r="T1315"/>
      <c r="U1315"/>
    </row>
    <row r="1316" spans="19:21" ht="14.25" customHeight="1">
      <c r="S1316"/>
      <c r="T1316"/>
      <c r="U1316"/>
    </row>
    <row r="1317" spans="19:21" ht="14.25" customHeight="1">
      <c r="S1317"/>
      <c r="T1317"/>
      <c r="U1317"/>
    </row>
    <row r="1318" spans="19:21" ht="14.25" customHeight="1">
      <c r="S1318"/>
      <c r="T1318"/>
      <c r="U1318"/>
    </row>
    <row r="1319" spans="19:21" ht="14.25" customHeight="1">
      <c r="S1319"/>
      <c r="T1319"/>
      <c r="U1319"/>
    </row>
    <row r="1320" spans="19:21" ht="14.25" customHeight="1">
      <c r="S1320"/>
      <c r="T1320"/>
      <c r="U1320"/>
    </row>
    <row r="1321" spans="19:21" ht="14.25" customHeight="1">
      <c r="S1321"/>
      <c r="T1321"/>
      <c r="U1321"/>
    </row>
    <row r="1322" spans="19:21" ht="14.25" customHeight="1">
      <c r="S1322"/>
      <c r="T1322"/>
      <c r="U1322"/>
    </row>
    <row r="1323" spans="19:21" ht="14.25" customHeight="1">
      <c r="S1323"/>
      <c r="T1323"/>
      <c r="U1323"/>
    </row>
    <row r="1324" spans="19:21" ht="14.25" customHeight="1">
      <c r="S1324"/>
      <c r="T1324"/>
      <c r="U1324"/>
    </row>
    <row r="1325" spans="19:21" ht="14.25" customHeight="1">
      <c r="S1325"/>
      <c r="T1325"/>
      <c r="U1325"/>
    </row>
    <row r="1326" spans="19:21" ht="14.25" customHeight="1">
      <c r="S1326"/>
      <c r="T1326"/>
      <c r="U1326"/>
    </row>
    <row r="1327" spans="19:21" ht="14.25" customHeight="1">
      <c r="S1327"/>
      <c r="T1327"/>
      <c r="U1327"/>
    </row>
    <row r="1328" spans="19:21" ht="14.25" customHeight="1">
      <c r="S1328"/>
      <c r="T1328"/>
      <c r="U1328"/>
    </row>
    <row r="1329" spans="19:21" ht="14.25" customHeight="1">
      <c r="S1329"/>
      <c r="T1329"/>
      <c r="U1329"/>
    </row>
    <row r="1330" spans="19:21" ht="14.25" customHeight="1">
      <c r="S1330"/>
      <c r="T1330"/>
      <c r="U1330"/>
    </row>
    <row r="1331" spans="19:21" ht="14.25" customHeight="1">
      <c r="S1331"/>
      <c r="T1331"/>
      <c r="U1331"/>
    </row>
    <row r="1332" spans="19:21" ht="14.25" customHeight="1">
      <c r="S1332"/>
      <c r="T1332"/>
      <c r="U1332"/>
    </row>
    <row r="1333" spans="19:21" ht="14.25" customHeight="1">
      <c r="S1333"/>
      <c r="T1333"/>
      <c r="U1333"/>
    </row>
    <row r="1334" spans="19:21" ht="14.25" customHeight="1">
      <c r="S1334"/>
      <c r="T1334"/>
      <c r="U1334"/>
    </row>
    <row r="1335" spans="19:21" ht="14.25" customHeight="1">
      <c r="S1335"/>
      <c r="T1335"/>
      <c r="U1335"/>
    </row>
    <row r="1336" spans="19:21" ht="14.25" customHeight="1">
      <c r="S1336"/>
      <c r="T1336"/>
      <c r="U1336"/>
    </row>
    <row r="1337" spans="19:21" ht="14.25" customHeight="1">
      <c r="S1337"/>
      <c r="T1337"/>
      <c r="U1337"/>
    </row>
    <row r="1338" spans="19:21" ht="14.25" customHeight="1">
      <c r="S1338"/>
      <c r="T1338"/>
      <c r="U1338"/>
    </row>
    <row r="1339" spans="19:21" ht="14.25" customHeight="1">
      <c r="S1339"/>
      <c r="T1339"/>
      <c r="U1339"/>
    </row>
    <row r="1340" spans="19:21" ht="14.25" customHeight="1">
      <c r="S1340"/>
      <c r="T1340"/>
      <c r="U1340"/>
    </row>
    <row r="1341" spans="19:21" ht="14.25" customHeight="1">
      <c r="S1341"/>
      <c r="T1341"/>
      <c r="U1341"/>
    </row>
    <row r="1342" spans="19:21" ht="14.25" customHeight="1">
      <c r="S1342"/>
      <c r="T1342"/>
      <c r="U1342"/>
    </row>
    <row r="1343" spans="19:21" ht="14.25" customHeight="1">
      <c r="S1343"/>
      <c r="T1343"/>
      <c r="U1343"/>
    </row>
    <row r="1344" spans="19:21" ht="14.25" customHeight="1">
      <c r="S1344"/>
      <c r="T1344"/>
      <c r="U1344"/>
    </row>
    <row r="1345" spans="19:21" ht="14.25" customHeight="1">
      <c r="S1345"/>
      <c r="T1345"/>
      <c r="U1345"/>
    </row>
    <row r="1346" spans="19:21" ht="14.25" customHeight="1">
      <c r="S1346"/>
      <c r="T1346"/>
      <c r="U1346"/>
    </row>
    <row r="1347" spans="19:21" ht="14.25" customHeight="1">
      <c r="S1347"/>
      <c r="T1347"/>
      <c r="U1347"/>
    </row>
    <row r="1348" spans="19:21" ht="14.25" customHeight="1">
      <c r="S1348"/>
      <c r="T1348"/>
      <c r="U1348"/>
    </row>
    <row r="1349" spans="19:21" ht="14.25" customHeight="1">
      <c r="S1349"/>
      <c r="T1349"/>
      <c r="U1349"/>
    </row>
    <row r="1350" spans="19:21" ht="14.25" customHeight="1">
      <c r="S1350"/>
      <c r="T1350"/>
      <c r="U1350"/>
    </row>
    <row r="1351" spans="19:21" ht="14.25" customHeight="1">
      <c r="S1351"/>
      <c r="T1351"/>
      <c r="U1351"/>
    </row>
    <row r="1352" spans="19:21" ht="14.25" customHeight="1">
      <c r="S1352"/>
      <c r="T1352"/>
      <c r="U1352"/>
    </row>
    <row r="1353" spans="19:21" ht="14.25" customHeight="1">
      <c r="S1353"/>
      <c r="T1353"/>
      <c r="U1353"/>
    </row>
    <row r="1354" spans="19:21" ht="14.25" customHeight="1">
      <c r="S1354"/>
      <c r="T1354"/>
      <c r="U1354"/>
    </row>
    <row r="1355" spans="19:21" ht="14.25" customHeight="1">
      <c r="S1355"/>
      <c r="T1355"/>
      <c r="U1355"/>
    </row>
    <row r="1356" spans="19:21" ht="14.25" customHeight="1">
      <c r="S1356"/>
      <c r="T1356"/>
      <c r="U1356"/>
    </row>
    <row r="1357" spans="19:21" ht="14.25" customHeight="1">
      <c r="S1357"/>
      <c r="T1357"/>
      <c r="U1357"/>
    </row>
    <row r="1358" spans="19:21" ht="14.25" customHeight="1">
      <c r="S1358"/>
      <c r="T1358"/>
      <c r="U1358"/>
    </row>
    <row r="1359" spans="19:21" ht="14.25" customHeight="1">
      <c r="S1359"/>
      <c r="T1359"/>
      <c r="U1359"/>
    </row>
    <row r="1360" spans="19:21" ht="14.25" customHeight="1">
      <c r="S1360"/>
      <c r="T1360"/>
      <c r="U1360"/>
    </row>
    <row r="1361" spans="19:21" ht="14.25" customHeight="1">
      <c r="S1361"/>
      <c r="T1361"/>
      <c r="U1361"/>
    </row>
    <row r="1362" spans="19:21" ht="14.25" customHeight="1">
      <c r="S1362"/>
      <c r="T1362"/>
      <c r="U1362"/>
    </row>
    <row r="1363" spans="19:21" ht="14.25" customHeight="1">
      <c r="S1363"/>
      <c r="T1363"/>
      <c r="U1363"/>
    </row>
    <row r="1364" spans="19:21" ht="14.25" customHeight="1">
      <c r="S1364"/>
      <c r="T1364"/>
      <c r="U1364"/>
    </row>
    <row r="1365" spans="19:21" ht="14.25" customHeight="1">
      <c r="S1365"/>
      <c r="T1365"/>
      <c r="U1365"/>
    </row>
    <row r="1366" spans="19:21" ht="14.25" customHeight="1">
      <c r="S1366"/>
      <c r="T1366"/>
      <c r="U1366"/>
    </row>
    <row r="1367" spans="19:21" ht="14.25" customHeight="1">
      <c r="S1367"/>
      <c r="T1367"/>
      <c r="U1367"/>
    </row>
    <row r="1368" spans="19:21" ht="14.25" customHeight="1">
      <c r="S1368"/>
      <c r="T1368"/>
      <c r="U1368"/>
    </row>
    <row r="1369" spans="19:21" ht="14.25" customHeight="1">
      <c r="S1369"/>
      <c r="T1369"/>
      <c r="U1369"/>
    </row>
    <row r="1370" spans="19:21" ht="14.25" customHeight="1">
      <c r="S1370"/>
      <c r="T1370"/>
      <c r="U1370"/>
    </row>
    <row r="1371" spans="19:21" ht="14.25" customHeight="1">
      <c r="S1371"/>
      <c r="T1371"/>
      <c r="U1371"/>
    </row>
    <row r="1372" spans="19:21" ht="14.25" customHeight="1">
      <c r="S1372"/>
      <c r="T1372"/>
      <c r="U1372"/>
    </row>
    <row r="1373" spans="19:21" ht="14.25" customHeight="1">
      <c r="S1373"/>
      <c r="T1373"/>
      <c r="U1373"/>
    </row>
    <row r="1374" spans="19:21" ht="14.25" customHeight="1">
      <c r="S1374"/>
      <c r="T1374"/>
      <c r="U1374"/>
    </row>
    <row r="1375" spans="19:21" ht="14.25" customHeight="1">
      <c r="S1375"/>
      <c r="T1375"/>
      <c r="U1375"/>
    </row>
    <row r="1376" spans="19:21" ht="14.25" customHeight="1">
      <c r="S1376"/>
      <c r="T1376"/>
      <c r="U1376"/>
    </row>
    <row r="1377" spans="19:21" ht="14.25" customHeight="1">
      <c r="S1377"/>
      <c r="T1377"/>
      <c r="U1377"/>
    </row>
    <row r="1378" spans="19:21" ht="14.25" customHeight="1">
      <c r="S1378"/>
      <c r="T1378"/>
      <c r="U1378"/>
    </row>
    <row r="1379" spans="19:21" ht="14.25" customHeight="1">
      <c r="S1379"/>
      <c r="T1379"/>
      <c r="U1379"/>
    </row>
    <row r="1380" spans="19:21" ht="14.25" customHeight="1">
      <c r="S1380"/>
      <c r="T1380"/>
      <c r="U1380"/>
    </row>
    <row r="1381" spans="19:21" ht="14.25" customHeight="1">
      <c r="S1381"/>
      <c r="T1381"/>
      <c r="U1381"/>
    </row>
    <row r="1382" spans="19:21" ht="14.25" customHeight="1">
      <c r="S1382"/>
      <c r="T1382"/>
      <c r="U1382"/>
    </row>
    <row r="1383" spans="19:21" ht="14.25" customHeight="1">
      <c r="S1383"/>
      <c r="T1383"/>
      <c r="U1383"/>
    </row>
    <row r="1384" spans="19:21" ht="14.25" customHeight="1">
      <c r="S1384"/>
      <c r="T1384"/>
      <c r="U1384"/>
    </row>
    <row r="1385" spans="19:21" ht="14.25" customHeight="1">
      <c r="S1385"/>
      <c r="T1385"/>
      <c r="U1385"/>
    </row>
    <row r="1386" spans="19:21" ht="14.25" customHeight="1">
      <c r="S1386"/>
      <c r="T1386"/>
      <c r="U1386"/>
    </row>
    <row r="1387" spans="19:21" ht="14.25" customHeight="1">
      <c r="S1387"/>
      <c r="T1387"/>
      <c r="U1387"/>
    </row>
    <row r="1388" spans="19:21" ht="14.25" customHeight="1">
      <c r="S1388"/>
      <c r="T1388"/>
      <c r="U1388"/>
    </row>
    <row r="1389" spans="19:21" ht="14.25" customHeight="1">
      <c r="S1389"/>
      <c r="T1389"/>
      <c r="U1389"/>
    </row>
    <row r="1390" spans="19:21" ht="14.25" customHeight="1">
      <c r="S1390"/>
      <c r="T1390"/>
      <c r="U1390"/>
    </row>
    <row r="1391" spans="19:21" ht="14.25" customHeight="1">
      <c r="S1391"/>
      <c r="T1391"/>
      <c r="U1391"/>
    </row>
    <row r="1392" spans="19:21" ht="14.25" customHeight="1">
      <c r="S1392"/>
      <c r="T1392"/>
      <c r="U1392"/>
    </row>
    <row r="1393" spans="19:21" ht="14.25" customHeight="1">
      <c r="S1393"/>
      <c r="T1393"/>
      <c r="U1393"/>
    </row>
    <row r="1394" spans="19:21" ht="14.25" customHeight="1">
      <c r="S1394"/>
      <c r="T1394"/>
      <c r="U1394"/>
    </row>
    <row r="1395" spans="19:21" ht="14.25" customHeight="1">
      <c r="S1395"/>
      <c r="T1395"/>
      <c r="U1395"/>
    </row>
    <row r="1396" spans="19:21" ht="14.25" customHeight="1">
      <c r="S1396"/>
      <c r="T1396"/>
      <c r="U1396"/>
    </row>
    <row r="1397" spans="19:21" ht="14.25" customHeight="1">
      <c r="S1397"/>
      <c r="T1397"/>
      <c r="U1397"/>
    </row>
    <row r="1398" spans="19:21" ht="14.25" customHeight="1">
      <c r="S1398"/>
      <c r="T1398"/>
      <c r="U1398"/>
    </row>
    <row r="1399" spans="19:21" ht="14.25" customHeight="1">
      <c r="S1399"/>
      <c r="T1399"/>
      <c r="U1399"/>
    </row>
    <row r="1400" spans="19:21" ht="14.25" customHeight="1">
      <c r="S1400"/>
      <c r="T1400"/>
      <c r="U1400"/>
    </row>
    <row r="1401" spans="19:21" ht="14.25" customHeight="1">
      <c r="S1401"/>
      <c r="T1401"/>
      <c r="U1401"/>
    </row>
    <row r="1402" spans="19:21" ht="14.25" customHeight="1">
      <c r="S1402"/>
      <c r="T1402"/>
      <c r="U1402"/>
    </row>
    <row r="1403" spans="19:21" ht="14.25" customHeight="1">
      <c r="S1403"/>
      <c r="T1403"/>
      <c r="U1403"/>
    </row>
    <row r="1404" spans="19:21" ht="14.25" customHeight="1">
      <c r="S1404"/>
      <c r="T1404"/>
      <c r="U1404"/>
    </row>
    <row r="1405" spans="19:21" ht="14.25" customHeight="1">
      <c r="S1405"/>
      <c r="T1405"/>
      <c r="U1405"/>
    </row>
    <row r="1406" spans="19:21" ht="14.25" customHeight="1">
      <c r="S1406"/>
      <c r="T1406"/>
      <c r="U1406"/>
    </row>
    <row r="1407" spans="19:21" ht="14.25" customHeight="1">
      <c r="S1407"/>
      <c r="T1407"/>
      <c r="U1407"/>
    </row>
    <row r="1408" spans="19:21" ht="14.25" customHeight="1">
      <c r="S1408"/>
      <c r="T1408"/>
      <c r="U1408"/>
    </row>
    <row r="1409" spans="19:21" ht="14.25" customHeight="1">
      <c r="S1409"/>
      <c r="T1409"/>
      <c r="U1409"/>
    </row>
    <row r="1410" spans="19:21" ht="14.25" customHeight="1">
      <c r="S1410"/>
      <c r="T1410"/>
      <c r="U1410"/>
    </row>
    <row r="1411" spans="19:21" ht="14.25" customHeight="1">
      <c r="S1411"/>
      <c r="T1411"/>
      <c r="U1411"/>
    </row>
    <row r="1412" spans="19:21" ht="14.25" customHeight="1">
      <c r="S1412"/>
      <c r="T1412"/>
      <c r="U1412"/>
    </row>
    <row r="1413" spans="19:21" ht="14.25" customHeight="1">
      <c r="S1413"/>
      <c r="T1413"/>
      <c r="U1413"/>
    </row>
    <row r="1414" spans="19:21" ht="14.25" customHeight="1">
      <c r="S1414"/>
      <c r="T1414"/>
      <c r="U1414"/>
    </row>
    <row r="1415" spans="19:21" ht="14.25" customHeight="1">
      <c r="S1415"/>
      <c r="T1415"/>
      <c r="U1415"/>
    </row>
    <row r="1416" spans="19:21" ht="14.25" customHeight="1">
      <c r="S1416"/>
      <c r="T1416"/>
      <c r="U1416"/>
    </row>
    <row r="1417" spans="19:21" ht="14.25" customHeight="1">
      <c r="S1417"/>
      <c r="T1417"/>
      <c r="U1417"/>
    </row>
    <row r="1418" spans="19:21" ht="14.25" customHeight="1">
      <c r="S1418"/>
      <c r="T1418"/>
      <c r="U1418"/>
    </row>
    <row r="1419" spans="19:21" ht="14.25" customHeight="1">
      <c r="S1419"/>
      <c r="T1419"/>
      <c r="U1419"/>
    </row>
    <row r="1420" spans="19:21" ht="14.25" customHeight="1">
      <c r="S1420"/>
      <c r="T1420"/>
      <c r="U1420"/>
    </row>
    <row r="1421" spans="19:21" ht="14.25" customHeight="1">
      <c r="S1421"/>
      <c r="T1421"/>
      <c r="U1421"/>
    </row>
    <row r="1422" spans="19:21" ht="14.25" customHeight="1">
      <c r="S1422"/>
      <c r="T1422"/>
      <c r="U1422"/>
    </row>
    <row r="1423" spans="19:21" ht="14.25" customHeight="1">
      <c r="S1423"/>
      <c r="T1423"/>
      <c r="U1423"/>
    </row>
    <row r="1424" spans="19:21" ht="14.25" customHeight="1">
      <c r="S1424"/>
      <c r="T1424"/>
      <c r="U1424"/>
    </row>
    <row r="1425" spans="19:21" ht="14.25" customHeight="1">
      <c r="S1425"/>
      <c r="T1425"/>
      <c r="U1425"/>
    </row>
    <row r="1426" spans="19:21" ht="14.25" customHeight="1">
      <c r="S1426"/>
      <c r="T1426"/>
      <c r="U1426"/>
    </row>
    <row r="1427" spans="19:21" ht="14.25" customHeight="1">
      <c r="S1427"/>
      <c r="T1427"/>
      <c r="U1427"/>
    </row>
    <row r="1428" spans="19:21" ht="14.25" customHeight="1">
      <c r="S1428"/>
      <c r="T1428"/>
      <c r="U1428"/>
    </row>
    <row r="1429" spans="19:21" ht="14.25" customHeight="1">
      <c r="S1429"/>
      <c r="T1429"/>
      <c r="U1429"/>
    </row>
    <row r="1430" spans="19:21" ht="14.25" customHeight="1">
      <c r="S1430"/>
      <c r="T1430"/>
      <c r="U1430"/>
    </row>
    <row r="1431" spans="19:21" ht="14.25" customHeight="1">
      <c r="S1431"/>
      <c r="T1431"/>
      <c r="U1431"/>
    </row>
    <row r="1432" spans="19:21" ht="14.25" customHeight="1">
      <c r="S1432"/>
      <c r="T1432"/>
      <c r="U1432"/>
    </row>
    <row r="1433" spans="19:21" ht="14.25" customHeight="1">
      <c r="S1433"/>
      <c r="T1433"/>
      <c r="U1433"/>
    </row>
    <row r="1434" spans="19:21" ht="14.25" customHeight="1">
      <c r="S1434"/>
      <c r="T1434"/>
      <c r="U1434"/>
    </row>
    <row r="1435" spans="19:21" ht="14.25" customHeight="1">
      <c r="S1435"/>
      <c r="T1435"/>
      <c r="U1435"/>
    </row>
    <row r="1436" spans="19:21" ht="14.25" customHeight="1">
      <c r="S1436"/>
      <c r="T1436"/>
      <c r="U1436"/>
    </row>
    <row r="1437" spans="19:21" ht="14.25" customHeight="1">
      <c r="S1437"/>
      <c r="T1437"/>
      <c r="U1437"/>
    </row>
    <row r="1438" spans="19:21" ht="14.25" customHeight="1">
      <c r="S1438"/>
      <c r="T1438"/>
      <c r="U1438"/>
    </row>
    <row r="1439" spans="19:21" ht="14.25" customHeight="1">
      <c r="S1439"/>
      <c r="T1439"/>
      <c r="U1439"/>
    </row>
    <row r="1440" spans="19:21" ht="14.25" customHeight="1">
      <c r="S1440"/>
      <c r="T1440"/>
      <c r="U1440"/>
    </row>
    <row r="1441" spans="19:21" ht="14.25" customHeight="1">
      <c r="S1441"/>
      <c r="T1441"/>
      <c r="U1441"/>
    </row>
    <row r="1442" spans="19:21" ht="14.25" customHeight="1">
      <c r="S1442"/>
      <c r="T1442"/>
      <c r="U1442"/>
    </row>
    <row r="1443" spans="19:21" ht="14.25" customHeight="1">
      <c r="S1443"/>
      <c r="T1443"/>
      <c r="U1443"/>
    </row>
    <row r="1444" spans="19:21" ht="14.25" customHeight="1">
      <c r="S1444"/>
      <c r="T1444"/>
      <c r="U1444"/>
    </row>
    <row r="1445" spans="19:21" ht="14.25" customHeight="1">
      <c r="S1445"/>
      <c r="T1445"/>
      <c r="U1445"/>
    </row>
    <row r="1446" spans="19:21" ht="14.25" customHeight="1">
      <c r="S1446"/>
      <c r="T1446"/>
      <c r="U1446"/>
    </row>
    <row r="1447" spans="19:21" ht="14.25" customHeight="1">
      <c r="S1447"/>
      <c r="T1447"/>
      <c r="U1447"/>
    </row>
    <row r="1448" spans="19:21" ht="14.25" customHeight="1">
      <c r="S1448"/>
      <c r="T1448"/>
      <c r="U1448"/>
    </row>
    <row r="1449" spans="19:21" ht="14.25" customHeight="1">
      <c r="S1449"/>
      <c r="T1449"/>
      <c r="U1449"/>
    </row>
    <row r="1450" spans="19:21" ht="14.25" customHeight="1">
      <c r="S1450"/>
      <c r="T1450"/>
      <c r="U1450"/>
    </row>
    <row r="1451" spans="19:21" ht="14.25" customHeight="1">
      <c r="S1451"/>
      <c r="T1451"/>
      <c r="U1451"/>
    </row>
    <row r="1452" spans="19:21" ht="14.25" customHeight="1">
      <c r="S1452"/>
      <c r="T1452"/>
      <c r="U1452"/>
    </row>
    <row r="1453" spans="19:21" ht="14.25" customHeight="1">
      <c r="S1453"/>
      <c r="T1453"/>
      <c r="U1453"/>
    </row>
    <row r="1454" spans="19:21" ht="14.25" customHeight="1">
      <c r="S1454"/>
      <c r="T1454"/>
      <c r="U1454"/>
    </row>
    <row r="1455" spans="19:21" ht="14.25" customHeight="1">
      <c r="S1455"/>
      <c r="T1455"/>
      <c r="U1455"/>
    </row>
    <row r="1456" spans="19:21" ht="14.25" customHeight="1">
      <c r="S1456"/>
      <c r="T1456"/>
      <c r="U1456"/>
    </row>
    <row r="1457" spans="19:21" ht="14.25" customHeight="1">
      <c r="S1457"/>
      <c r="T1457"/>
      <c r="U1457"/>
    </row>
    <row r="1458" spans="19:21" ht="14.25" customHeight="1">
      <c r="S1458"/>
      <c r="T1458"/>
      <c r="U1458"/>
    </row>
    <row r="1459" spans="19:21" ht="14.25" customHeight="1">
      <c r="S1459"/>
      <c r="T1459"/>
      <c r="U1459"/>
    </row>
    <row r="1460" spans="19:21" ht="14.25" customHeight="1">
      <c r="S1460"/>
      <c r="T1460"/>
      <c r="U1460"/>
    </row>
    <row r="1461" spans="19:21" ht="14.25" customHeight="1">
      <c r="S1461"/>
      <c r="T1461"/>
      <c r="U1461"/>
    </row>
    <row r="1462" spans="19:21" ht="14.25" customHeight="1">
      <c r="S1462"/>
      <c r="T1462"/>
      <c r="U1462"/>
    </row>
    <row r="1463" spans="19:21" ht="14.25" customHeight="1">
      <c r="S1463"/>
      <c r="T1463"/>
      <c r="U1463"/>
    </row>
    <row r="1464" spans="19:21" ht="14.25" customHeight="1">
      <c r="S1464"/>
      <c r="T1464"/>
      <c r="U1464"/>
    </row>
    <row r="1465" spans="19:21" ht="14.25" customHeight="1">
      <c r="S1465"/>
      <c r="T1465"/>
      <c r="U1465"/>
    </row>
    <row r="1466" spans="19:21" ht="14.25" customHeight="1">
      <c r="S1466"/>
      <c r="T1466"/>
      <c r="U1466"/>
    </row>
    <row r="1467" spans="19:21" ht="14.25" customHeight="1">
      <c r="S1467"/>
      <c r="T1467"/>
      <c r="U1467"/>
    </row>
    <row r="1468" spans="19:21" ht="14.25" customHeight="1">
      <c r="S1468"/>
      <c r="T1468"/>
      <c r="U1468"/>
    </row>
    <row r="1469" spans="19:21" ht="14.25" customHeight="1">
      <c r="S1469"/>
      <c r="T1469"/>
      <c r="U1469"/>
    </row>
    <row r="1470" spans="19:21" ht="14.25" customHeight="1">
      <c r="S1470"/>
      <c r="T1470"/>
      <c r="U1470"/>
    </row>
    <row r="1471" spans="19:21" ht="14.25" customHeight="1">
      <c r="S1471"/>
      <c r="T1471"/>
      <c r="U1471"/>
    </row>
    <row r="1472" spans="19:21" ht="14.25" customHeight="1">
      <c r="S1472"/>
      <c r="T1472"/>
      <c r="U1472"/>
    </row>
    <row r="1473" spans="19:21" ht="14.25" customHeight="1">
      <c r="S1473"/>
      <c r="T1473"/>
      <c r="U1473"/>
    </row>
    <row r="1474" spans="19:21" ht="14.25" customHeight="1">
      <c r="S1474"/>
      <c r="T1474"/>
      <c r="U1474"/>
    </row>
    <row r="1475" spans="19:21" ht="14.25" customHeight="1">
      <c r="S1475"/>
      <c r="T1475"/>
      <c r="U1475"/>
    </row>
    <row r="1476" spans="19:21" ht="14.25" customHeight="1">
      <c r="S1476"/>
      <c r="T1476"/>
      <c r="U1476"/>
    </row>
    <row r="1477" spans="19:21" ht="14.25" customHeight="1">
      <c r="S1477"/>
      <c r="T1477"/>
      <c r="U1477"/>
    </row>
    <row r="1478" spans="19:21" ht="14.25" customHeight="1">
      <c r="S1478"/>
      <c r="T1478"/>
      <c r="U1478"/>
    </row>
    <row r="1479" spans="19:21" ht="14.25" customHeight="1">
      <c r="S1479"/>
      <c r="T1479"/>
      <c r="U1479"/>
    </row>
    <row r="1480" spans="19:21" ht="14.25" customHeight="1">
      <c r="S1480"/>
      <c r="T1480"/>
      <c r="U1480"/>
    </row>
    <row r="1481" spans="19:21" ht="14.25" customHeight="1">
      <c r="S1481"/>
      <c r="T1481"/>
      <c r="U1481"/>
    </row>
    <row r="1482" spans="19:21" ht="14.25" customHeight="1">
      <c r="S1482"/>
      <c r="T1482"/>
      <c r="U1482"/>
    </row>
    <row r="1483" spans="19:21" ht="14.25" customHeight="1">
      <c r="S1483"/>
      <c r="T1483"/>
      <c r="U1483"/>
    </row>
    <row r="1484" spans="19:21" ht="14.25" customHeight="1">
      <c r="S1484"/>
      <c r="T1484"/>
      <c r="U1484"/>
    </row>
    <row r="1485" spans="19:21" ht="14.25" customHeight="1">
      <c r="S1485"/>
      <c r="T1485"/>
      <c r="U1485"/>
    </row>
    <row r="1486" spans="19:21" ht="14.25" customHeight="1">
      <c r="S1486"/>
      <c r="T1486"/>
      <c r="U1486"/>
    </row>
    <row r="1487" spans="19:21" ht="14.25" customHeight="1">
      <c r="S1487"/>
      <c r="T1487"/>
      <c r="U1487"/>
    </row>
    <row r="1488" spans="19:21" ht="14.25" customHeight="1">
      <c r="S1488"/>
      <c r="T1488"/>
      <c r="U1488"/>
    </row>
    <row r="1489" spans="19:21" ht="14.25" customHeight="1">
      <c r="S1489"/>
      <c r="T1489"/>
      <c r="U1489"/>
    </row>
    <row r="1490" spans="19:21" ht="14.25" customHeight="1">
      <c r="S1490"/>
      <c r="T1490"/>
      <c r="U1490"/>
    </row>
    <row r="1491" spans="19:21" ht="14.25" customHeight="1">
      <c r="S1491"/>
      <c r="T1491"/>
      <c r="U1491"/>
    </row>
    <row r="1492" spans="19:21" ht="14.25" customHeight="1">
      <c r="S1492"/>
      <c r="T1492"/>
      <c r="U1492"/>
    </row>
    <row r="1493" spans="19:21" ht="14.25" customHeight="1">
      <c r="S1493"/>
      <c r="T1493"/>
      <c r="U1493"/>
    </row>
    <row r="1494" spans="19:21" ht="14.25" customHeight="1">
      <c r="S1494"/>
      <c r="T1494"/>
      <c r="U1494"/>
    </row>
    <row r="1495" spans="19:21" ht="14.25" customHeight="1">
      <c r="S1495"/>
      <c r="T1495"/>
      <c r="U1495"/>
    </row>
    <row r="1496" spans="19:21" ht="14.25" customHeight="1">
      <c r="S1496"/>
      <c r="T1496"/>
      <c r="U1496"/>
    </row>
    <row r="1497" spans="19:21" ht="14.25" customHeight="1">
      <c r="S1497"/>
      <c r="T1497"/>
      <c r="U1497"/>
    </row>
    <row r="1498" spans="19:21" ht="14.25" customHeight="1">
      <c r="S1498"/>
      <c r="T1498"/>
      <c r="U1498"/>
    </row>
    <row r="1499" spans="19:21" ht="14.25" customHeight="1">
      <c r="S1499"/>
      <c r="T1499"/>
      <c r="U1499"/>
    </row>
    <row r="1500" spans="19:21" ht="14.25" customHeight="1">
      <c r="S1500"/>
      <c r="T1500"/>
      <c r="U1500"/>
    </row>
    <row r="1501" spans="19:21" ht="14.25" customHeight="1">
      <c r="S1501"/>
      <c r="T1501"/>
      <c r="U1501"/>
    </row>
    <row r="1502" spans="19:21" ht="14.25" customHeight="1">
      <c r="S1502"/>
      <c r="T1502"/>
      <c r="U1502"/>
    </row>
    <row r="1503" spans="19:21" ht="14.25" customHeight="1">
      <c r="S1503"/>
      <c r="T1503"/>
      <c r="U1503"/>
    </row>
    <row r="1504" spans="19:21" ht="14.25" customHeight="1">
      <c r="S1504"/>
      <c r="T1504"/>
      <c r="U1504"/>
    </row>
    <row r="1505" spans="19:21" ht="14.25" customHeight="1">
      <c r="S1505"/>
      <c r="T1505"/>
      <c r="U1505"/>
    </row>
    <row r="1506" spans="19:21" ht="14.25" customHeight="1">
      <c r="S1506"/>
      <c r="T1506"/>
      <c r="U1506"/>
    </row>
    <row r="1507" spans="19:21" ht="14.25" customHeight="1">
      <c r="S1507"/>
      <c r="T1507"/>
      <c r="U1507"/>
    </row>
    <row r="1508" spans="19:21" ht="14.25" customHeight="1">
      <c r="S1508"/>
      <c r="T1508"/>
      <c r="U1508"/>
    </row>
    <row r="1509" spans="19:21" ht="14.25" customHeight="1">
      <c r="S1509"/>
      <c r="T1509"/>
      <c r="U1509"/>
    </row>
    <row r="1510" spans="19:21" ht="14.25" customHeight="1">
      <c r="S1510"/>
      <c r="T1510"/>
      <c r="U1510"/>
    </row>
    <row r="1511" spans="19:21" ht="14.25" customHeight="1">
      <c r="S1511"/>
      <c r="T1511"/>
      <c r="U1511"/>
    </row>
    <row r="1512" spans="19:21" ht="14.25" customHeight="1">
      <c r="S1512"/>
      <c r="T1512"/>
      <c r="U1512"/>
    </row>
    <row r="1513" spans="19:21" ht="14.25" customHeight="1">
      <c r="S1513"/>
      <c r="T1513"/>
      <c r="U1513"/>
    </row>
    <row r="1514" spans="19:21" ht="14.25" customHeight="1">
      <c r="S1514"/>
      <c r="T1514"/>
      <c r="U1514"/>
    </row>
    <row r="1515" spans="19:21" ht="14.25" customHeight="1">
      <c r="S1515"/>
      <c r="T1515"/>
      <c r="U1515"/>
    </row>
    <row r="1516" spans="19:21" ht="14.25" customHeight="1">
      <c r="S1516"/>
      <c r="T1516"/>
      <c r="U1516"/>
    </row>
    <row r="1517" spans="19:21" ht="14.25" customHeight="1">
      <c r="S1517"/>
      <c r="T1517"/>
      <c r="U1517"/>
    </row>
    <row r="1518" spans="19:21" ht="14.25" customHeight="1">
      <c r="S1518"/>
      <c r="T1518"/>
      <c r="U1518"/>
    </row>
    <row r="1519" spans="19:21" ht="14.25" customHeight="1">
      <c r="S1519"/>
      <c r="T1519"/>
      <c r="U1519"/>
    </row>
    <row r="1520" spans="19:21" ht="14.25" customHeight="1">
      <c r="S1520"/>
      <c r="T1520"/>
      <c r="U1520"/>
    </row>
    <row r="1521" spans="19:21" ht="14.25" customHeight="1">
      <c r="S1521"/>
      <c r="T1521"/>
      <c r="U1521"/>
    </row>
    <row r="1522" spans="19:21" ht="14.25" customHeight="1">
      <c r="S1522"/>
      <c r="T1522"/>
      <c r="U1522"/>
    </row>
    <row r="1523" spans="19:21" ht="14.25" customHeight="1">
      <c r="S1523"/>
      <c r="T1523"/>
      <c r="U1523"/>
    </row>
    <row r="1524" spans="19:21" ht="14.25" customHeight="1">
      <c r="S1524"/>
      <c r="T1524"/>
      <c r="U1524"/>
    </row>
    <row r="1525" spans="19:21" ht="14.25" customHeight="1">
      <c r="S1525"/>
      <c r="T1525"/>
      <c r="U1525"/>
    </row>
    <row r="1526" spans="19:21" ht="14.25" customHeight="1">
      <c r="S1526"/>
      <c r="T1526"/>
      <c r="U1526"/>
    </row>
    <row r="1527" spans="19:21" ht="14.25" customHeight="1">
      <c r="S1527"/>
      <c r="T1527"/>
      <c r="U1527"/>
    </row>
    <row r="1528" spans="19:21" ht="14.25" customHeight="1">
      <c r="S1528"/>
      <c r="T1528"/>
      <c r="U1528"/>
    </row>
    <row r="1529" spans="19:21" ht="14.25" customHeight="1">
      <c r="S1529"/>
      <c r="T1529"/>
      <c r="U1529"/>
    </row>
    <row r="1530" spans="19:21" ht="14.25" customHeight="1">
      <c r="S1530"/>
      <c r="T1530"/>
      <c r="U1530"/>
    </row>
    <row r="1531" spans="19:21" ht="14.25" customHeight="1">
      <c r="S1531"/>
      <c r="T1531"/>
      <c r="U1531"/>
    </row>
    <row r="1532" spans="19:21" ht="14.25" customHeight="1">
      <c r="S1532"/>
      <c r="T1532"/>
      <c r="U1532"/>
    </row>
    <row r="1533" spans="19:21" ht="14.25" customHeight="1">
      <c r="S1533"/>
      <c r="T1533"/>
      <c r="U1533"/>
    </row>
    <row r="1534" spans="19:21" ht="14.25" customHeight="1">
      <c r="S1534"/>
      <c r="T1534"/>
      <c r="U1534"/>
    </row>
    <row r="1535" spans="19:21" ht="14.25" customHeight="1">
      <c r="S1535"/>
      <c r="T1535"/>
      <c r="U1535"/>
    </row>
    <row r="1536" spans="19:21" ht="14.25" customHeight="1">
      <c r="S1536"/>
      <c r="T1536"/>
      <c r="U1536"/>
    </row>
    <row r="1537" spans="19:21" ht="14.25" customHeight="1">
      <c r="S1537"/>
      <c r="T1537"/>
      <c r="U1537"/>
    </row>
    <row r="1538" spans="19:21" ht="14.25" customHeight="1">
      <c r="S1538"/>
      <c r="T1538"/>
      <c r="U1538"/>
    </row>
    <row r="1539" spans="19:21" ht="14.25" customHeight="1">
      <c r="S1539"/>
      <c r="T1539"/>
      <c r="U1539"/>
    </row>
    <row r="1540" spans="19:21" ht="14.25" customHeight="1">
      <c r="S1540"/>
      <c r="T1540"/>
      <c r="U1540"/>
    </row>
    <row r="1541" spans="19:21" ht="14.25" customHeight="1">
      <c r="S1541"/>
      <c r="T1541"/>
      <c r="U1541"/>
    </row>
    <row r="1542" spans="19:21" ht="14.25" customHeight="1">
      <c r="S1542"/>
      <c r="T1542"/>
      <c r="U1542"/>
    </row>
    <row r="1543" spans="19:21" ht="14.25" customHeight="1">
      <c r="S1543"/>
      <c r="T1543"/>
      <c r="U1543"/>
    </row>
    <row r="1544" spans="19:21" ht="14.25" customHeight="1">
      <c r="S1544"/>
      <c r="T1544"/>
      <c r="U1544"/>
    </row>
    <row r="1545" spans="19:21" ht="14.25" customHeight="1">
      <c r="S1545"/>
      <c r="T1545"/>
      <c r="U1545"/>
    </row>
    <row r="1546" spans="19:21" ht="14.25" customHeight="1">
      <c r="S1546"/>
      <c r="T1546"/>
      <c r="U1546"/>
    </row>
    <row r="1547" spans="19:21" ht="14.25" customHeight="1">
      <c r="S1547"/>
      <c r="T1547"/>
      <c r="U1547"/>
    </row>
    <row r="1548" spans="19:21" ht="14.25" customHeight="1">
      <c r="S1548"/>
      <c r="T1548"/>
      <c r="U1548"/>
    </row>
    <row r="1549" spans="19:21" ht="14.25" customHeight="1">
      <c r="S1549"/>
      <c r="T1549"/>
      <c r="U1549"/>
    </row>
    <row r="1550" spans="19:21" ht="14.25" customHeight="1">
      <c r="S1550"/>
      <c r="T1550"/>
      <c r="U1550"/>
    </row>
    <row r="1551" spans="19:21" ht="14.25" customHeight="1">
      <c r="S1551"/>
      <c r="T1551"/>
      <c r="U1551"/>
    </row>
    <row r="1552" spans="19:21" ht="14.25" customHeight="1">
      <c r="S1552"/>
      <c r="T1552"/>
      <c r="U1552"/>
    </row>
    <row r="1553" spans="19:21" ht="14.25" customHeight="1">
      <c r="S1553"/>
      <c r="T1553"/>
      <c r="U1553"/>
    </row>
    <row r="1554" spans="19:21" ht="14.25" customHeight="1">
      <c r="S1554"/>
      <c r="T1554"/>
      <c r="U1554"/>
    </row>
    <row r="1555" spans="19:21" ht="14.25" customHeight="1">
      <c r="S1555"/>
      <c r="T1555"/>
      <c r="U1555"/>
    </row>
    <row r="1556" spans="19:21" ht="14.25" customHeight="1">
      <c r="S1556"/>
      <c r="T1556"/>
      <c r="U1556"/>
    </row>
    <row r="1557" spans="19:21" ht="14.25" customHeight="1">
      <c r="S1557"/>
      <c r="T1557"/>
      <c r="U1557"/>
    </row>
    <row r="1558" spans="19:21" ht="14.25" customHeight="1">
      <c r="S1558"/>
      <c r="T1558"/>
      <c r="U1558"/>
    </row>
    <row r="1559" spans="19:21" ht="14.25" customHeight="1">
      <c r="S1559"/>
      <c r="T1559"/>
      <c r="U1559"/>
    </row>
    <row r="1560" spans="19:21" ht="14.25" customHeight="1">
      <c r="S1560"/>
      <c r="T1560"/>
      <c r="U1560"/>
    </row>
    <row r="1561" spans="19:21" ht="14.25" customHeight="1">
      <c r="S1561"/>
      <c r="T1561"/>
      <c r="U1561"/>
    </row>
    <row r="1562" spans="19:21" ht="14.25" customHeight="1">
      <c r="S1562"/>
      <c r="T1562"/>
      <c r="U1562"/>
    </row>
    <row r="1563" spans="19:21" ht="14.25" customHeight="1">
      <c r="S1563"/>
      <c r="T1563"/>
      <c r="U1563"/>
    </row>
    <row r="1564" spans="19:21" ht="14.25" customHeight="1">
      <c r="S1564"/>
      <c r="T1564"/>
      <c r="U1564"/>
    </row>
    <row r="1565" spans="19:21" ht="14.25" customHeight="1">
      <c r="S1565"/>
      <c r="T1565"/>
      <c r="U1565"/>
    </row>
    <row r="1566" spans="19:21" ht="14.25" customHeight="1">
      <c r="S1566"/>
      <c r="T1566"/>
      <c r="U1566"/>
    </row>
    <row r="1567" spans="19:21" ht="14.25" customHeight="1">
      <c r="S1567"/>
      <c r="T1567"/>
      <c r="U1567"/>
    </row>
    <row r="1568" spans="19:21" ht="14.25" customHeight="1">
      <c r="S1568"/>
      <c r="T1568"/>
      <c r="U1568"/>
    </row>
    <row r="1569" spans="19:21" ht="14.25" customHeight="1">
      <c r="S1569"/>
      <c r="T1569"/>
      <c r="U1569"/>
    </row>
    <row r="1570" spans="19:21" ht="14.25" customHeight="1">
      <c r="S1570"/>
      <c r="T1570"/>
      <c r="U1570"/>
    </row>
    <row r="1571" spans="19:21" ht="14.25" customHeight="1">
      <c r="S1571"/>
      <c r="T1571"/>
      <c r="U1571"/>
    </row>
    <row r="1572" spans="19:21" ht="14.25" customHeight="1">
      <c r="S1572"/>
      <c r="T1572"/>
      <c r="U1572"/>
    </row>
    <row r="1573" spans="19:21" ht="14.25" customHeight="1">
      <c r="S1573"/>
      <c r="T1573"/>
      <c r="U1573"/>
    </row>
    <row r="1574" spans="19:21" ht="14.25" customHeight="1">
      <c r="S1574"/>
      <c r="T1574"/>
      <c r="U1574"/>
    </row>
    <row r="1575" spans="19:21" ht="14.25" customHeight="1">
      <c r="S1575"/>
      <c r="T1575"/>
      <c r="U1575"/>
    </row>
    <row r="1576" spans="19:21" ht="14.25" customHeight="1">
      <c r="S1576"/>
      <c r="T1576"/>
      <c r="U1576"/>
    </row>
    <row r="1577" spans="19:21" ht="14.25" customHeight="1">
      <c r="S1577"/>
      <c r="T1577"/>
      <c r="U1577"/>
    </row>
    <row r="1578" spans="19:21" ht="14.25" customHeight="1">
      <c r="S1578"/>
      <c r="T1578"/>
      <c r="U1578"/>
    </row>
    <row r="1579" spans="19:21" ht="14.25" customHeight="1">
      <c r="S1579"/>
      <c r="T1579"/>
      <c r="U1579"/>
    </row>
    <row r="1580" spans="19:21" ht="14.25" customHeight="1">
      <c r="S1580"/>
      <c r="T1580"/>
      <c r="U1580"/>
    </row>
    <row r="1581" spans="19:21" ht="14.25" customHeight="1">
      <c r="S1581"/>
      <c r="T1581"/>
      <c r="U1581"/>
    </row>
    <row r="1582" spans="19:21" ht="14.25" customHeight="1">
      <c r="S1582"/>
      <c r="T1582"/>
      <c r="U1582"/>
    </row>
    <row r="1583" spans="19:21" ht="14.25" customHeight="1">
      <c r="S1583"/>
      <c r="T1583"/>
      <c r="U1583"/>
    </row>
    <row r="1584" spans="19:21" ht="14.25" customHeight="1">
      <c r="S1584"/>
      <c r="T1584"/>
      <c r="U1584"/>
    </row>
    <row r="1585" spans="19:21" ht="14.25" customHeight="1">
      <c r="S1585"/>
      <c r="T1585"/>
      <c r="U1585"/>
    </row>
    <row r="1586" spans="19:21" ht="14.25" customHeight="1">
      <c r="S1586"/>
      <c r="T1586"/>
      <c r="U1586"/>
    </row>
    <row r="1587" spans="19:21" ht="14.25" customHeight="1">
      <c r="S1587"/>
      <c r="T1587"/>
      <c r="U1587"/>
    </row>
    <row r="1588" spans="19:21" ht="14.25" customHeight="1">
      <c r="S1588"/>
      <c r="T1588"/>
      <c r="U1588"/>
    </row>
    <row r="1589" spans="19:21" ht="14.25" customHeight="1">
      <c r="S1589"/>
      <c r="T1589"/>
      <c r="U1589"/>
    </row>
    <row r="1590" spans="19:21" ht="14.25" customHeight="1">
      <c r="S1590"/>
      <c r="T1590"/>
      <c r="U1590"/>
    </row>
    <row r="1591" spans="19:21" ht="14.25" customHeight="1">
      <c r="S1591"/>
      <c r="T1591"/>
      <c r="U1591"/>
    </row>
    <row r="1592" spans="19:21" ht="14.25" customHeight="1">
      <c r="S1592"/>
      <c r="T1592"/>
      <c r="U1592"/>
    </row>
    <row r="1593" spans="19:21" ht="14.25" customHeight="1">
      <c r="S1593"/>
      <c r="T1593"/>
      <c r="U1593"/>
    </row>
    <row r="1594" spans="19:21" ht="14.25" customHeight="1">
      <c r="S1594"/>
      <c r="T1594"/>
      <c r="U1594"/>
    </row>
    <row r="1595" spans="19:21" ht="14.25" customHeight="1">
      <c r="S1595"/>
      <c r="T1595"/>
      <c r="U1595"/>
    </row>
    <row r="1596" spans="19:21" ht="14.25" customHeight="1">
      <c r="S1596"/>
      <c r="T1596"/>
      <c r="U1596"/>
    </row>
    <row r="1597" spans="19:21" ht="14.25" customHeight="1">
      <c r="S1597"/>
      <c r="T1597"/>
      <c r="U1597"/>
    </row>
    <row r="1598" spans="19:21" ht="14.25" customHeight="1">
      <c r="S1598"/>
      <c r="T1598"/>
      <c r="U1598"/>
    </row>
    <row r="1599" spans="19:21" ht="14.25" customHeight="1">
      <c r="S1599"/>
      <c r="T1599"/>
      <c r="U1599"/>
    </row>
    <row r="1600" spans="19:21" ht="14.25" customHeight="1">
      <c r="S1600"/>
      <c r="T1600"/>
      <c r="U1600"/>
    </row>
    <row r="1601" spans="19:21" ht="14.25" customHeight="1">
      <c r="S1601"/>
      <c r="T1601"/>
      <c r="U1601"/>
    </row>
    <row r="1602" spans="19:21" ht="14.25" customHeight="1">
      <c r="S1602"/>
      <c r="T1602"/>
      <c r="U1602"/>
    </row>
    <row r="1603" spans="19:21" ht="14.25" customHeight="1">
      <c r="S1603"/>
      <c r="T1603"/>
      <c r="U1603"/>
    </row>
    <row r="1604" spans="19:21" ht="14.25" customHeight="1">
      <c r="S1604"/>
      <c r="T1604"/>
      <c r="U1604"/>
    </row>
    <row r="1605" spans="19:21" ht="14.25" customHeight="1">
      <c r="S1605"/>
      <c r="T1605"/>
      <c r="U1605"/>
    </row>
    <row r="1606" spans="19:21" ht="14.25" customHeight="1">
      <c r="S1606"/>
      <c r="T1606"/>
      <c r="U1606"/>
    </row>
    <row r="1607" spans="19:21" ht="14.25" customHeight="1">
      <c r="S1607"/>
      <c r="T1607"/>
      <c r="U1607"/>
    </row>
    <row r="1608" spans="19:21" ht="14.25" customHeight="1">
      <c r="S1608"/>
      <c r="T1608"/>
      <c r="U1608"/>
    </row>
    <row r="1609" spans="19:21" ht="14.25" customHeight="1">
      <c r="S1609"/>
      <c r="T1609"/>
      <c r="U1609"/>
    </row>
    <row r="1610" spans="19:21" ht="14.25" customHeight="1">
      <c r="S1610"/>
      <c r="T1610"/>
      <c r="U1610"/>
    </row>
    <row r="1611" spans="19:21" ht="14.25" customHeight="1">
      <c r="S1611"/>
      <c r="T1611"/>
      <c r="U1611"/>
    </row>
    <row r="1612" spans="19:21" ht="14.25" customHeight="1">
      <c r="S1612"/>
      <c r="T1612"/>
      <c r="U1612"/>
    </row>
    <row r="1613" spans="19:21" ht="14.25" customHeight="1">
      <c r="S1613"/>
      <c r="T1613"/>
      <c r="U1613"/>
    </row>
    <row r="1614" spans="19:21" ht="14.25" customHeight="1">
      <c r="S1614"/>
      <c r="T1614"/>
      <c r="U1614"/>
    </row>
    <row r="1615" spans="19:21" ht="14.25" customHeight="1">
      <c r="S1615"/>
      <c r="T1615"/>
      <c r="U1615"/>
    </row>
    <row r="1616" spans="19:21" ht="14.25" customHeight="1">
      <c r="S1616"/>
      <c r="T1616"/>
      <c r="U1616"/>
    </row>
    <row r="1617" spans="19:21" ht="14.25" customHeight="1">
      <c r="S1617"/>
      <c r="T1617"/>
      <c r="U1617"/>
    </row>
    <row r="1618" spans="19:21" ht="14.25" customHeight="1">
      <c r="S1618"/>
      <c r="T1618"/>
      <c r="U1618"/>
    </row>
    <row r="1619" spans="19:21" ht="14.25" customHeight="1">
      <c r="S1619"/>
      <c r="T1619"/>
      <c r="U1619"/>
    </row>
    <row r="1620" spans="19:21" ht="14.25" customHeight="1">
      <c r="S1620"/>
      <c r="T1620"/>
      <c r="U1620"/>
    </row>
    <row r="1621" spans="19:21" ht="14.25" customHeight="1">
      <c r="S1621"/>
      <c r="T1621"/>
      <c r="U1621"/>
    </row>
    <row r="1622" spans="19:21" ht="14.25" customHeight="1">
      <c r="S1622"/>
      <c r="T1622"/>
      <c r="U1622"/>
    </row>
    <row r="1623" spans="19:21" ht="14.25" customHeight="1">
      <c r="S1623"/>
      <c r="T1623"/>
      <c r="U1623"/>
    </row>
    <row r="1624" spans="19:21" ht="14.25" customHeight="1">
      <c r="S1624"/>
      <c r="T1624"/>
      <c r="U1624"/>
    </row>
    <row r="1625" spans="19:21" ht="14.25" customHeight="1">
      <c r="S1625"/>
      <c r="T1625"/>
      <c r="U1625"/>
    </row>
    <row r="1626" spans="19:21" ht="14.25" customHeight="1">
      <c r="S1626"/>
      <c r="T1626"/>
      <c r="U1626"/>
    </row>
    <row r="1627" spans="19:21" ht="14.25" customHeight="1">
      <c r="S1627"/>
      <c r="T1627"/>
      <c r="U1627"/>
    </row>
    <row r="1628" spans="19:21" ht="14.25" customHeight="1">
      <c r="S1628"/>
      <c r="T1628"/>
      <c r="U1628"/>
    </row>
    <row r="1629" spans="19:21" ht="14.25" customHeight="1">
      <c r="S1629"/>
      <c r="T1629"/>
      <c r="U1629"/>
    </row>
    <row r="1630" spans="19:21" ht="14.25" customHeight="1">
      <c r="S1630"/>
      <c r="T1630"/>
      <c r="U1630"/>
    </row>
    <row r="1631" spans="19:21" ht="14.25" customHeight="1">
      <c r="S1631"/>
      <c r="T1631"/>
      <c r="U1631"/>
    </row>
    <row r="1632" spans="19:21" ht="14.25" customHeight="1">
      <c r="S1632"/>
      <c r="T1632"/>
      <c r="U1632"/>
    </row>
    <row r="1633" spans="19:21" ht="14.25" customHeight="1">
      <c r="S1633"/>
      <c r="T1633"/>
      <c r="U1633"/>
    </row>
    <row r="1634" spans="19:21" ht="14.25" customHeight="1">
      <c r="S1634"/>
      <c r="T1634"/>
      <c r="U1634"/>
    </row>
    <row r="1635" spans="19:21" ht="14.25" customHeight="1">
      <c r="S1635"/>
      <c r="T1635"/>
      <c r="U1635"/>
    </row>
    <row r="1636" spans="19:21" ht="14.25" customHeight="1">
      <c r="S1636"/>
      <c r="T1636"/>
      <c r="U1636"/>
    </row>
    <row r="1637" spans="19:21" ht="14.25" customHeight="1">
      <c r="S1637"/>
      <c r="T1637"/>
      <c r="U1637"/>
    </row>
    <row r="1638" spans="19:21" ht="14.25" customHeight="1">
      <c r="S1638"/>
      <c r="T1638"/>
      <c r="U1638"/>
    </row>
    <row r="1639" spans="19:21" ht="14.25" customHeight="1">
      <c r="S1639"/>
      <c r="T1639"/>
      <c r="U1639"/>
    </row>
    <row r="1640" spans="19:21" ht="14.25" customHeight="1">
      <c r="S1640"/>
      <c r="T1640"/>
      <c r="U1640"/>
    </row>
    <row r="1641" spans="19:21" ht="14.25" customHeight="1">
      <c r="S1641"/>
      <c r="T1641"/>
      <c r="U1641"/>
    </row>
    <row r="1642" spans="19:21" ht="14.25" customHeight="1">
      <c r="S1642"/>
      <c r="T1642"/>
      <c r="U1642"/>
    </row>
    <row r="1643" spans="19:21" ht="14.25" customHeight="1">
      <c r="S1643"/>
      <c r="T1643"/>
      <c r="U1643"/>
    </row>
    <row r="1644" spans="19:21" ht="14.25" customHeight="1">
      <c r="S1644"/>
      <c r="T1644"/>
      <c r="U1644"/>
    </row>
    <row r="1645" spans="19:21" ht="14.25" customHeight="1">
      <c r="S1645"/>
      <c r="T1645"/>
      <c r="U1645"/>
    </row>
    <row r="1646" spans="19:21" ht="14.25" customHeight="1">
      <c r="S1646"/>
      <c r="T1646"/>
      <c r="U1646"/>
    </row>
    <row r="1647" spans="19:21" ht="14.25" customHeight="1">
      <c r="S1647"/>
      <c r="T1647"/>
      <c r="U1647"/>
    </row>
    <row r="1648" spans="19:21" ht="14.25" customHeight="1">
      <c r="S1648"/>
      <c r="T1648"/>
      <c r="U1648"/>
    </row>
    <row r="1649" spans="19:21" ht="14.25" customHeight="1">
      <c r="S1649"/>
      <c r="T1649"/>
      <c r="U1649"/>
    </row>
    <row r="1650" spans="19:21" ht="14.25" customHeight="1">
      <c r="S1650"/>
      <c r="T1650"/>
      <c r="U1650"/>
    </row>
    <row r="1651" spans="19:21" ht="14.25" customHeight="1">
      <c r="S1651"/>
      <c r="T1651"/>
      <c r="U1651"/>
    </row>
    <row r="1652" spans="19:21" ht="14.25" customHeight="1">
      <c r="S1652"/>
      <c r="T1652"/>
      <c r="U1652"/>
    </row>
    <row r="1653" spans="19:21" ht="14.25" customHeight="1">
      <c r="S1653"/>
      <c r="T1653"/>
      <c r="U1653"/>
    </row>
    <row r="1654" spans="19:21" ht="14.25" customHeight="1">
      <c r="S1654"/>
      <c r="T1654"/>
      <c r="U1654"/>
    </row>
    <row r="1655" spans="19:21" ht="14.25" customHeight="1">
      <c r="S1655"/>
      <c r="T1655"/>
      <c r="U1655"/>
    </row>
    <row r="1656" spans="19:21" ht="14.25" customHeight="1">
      <c r="S1656"/>
      <c r="T1656"/>
      <c r="U1656"/>
    </row>
    <row r="1657" spans="19:21" ht="14.25" customHeight="1">
      <c r="S1657"/>
      <c r="T1657"/>
      <c r="U1657"/>
    </row>
    <row r="1658" spans="19:21" ht="14.25" customHeight="1">
      <c r="S1658"/>
      <c r="T1658"/>
      <c r="U1658"/>
    </row>
    <row r="1659" spans="19:21" ht="14.25" customHeight="1">
      <c r="S1659"/>
      <c r="T1659"/>
      <c r="U1659"/>
    </row>
    <row r="1660" spans="19:21" ht="14.25" customHeight="1">
      <c r="S1660"/>
      <c r="T1660"/>
      <c r="U1660"/>
    </row>
    <row r="1661" spans="19:21" ht="14.25" customHeight="1">
      <c r="S1661"/>
      <c r="T1661"/>
      <c r="U1661"/>
    </row>
    <row r="1662" spans="19:21" ht="14.25" customHeight="1">
      <c r="S1662"/>
      <c r="T1662"/>
      <c r="U1662"/>
    </row>
    <row r="1663" spans="19:21" ht="14.25" customHeight="1">
      <c r="S1663"/>
      <c r="T1663"/>
      <c r="U1663"/>
    </row>
    <row r="1664" spans="19:21" ht="14.25" customHeight="1">
      <c r="S1664"/>
      <c r="T1664"/>
      <c r="U1664"/>
    </row>
    <row r="1665" spans="19:21" ht="14.25" customHeight="1">
      <c r="S1665"/>
      <c r="T1665"/>
      <c r="U1665"/>
    </row>
    <row r="1666" spans="19:21" ht="14.25" customHeight="1">
      <c r="S1666"/>
      <c r="T1666"/>
      <c r="U1666"/>
    </row>
    <row r="1667" spans="19:21" ht="14.25" customHeight="1">
      <c r="S1667"/>
      <c r="T1667"/>
      <c r="U1667"/>
    </row>
    <row r="1668" spans="19:21" ht="14.25" customHeight="1">
      <c r="S1668"/>
      <c r="T1668"/>
      <c r="U1668"/>
    </row>
    <row r="1669" spans="19:21" ht="14.25" customHeight="1">
      <c r="S1669"/>
      <c r="T1669"/>
      <c r="U1669"/>
    </row>
    <row r="1670" spans="19:21" ht="14.25" customHeight="1">
      <c r="S1670"/>
      <c r="T1670"/>
      <c r="U1670"/>
    </row>
    <row r="1671" spans="19:21" ht="14.25" customHeight="1">
      <c r="S1671"/>
      <c r="T1671"/>
      <c r="U1671"/>
    </row>
    <row r="1672" spans="19:21" ht="14.25" customHeight="1">
      <c r="S1672"/>
      <c r="T1672"/>
      <c r="U1672"/>
    </row>
    <row r="1673" spans="19:21" ht="14.25" customHeight="1">
      <c r="S1673"/>
      <c r="T1673"/>
      <c r="U1673"/>
    </row>
    <row r="1674" spans="19:21" ht="14.25" customHeight="1">
      <c r="S1674"/>
      <c r="T1674"/>
      <c r="U1674"/>
    </row>
    <row r="1675" spans="19:21" ht="14.25" customHeight="1">
      <c r="S1675"/>
      <c r="T1675"/>
      <c r="U1675"/>
    </row>
    <row r="1676" spans="19:21" ht="14.25" customHeight="1">
      <c r="S1676"/>
      <c r="T1676"/>
      <c r="U1676"/>
    </row>
    <row r="1677" spans="19:21" ht="14.25" customHeight="1">
      <c r="S1677"/>
      <c r="T1677"/>
      <c r="U1677"/>
    </row>
    <row r="1678" spans="19:21" ht="14.25" customHeight="1">
      <c r="S1678"/>
      <c r="T1678"/>
      <c r="U1678"/>
    </row>
    <row r="1679" spans="19:21" ht="14.25" customHeight="1">
      <c r="S1679"/>
      <c r="T1679"/>
      <c r="U1679"/>
    </row>
    <row r="1680" spans="19:21" ht="14.25" customHeight="1">
      <c r="S1680"/>
      <c r="T1680"/>
      <c r="U1680"/>
    </row>
    <row r="1681" spans="19:21" ht="14.25" customHeight="1">
      <c r="S1681"/>
      <c r="T1681"/>
      <c r="U1681"/>
    </row>
    <row r="1682" spans="19:21" ht="14.25" customHeight="1">
      <c r="S1682"/>
      <c r="T1682"/>
      <c r="U1682"/>
    </row>
    <row r="1683" spans="19:21" ht="14.25" customHeight="1">
      <c r="S1683"/>
      <c r="T1683"/>
      <c r="U1683"/>
    </row>
    <row r="1684" spans="19:21" ht="14.25" customHeight="1">
      <c r="S1684"/>
      <c r="T1684"/>
      <c r="U1684"/>
    </row>
    <row r="1685" spans="19:21" ht="14.25" customHeight="1">
      <c r="S1685"/>
      <c r="T1685"/>
      <c r="U1685"/>
    </row>
    <row r="1686" spans="19:21" ht="14.25" customHeight="1">
      <c r="S1686"/>
      <c r="T1686"/>
      <c r="U1686"/>
    </row>
    <row r="1687" spans="19:21" ht="14.25" customHeight="1">
      <c r="S1687"/>
      <c r="T1687"/>
      <c r="U1687"/>
    </row>
    <row r="1688" spans="19:21" ht="14.25" customHeight="1">
      <c r="S1688"/>
      <c r="T1688"/>
      <c r="U1688"/>
    </row>
    <row r="1689" spans="19:21" ht="14.25" customHeight="1">
      <c r="S1689"/>
      <c r="T1689"/>
      <c r="U1689"/>
    </row>
    <row r="1690" spans="19:21" ht="14.25" customHeight="1">
      <c r="S1690"/>
      <c r="T1690"/>
      <c r="U1690"/>
    </row>
    <row r="1691" spans="19:21" ht="14.25" customHeight="1">
      <c r="S1691"/>
      <c r="T1691"/>
      <c r="U1691"/>
    </row>
    <row r="1692" spans="19:21" ht="14.25" customHeight="1">
      <c r="S1692"/>
      <c r="T1692"/>
      <c r="U1692"/>
    </row>
    <row r="1693" spans="19:21" ht="14.25" customHeight="1">
      <c r="S1693"/>
      <c r="T1693"/>
      <c r="U1693"/>
    </row>
    <row r="1694" spans="19:21" ht="14.25" customHeight="1">
      <c r="S1694"/>
      <c r="T1694"/>
      <c r="U1694"/>
    </row>
    <row r="1695" spans="19:21" ht="14.25" customHeight="1">
      <c r="S1695"/>
      <c r="T1695"/>
      <c r="U1695"/>
    </row>
    <row r="1696" spans="19:21" ht="14.25" customHeight="1">
      <c r="S1696"/>
      <c r="T1696"/>
      <c r="U1696"/>
    </row>
    <row r="1697" spans="19:21" ht="14.25" customHeight="1">
      <c r="S1697"/>
      <c r="T1697"/>
      <c r="U1697"/>
    </row>
    <row r="1698" spans="19:21" ht="14.25" customHeight="1">
      <c r="S1698"/>
      <c r="T1698"/>
      <c r="U1698"/>
    </row>
    <row r="1699" spans="19:21" ht="14.25" customHeight="1">
      <c r="S1699"/>
      <c r="T1699"/>
      <c r="U1699"/>
    </row>
    <row r="1700" spans="19:21" ht="14.25" customHeight="1">
      <c r="S1700"/>
      <c r="T1700"/>
      <c r="U1700"/>
    </row>
    <row r="1701" spans="19:21" ht="14.25" customHeight="1">
      <c r="S1701"/>
      <c r="T1701"/>
      <c r="U1701"/>
    </row>
    <row r="1702" spans="19:21" ht="14.25" customHeight="1">
      <c r="S1702"/>
      <c r="T1702"/>
      <c r="U1702"/>
    </row>
    <row r="1703" spans="19:21" ht="14.25" customHeight="1">
      <c r="S1703"/>
      <c r="T1703"/>
      <c r="U1703"/>
    </row>
    <row r="1704" spans="19:21" ht="14.25" customHeight="1">
      <c r="S1704"/>
      <c r="T1704"/>
      <c r="U1704"/>
    </row>
    <row r="1705" spans="19:21" ht="14.25" customHeight="1">
      <c r="S1705"/>
      <c r="T1705"/>
      <c r="U1705"/>
    </row>
    <row r="1706" spans="19:21" ht="14.25" customHeight="1">
      <c r="S1706"/>
      <c r="T1706"/>
      <c r="U1706"/>
    </row>
    <row r="1707" spans="19:21" ht="14.25" customHeight="1">
      <c r="S1707"/>
      <c r="T1707"/>
      <c r="U1707"/>
    </row>
    <row r="1708" spans="19:21" ht="14.25" customHeight="1">
      <c r="S1708"/>
      <c r="T1708"/>
      <c r="U1708"/>
    </row>
    <row r="1709" spans="19:21" ht="14.25" customHeight="1">
      <c r="S1709"/>
      <c r="T1709"/>
      <c r="U1709"/>
    </row>
    <row r="1710" spans="19:21" ht="14.25" customHeight="1">
      <c r="S1710"/>
      <c r="T1710"/>
      <c r="U1710"/>
    </row>
    <row r="1711" spans="19:21" ht="14.25" customHeight="1">
      <c r="S1711"/>
      <c r="T1711"/>
      <c r="U1711"/>
    </row>
    <row r="1712" spans="19:21" ht="14.25" customHeight="1">
      <c r="S1712"/>
      <c r="T1712"/>
      <c r="U1712"/>
    </row>
    <row r="1713" spans="19:21" ht="14.25" customHeight="1">
      <c r="S1713"/>
      <c r="T1713"/>
      <c r="U1713"/>
    </row>
    <row r="1714" spans="19:21" ht="14.25" customHeight="1">
      <c r="S1714"/>
      <c r="T1714"/>
      <c r="U1714"/>
    </row>
    <row r="1715" spans="19:21" ht="14.25" customHeight="1">
      <c r="S1715"/>
      <c r="T1715"/>
      <c r="U1715"/>
    </row>
    <row r="1716" spans="19:21" ht="14.25" customHeight="1">
      <c r="S1716"/>
      <c r="T1716"/>
      <c r="U1716"/>
    </row>
    <row r="1717" spans="19:21" ht="14.25" customHeight="1">
      <c r="S1717"/>
      <c r="T1717"/>
      <c r="U1717"/>
    </row>
    <row r="1718" spans="19:21" ht="14.25" customHeight="1">
      <c r="S1718"/>
      <c r="T1718"/>
      <c r="U1718"/>
    </row>
    <row r="1719" spans="19:21" ht="14.25" customHeight="1">
      <c r="S1719"/>
      <c r="T1719"/>
      <c r="U1719"/>
    </row>
    <row r="1720" spans="19:21" ht="14.25" customHeight="1">
      <c r="S1720"/>
      <c r="T1720"/>
      <c r="U1720"/>
    </row>
    <row r="1721" spans="19:21" ht="14.25" customHeight="1">
      <c r="S1721"/>
      <c r="T1721"/>
      <c r="U1721"/>
    </row>
    <row r="1722" spans="19:21" ht="14.25" customHeight="1">
      <c r="S1722"/>
      <c r="T1722"/>
      <c r="U1722"/>
    </row>
    <row r="1723" spans="19:21" ht="14.25" customHeight="1">
      <c r="S1723"/>
      <c r="T1723"/>
      <c r="U1723"/>
    </row>
    <row r="1724" spans="19:21" ht="14.25" customHeight="1">
      <c r="S1724"/>
      <c r="T1724"/>
      <c r="U1724"/>
    </row>
    <row r="1725" spans="19:21" ht="14.25" customHeight="1">
      <c r="S1725"/>
      <c r="T1725"/>
      <c r="U1725"/>
    </row>
    <row r="1726" spans="19:21" ht="14.25" customHeight="1">
      <c r="S1726"/>
      <c r="T1726"/>
      <c r="U1726"/>
    </row>
    <row r="1727" spans="19:21" ht="14.25" customHeight="1">
      <c r="S1727"/>
      <c r="T1727"/>
      <c r="U1727"/>
    </row>
    <row r="1728" spans="19:21" ht="14.25" customHeight="1">
      <c r="S1728"/>
      <c r="T1728"/>
      <c r="U1728"/>
    </row>
    <row r="1729" spans="19:21" ht="14.25" customHeight="1">
      <c r="S1729"/>
      <c r="T1729"/>
      <c r="U1729"/>
    </row>
    <row r="1730" spans="19:21" ht="14.25" customHeight="1">
      <c r="S1730"/>
      <c r="T1730"/>
      <c r="U1730"/>
    </row>
    <row r="1731" spans="19:21" ht="14.25" customHeight="1">
      <c r="S1731"/>
      <c r="T1731"/>
      <c r="U1731"/>
    </row>
    <row r="1732" spans="19:21" ht="14.25" customHeight="1">
      <c r="S1732"/>
      <c r="T1732"/>
      <c r="U1732"/>
    </row>
    <row r="1733" spans="19:21" ht="14.25" customHeight="1">
      <c r="S1733"/>
      <c r="T1733"/>
      <c r="U1733"/>
    </row>
    <row r="1734" spans="19:21" ht="14.25" customHeight="1">
      <c r="S1734"/>
      <c r="T1734"/>
      <c r="U1734"/>
    </row>
    <row r="1735" spans="19:21" ht="14.25" customHeight="1">
      <c r="S1735"/>
      <c r="T1735"/>
      <c r="U1735"/>
    </row>
    <row r="1736" spans="19:21" ht="14.25" customHeight="1">
      <c r="S1736"/>
      <c r="T1736"/>
      <c r="U1736"/>
    </row>
    <row r="1737" spans="19:21" ht="14.25" customHeight="1">
      <c r="S1737"/>
      <c r="T1737"/>
      <c r="U1737"/>
    </row>
    <row r="1738" spans="19:21" ht="14.25" customHeight="1">
      <c r="S1738"/>
      <c r="T1738"/>
      <c r="U1738"/>
    </row>
    <row r="1739" spans="19:21" ht="14.25" customHeight="1">
      <c r="S1739"/>
      <c r="T1739"/>
      <c r="U1739"/>
    </row>
    <row r="1740" spans="19:21" ht="14.25" customHeight="1">
      <c r="S1740"/>
      <c r="T1740"/>
      <c r="U1740"/>
    </row>
    <row r="1741" spans="19:21" ht="14.25" customHeight="1">
      <c r="S1741"/>
      <c r="T1741"/>
      <c r="U1741"/>
    </row>
    <row r="1742" spans="19:21" ht="14.25" customHeight="1">
      <c r="S1742"/>
      <c r="T1742"/>
      <c r="U1742"/>
    </row>
    <row r="1743" spans="19:21" ht="14.25" customHeight="1">
      <c r="S1743"/>
      <c r="T1743"/>
      <c r="U1743"/>
    </row>
    <row r="1744" spans="19:21" ht="14.25" customHeight="1">
      <c r="S1744"/>
      <c r="T1744"/>
      <c r="U1744"/>
    </row>
    <row r="1745" spans="19:21" ht="14.25" customHeight="1">
      <c r="S1745"/>
      <c r="T1745"/>
      <c r="U1745"/>
    </row>
    <row r="1746" spans="19:21" ht="14.25" customHeight="1">
      <c r="S1746"/>
      <c r="T1746"/>
      <c r="U1746"/>
    </row>
    <row r="1747" spans="19:21" ht="14.25" customHeight="1">
      <c r="S1747"/>
      <c r="T1747"/>
      <c r="U1747"/>
    </row>
    <row r="1748" spans="19:21" ht="14.25" customHeight="1">
      <c r="S1748"/>
      <c r="T1748"/>
      <c r="U1748"/>
    </row>
    <row r="1749" spans="19:21" ht="14.25" customHeight="1">
      <c r="S1749"/>
      <c r="T1749"/>
      <c r="U1749"/>
    </row>
    <row r="1750" spans="19:21" ht="14.25" customHeight="1">
      <c r="S1750"/>
      <c r="T1750"/>
      <c r="U1750"/>
    </row>
    <row r="1751" spans="19:21" ht="14.25" customHeight="1">
      <c r="S1751"/>
      <c r="T1751"/>
      <c r="U1751"/>
    </row>
    <row r="1752" spans="19:21" ht="14.25" customHeight="1">
      <c r="S1752"/>
      <c r="T1752"/>
      <c r="U1752"/>
    </row>
    <row r="1753" spans="19:21" ht="14.25" customHeight="1">
      <c r="S1753"/>
      <c r="T1753"/>
      <c r="U1753"/>
    </row>
    <row r="1754" spans="19:21" ht="14.25" customHeight="1">
      <c r="S1754"/>
      <c r="T1754"/>
      <c r="U1754"/>
    </row>
    <row r="1755" spans="19:21" ht="14.25" customHeight="1">
      <c r="S1755"/>
      <c r="T1755"/>
      <c r="U1755"/>
    </row>
    <row r="1756" spans="19:21" ht="14.25" customHeight="1">
      <c r="S1756"/>
      <c r="T1756"/>
      <c r="U1756"/>
    </row>
    <row r="1757" spans="19:21" ht="14.25" customHeight="1">
      <c r="S1757"/>
      <c r="T1757"/>
      <c r="U1757"/>
    </row>
    <row r="1758" spans="19:21" ht="14.25" customHeight="1">
      <c r="S1758"/>
      <c r="T1758"/>
      <c r="U1758"/>
    </row>
    <row r="1759" spans="19:21" ht="14.25" customHeight="1">
      <c r="S1759"/>
      <c r="T1759"/>
      <c r="U1759"/>
    </row>
    <row r="1760" spans="19:21" ht="14.25" customHeight="1">
      <c r="S1760"/>
      <c r="T1760"/>
      <c r="U1760"/>
    </row>
    <row r="1761" spans="19:21" ht="14.25" customHeight="1">
      <c r="S1761"/>
      <c r="T1761"/>
      <c r="U1761"/>
    </row>
    <row r="1762" spans="19:21" ht="14.25" customHeight="1">
      <c r="S1762"/>
      <c r="T1762"/>
      <c r="U1762"/>
    </row>
    <row r="1763" spans="19:21" ht="14.25" customHeight="1">
      <c r="S1763"/>
      <c r="T1763"/>
      <c r="U1763"/>
    </row>
    <row r="1764" spans="19:21" ht="14.25" customHeight="1">
      <c r="S1764"/>
      <c r="T1764"/>
      <c r="U1764"/>
    </row>
    <row r="1765" spans="19:21" ht="14.25" customHeight="1">
      <c r="S1765"/>
      <c r="T1765"/>
      <c r="U1765"/>
    </row>
    <row r="1766" spans="19:21" ht="14.25" customHeight="1">
      <c r="S1766"/>
      <c r="T1766"/>
      <c r="U1766"/>
    </row>
    <row r="1767" spans="19:21" ht="14.25" customHeight="1">
      <c r="S1767"/>
      <c r="T1767"/>
      <c r="U1767"/>
    </row>
    <row r="1768" spans="19:21" ht="14.25" customHeight="1">
      <c r="S1768"/>
      <c r="T1768"/>
      <c r="U1768"/>
    </row>
    <row r="1769" spans="19:21" ht="14.25" customHeight="1">
      <c r="S1769"/>
      <c r="T1769"/>
      <c r="U1769"/>
    </row>
    <row r="1770" spans="19:21" ht="14.25" customHeight="1">
      <c r="S1770"/>
      <c r="T1770"/>
      <c r="U1770"/>
    </row>
    <row r="1771" spans="19:21" ht="14.25" customHeight="1">
      <c r="S1771"/>
      <c r="T1771"/>
      <c r="U1771"/>
    </row>
    <row r="1772" spans="19:21" ht="14.25" customHeight="1">
      <c r="S1772"/>
      <c r="T1772"/>
      <c r="U1772"/>
    </row>
    <row r="1773" spans="19:21" ht="14.25" customHeight="1">
      <c r="S1773"/>
      <c r="T1773"/>
      <c r="U1773"/>
    </row>
    <row r="1774" spans="19:21" ht="14.25" customHeight="1">
      <c r="S1774"/>
      <c r="T1774"/>
      <c r="U1774"/>
    </row>
    <row r="1775" spans="19:21" ht="14.25" customHeight="1">
      <c r="S1775"/>
      <c r="T1775"/>
      <c r="U1775"/>
    </row>
    <row r="1776" spans="19:21" ht="14.25" customHeight="1">
      <c r="S1776"/>
      <c r="T1776"/>
      <c r="U1776"/>
    </row>
    <row r="1777" spans="19:21" ht="14.25" customHeight="1">
      <c r="S1777"/>
      <c r="T1777"/>
      <c r="U1777"/>
    </row>
    <row r="1778" spans="19:21" ht="14.25" customHeight="1">
      <c r="S1778"/>
      <c r="T1778"/>
      <c r="U1778"/>
    </row>
    <row r="1779" spans="19:21" ht="14.25" customHeight="1">
      <c r="S1779"/>
      <c r="T1779"/>
      <c r="U1779"/>
    </row>
    <row r="1780" spans="19:21" ht="14.25" customHeight="1">
      <c r="S1780"/>
      <c r="T1780"/>
      <c r="U1780"/>
    </row>
    <row r="1781" spans="19:21" ht="14.25" customHeight="1">
      <c r="S1781"/>
      <c r="T1781"/>
      <c r="U1781"/>
    </row>
    <row r="1782" spans="19:21" ht="14.25" customHeight="1">
      <c r="S1782"/>
      <c r="T1782"/>
      <c r="U1782"/>
    </row>
    <row r="1783" spans="19:21" ht="14.25" customHeight="1">
      <c r="S1783"/>
      <c r="T1783"/>
      <c r="U1783"/>
    </row>
    <row r="1784" spans="19:21" ht="14.25" customHeight="1">
      <c r="S1784"/>
      <c r="T1784"/>
      <c r="U1784"/>
    </row>
    <row r="1785" spans="19:21" ht="14.25" customHeight="1">
      <c r="S1785"/>
      <c r="T1785"/>
      <c r="U1785"/>
    </row>
    <row r="1786" spans="19:21" ht="14.25" customHeight="1">
      <c r="S1786"/>
      <c r="T1786"/>
      <c r="U1786"/>
    </row>
    <row r="1787" spans="19:21" ht="14.25" customHeight="1">
      <c r="S1787"/>
      <c r="T1787"/>
      <c r="U1787"/>
    </row>
    <row r="1788" spans="19:21" ht="14.25" customHeight="1">
      <c r="S1788"/>
      <c r="T1788"/>
      <c r="U1788"/>
    </row>
    <row r="1789" spans="19:21" ht="14.25" customHeight="1">
      <c r="S1789"/>
      <c r="T1789"/>
      <c r="U1789"/>
    </row>
    <row r="1790" spans="19:21" ht="14.25" customHeight="1">
      <c r="S1790"/>
      <c r="T1790"/>
      <c r="U1790"/>
    </row>
    <row r="1791" spans="19:21" ht="14.25" customHeight="1">
      <c r="S1791"/>
      <c r="T1791"/>
      <c r="U1791"/>
    </row>
    <row r="1792" spans="19:21" ht="14.25" customHeight="1">
      <c r="S1792"/>
      <c r="T1792"/>
      <c r="U1792"/>
    </row>
    <row r="1793" spans="19:21" ht="14.25" customHeight="1">
      <c r="S1793"/>
      <c r="T1793"/>
      <c r="U1793"/>
    </row>
    <row r="1794" spans="19:21" ht="14.25" customHeight="1">
      <c r="S1794"/>
      <c r="T1794"/>
      <c r="U1794"/>
    </row>
    <row r="1795" spans="19:21" ht="14.25" customHeight="1">
      <c r="S1795"/>
      <c r="T1795"/>
      <c r="U1795"/>
    </row>
    <row r="1796" spans="19:21" ht="14.25" customHeight="1">
      <c r="S1796"/>
      <c r="T1796"/>
      <c r="U1796"/>
    </row>
    <row r="1797" spans="19:21" ht="14.25" customHeight="1">
      <c r="S1797"/>
      <c r="T1797"/>
      <c r="U1797"/>
    </row>
    <row r="1798" spans="19:21" ht="14.25" customHeight="1">
      <c r="S1798"/>
      <c r="T1798"/>
      <c r="U1798"/>
    </row>
    <row r="1799" spans="19:21" ht="14.25" customHeight="1">
      <c r="S1799"/>
      <c r="T1799"/>
      <c r="U1799"/>
    </row>
    <row r="1800" spans="19:21" ht="14.25" customHeight="1">
      <c r="S1800"/>
      <c r="T1800"/>
      <c r="U1800"/>
    </row>
    <row r="1801" spans="19:21" ht="14.25" customHeight="1">
      <c r="S1801"/>
      <c r="T1801"/>
      <c r="U1801"/>
    </row>
    <row r="1802" spans="19:21" ht="14.25" customHeight="1">
      <c r="S1802"/>
      <c r="T1802"/>
      <c r="U1802"/>
    </row>
    <row r="1803" spans="19:21" ht="14.25" customHeight="1">
      <c r="S1803"/>
      <c r="T1803"/>
      <c r="U1803"/>
    </row>
    <row r="1804" spans="19:21" ht="14.25" customHeight="1">
      <c r="S1804"/>
      <c r="T1804"/>
      <c r="U1804"/>
    </row>
    <row r="1805" spans="19:21" ht="14.25" customHeight="1">
      <c r="S1805"/>
      <c r="T1805"/>
      <c r="U1805"/>
    </row>
    <row r="1806" spans="19:21" ht="14.25" customHeight="1">
      <c r="S1806"/>
      <c r="T1806"/>
      <c r="U1806"/>
    </row>
    <row r="1807" spans="19:21" ht="14.25" customHeight="1">
      <c r="S1807"/>
      <c r="T1807"/>
      <c r="U1807"/>
    </row>
    <row r="1808" spans="19:21" ht="14.25" customHeight="1">
      <c r="S1808"/>
      <c r="T1808"/>
      <c r="U1808"/>
    </row>
    <row r="1809" spans="19:21" ht="14.25" customHeight="1">
      <c r="S1809"/>
      <c r="T1809"/>
      <c r="U1809"/>
    </row>
    <row r="1810" spans="19:21" ht="14.25" customHeight="1">
      <c r="S1810"/>
      <c r="T1810"/>
      <c r="U1810"/>
    </row>
    <row r="1811" spans="19:21" ht="14.25" customHeight="1">
      <c r="S1811"/>
      <c r="T1811"/>
      <c r="U1811"/>
    </row>
    <row r="1812" spans="19:21" ht="14.25" customHeight="1">
      <c r="S1812"/>
      <c r="T1812"/>
      <c r="U1812"/>
    </row>
    <row r="1813" spans="19:21" ht="14.25" customHeight="1">
      <c r="S1813"/>
      <c r="T1813"/>
      <c r="U1813"/>
    </row>
    <row r="1814" spans="19:21" ht="14.25" customHeight="1">
      <c r="S1814"/>
      <c r="T1814"/>
      <c r="U1814"/>
    </row>
    <row r="1815" spans="19:21" ht="14.25" customHeight="1">
      <c r="S1815"/>
      <c r="T1815"/>
      <c r="U1815"/>
    </row>
    <row r="1816" spans="19:21" ht="14.25" customHeight="1">
      <c r="S1816"/>
      <c r="T1816"/>
      <c r="U1816"/>
    </row>
    <row r="1817" spans="19:21" ht="14.25" customHeight="1">
      <c r="S1817"/>
      <c r="T1817"/>
      <c r="U1817"/>
    </row>
    <row r="1818" spans="19:21" ht="14.25" customHeight="1">
      <c r="S1818"/>
      <c r="T1818"/>
      <c r="U1818"/>
    </row>
    <row r="1819" spans="19:21" ht="14.25" customHeight="1">
      <c r="S1819"/>
      <c r="T1819"/>
      <c r="U1819"/>
    </row>
    <row r="1820" spans="19:21" ht="14.25" customHeight="1">
      <c r="S1820"/>
      <c r="T1820"/>
      <c r="U1820"/>
    </row>
    <row r="1821" spans="19:21" ht="14.25" customHeight="1">
      <c r="S1821"/>
      <c r="T1821"/>
      <c r="U1821"/>
    </row>
    <row r="1822" spans="19:21" ht="14.25" customHeight="1">
      <c r="S1822"/>
      <c r="T1822"/>
      <c r="U1822"/>
    </row>
    <row r="1823" spans="19:21" ht="14.25" customHeight="1">
      <c r="S1823"/>
      <c r="T1823"/>
      <c r="U1823"/>
    </row>
    <row r="1824" spans="19:21" ht="14.25" customHeight="1">
      <c r="S1824"/>
      <c r="T1824"/>
      <c r="U1824"/>
    </row>
    <row r="1825" spans="19:21" ht="14.25" customHeight="1">
      <c r="S1825"/>
      <c r="T1825"/>
      <c r="U1825"/>
    </row>
    <row r="1826" spans="19:21" ht="14.25" customHeight="1">
      <c r="S1826"/>
      <c r="T1826"/>
      <c r="U1826"/>
    </row>
    <row r="1827" spans="19:21" ht="14.25" customHeight="1">
      <c r="S1827"/>
      <c r="T1827"/>
      <c r="U1827"/>
    </row>
    <row r="1828" spans="19:21" ht="14.25" customHeight="1">
      <c r="S1828"/>
      <c r="T1828"/>
      <c r="U1828"/>
    </row>
    <row r="1829" spans="19:21" ht="14.25" customHeight="1">
      <c r="S1829"/>
      <c r="T1829"/>
      <c r="U1829"/>
    </row>
    <row r="1830" spans="19:21" ht="14.25" customHeight="1">
      <c r="S1830"/>
      <c r="T1830"/>
      <c r="U1830"/>
    </row>
    <row r="1831" spans="19:21" ht="14.25" customHeight="1">
      <c r="S1831"/>
      <c r="T1831"/>
      <c r="U1831"/>
    </row>
    <row r="1832" spans="19:21" ht="14.25" customHeight="1">
      <c r="S1832"/>
      <c r="T1832"/>
      <c r="U1832"/>
    </row>
    <row r="1833" spans="19:21" ht="14.25" customHeight="1">
      <c r="S1833"/>
      <c r="T1833"/>
      <c r="U1833"/>
    </row>
    <row r="1834" spans="19:21" ht="14.25" customHeight="1">
      <c r="S1834"/>
      <c r="T1834"/>
      <c r="U1834"/>
    </row>
    <row r="1835" spans="19:21" ht="14.25" customHeight="1">
      <c r="S1835"/>
      <c r="T1835"/>
      <c r="U1835"/>
    </row>
    <row r="1836" spans="19:21" ht="14.25" customHeight="1">
      <c r="S1836"/>
      <c r="T1836"/>
      <c r="U1836"/>
    </row>
    <row r="1837" spans="19:21" ht="14.25" customHeight="1">
      <c r="S1837"/>
      <c r="T1837"/>
      <c r="U1837"/>
    </row>
    <row r="1838" spans="19:21" ht="14.25" customHeight="1">
      <c r="S1838"/>
      <c r="T1838"/>
      <c r="U1838"/>
    </row>
    <row r="1839" spans="19:21" ht="14.25" customHeight="1">
      <c r="S1839"/>
      <c r="T1839"/>
      <c r="U1839"/>
    </row>
    <row r="1840" spans="19:21" ht="14.25" customHeight="1">
      <c r="S1840"/>
      <c r="T1840"/>
      <c r="U1840"/>
    </row>
    <row r="1841" spans="19:21" ht="14.25" customHeight="1">
      <c r="S1841"/>
      <c r="T1841"/>
      <c r="U1841"/>
    </row>
    <row r="1842" spans="19:21" ht="14.25" customHeight="1">
      <c r="S1842"/>
      <c r="T1842"/>
      <c r="U1842"/>
    </row>
    <row r="1843" spans="19:21" ht="14.25" customHeight="1">
      <c r="S1843"/>
      <c r="T1843"/>
      <c r="U1843"/>
    </row>
    <row r="1844" spans="19:21" ht="14.25" customHeight="1">
      <c r="S1844"/>
      <c r="T1844"/>
      <c r="U1844"/>
    </row>
    <row r="1845" spans="19:21" ht="14.25" customHeight="1">
      <c r="S1845"/>
      <c r="T1845"/>
      <c r="U1845"/>
    </row>
    <row r="1846" spans="19:21" ht="14.25" customHeight="1">
      <c r="S1846"/>
      <c r="T1846"/>
      <c r="U1846"/>
    </row>
    <row r="1847" spans="19:21" ht="14.25" customHeight="1">
      <c r="S1847"/>
      <c r="T1847"/>
      <c r="U1847"/>
    </row>
    <row r="1848" spans="19:21" ht="14.25" customHeight="1">
      <c r="S1848"/>
      <c r="T1848"/>
      <c r="U1848"/>
    </row>
    <row r="1849" spans="19:21" ht="14.25" customHeight="1">
      <c r="S1849"/>
      <c r="T1849"/>
      <c r="U1849"/>
    </row>
    <row r="1850" spans="19:21" ht="14.25" customHeight="1">
      <c r="S1850"/>
      <c r="T1850"/>
      <c r="U1850"/>
    </row>
    <row r="1851" spans="19:21" ht="14.25" customHeight="1">
      <c r="S1851"/>
      <c r="T1851"/>
      <c r="U1851"/>
    </row>
    <row r="1852" spans="19:21" ht="14.25" customHeight="1">
      <c r="S1852"/>
      <c r="T1852"/>
      <c r="U1852"/>
    </row>
    <row r="1853" spans="19:21" ht="14.25" customHeight="1">
      <c r="S1853"/>
      <c r="T1853"/>
      <c r="U1853"/>
    </row>
    <row r="1854" spans="19:21" ht="14.25" customHeight="1">
      <c r="S1854"/>
      <c r="T1854"/>
      <c r="U1854"/>
    </row>
    <row r="1855" spans="19:21" ht="14.25" customHeight="1">
      <c r="S1855"/>
      <c r="T1855"/>
      <c r="U1855"/>
    </row>
    <row r="1856" spans="19:21" ht="14.25" customHeight="1">
      <c r="S1856"/>
      <c r="T1856"/>
      <c r="U1856"/>
    </row>
    <row r="1857" spans="19:21" ht="14.25" customHeight="1">
      <c r="S1857"/>
      <c r="T1857"/>
      <c r="U1857"/>
    </row>
    <row r="1858" spans="19:21" ht="14.25" customHeight="1">
      <c r="S1858"/>
      <c r="T1858"/>
      <c r="U1858"/>
    </row>
    <row r="1859" spans="19:21" ht="14.25" customHeight="1">
      <c r="S1859"/>
      <c r="T1859"/>
      <c r="U1859"/>
    </row>
    <row r="1860" spans="19:21" ht="14.25" customHeight="1">
      <c r="S1860"/>
      <c r="T1860"/>
      <c r="U1860"/>
    </row>
    <row r="1861" spans="19:21" ht="14.25" customHeight="1">
      <c r="S1861"/>
      <c r="T1861"/>
      <c r="U1861"/>
    </row>
    <row r="1862" spans="19:21" ht="14.25" customHeight="1">
      <c r="S1862"/>
      <c r="T1862"/>
      <c r="U1862"/>
    </row>
    <row r="1863" spans="19:21" ht="14.25" customHeight="1">
      <c r="S1863"/>
      <c r="T1863"/>
      <c r="U1863"/>
    </row>
    <row r="1864" spans="19:21" ht="14.25" customHeight="1">
      <c r="S1864"/>
      <c r="T1864"/>
      <c r="U1864"/>
    </row>
    <row r="1865" spans="19:21" ht="14.25" customHeight="1">
      <c r="S1865"/>
      <c r="T1865"/>
      <c r="U1865"/>
    </row>
    <row r="1866" spans="19:21" ht="14.25" customHeight="1">
      <c r="S1866"/>
      <c r="T1866"/>
      <c r="U1866"/>
    </row>
    <row r="1867" spans="19:21" ht="14.25" customHeight="1">
      <c r="S1867"/>
      <c r="T1867"/>
      <c r="U1867"/>
    </row>
    <row r="1868" spans="19:21" ht="14.25" customHeight="1">
      <c r="S1868"/>
      <c r="T1868"/>
      <c r="U1868"/>
    </row>
    <row r="1869" spans="19:21" ht="14.25" customHeight="1">
      <c r="S1869"/>
      <c r="T1869"/>
      <c r="U1869"/>
    </row>
    <row r="1870" spans="19:21" ht="14.25" customHeight="1">
      <c r="S1870"/>
      <c r="T1870"/>
      <c r="U1870"/>
    </row>
    <row r="1871" spans="19:21" ht="14.25" customHeight="1">
      <c r="S1871"/>
      <c r="T1871"/>
      <c r="U1871"/>
    </row>
    <row r="1872" spans="19:21" ht="14.25" customHeight="1">
      <c r="S1872"/>
      <c r="T1872"/>
      <c r="U1872"/>
    </row>
    <row r="1873" spans="19:21" ht="14.25" customHeight="1">
      <c r="S1873"/>
      <c r="T1873"/>
      <c r="U1873"/>
    </row>
    <row r="1874" spans="19:21" ht="14.25" customHeight="1">
      <c r="S1874"/>
      <c r="T1874"/>
      <c r="U1874"/>
    </row>
    <row r="1875" spans="19:21" ht="14.25" customHeight="1">
      <c r="S1875"/>
      <c r="T1875"/>
      <c r="U1875"/>
    </row>
    <row r="1876" spans="19:21" ht="14.25" customHeight="1">
      <c r="S1876"/>
      <c r="T1876"/>
      <c r="U1876"/>
    </row>
    <row r="1877" spans="19:21" ht="14.25" customHeight="1">
      <c r="S1877"/>
      <c r="T1877"/>
      <c r="U1877"/>
    </row>
    <row r="1878" spans="19:21" ht="14.25" customHeight="1">
      <c r="S1878"/>
      <c r="T1878"/>
      <c r="U1878"/>
    </row>
    <row r="1879" spans="19:21" ht="14.25" customHeight="1">
      <c r="S1879"/>
      <c r="T1879"/>
      <c r="U1879"/>
    </row>
    <row r="1880" spans="19:21" ht="14.25" customHeight="1">
      <c r="S1880"/>
      <c r="T1880"/>
      <c r="U1880"/>
    </row>
    <row r="1881" spans="19:21" ht="14.25" customHeight="1">
      <c r="S1881"/>
      <c r="T1881"/>
      <c r="U1881"/>
    </row>
    <row r="1882" spans="19:21" ht="14.25" customHeight="1">
      <c r="S1882"/>
      <c r="T1882"/>
      <c r="U1882"/>
    </row>
    <row r="1883" spans="19:21" ht="14.25" customHeight="1">
      <c r="S1883"/>
      <c r="T1883"/>
      <c r="U1883"/>
    </row>
    <row r="1884" spans="19:21" ht="14.25" customHeight="1">
      <c r="S1884"/>
      <c r="T1884"/>
      <c r="U1884"/>
    </row>
    <row r="1885" spans="19:21" ht="14.25" customHeight="1">
      <c r="S1885"/>
      <c r="T1885"/>
      <c r="U1885"/>
    </row>
    <row r="1886" spans="19:21" ht="14.25" customHeight="1">
      <c r="S1886"/>
      <c r="T1886"/>
      <c r="U1886"/>
    </row>
    <row r="1887" spans="19:21" ht="14.25" customHeight="1">
      <c r="S1887"/>
      <c r="T1887"/>
      <c r="U1887"/>
    </row>
    <row r="1888" spans="19:21" ht="14.25" customHeight="1">
      <c r="S1888"/>
      <c r="T1888"/>
      <c r="U1888"/>
    </row>
    <row r="1889" spans="19:21" ht="14.25" customHeight="1">
      <c r="S1889"/>
      <c r="T1889"/>
      <c r="U1889"/>
    </row>
    <row r="1890" spans="19:21" ht="14.25" customHeight="1">
      <c r="S1890"/>
      <c r="T1890"/>
      <c r="U1890"/>
    </row>
    <row r="1891" spans="19:21" ht="14.25" customHeight="1">
      <c r="S1891"/>
      <c r="T1891"/>
      <c r="U1891"/>
    </row>
    <row r="1892" spans="19:21" ht="14.25" customHeight="1">
      <c r="S1892"/>
      <c r="T1892"/>
      <c r="U1892"/>
    </row>
    <row r="1893" spans="19:21" ht="14.25" customHeight="1">
      <c r="S1893"/>
      <c r="T1893"/>
      <c r="U1893"/>
    </row>
    <row r="1894" spans="19:21" ht="14.25" customHeight="1">
      <c r="S1894"/>
      <c r="T1894"/>
      <c r="U1894"/>
    </row>
    <row r="1895" spans="19:21" ht="14.25" customHeight="1">
      <c r="S1895"/>
      <c r="T1895"/>
      <c r="U1895"/>
    </row>
    <row r="1896" spans="19:21" ht="14.25" customHeight="1">
      <c r="S1896"/>
      <c r="T1896"/>
      <c r="U1896"/>
    </row>
    <row r="1897" spans="19:21" ht="14.25" customHeight="1">
      <c r="S1897"/>
      <c r="T1897"/>
      <c r="U1897"/>
    </row>
    <row r="1898" spans="19:21" ht="14.25" customHeight="1">
      <c r="S1898"/>
      <c r="T1898"/>
      <c r="U1898"/>
    </row>
    <row r="1899" spans="19:21" ht="14.25" customHeight="1">
      <c r="S1899"/>
      <c r="T1899"/>
      <c r="U1899"/>
    </row>
    <row r="1900" spans="19:21" ht="14.25" customHeight="1">
      <c r="S1900"/>
      <c r="T1900"/>
      <c r="U1900"/>
    </row>
    <row r="1901" spans="19:21" ht="14.25" customHeight="1">
      <c r="S1901"/>
      <c r="T1901"/>
      <c r="U1901"/>
    </row>
    <row r="1902" spans="19:21" ht="14.25" customHeight="1">
      <c r="S1902"/>
      <c r="T1902"/>
      <c r="U1902"/>
    </row>
    <row r="1903" spans="19:21" ht="14.25" customHeight="1">
      <c r="S1903"/>
      <c r="T1903"/>
      <c r="U1903"/>
    </row>
    <row r="1904" spans="19:21" ht="14.25" customHeight="1">
      <c r="S1904"/>
      <c r="T1904"/>
      <c r="U1904"/>
    </row>
    <row r="1905" spans="19:21" ht="14.25" customHeight="1">
      <c r="S1905"/>
      <c r="T1905"/>
      <c r="U1905"/>
    </row>
    <row r="1906" spans="19:21" ht="14.25" customHeight="1">
      <c r="S1906"/>
      <c r="T1906"/>
      <c r="U1906"/>
    </row>
    <row r="1907" spans="19:21" ht="14.25" customHeight="1">
      <c r="S1907"/>
      <c r="T1907"/>
      <c r="U1907"/>
    </row>
    <row r="1908" spans="19:21" ht="14.25" customHeight="1">
      <c r="S1908"/>
      <c r="T1908"/>
      <c r="U1908"/>
    </row>
    <row r="1909" spans="19:21" ht="14.25" customHeight="1">
      <c r="S1909"/>
      <c r="T1909"/>
      <c r="U1909"/>
    </row>
    <row r="1910" spans="19:21" ht="14.25" customHeight="1">
      <c r="S1910"/>
      <c r="T1910"/>
      <c r="U1910"/>
    </row>
    <row r="1911" spans="19:21" ht="14.25" customHeight="1">
      <c r="S1911"/>
      <c r="T1911"/>
      <c r="U1911"/>
    </row>
    <row r="1912" spans="19:21" ht="14.25" customHeight="1">
      <c r="S1912"/>
      <c r="T1912"/>
      <c r="U1912"/>
    </row>
    <row r="1913" spans="19:21" ht="14.25" customHeight="1">
      <c r="S1913"/>
      <c r="T1913"/>
      <c r="U1913"/>
    </row>
    <row r="1914" spans="19:21" ht="14.25" customHeight="1">
      <c r="S1914"/>
      <c r="T1914"/>
      <c r="U1914"/>
    </row>
    <row r="1915" spans="19:21" ht="14.25" customHeight="1">
      <c r="S1915"/>
      <c r="T1915"/>
      <c r="U1915"/>
    </row>
    <row r="1916" spans="19:21" ht="14.25" customHeight="1">
      <c r="S1916"/>
      <c r="T1916"/>
      <c r="U1916"/>
    </row>
    <row r="1917" spans="19:21" ht="14.25" customHeight="1">
      <c r="S1917"/>
      <c r="T1917"/>
      <c r="U1917"/>
    </row>
    <row r="1918" spans="19:21" ht="14.25" customHeight="1">
      <c r="S1918"/>
      <c r="T1918"/>
      <c r="U1918"/>
    </row>
    <row r="1919" spans="19:21" ht="14.25" customHeight="1">
      <c r="S1919"/>
      <c r="T1919"/>
      <c r="U1919"/>
    </row>
    <row r="1920" spans="19:21" ht="14.25" customHeight="1">
      <c r="S1920"/>
      <c r="T1920"/>
      <c r="U1920"/>
    </row>
    <row r="1921" spans="19:21" ht="14.25" customHeight="1">
      <c r="S1921"/>
      <c r="T1921"/>
      <c r="U1921"/>
    </row>
    <row r="1922" spans="19:21" ht="14.25" customHeight="1">
      <c r="S1922"/>
      <c r="T1922"/>
      <c r="U1922"/>
    </row>
    <row r="1923" spans="19:21" ht="14.25" customHeight="1">
      <c r="S1923"/>
      <c r="T1923"/>
      <c r="U1923"/>
    </row>
    <row r="1924" spans="19:21" ht="14.25" customHeight="1">
      <c r="S1924"/>
      <c r="T1924"/>
      <c r="U1924"/>
    </row>
    <row r="1925" spans="19:21" ht="14.25" customHeight="1">
      <c r="S1925"/>
      <c r="T1925"/>
      <c r="U1925"/>
    </row>
    <row r="1926" spans="19:21" ht="14.25" customHeight="1">
      <c r="S1926"/>
      <c r="T1926"/>
      <c r="U1926"/>
    </row>
    <row r="1927" spans="19:21" ht="14.25" customHeight="1">
      <c r="S1927"/>
      <c r="T1927"/>
      <c r="U1927"/>
    </row>
    <row r="1928" spans="19:21" ht="14.25" customHeight="1">
      <c r="S1928"/>
      <c r="T1928"/>
      <c r="U1928"/>
    </row>
    <row r="1929" spans="19:21" ht="14.25" customHeight="1">
      <c r="S1929"/>
      <c r="T1929"/>
      <c r="U1929"/>
    </row>
    <row r="1930" spans="19:21" ht="14.25" customHeight="1">
      <c r="S1930"/>
      <c r="T1930"/>
      <c r="U1930"/>
    </row>
    <row r="1931" spans="19:21" ht="14.25" customHeight="1">
      <c r="S1931"/>
      <c r="T1931"/>
      <c r="U1931"/>
    </row>
    <row r="1932" spans="19:21" ht="14.25" customHeight="1">
      <c r="S1932"/>
      <c r="T1932"/>
      <c r="U1932"/>
    </row>
    <row r="1933" spans="19:21" ht="14.25" customHeight="1">
      <c r="S1933"/>
      <c r="T1933"/>
      <c r="U1933"/>
    </row>
    <row r="1934" spans="19:21" ht="14.25" customHeight="1">
      <c r="S1934"/>
      <c r="T1934"/>
      <c r="U1934"/>
    </row>
    <row r="1935" spans="19:21" ht="14.25" customHeight="1">
      <c r="S1935"/>
      <c r="T1935"/>
      <c r="U1935"/>
    </row>
    <row r="1936" spans="19:21" ht="14.25" customHeight="1">
      <c r="S1936"/>
      <c r="T1936"/>
      <c r="U1936"/>
    </row>
    <row r="1937" spans="19:21" ht="14.25" customHeight="1">
      <c r="S1937"/>
      <c r="T1937"/>
      <c r="U1937"/>
    </row>
    <row r="1938" spans="19:21" ht="14.25" customHeight="1">
      <c r="S1938"/>
      <c r="T1938"/>
      <c r="U1938"/>
    </row>
    <row r="1939" spans="19:21" ht="14.25" customHeight="1">
      <c r="S1939"/>
      <c r="T1939"/>
      <c r="U1939"/>
    </row>
    <row r="1940" spans="19:21" ht="14.25" customHeight="1">
      <c r="S1940"/>
      <c r="T1940"/>
      <c r="U1940"/>
    </row>
    <row r="1941" spans="19:21" ht="14.25" customHeight="1">
      <c r="S1941"/>
      <c r="T1941"/>
      <c r="U1941"/>
    </row>
    <row r="1942" spans="19:21" ht="14.25" customHeight="1">
      <c r="S1942"/>
      <c r="T1942"/>
      <c r="U1942"/>
    </row>
    <row r="1943" spans="19:21" ht="14.25" customHeight="1">
      <c r="S1943"/>
      <c r="T1943"/>
      <c r="U1943"/>
    </row>
    <row r="1944" spans="19:21" ht="14.25" customHeight="1">
      <c r="S1944"/>
      <c r="T1944"/>
      <c r="U1944"/>
    </row>
    <row r="1945" spans="19:21" ht="14.25" customHeight="1">
      <c r="S1945"/>
      <c r="T1945"/>
      <c r="U1945"/>
    </row>
    <row r="1946" spans="19:21" ht="14.25" customHeight="1">
      <c r="S1946"/>
      <c r="T1946"/>
      <c r="U1946"/>
    </row>
    <row r="1947" spans="19:21" ht="14.25" customHeight="1">
      <c r="S1947"/>
      <c r="T1947"/>
      <c r="U1947"/>
    </row>
    <row r="1948" spans="19:21" ht="14.25" customHeight="1">
      <c r="S1948"/>
      <c r="T1948"/>
      <c r="U1948"/>
    </row>
    <row r="1949" spans="19:21" ht="14.25" customHeight="1">
      <c r="S1949"/>
      <c r="T1949"/>
      <c r="U1949"/>
    </row>
    <row r="1950" spans="19:21" ht="14.25" customHeight="1">
      <c r="S1950"/>
      <c r="T1950"/>
      <c r="U1950"/>
    </row>
    <row r="1951" spans="19:21" ht="14.25" customHeight="1">
      <c r="S1951"/>
      <c r="T1951"/>
      <c r="U1951"/>
    </row>
    <row r="1952" spans="19:21" ht="14.25" customHeight="1">
      <c r="S1952"/>
      <c r="T1952"/>
      <c r="U1952"/>
    </row>
    <row r="1953" spans="19:21" ht="14.25" customHeight="1">
      <c r="S1953"/>
      <c r="T1953"/>
      <c r="U1953"/>
    </row>
    <row r="1954" spans="19:21" ht="14.25" customHeight="1">
      <c r="S1954"/>
      <c r="T1954"/>
      <c r="U1954"/>
    </row>
    <row r="1955" spans="19:21" ht="14.25" customHeight="1">
      <c r="S1955"/>
      <c r="T1955"/>
      <c r="U1955"/>
    </row>
    <row r="1956" spans="19:21" ht="14.25" customHeight="1">
      <c r="S1956"/>
      <c r="T1956"/>
      <c r="U1956"/>
    </row>
    <row r="1957" spans="19:21" ht="14.25" customHeight="1">
      <c r="S1957"/>
      <c r="T1957"/>
      <c r="U1957"/>
    </row>
    <row r="1958" spans="19:21" ht="14.25" customHeight="1">
      <c r="S1958"/>
      <c r="T1958"/>
      <c r="U1958"/>
    </row>
    <row r="1959" spans="19:21" ht="14.25" customHeight="1">
      <c r="S1959"/>
      <c r="T1959"/>
      <c r="U1959"/>
    </row>
    <row r="1960" spans="19:21" ht="14.25" customHeight="1">
      <c r="S1960"/>
      <c r="T1960"/>
      <c r="U1960"/>
    </row>
    <row r="1961" spans="19:21" ht="14.25" customHeight="1">
      <c r="S1961"/>
      <c r="T1961"/>
      <c r="U1961"/>
    </row>
    <row r="1962" spans="19:21" ht="14.25" customHeight="1">
      <c r="S1962"/>
      <c r="T1962"/>
      <c r="U1962"/>
    </row>
    <row r="1963" spans="19:21" ht="14.25" customHeight="1">
      <c r="S1963"/>
      <c r="T1963"/>
      <c r="U1963"/>
    </row>
    <row r="1964" spans="19:21" ht="14.25" customHeight="1">
      <c r="S1964"/>
      <c r="T1964"/>
      <c r="U1964"/>
    </row>
    <row r="1965" spans="19:21" ht="14.25" customHeight="1">
      <c r="S1965"/>
      <c r="T1965"/>
      <c r="U1965"/>
    </row>
    <row r="1966" spans="19:21" ht="14.25" customHeight="1">
      <c r="S1966"/>
      <c r="T1966"/>
      <c r="U1966"/>
    </row>
    <row r="1967" spans="19:21" ht="14.25" customHeight="1">
      <c r="S1967"/>
      <c r="T1967"/>
      <c r="U1967"/>
    </row>
    <row r="1968" spans="19:21" ht="14.25" customHeight="1">
      <c r="S1968"/>
      <c r="T1968"/>
      <c r="U1968"/>
    </row>
    <row r="1969" spans="19:21" ht="14.25" customHeight="1">
      <c r="S1969"/>
      <c r="T1969"/>
      <c r="U1969"/>
    </row>
    <row r="1970" spans="19:21" ht="14.25" customHeight="1">
      <c r="S1970"/>
      <c r="T1970"/>
      <c r="U1970"/>
    </row>
    <row r="1971" spans="19:21" ht="14.25" customHeight="1">
      <c r="S1971"/>
      <c r="T1971"/>
      <c r="U1971"/>
    </row>
    <row r="1972" spans="19:21" ht="14.25" customHeight="1">
      <c r="S1972"/>
      <c r="T1972"/>
      <c r="U1972"/>
    </row>
    <row r="1973" spans="19:21" ht="14.25" customHeight="1">
      <c r="S1973"/>
      <c r="T1973"/>
      <c r="U1973"/>
    </row>
    <row r="1974" spans="19:21" ht="14.25" customHeight="1">
      <c r="S1974"/>
      <c r="T1974"/>
      <c r="U1974"/>
    </row>
    <row r="1975" spans="19:21" ht="14.25" customHeight="1">
      <c r="S1975"/>
      <c r="T1975"/>
      <c r="U1975"/>
    </row>
    <row r="1976" spans="19:21" ht="14.25" customHeight="1">
      <c r="S1976"/>
      <c r="T1976"/>
      <c r="U1976"/>
    </row>
    <row r="1977" spans="19:21" ht="14.25" customHeight="1">
      <c r="S1977"/>
      <c r="T1977"/>
      <c r="U1977"/>
    </row>
    <row r="1978" spans="19:21" ht="14.25" customHeight="1">
      <c r="S1978"/>
      <c r="T1978"/>
      <c r="U1978"/>
    </row>
    <row r="1979" spans="19:21" ht="14.25" customHeight="1">
      <c r="S1979"/>
      <c r="T1979"/>
      <c r="U1979"/>
    </row>
    <row r="1980" spans="19:21" ht="14.25" customHeight="1">
      <c r="S1980"/>
      <c r="T1980"/>
      <c r="U1980"/>
    </row>
    <row r="1981" spans="19:21" ht="14.25" customHeight="1">
      <c r="S1981"/>
      <c r="T1981"/>
      <c r="U1981"/>
    </row>
    <row r="1982" spans="19:21" ht="14.25" customHeight="1">
      <c r="S1982"/>
      <c r="T1982"/>
      <c r="U1982"/>
    </row>
    <row r="1983" spans="19:21" ht="14.25" customHeight="1">
      <c r="S1983"/>
      <c r="T1983"/>
      <c r="U1983"/>
    </row>
    <row r="1984" spans="19:21" ht="14.25" customHeight="1">
      <c r="S1984"/>
      <c r="T1984"/>
      <c r="U1984"/>
    </row>
    <row r="1985" spans="19:21" ht="14.25" customHeight="1">
      <c r="S1985"/>
      <c r="T1985"/>
      <c r="U1985"/>
    </row>
    <row r="1986" spans="19:21" ht="14.25" customHeight="1">
      <c r="S1986"/>
      <c r="T1986"/>
      <c r="U1986"/>
    </row>
    <row r="1987" spans="19:21" ht="14.25" customHeight="1">
      <c r="S1987"/>
      <c r="T1987"/>
      <c r="U1987"/>
    </row>
    <row r="1988" spans="19:21" ht="14.25" customHeight="1">
      <c r="S1988"/>
      <c r="T1988"/>
      <c r="U1988"/>
    </row>
    <row r="1989" spans="19:21" ht="14.25" customHeight="1">
      <c r="S1989"/>
      <c r="T1989"/>
      <c r="U1989"/>
    </row>
    <row r="1990" spans="19:21" ht="14.25" customHeight="1">
      <c r="S1990"/>
      <c r="T1990"/>
      <c r="U1990"/>
    </row>
    <row r="1991" spans="19:21" ht="14.25" customHeight="1">
      <c r="S1991"/>
      <c r="T1991"/>
      <c r="U1991"/>
    </row>
    <row r="1992" spans="19:21" ht="14.25" customHeight="1">
      <c r="S1992"/>
      <c r="T1992"/>
      <c r="U1992"/>
    </row>
    <row r="1993" spans="19:21" ht="14.25" customHeight="1">
      <c r="S1993"/>
      <c r="T1993"/>
      <c r="U1993"/>
    </row>
    <row r="1994" spans="19:21" ht="14.25" customHeight="1">
      <c r="S1994"/>
      <c r="T1994"/>
      <c r="U1994"/>
    </row>
    <row r="1995" spans="19:21" ht="14.25" customHeight="1">
      <c r="S1995"/>
      <c r="T1995"/>
      <c r="U1995"/>
    </row>
    <row r="1996" spans="19:21" ht="14.25" customHeight="1">
      <c r="S1996"/>
      <c r="T1996"/>
      <c r="U1996"/>
    </row>
    <row r="1997" spans="19:21" ht="14.25" customHeight="1">
      <c r="S1997"/>
      <c r="T1997"/>
      <c r="U1997"/>
    </row>
    <row r="1998" spans="19:21" ht="14.25" customHeight="1">
      <c r="S1998"/>
      <c r="T1998"/>
      <c r="U1998"/>
    </row>
    <row r="1999" spans="19:21" ht="14.25" customHeight="1">
      <c r="S1999"/>
      <c r="T1999"/>
      <c r="U1999"/>
    </row>
    <row r="2000" spans="19:21" ht="14.25" customHeight="1">
      <c r="S2000"/>
      <c r="T2000"/>
      <c r="U2000"/>
    </row>
    <row r="2001" spans="19:21" ht="14.25" customHeight="1">
      <c r="S2001"/>
      <c r="T2001"/>
      <c r="U2001"/>
    </row>
    <row r="2002" spans="19:21" ht="14.25" customHeight="1">
      <c r="S2002"/>
      <c r="T2002"/>
      <c r="U2002"/>
    </row>
    <row r="2003" spans="19:21" ht="14.25" customHeight="1">
      <c r="S2003"/>
      <c r="T2003"/>
      <c r="U2003"/>
    </row>
    <row r="2004" spans="19:21" ht="14.25" customHeight="1">
      <c r="S2004"/>
      <c r="T2004"/>
      <c r="U2004"/>
    </row>
    <row r="2005" spans="19:21" ht="14.25" customHeight="1">
      <c r="S2005"/>
      <c r="T2005"/>
      <c r="U2005"/>
    </row>
    <row r="2006" spans="19:21" ht="14.25" customHeight="1">
      <c r="S2006"/>
      <c r="T2006"/>
      <c r="U2006"/>
    </row>
    <row r="2007" spans="19:21" ht="14.25" customHeight="1">
      <c r="S2007"/>
      <c r="T2007"/>
      <c r="U2007"/>
    </row>
    <row r="2008" spans="19:21" ht="14.25" customHeight="1">
      <c r="S2008"/>
      <c r="T2008"/>
      <c r="U2008"/>
    </row>
    <row r="2009" spans="19:21" ht="14.25" customHeight="1">
      <c r="S2009"/>
      <c r="T2009"/>
      <c r="U2009"/>
    </row>
    <row r="2010" spans="19:21" ht="14.25" customHeight="1">
      <c r="S2010"/>
      <c r="T2010"/>
      <c r="U2010"/>
    </row>
    <row r="2011" spans="19:21" ht="14.25" customHeight="1">
      <c r="S2011"/>
      <c r="T2011"/>
      <c r="U2011"/>
    </row>
    <row r="2012" spans="19:21" ht="14.25" customHeight="1">
      <c r="S2012"/>
      <c r="T2012"/>
      <c r="U2012"/>
    </row>
    <row r="2013" spans="19:21" ht="14.25" customHeight="1">
      <c r="S2013"/>
      <c r="T2013"/>
      <c r="U2013"/>
    </row>
    <row r="2014" spans="19:21" ht="14.25" customHeight="1">
      <c r="S2014"/>
      <c r="T2014"/>
      <c r="U2014"/>
    </row>
    <row r="2015" spans="19:21" ht="14.25" customHeight="1">
      <c r="S2015"/>
      <c r="T2015"/>
      <c r="U2015"/>
    </row>
    <row r="2016" spans="19:21" ht="14.25" customHeight="1">
      <c r="S2016"/>
      <c r="T2016"/>
      <c r="U2016"/>
    </row>
    <row r="2017" spans="19:21" ht="14.25" customHeight="1">
      <c r="S2017"/>
      <c r="T2017"/>
      <c r="U2017"/>
    </row>
    <row r="2018" spans="19:21" ht="14.25" customHeight="1">
      <c r="S2018"/>
      <c r="T2018"/>
      <c r="U2018"/>
    </row>
    <row r="2019" spans="19:21" ht="14.25" customHeight="1">
      <c r="S2019"/>
      <c r="T2019"/>
      <c r="U2019"/>
    </row>
    <row r="2020" spans="19:21" ht="14.25" customHeight="1">
      <c r="S2020"/>
      <c r="T2020"/>
      <c r="U2020"/>
    </row>
    <row r="2021" spans="19:21" ht="14.25" customHeight="1">
      <c r="S2021"/>
      <c r="T2021"/>
      <c r="U2021"/>
    </row>
    <row r="2022" spans="19:21" ht="14.25" customHeight="1">
      <c r="S2022"/>
      <c r="T2022"/>
      <c r="U2022"/>
    </row>
    <row r="2023" spans="19:21" ht="14.25" customHeight="1">
      <c r="S2023"/>
      <c r="T2023"/>
      <c r="U2023"/>
    </row>
    <row r="2024" spans="19:21" ht="14.25" customHeight="1">
      <c r="S2024"/>
      <c r="T2024"/>
      <c r="U2024"/>
    </row>
    <row r="2025" spans="19:21" ht="14.25" customHeight="1">
      <c r="S2025"/>
      <c r="T2025"/>
      <c r="U2025"/>
    </row>
    <row r="2026" spans="19:21" ht="14.25" customHeight="1">
      <c r="S2026"/>
      <c r="T2026"/>
      <c r="U2026"/>
    </row>
    <row r="2027" spans="19:21" ht="14.25" customHeight="1">
      <c r="S2027"/>
      <c r="T2027"/>
      <c r="U2027"/>
    </row>
    <row r="2028" spans="19:21" ht="14.25" customHeight="1">
      <c r="S2028"/>
      <c r="T2028"/>
      <c r="U2028"/>
    </row>
    <row r="2029" spans="19:21" ht="14.25" customHeight="1">
      <c r="S2029"/>
      <c r="T2029"/>
      <c r="U2029"/>
    </row>
    <row r="2030" spans="19:21" ht="14.25" customHeight="1">
      <c r="S2030"/>
      <c r="T2030"/>
      <c r="U2030"/>
    </row>
    <row r="2031" spans="19:21" ht="14.25" customHeight="1">
      <c r="S2031"/>
      <c r="T2031"/>
      <c r="U2031"/>
    </row>
    <row r="2032" spans="19:21" ht="14.25" customHeight="1">
      <c r="S2032"/>
      <c r="T2032"/>
      <c r="U2032"/>
    </row>
    <row r="2033" spans="19:21" ht="14.25" customHeight="1">
      <c r="S2033"/>
      <c r="T2033"/>
      <c r="U2033"/>
    </row>
    <row r="2034" spans="19:21" ht="14.25" customHeight="1">
      <c r="S2034"/>
      <c r="T2034"/>
      <c r="U2034"/>
    </row>
    <row r="2035" spans="19:21" ht="14.25" customHeight="1">
      <c r="S2035"/>
      <c r="T2035"/>
      <c r="U2035"/>
    </row>
    <row r="2036" spans="19:21" ht="14.25" customHeight="1">
      <c r="S2036"/>
      <c r="T2036"/>
      <c r="U2036"/>
    </row>
    <row r="2037" spans="19:21" ht="14.25" customHeight="1">
      <c r="S2037"/>
      <c r="T2037"/>
      <c r="U2037"/>
    </row>
    <row r="2038" spans="19:21" ht="14.25" customHeight="1">
      <c r="S2038"/>
      <c r="T2038"/>
      <c r="U2038"/>
    </row>
    <row r="2039" spans="19:21" ht="14.25" customHeight="1">
      <c r="S2039"/>
      <c r="T2039"/>
      <c r="U2039"/>
    </row>
    <row r="2040" spans="19:21" ht="14.25" customHeight="1">
      <c r="S2040"/>
      <c r="T2040"/>
      <c r="U2040"/>
    </row>
    <row r="2041" spans="19:21" ht="14.25" customHeight="1">
      <c r="S2041"/>
      <c r="T2041"/>
      <c r="U2041"/>
    </row>
    <row r="2042" spans="19:21" ht="14.25" customHeight="1">
      <c r="S2042"/>
      <c r="T2042"/>
      <c r="U2042"/>
    </row>
    <row r="2043" spans="19:21" ht="14.25" customHeight="1">
      <c r="S2043"/>
      <c r="T2043"/>
      <c r="U2043"/>
    </row>
    <row r="2044" spans="19:21" ht="14.25" customHeight="1">
      <c r="S2044"/>
      <c r="T2044"/>
      <c r="U2044"/>
    </row>
    <row r="2045" spans="19:21" ht="14.25" customHeight="1">
      <c r="S2045"/>
      <c r="T2045"/>
      <c r="U2045"/>
    </row>
    <row r="2046" spans="19:21" ht="14.25" customHeight="1">
      <c r="S2046"/>
      <c r="T2046"/>
      <c r="U2046"/>
    </row>
    <row r="2047" spans="19:21" ht="14.25" customHeight="1">
      <c r="S2047"/>
      <c r="T2047"/>
      <c r="U2047"/>
    </row>
    <row r="2048" spans="19:21" ht="14.25" customHeight="1">
      <c r="S2048"/>
      <c r="T2048"/>
      <c r="U2048"/>
    </row>
    <row r="2049" spans="19:21" ht="14.25" customHeight="1">
      <c r="S2049"/>
      <c r="T2049"/>
      <c r="U2049"/>
    </row>
    <row r="2050" spans="19:21" ht="14.25" customHeight="1">
      <c r="S2050"/>
      <c r="T2050"/>
      <c r="U2050"/>
    </row>
    <row r="2051" spans="19:21" ht="14.25" customHeight="1">
      <c r="S2051"/>
      <c r="T2051"/>
      <c r="U2051"/>
    </row>
    <row r="2052" spans="19:21" ht="14.25" customHeight="1">
      <c r="S2052"/>
      <c r="T2052"/>
      <c r="U2052"/>
    </row>
    <row r="2053" spans="19:21" ht="14.25" customHeight="1">
      <c r="S2053"/>
      <c r="T2053"/>
      <c r="U2053"/>
    </row>
    <row r="2054" spans="19:21" ht="14.25" customHeight="1">
      <c r="S2054"/>
      <c r="T2054"/>
      <c r="U2054"/>
    </row>
    <row r="2055" spans="19:21" ht="14.25" customHeight="1">
      <c r="S2055"/>
      <c r="T2055"/>
      <c r="U2055"/>
    </row>
    <row r="2056" spans="19:21" ht="14.25" customHeight="1">
      <c r="S2056"/>
      <c r="T2056"/>
      <c r="U2056"/>
    </row>
    <row r="2057" spans="19:21" ht="14.25" customHeight="1">
      <c r="S2057"/>
      <c r="T2057"/>
      <c r="U2057"/>
    </row>
    <row r="2058" spans="19:21" ht="14.25" customHeight="1">
      <c r="S2058"/>
      <c r="T2058"/>
      <c r="U2058"/>
    </row>
    <row r="2059" spans="19:21" ht="14.25" customHeight="1">
      <c r="S2059"/>
      <c r="T2059"/>
      <c r="U2059"/>
    </row>
    <row r="2060" spans="19:21" ht="14.25" customHeight="1">
      <c r="S2060"/>
      <c r="T2060"/>
      <c r="U2060"/>
    </row>
    <row r="2061" spans="19:21" ht="14.25" customHeight="1">
      <c r="S2061"/>
      <c r="T2061"/>
      <c r="U2061"/>
    </row>
    <row r="2062" spans="19:21" ht="14.25" customHeight="1">
      <c r="S2062"/>
      <c r="T2062"/>
      <c r="U2062"/>
    </row>
    <row r="2063" spans="19:21" ht="14.25" customHeight="1">
      <c r="S2063"/>
      <c r="T2063"/>
      <c r="U2063"/>
    </row>
    <row r="2064" spans="19:21" ht="14.25" customHeight="1">
      <c r="S2064"/>
      <c r="T2064"/>
      <c r="U2064"/>
    </row>
    <row r="2065" spans="19:21" ht="14.25" customHeight="1">
      <c r="S2065"/>
      <c r="T2065"/>
      <c r="U2065"/>
    </row>
    <row r="2066" spans="19:21" ht="14.25" customHeight="1">
      <c r="S2066"/>
      <c r="T2066"/>
      <c r="U2066"/>
    </row>
    <row r="2067" spans="19:21" ht="14.25" customHeight="1">
      <c r="S2067"/>
      <c r="T2067"/>
      <c r="U2067"/>
    </row>
    <row r="2068" spans="19:21" ht="14.25" customHeight="1">
      <c r="S2068"/>
      <c r="T2068"/>
      <c r="U2068"/>
    </row>
    <row r="2069" spans="19:21" ht="14.25" customHeight="1">
      <c r="S2069"/>
      <c r="T2069"/>
      <c r="U2069"/>
    </row>
    <row r="2070" spans="19:21" ht="14.25" customHeight="1">
      <c r="S2070"/>
      <c r="T2070"/>
      <c r="U2070"/>
    </row>
    <row r="2071" spans="19:21" ht="14.25" customHeight="1">
      <c r="S2071"/>
      <c r="T2071"/>
      <c r="U2071"/>
    </row>
    <row r="2072" spans="19:21" ht="14.25" customHeight="1">
      <c r="S2072"/>
      <c r="T2072"/>
      <c r="U2072"/>
    </row>
    <row r="2073" spans="19:21" ht="14.25" customHeight="1">
      <c r="S2073"/>
      <c r="T2073"/>
      <c r="U2073"/>
    </row>
    <row r="2074" spans="19:21" ht="14.25" customHeight="1">
      <c r="S2074"/>
      <c r="T2074"/>
      <c r="U2074"/>
    </row>
    <row r="2075" spans="19:21" ht="14.25" customHeight="1">
      <c r="S2075"/>
      <c r="T2075"/>
      <c r="U2075"/>
    </row>
    <row r="2076" spans="19:21" ht="14.25" customHeight="1">
      <c r="S2076"/>
      <c r="T2076"/>
      <c r="U2076"/>
    </row>
    <row r="2077" spans="19:21" ht="14.25" customHeight="1">
      <c r="S2077"/>
      <c r="T2077"/>
      <c r="U2077"/>
    </row>
    <row r="2078" spans="19:21" ht="14.25" customHeight="1">
      <c r="S2078"/>
      <c r="T2078"/>
      <c r="U2078"/>
    </row>
    <row r="2079" spans="19:21" ht="14.25" customHeight="1">
      <c r="S2079"/>
      <c r="T2079"/>
      <c r="U2079"/>
    </row>
    <row r="2080" spans="19:21" ht="14.25" customHeight="1">
      <c r="S2080"/>
      <c r="T2080"/>
      <c r="U2080"/>
    </row>
    <row r="2081" spans="19:21" ht="14.25" customHeight="1">
      <c r="S2081"/>
      <c r="T2081"/>
      <c r="U2081"/>
    </row>
    <row r="2082" spans="19:21" ht="14.25" customHeight="1">
      <c r="S2082"/>
      <c r="T2082"/>
      <c r="U2082"/>
    </row>
    <row r="2083" spans="19:21" ht="14.25" customHeight="1">
      <c r="S2083"/>
      <c r="T2083"/>
      <c r="U2083"/>
    </row>
    <row r="2084" spans="19:21" ht="14.25" customHeight="1">
      <c r="S2084"/>
      <c r="T2084"/>
      <c r="U2084"/>
    </row>
    <row r="2085" spans="19:21" ht="14.25" customHeight="1">
      <c r="S2085"/>
      <c r="T2085"/>
      <c r="U2085"/>
    </row>
    <row r="2086" spans="19:21" ht="14.25" customHeight="1">
      <c r="S2086"/>
      <c r="T2086"/>
      <c r="U2086"/>
    </row>
    <row r="2087" spans="19:21" ht="14.25" customHeight="1">
      <c r="S2087"/>
      <c r="T2087"/>
      <c r="U2087"/>
    </row>
    <row r="2088" spans="19:21" ht="14.25" customHeight="1">
      <c r="S2088"/>
      <c r="T2088"/>
      <c r="U2088"/>
    </row>
    <row r="2089" spans="19:21" ht="14.25" customHeight="1">
      <c r="S2089"/>
      <c r="T2089"/>
      <c r="U2089"/>
    </row>
    <row r="2090" spans="19:21" ht="14.25" customHeight="1">
      <c r="S2090"/>
      <c r="T2090"/>
      <c r="U2090"/>
    </row>
    <row r="2091" spans="19:21" ht="14.25" customHeight="1">
      <c r="S2091"/>
      <c r="T2091"/>
      <c r="U2091"/>
    </row>
    <row r="2092" spans="19:21" ht="14.25" customHeight="1">
      <c r="S2092"/>
      <c r="T2092"/>
      <c r="U2092"/>
    </row>
    <row r="2093" spans="19:21" ht="14.25" customHeight="1">
      <c r="S2093"/>
      <c r="T2093"/>
      <c r="U2093"/>
    </row>
    <row r="2094" spans="19:21" ht="14.25" customHeight="1">
      <c r="S2094"/>
      <c r="T2094"/>
      <c r="U2094"/>
    </row>
    <row r="2095" spans="19:21" ht="14.25" customHeight="1">
      <c r="S2095"/>
      <c r="T2095"/>
      <c r="U2095"/>
    </row>
    <row r="2096" spans="19:21" ht="14.25" customHeight="1">
      <c r="S2096"/>
      <c r="T2096"/>
      <c r="U2096"/>
    </row>
    <row r="2097" spans="19:21" ht="14.25" customHeight="1">
      <c r="S2097"/>
      <c r="T2097"/>
      <c r="U2097"/>
    </row>
    <row r="2098" spans="19:21" ht="14.25" customHeight="1">
      <c r="S2098"/>
      <c r="T2098"/>
      <c r="U2098"/>
    </row>
    <row r="2099" spans="19:21" ht="14.25" customHeight="1">
      <c r="S2099"/>
      <c r="T2099"/>
      <c r="U2099"/>
    </row>
    <row r="2100" spans="19:21" ht="14.25" customHeight="1">
      <c r="S2100"/>
      <c r="T2100"/>
      <c r="U2100"/>
    </row>
    <row r="2101" spans="19:21" ht="14.25" customHeight="1">
      <c r="S2101"/>
      <c r="T2101"/>
      <c r="U2101"/>
    </row>
    <row r="2102" spans="19:21" ht="14.25" customHeight="1">
      <c r="S2102"/>
      <c r="T2102"/>
      <c r="U2102"/>
    </row>
    <row r="2103" spans="19:21" ht="14.25" customHeight="1">
      <c r="S2103"/>
      <c r="T2103"/>
      <c r="U2103"/>
    </row>
    <row r="2104" spans="19:21" ht="14.25" customHeight="1">
      <c r="S2104"/>
      <c r="T2104"/>
      <c r="U2104"/>
    </row>
    <row r="2105" spans="19:21" ht="14.25" customHeight="1">
      <c r="S2105"/>
      <c r="T2105"/>
      <c r="U2105"/>
    </row>
    <row r="2106" spans="19:21" ht="14.25" customHeight="1">
      <c r="S2106"/>
      <c r="T2106"/>
      <c r="U2106"/>
    </row>
    <row r="2107" spans="19:21" ht="14.25" customHeight="1">
      <c r="S2107"/>
      <c r="T2107"/>
      <c r="U2107"/>
    </row>
    <row r="2108" spans="19:21" ht="14.25" customHeight="1">
      <c r="S2108"/>
      <c r="T2108"/>
      <c r="U2108"/>
    </row>
    <row r="2109" spans="19:21" ht="14.25" customHeight="1">
      <c r="S2109"/>
      <c r="T2109"/>
      <c r="U2109"/>
    </row>
    <row r="2110" spans="19:21" ht="14.25" customHeight="1">
      <c r="S2110"/>
      <c r="T2110"/>
      <c r="U2110"/>
    </row>
    <row r="2111" spans="19:21" ht="14.25" customHeight="1">
      <c r="S2111"/>
      <c r="T2111"/>
      <c r="U2111"/>
    </row>
    <row r="2112" spans="19:21" ht="14.25" customHeight="1">
      <c r="S2112"/>
      <c r="T2112"/>
      <c r="U2112"/>
    </row>
    <row r="2113" spans="19:21" ht="14.25" customHeight="1">
      <c r="S2113"/>
      <c r="T2113"/>
      <c r="U2113"/>
    </row>
    <row r="2114" spans="19:21" ht="14.25" customHeight="1">
      <c r="S2114"/>
      <c r="T2114"/>
      <c r="U2114"/>
    </row>
    <row r="2115" spans="19:21" ht="14.25" customHeight="1">
      <c r="S2115"/>
      <c r="T2115"/>
      <c r="U2115"/>
    </row>
    <row r="2116" spans="19:21" ht="14.25" customHeight="1">
      <c r="S2116"/>
      <c r="T2116"/>
      <c r="U2116"/>
    </row>
    <row r="2117" spans="19:21" ht="14.25" customHeight="1">
      <c r="S2117"/>
      <c r="T2117"/>
      <c r="U2117"/>
    </row>
    <row r="2118" spans="19:21" ht="14.25" customHeight="1">
      <c r="S2118"/>
      <c r="T2118"/>
      <c r="U2118"/>
    </row>
    <row r="2119" spans="19:21" ht="14.25" customHeight="1">
      <c r="S2119"/>
      <c r="T2119"/>
      <c r="U2119"/>
    </row>
    <row r="2120" spans="19:21" ht="14.25" customHeight="1">
      <c r="S2120"/>
      <c r="T2120"/>
      <c r="U2120"/>
    </row>
    <row r="2121" spans="19:21" ht="14.25" customHeight="1">
      <c r="S2121"/>
      <c r="T2121"/>
      <c r="U2121"/>
    </row>
    <row r="2122" spans="19:21" ht="14.25" customHeight="1">
      <c r="S2122"/>
      <c r="T2122"/>
      <c r="U2122"/>
    </row>
    <row r="2123" spans="19:21" ht="14.25" customHeight="1">
      <c r="S2123"/>
      <c r="T2123"/>
      <c r="U2123"/>
    </row>
    <row r="2124" spans="19:21" ht="14.25" customHeight="1">
      <c r="S2124"/>
      <c r="T2124"/>
      <c r="U2124"/>
    </row>
    <row r="2125" spans="19:21" ht="14.25" customHeight="1">
      <c r="S2125"/>
      <c r="T2125"/>
      <c r="U2125"/>
    </row>
    <row r="2126" spans="19:21" ht="14.25" customHeight="1">
      <c r="S2126"/>
      <c r="T2126"/>
      <c r="U2126"/>
    </row>
    <row r="2127" spans="19:21" ht="14.25" customHeight="1">
      <c r="S2127"/>
      <c r="T2127"/>
      <c r="U2127"/>
    </row>
    <row r="2128" spans="19:21" ht="14.25" customHeight="1">
      <c r="S2128"/>
      <c r="T2128"/>
      <c r="U2128"/>
    </row>
    <row r="2129" spans="19:21" ht="14.25" customHeight="1">
      <c r="S2129"/>
      <c r="T2129"/>
      <c r="U2129"/>
    </row>
    <row r="2130" spans="19:21" ht="14.25" customHeight="1">
      <c r="S2130"/>
      <c r="T2130"/>
      <c r="U2130"/>
    </row>
    <row r="2131" spans="19:21" ht="14.25" customHeight="1">
      <c r="S2131"/>
      <c r="T2131"/>
      <c r="U2131"/>
    </row>
    <row r="2132" spans="19:21" ht="14.25" customHeight="1">
      <c r="S2132"/>
      <c r="T2132"/>
      <c r="U2132"/>
    </row>
    <row r="2133" spans="19:21" ht="14.25" customHeight="1">
      <c r="S2133"/>
      <c r="T2133"/>
      <c r="U2133"/>
    </row>
    <row r="2134" spans="19:21" ht="14.25" customHeight="1">
      <c r="S2134"/>
      <c r="T2134"/>
      <c r="U2134"/>
    </row>
    <row r="2135" spans="19:21" ht="14.25" customHeight="1">
      <c r="S2135"/>
      <c r="T2135"/>
      <c r="U2135"/>
    </row>
    <row r="2136" spans="19:21" ht="14.25" customHeight="1">
      <c r="S2136"/>
      <c r="T2136"/>
      <c r="U2136"/>
    </row>
    <row r="2137" spans="19:21" ht="14.25" customHeight="1">
      <c r="S2137"/>
      <c r="T2137"/>
      <c r="U2137"/>
    </row>
    <row r="2138" spans="19:21" ht="14.25" customHeight="1">
      <c r="S2138"/>
      <c r="T2138"/>
      <c r="U2138"/>
    </row>
    <row r="2139" spans="19:21" ht="14.25" customHeight="1">
      <c r="S2139"/>
      <c r="T2139"/>
      <c r="U2139"/>
    </row>
    <row r="2140" spans="19:21" ht="14.25" customHeight="1">
      <c r="S2140"/>
      <c r="T2140"/>
      <c r="U2140"/>
    </row>
    <row r="2141" spans="19:21" ht="14.25" customHeight="1">
      <c r="S2141"/>
      <c r="T2141"/>
      <c r="U2141"/>
    </row>
    <row r="2142" spans="19:21" ht="14.25" customHeight="1">
      <c r="S2142"/>
      <c r="T2142"/>
      <c r="U2142"/>
    </row>
    <row r="2143" spans="19:21" ht="14.25" customHeight="1">
      <c r="S2143"/>
      <c r="T2143"/>
      <c r="U2143"/>
    </row>
    <row r="2144" spans="19:21" ht="14.25" customHeight="1">
      <c r="S2144"/>
      <c r="T2144"/>
      <c r="U2144"/>
    </row>
    <row r="2145" spans="19:21" ht="14.25" customHeight="1">
      <c r="S2145"/>
      <c r="T2145"/>
      <c r="U2145"/>
    </row>
    <row r="2146" spans="19:21" ht="14.25" customHeight="1">
      <c r="S2146"/>
      <c r="T2146"/>
      <c r="U2146"/>
    </row>
    <row r="2147" spans="19:21" ht="14.25" customHeight="1">
      <c r="S2147"/>
      <c r="T2147"/>
      <c r="U2147"/>
    </row>
    <row r="2148" spans="19:21" ht="14.25" customHeight="1">
      <c r="S2148"/>
      <c r="T2148"/>
      <c r="U2148"/>
    </row>
    <row r="2149" spans="19:21" ht="14.25" customHeight="1">
      <c r="S2149"/>
      <c r="T2149"/>
      <c r="U2149"/>
    </row>
    <row r="2150" spans="19:21" ht="14.25" customHeight="1">
      <c r="S2150"/>
      <c r="T2150"/>
      <c r="U2150"/>
    </row>
    <row r="2151" spans="19:21" ht="14.25" customHeight="1">
      <c r="S2151"/>
      <c r="T2151"/>
      <c r="U2151"/>
    </row>
    <row r="2152" spans="19:21" ht="14.25" customHeight="1">
      <c r="S2152"/>
      <c r="T2152"/>
      <c r="U2152"/>
    </row>
    <row r="2153" spans="19:21" ht="14.25" customHeight="1">
      <c r="S2153"/>
      <c r="T2153"/>
      <c r="U2153"/>
    </row>
    <row r="2154" spans="19:21" ht="14.25" customHeight="1">
      <c r="S2154"/>
      <c r="T2154"/>
      <c r="U2154"/>
    </row>
    <row r="2155" spans="19:21" ht="14.25" customHeight="1">
      <c r="S2155"/>
      <c r="T2155"/>
      <c r="U2155"/>
    </row>
    <row r="2156" spans="19:21" ht="14.25" customHeight="1">
      <c r="S2156"/>
      <c r="T2156"/>
      <c r="U2156"/>
    </row>
    <row r="2157" spans="19:21" ht="14.25" customHeight="1">
      <c r="S2157"/>
      <c r="T2157"/>
      <c r="U2157"/>
    </row>
    <row r="2158" spans="19:21" ht="14.25" customHeight="1">
      <c r="S2158"/>
      <c r="T2158"/>
      <c r="U2158"/>
    </row>
    <row r="2159" spans="19:21" ht="14.25" customHeight="1">
      <c r="S2159"/>
      <c r="T2159"/>
      <c r="U2159"/>
    </row>
    <row r="2160" spans="19:21" ht="14.25" customHeight="1">
      <c r="S2160"/>
      <c r="T2160"/>
      <c r="U2160"/>
    </row>
    <row r="2161" spans="19:21" ht="14.25" customHeight="1">
      <c r="S2161"/>
      <c r="T2161"/>
      <c r="U2161"/>
    </row>
    <row r="2162" spans="19:21" ht="14.25" customHeight="1">
      <c r="S2162"/>
      <c r="T2162"/>
      <c r="U2162"/>
    </row>
    <row r="2163" spans="19:21" ht="14.25" customHeight="1">
      <c r="S2163"/>
      <c r="T2163"/>
      <c r="U2163"/>
    </row>
    <row r="2164" spans="19:21" ht="14.25" customHeight="1">
      <c r="S2164"/>
      <c r="T2164"/>
      <c r="U2164"/>
    </row>
    <row r="2165" spans="19:21" ht="14.25" customHeight="1">
      <c r="S2165"/>
      <c r="T2165"/>
      <c r="U2165"/>
    </row>
    <row r="2166" spans="19:21" ht="14.25" customHeight="1">
      <c r="S2166"/>
      <c r="T2166"/>
      <c r="U2166"/>
    </row>
    <row r="2167" spans="19:21" ht="14.25" customHeight="1">
      <c r="S2167"/>
      <c r="T2167"/>
      <c r="U2167"/>
    </row>
    <row r="2168" spans="19:21" ht="14.25" customHeight="1">
      <c r="S2168"/>
      <c r="T2168"/>
      <c r="U2168"/>
    </row>
    <row r="2169" spans="19:21" ht="14.25" customHeight="1">
      <c r="S2169"/>
      <c r="T2169"/>
      <c r="U2169"/>
    </row>
    <row r="2170" spans="19:21" ht="14.25" customHeight="1">
      <c r="S2170"/>
      <c r="T2170"/>
      <c r="U2170"/>
    </row>
    <row r="2171" spans="19:21" ht="14.25" customHeight="1">
      <c r="S2171"/>
      <c r="T2171"/>
      <c r="U2171"/>
    </row>
    <row r="2172" spans="19:21" ht="14.25" customHeight="1">
      <c r="S2172"/>
      <c r="T2172"/>
      <c r="U2172"/>
    </row>
    <row r="2173" spans="19:21" ht="14.25" customHeight="1">
      <c r="S2173"/>
      <c r="T2173"/>
      <c r="U2173"/>
    </row>
    <row r="2174" spans="19:21" ht="14.25" customHeight="1">
      <c r="S2174"/>
      <c r="T2174"/>
      <c r="U2174"/>
    </row>
    <row r="2175" spans="19:21" ht="14.25" customHeight="1">
      <c r="S2175"/>
      <c r="T2175"/>
      <c r="U2175"/>
    </row>
    <row r="2176" spans="19:21" ht="14.25" customHeight="1">
      <c r="S2176"/>
      <c r="T2176"/>
      <c r="U2176"/>
    </row>
    <row r="2177" spans="19:21" ht="14.25" customHeight="1">
      <c r="S2177"/>
      <c r="T2177"/>
      <c r="U2177"/>
    </row>
    <row r="2178" spans="19:21" ht="14.25" customHeight="1">
      <c r="S2178"/>
      <c r="T2178"/>
      <c r="U2178"/>
    </row>
    <row r="2179" spans="19:21" ht="14.25" customHeight="1">
      <c r="S2179"/>
      <c r="T2179"/>
      <c r="U2179"/>
    </row>
    <row r="2180" spans="19:21" ht="14.25" customHeight="1">
      <c r="S2180"/>
      <c r="T2180"/>
      <c r="U2180"/>
    </row>
    <row r="2181" spans="19:21" ht="14.25" customHeight="1">
      <c r="S2181"/>
      <c r="T2181"/>
      <c r="U2181"/>
    </row>
    <row r="2182" spans="19:21" ht="14.25" customHeight="1">
      <c r="S2182"/>
      <c r="T2182"/>
      <c r="U2182"/>
    </row>
    <row r="2183" spans="19:21" ht="14.25" customHeight="1">
      <c r="S2183"/>
      <c r="T2183"/>
      <c r="U2183"/>
    </row>
    <row r="2184" spans="19:21" ht="14.25" customHeight="1">
      <c r="S2184"/>
      <c r="T2184"/>
      <c r="U2184"/>
    </row>
    <row r="2185" spans="19:21" ht="14.25" customHeight="1">
      <c r="S2185"/>
      <c r="T2185"/>
      <c r="U2185"/>
    </row>
    <row r="2186" spans="19:21" ht="14.25" customHeight="1">
      <c r="S2186"/>
      <c r="T2186"/>
      <c r="U2186"/>
    </row>
    <row r="2187" spans="19:21" ht="14.25" customHeight="1">
      <c r="S2187"/>
      <c r="T2187"/>
      <c r="U2187"/>
    </row>
    <row r="2188" spans="19:21" ht="14.25" customHeight="1">
      <c r="S2188"/>
      <c r="T2188"/>
      <c r="U2188"/>
    </row>
    <row r="2189" spans="19:21" ht="14.25" customHeight="1">
      <c r="S2189"/>
      <c r="T2189"/>
      <c r="U2189"/>
    </row>
    <row r="2190" spans="19:21" ht="14.25" customHeight="1">
      <c r="S2190"/>
      <c r="T2190"/>
      <c r="U2190"/>
    </row>
    <row r="2191" spans="19:21" ht="14.25" customHeight="1">
      <c r="S2191"/>
      <c r="T2191"/>
      <c r="U2191"/>
    </row>
    <row r="2192" spans="19:21" ht="14.25" customHeight="1">
      <c r="S2192"/>
      <c r="T2192"/>
      <c r="U2192"/>
    </row>
    <row r="2193" spans="19:21" ht="14.25" customHeight="1">
      <c r="S2193"/>
      <c r="T2193"/>
      <c r="U2193"/>
    </row>
    <row r="2194" spans="19:21" ht="14.25" customHeight="1">
      <c r="S2194"/>
      <c r="T2194"/>
      <c r="U2194"/>
    </row>
    <row r="2195" spans="19:21" ht="14.25" customHeight="1">
      <c r="S2195"/>
      <c r="T2195"/>
      <c r="U2195"/>
    </row>
    <row r="2196" spans="19:21" ht="14.25" customHeight="1">
      <c r="S2196"/>
      <c r="T2196"/>
      <c r="U2196"/>
    </row>
    <row r="2197" spans="19:21" ht="14.25" customHeight="1">
      <c r="S2197"/>
      <c r="T2197"/>
      <c r="U2197"/>
    </row>
    <row r="2198" spans="19:21" ht="14.25" customHeight="1">
      <c r="S2198"/>
      <c r="T2198"/>
      <c r="U2198"/>
    </row>
    <row r="2199" spans="19:21" ht="14.25" customHeight="1">
      <c r="S2199"/>
      <c r="T2199"/>
      <c r="U2199"/>
    </row>
    <row r="2200" spans="19:21" ht="14.25" customHeight="1">
      <c r="S2200"/>
      <c r="T2200"/>
      <c r="U2200"/>
    </row>
    <row r="2201" spans="19:21" ht="14.25" customHeight="1">
      <c r="S2201"/>
      <c r="T2201"/>
      <c r="U2201"/>
    </row>
    <row r="2202" spans="19:21" ht="14.25" customHeight="1">
      <c r="S2202"/>
      <c r="T2202"/>
      <c r="U2202"/>
    </row>
    <row r="2203" spans="19:21" ht="14.25" customHeight="1">
      <c r="S2203"/>
      <c r="T2203"/>
      <c r="U2203"/>
    </row>
    <row r="2204" spans="19:21" ht="14.25" customHeight="1">
      <c r="S2204"/>
      <c r="T2204"/>
      <c r="U2204"/>
    </row>
    <row r="2205" spans="19:21" ht="14.25" customHeight="1">
      <c r="S2205"/>
      <c r="T2205"/>
      <c r="U2205"/>
    </row>
    <row r="2206" spans="19:21" ht="14.25" customHeight="1">
      <c r="S2206"/>
      <c r="T2206"/>
      <c r="U2206"/>
    </row>
    <row r="2207" spans="19:21" ht="14.25" customHeight="1">
      <c r="S2207"/>
      <c r="T2207"/>
      <c r="U2207"/>
    </row>
    <row r="2208" spans="19:21" ht="14.25" customHeight="1">
      <c r="S2208"/>
      <c r="T2208"/>
      <c r="U2208"/>
    </row>
    <row r="2209" spans="19:21" ht="14.25" customHeight="1">
      <c r="S2209"/>
      <c r="T2209"/>
      <c r="U2209"/>
    </row>
    <row r="2210" spans="19:21" ht="14.25" customHeight="1">
      <c r="S2210"/>
      <c r="T2210"/>
      <c r="U2210"/>
    </row>
    <row r="2211" spans="19:21" ht="14.25" customHeight="1">
      <c r="S2211"/>
      <c r="T2211"/>
      <c r="U2211"/>
    </row>
    <row r="2212" spans="19:21" ht="14.25" customHeight="1">
      <c r="S2212"/>
      <c r="T2212"/>
      <c r="U2212"/>
    </row>
    <row r="2213" spans="19:21" ht="14.25" customHeight="1">
      <c r="S2213"/>
      <c r="T2213"/>
      <c r="U2213"/>
    </row>
    <row r="2214" spans="19:21" ht="14.25" customHeight="1">
      <c r="S2214"/>
      <c r="T2214"/>
      <c r="U2214"/>
    </row>
    <row r="2215" spans="19:21" ht="14.25" customHeight="1">
      <c r="S2215"/>
      <c r="T2215"/>
      <c r="U2215"/>
    </row>
    <row r="2216" spans="19:21" ht="14.25" customHeight="1">
      <c r="S2216"/>
      <c r="T2216"/>
      <c r="U2216"/>
    </row>
    <row r="2217" spans="19:21" ht="14.25" customHeight="1">
      <c r="S2217"/>
      <c r="T2217"/>
      <c r="U2217"/>
    </row>
    <row r="2218" spans="19:21" ht="14.25" customHeight="1">
      <c r="S2218"/>
      <c r="T2218"/>
      <c r="U2218"/>
    </row>
    <row r="2219" spans="19:21" ht="14.25" customHeight="1">
      <c r="S2219"/>
      <c r="T2219"/>
      <c r="U2219"/>
    </row>
    <row r="2220" spans="19:21" ht="14.25" customHeight="1">
      <c r="S2220"/>
      <c r="T2220"/>
      <c r="U2220"/>
    </row>
    <row r="2221" spans="19:21" ht="14.25" customHeight="1">
      <c r="S2221"/>
      <c r="T2221"/>
      <c r="U2221"/>
    </row>
    <row r="2222" spans="19:21" ht="14.25" customHeight="1">
      <c r="S2222"/>
      <c r="T2222"/>
      <c r="U2222"/>
    </row>
    <row r="2223" spans="19:21" ht="14.25" customHeight="1">
      <c r="S2223"/>
      <c r="T2223"/>
      <c r="U2223"/>
    </row>
    <row r="2224" spans="19:21" ht="14.25" customHeight="1">
      <c r="S2224"/>
      <c r="T2224"/>
      <c r="U2224"/>
    </row>
    <row r="2225" spans="19:21" ht="14.25" customHeight="1">
      <c r="S2225"/>
      <c r="T2225"/>
      <c r="U2225"/>
    </row>
    <row r="2226" spans="19:21" ht="14.25" customHeight="1">
      <c r="S2226"/>
      <c r="T2226"/>
      <c r="U2226"/>
    </row>
    <row r="2227" spans="19:21" ht="14.25" customHeight="1">
      <c r="S2227"/>
      <c r="T2227"/>
      <c r="U2227"/>
    </row>
    <row r="2228" spans="19:21" ht="14.25" customHeight="1">
      <c r="S2228"/>
      <c r="T2228"/>
      <c r="U2228"/>
    </row>
    <row r="2229" spans="19:21" ht="14.25" customHeight="1">
      <c r="S2229"/>
      <c r="T2229"/>
      <c r="U2229"/>
    </row>
    <row r="2230" spans="19:21" ht="14.25" customHeight="1">
      <c r="S2230"/>
      <c r="T2230"/>
      <c r="U2230"/>
    </row>
    <row r="2231" spans="19:21" ht="14.25" customHeight="1">
      <c r="S2231"/>
      <c r="T2231"/>
      <c r="U2231"/>
    </row>
    <row r="2232" spans="19:21" ht="14.25" customHeight="1">
      <c r="S2232"/>
      <c r="T2232"/>
      <c r="U2232"/>
    </row>
    <row r="2233" spans="19:21" ht="14.25" customHeight="1">
      <c r="S2233"/>
      <c r="T2233"/>
      <c r="U2233"/>
    </row>
    <row r="2234" spans="19:21" ht="14.25" customHeight="1">
      <c r="S2234"/>
      <c r="T2234"/>
      <c r="U2234"/>
    </row>
    <row r="2235" spans="19:21" ht="14.25" customHeight="1">
      <c r="S2235"/>
      <c r="T2235"/>
      <c r="U2235"/>
    </row>
    <row r="2236" spans="19:21" ht="14.25" customHeight="1">
      <c r="S2236"/>
      <c r="T2236"/>
      <c r="U2236"/>
    </row>
    <row r="2237" spans="19:21" ht="14.25" customHeight="1">
      <c r="S2237"/>
      <c r="T2237"/>
      <c r="U2237"/>
    </row>
    <row r="2238" spans="19:21" ht="14.25" customHeight="1">
      <c r="S2238"/>
      <c r="T2238"/>
      <c r="U2238"/>
    </row>
    <row r="2239" spans="19:21" ht="14.25" customHeight="1">
      <c r="S2239"/>
      <c r="T2239"/>
      <c r="U2239"/>
    </row>
    <row r="2240" spans="19:21" ht="14.25" customHeight="1">
      <c r="S2240"/>
      <c r="T2240"/>
      <c r="U2240"/>
    </row>
    <row r="2241" spans="19:21" ht="14.25" customHeight="1">
      <c r="S2241"/>
      <c r="T2241"/>
      <c r="U2241"/>
    </row>
    <row r="2242" spans="19:21" ht="14.25" customHeight="1">
      <c r="S2242"/>
      <c r="T2242"/>
      <c r="U2242"/>
    </row>
    <row r="2243" spans="19:21" ht="14.25" customHeight="1">
      <c r="S2243"/>
      <c r="T2243"/>
      <c r="U2243"/>
    </row>
    <row r="2244" spans="19:21" ht="14.25" customHeight="1">
      <c r="S2244"/>
      <c r="T2244"/>
      <c r="U2244"/>
    </row>
    <row r="2245" spans="19:21" ht="14.25" customHeight="1">
      <c r="S2245"/>
      <c r="T2245"/>
      <c r="U2245"/>
    </row>
    <row r="2246" spans="19:21" ht="14.25" customHeight="1">
      <c r="S2246"/>
      <c r="T2246"/>
      <c r="U2246"/>
    </row>
    <row r="2247" spans="19:21" ht="14.25" customHeight="1">
      <c r="S2247"/>
      <c r="T2247"/>
      <c r="U2247"/>
    </row>
    <row r="2248" spans="19:21" ht="14.25" customHeight="1">
      <c r="S2248"/>
      <c r="T2248"/>
      <c r="U2248"/>
    </row>
    <row r="2249" spans="19:21" ht="14.25" customHeight="1">
      <c r="S2249"/>
      <c r="T2249"/>
      <c r="U2249"/>
    </row>
    <row r="2250" spans="19:21" ht="14.25" customHeight="1">
      <c r="S2250"/>
      <c r="T2250"/>
      <c r="U2250"/>
    </row>
    <row r="2251" spans="19:21" ht="14.25" customHeight="1">
      <c r="S2251"/>
      <c r="T2251"/>
      <c r="U2251"/>
    </row>
    <row r="2252" spans="19:21" ht="14.25" customHeight="1">
      <c r="S2252"/>
      <c r="T2252"/>
      <c r="U2252"/>
    </row>
    <row r="2253" spans="19:21" ht="14.25" customHeight="1">
      <c r="S2253"/>
      <c r="T2253"/>
      <c r="U2253"/>
    </row>
    <row r="2254" spans="19:21" ht="14.25" customHeight="1">
      <c r="S2254"/>
      <c r="T2254"/>
      <c r="U2254"/>
    </row>
    <row r="2255" spans="19:21" ht="14.25" customHeight="1">
      <c r="S2255"/>
      <c r="T2255"/>
      <c r="U2255"/>
    </row>
    <row r="2256" spans="19:21" ht="14.25" customHeight="1">
      <c r="S2256"/>
      <c r="T2256"/>
      <c r="U2256"/>
    </row>
    <row r="2257" spans="19:21" ht="14.25" customHeight="1">
      <c r="S2257"/>
      <c r="T2257"/>
      <c r="U2257"/>
    </row>
    <row r="2258" spans="19:21" ht="14.25" customHeight="1">
      <c r="S2258"/>
      <c r="T2258"/>
      <c r="U2258"/>
    </row>
    <row r="2259" spans="19:21" ht="14.25" customHeight="1">
      <c r="S2259"/>
      <c r="T2259"/>
      <c r="U2259"/>
    </row>
    <row r="2260" spans="19:21" ht="14.25" customHeight="1">
      <c r="S2260"/>
      <c r="T2260"/>
      <c r="U2260"/>
    </row>
    <row r="2261" spans="19:21" ht="14.25" customHeight="1">
      <c r="S2261"/>
      <c r="T2261"/>
      <c r="U2261"/>
    </row>
    <row r="2262" spans="19:21" ht="14.25" customHeight="1">
      <c r="S2262"/>
      <c r="T2262"/>
      <c r="U2262"/>
    </row>
    <row r="2263" spans="19:21" ht="14.25" customHeight="1">
      <c r="S2263"/>
      <c r="T2263"/>
      <c r="U2263"/>
    </row>
    <row r="2264" spans="19:21" ht="14.25" customHeight="1">
      <c r="S2264"/>
      <c r="T2264"/>
      <c r="U2264"/>
    </row>
    <row r="2265" spans="19:21" ht="14.25" customHeight="1">
      <c r="S2265"/>
      <c r="T2265"/>
      <c r="U2265"/>
    </row>
    <row r="2266" spans="19:21" ht="14.25" customHeight="1">
      <c r="S2266"/>
      <c r="T2266"/>
      <c r="U2266"/>
    </row>
    <row r="2267" spans="19:21" ht="14.25" customHeight="1">
      <c r="S2267"/>
      <c r="T2267"/>
      <c r="U2267"/>
    </row>
    <row r="2268" spans="19:21" ht="14.25" customHeight="1">
      <c r="S2268"/>
      <c r="T2268"/>
      <c r="U2268"/>
    </row>
    <row r="2269" spans="19:21" ht="14.25" customHeight="1">
      <c r="S2269"/>
      <c r="T2269"/>
      <c r="U2269"/>
    </row>
    <row r="2270" spans="19:21" ht="14.25" customHeight="1">
      <c r="S2270"/>
      <c r="T2270"/>
      <c r="U2270"/>
    </row>
    <row r="2271" spans="19:21" ht="14.25" customHeight="1">
      <c r="S2271"/>
      <c r="T2271"/>
      <c r="U2271"/>
    </row>
    <row r="2272" spans="19:21" ht="14.25" customHeight="1">
      <c r="S2272"/>
      <c r="T2272"/>
      <c r="U2272"/>
    </row>
    <row r="2273" spans="19:21" ht="14.25" customHeight="1">
      <c r="S2273"/>
      <c r="T2273"/>
      <c r="U2273"/>
    </row>
    <row r="2274" spans="19:21" ht="14.25" customHeight="1">
      <c r="S2274"/>
      <c r="T2274"/>
      <c r="U2274"/>
    </row>
    <row r="2275" spans="19:21" ht="14.25" customHeight="1">
      <c r="S2275"/>
      <c r="T2275"/>
      <c r="U2275"/>
    </row>
    <row r="2276" spans="19:21" ht="14.25" customHeight="1">
      <c r="S2276"/>
      <c r="T2276"/>
      <c r="U2276"/>
    </row>
    <row r="2277" spans="19:21" ht="14.25" customHeight="1">
      <c r="S2277"/>
      <c r="T2277"/>
      <c r="U2277"/>
    </row>
    <row r="2278" spans="19:21" ht="14.25" customHeight="1">
      <c r="S2278"/>
      <c r="T2278"/>
      <c r="U2278"/>
    </row>
    <row r="2279" spans="19:21" ht="14.25" customHeight="1">
      <c r="S2279"/>
      <c r="T2279"/>
      <c r="U2279"/>
    </row>
    <row r="2280" spans="19:21" ht="14.25" customHeight="1">
      <c r="S2280"/>
      <c r="T2280"/>
      <c r="U2280"/>
    </row>
    <row r="2281" spans="19:21" ht="14.25" customHeight="1">
      <c r="S2281"/>
      <c r="T2281"/>
      <c r="U2281"/>
    </row>
    <row r="2282" spans="19:21" ht="14.25" customHeight="1">
      <c r="S2282"/>
      <c r="T2282"/>
      <c r="U2282"/>
    </row>
    <row r="2283" spans="19:21" ht="14.25" customHeight="1">
      <c r="S2283"/>
      <c r="T2283"/>
      <c r="U2283"/>
    </row>
    <row r="2284" spans="19:21" ht="14.25" customHeight="1">
      <c r="S2284"/>
      <c r="T2284"/>
      <c r="U2284"/>
    </row>
    <row r="2285" spans="19:21" ht="14.25" customHeight="1">
      <c r="S2285"/>
      <c r="T2285"/>
      <c r="U2285"/>
    </row>
    <row r="2286" spans="19:21" ht="14.25" customHeight="1">
      <c r="S2286"/>
      <c r="T2286"/>
      <c r="U2286"/>
    </row>
    <row r="2287" spans="19:21" ht="14.25" customHeight="1">
      <c r="S2287"/>
      <c r="T2287"/>
      <c r="U2287"/>
    </row>
    <row r="2288" spans="19:21" ht="14.25" customHeight="1">
      <c r="S2288"/>
      <c r="T2288"/>
      <c r="U2288"/>
    </row>
    <row r="2289" spans="19:21" ht="14.25" customHeight="1">
      <c r="S2289"/>
      <c r="T2289"/>
      <c r="U2289"/>
    </row>
    <row r="2290" spans="19:21" ht="14.25" customHeight="1">
      <c r="S2290"/>
      <c r="T2290"/>
      <c r="U2290"/>
    </row>
    <row r="2291" spans="19:21" ht="14.25" customHeight="1">
      <c r="S2291"/>
      <c r="T2291"/>
      <c r="U2291"/>
    </row>
    <row r="2292" spans="19:21" ht="14.25" customHeight="1">
      <c r="S2292"/>
      <c r="T2292"/>
      <c r="U2292"/>
    </row>
    <row r="2293" spans="19:21" ht="14.25" customHeight="1">
      <c r="S2293"/>
      <c r="T2293"/>
      <c r="U2293"/>
    </row>
    <row r="2294" spans="19:21" ht="14.25" customHeight="1">
      <c r="S2294"/>
      <c r="T2294"/>
      <c r="U2294"/>
    </row>
    <row r="2295" spans="19:21" ht="14.25" customHeight="1">
      <c r="S2295"/>
      <c r="T2295"/>
      <c r="U2295"/>
    </row>
    <row r="2296" spans="19:21" ht="14.25" customHeight="1">
      <c r="S2296"/>
      <c r="T2296"/>
      <c r="U2296"/>
    </row>
    <row r="2297" spans="19:21" ht="14.25" customHeight="1">
      <c r="S2297"/>
      <c r="T2297"/>
      <c r="U2297"/>
    </row>
    <row r="2298" spans="19:21" ht="14.25" customHeight="1">
      <c r="S2298"/>
      <c r="T2298"/>
      <c r="U2298"/>
    </row>
    <row r="2299" spans="19:21" ht="14.25" customHeight="1">
      <c r="S2299"/>
      <c r="T2299"/>
      <c r="U2299"/>
    </row>
    <row r="2300" spans="19:21" ht="14.25" customHeight="1">
      <c r="S2300"/>
      <c r="T2300"/>
      <c r="U2300"/>
    </row>
    <row r="2301" spans="19:21" ht="14.25" customHeight="1">
      <c r="S2301"/>
      <c r="T2301"/>
      <c r="U2301"/>
    </row>
    <row r="2302" spans="19:21" ht="14.25" customHeight="1">
      <c r="S2302"/>
      <c r="T2302"/>
      <c r="U2302"/>
    </row>
    <row r="2303" spans="19:21" ht="14.25" customHeight="1">
      <c r="S2303"/>
      <c r="T2303"/>
      <c r="U2303"/>
    </row>
    <row r="2304" spans="19:21" ht="14.25" customHeight="1">
      <c r="S2304"/>
      <c r="T2304"/>
      <c r="U2304"/>
    </row>
    <row r="2305" spans="19:21" ht="14.25" customHeight="1">
      <c r="S2305"/>
      <c r="T2305"/>
      <c r="U2305"/>
    </row>
    <row r="2306" spans="19:21" ht="14.25" customHeight="1">
      <c r="S2306"/>
      <c r="T2306"/>
      <c r="U2306"/>
    </row>
    <row r="2307" spans="19:21" ht="14.25" customHeight="1">
      <c r="S2307"/>
      <c r="T2307"/>
      <c r="U2307"/>
    </row>
    <row r="2308" spans="19:21" ht="14.25" customHeight="1">
      <c r="S2308"/>
      <c r="T2308"/>
      <c r="U2308"/>
    </row>
    <row r="2309" spans="19:21" ht="14.25" customHeight="1">
      <c r="S2309"/>
      <c r="T2309"/>
      <c r="U2309"/>
    </row>
    <row r="2310" spans="19:21" ht="14.25" customHeight="1">
      <c r="S2310"/>
      <c r="T2310"/>
      <c r="U2310"/>
    </row>
    <row r="2311" spans="19:21" ht="14.25" customHeight="1">
      <c r="S2311"/>
      <c r="T2311"/>
      <c r="U2311"/>
    </row>
    <row r="2312" spans="19:21" ht="14.25" customHeight="1">
      <c r="S2312"/>
      <c r="T2312"/>
      <c r="U2312"/>
    </row>
    <row r="2313" spans="19:21" ht="14.25" customHeight="1">
      <c r="S2313"/>
      <c r="T2313"/>
      <c r="U2313"/>
    </row>
    <row r="2314" spans="19:21" ht="14.25" customHeight="1">
      <c r="S2314"/>
      <c r="T2314"/>
      <c r="U2314"/>
    </row>
    <row r="2315" spans="19:21" ht="14.25" customHeight="1">
      <c r="S2315"/>
      <c r="T2315"/>
      <c r="U2315"/>
    </row>
    <row r="2316" spans="19:21" ht="14.25" customHeight="1">
      <c r="S2316"/>
      <c r="T2316"/>
      <c r="U2316"/>
    </row>
    <row r="2317" spans="19:21" ht="14.25" customHeight="1">
      <c r="S2317"/>
      <c r="T2317"/>
      <c r="U2317"/>
    </row>
    <row r="2318" spans="19:21" ht="14.25" customHeight="1">
      <c r="S2318"/>
      <c r="T2318"/>
      <c r="U2318"/>
    </row>
    <row r="2319" spans="19:21" ht="14.25" customHeight="1">
      <c r="S2319"/>
      <c r="T2319"/>
      <c r="U2319"/>
    </row>
    <row r="2320" spans="19:21" ht="14.25" customHeight="1">
      <c r="S2320"/>
      <c r="T2320"/>
      <c r="U2320"/>
    </row>
    <row r="2321" spans="19:21" ht="14.25" customHeight="1">
      <c r="S2321"/>
      <c r="T2321"/>
      <c r="U2321"/>
    </row>
    <row r="2322" spans="19:21" ht="14.25" customHeight="1">
      <c r="S2322"/>
      <c r="T2322"/>
      <c r="U2322"/>
    </row>
    <row r="2323" spans="19:21" ht="14.25" customHeight="1">
      <c r="S2323"/>
      <c r="T2323"/>
      <c r="U2323"/>
    </row>
    <row r="2324" spans="19:21" ht="14.25" customHeight="1">
      <c r="S2324"/>
      <c r="T2324"/>
      <c r="U2324"/>
    </row>
    <row r="2325" spans="19:21" ht="14.25" customHeight="1">
      <c r="S2325"/>
      <c r="T2325"/>
      <c r="U2325"/>
    </row>
    <row r="2326" spans="19:21" ht="14.25" customHeight="1">
      <c r="S2326"/>
      <c r="T2326"/>
      <c r="U2326"/>
    </row>
    <row r="2327" spans="19:21" ht="14.25" customHeight="1">
      <c r="S2327"/>
      <c r="T2327"/>
      <c r="U2327"/>
    </row>
    <row r="2328" spans="19:21" ht="14.25" customHeight="1">
      <c r="S2328"/>
      <c r="T2328"/>
      <c r="U2328"/>
    </row>
    <row r="2329" spans="19:21" ht="14.25" customHeight="1">
      <c r="S2329"/>
      <c r="T2329"/>
      <c r="U2329"/>
    </row>
    <row r="2330" spans="19:21" ht="14.25" customHeight="1">
      <c r="S2330"/>
      <c r="T2330"/>
      <c r="U2330"/>
    </row>
    <row r="2331" spans="19:21" ht="14.25" customHeight="1">
      <c r="S2331"/>
      <c r="T2331"/>
      <c r="U2331"/>
    </row>
    <row r="2332" spans="19:21" ht="14.25" customHeight="1">
      <c r="S2332"/>
      <c r="T2332"/>
      <c r="U2332"/>
    </row>
    <row r="2333" spans="19:21" ht="14.25" customHeight="1">
      <c r="S2333"/>
      <c r="T2333"/>
      <c r="U2333"/>
    </row>
    <row r="2334" spans="19:21" ht="14.25" customHeight="1">
      <c r="S2334"/>
      <c r="T2334"/>
      <c r="U2334"/>
    </row>
    <row r="2335" spans="19:21" ht="14.25" customHeight="1">
      <c r="S2335"/>
      <c r="T2335"/>
      <c r="U2335"/>
    </row>
    <row r="2336" spans="19:21" ht="14.25" customHeight="1">
      <c r="S2336"/>
      <c r="T2336"/>
      <c r="U2336"/>
    </row>
    <row r="2337" spans="19:21" ht="14.25" customHeight="1">
      <c r="S2337"/>
      <c r="T2337"/>
      <c r="U2337"/>
    </row>
    <row r="2338" spans="19:21" ht="14.25" customHeight="1">
      <c r="S2338"/>
      <c r="T2338"/>
      <c r="U2338"/>
    </row>
    <row r="2339" spans="19:21" ht="14.25" customHeight="1">
      <c r="S2339"/>
      <c r="T2339"/>
      <c r="U2339"/>
    </row>
    <row r="2340" spans="19:21" ht="14.25" customHeight="1">
      <c r="S2340"/>
      <c r="T2340"/>
      <c r="U2340"/>
    </row>
    <row r="2341" spans="19:21" ht="14.25" customHeight="1">
      <c r="S2341"/>
      <c r="T2341"/>
      <c r="U2341"/>
    </row>
    <row r="2342" spans="19:21" ht="14.25" customHeight="1">
      <c r="S2342"/>
      <c r="T2342"/>
      <c r="U2342"/>
    </row>
    <row r="2343" spans="19:21" ht="14.25" customHeight="1">
      <c r="S2343"/>
      <c r="T2343"/>
      <c r="U2343"/>
    </row>
    <row r="2344" spans="19:21" ht="14.25" customHeight="1">
      <c r="S2344"/>
      <c r="T2344"/>
      <c r="U2344"/>
    </row>
    <row r="2345" spans="19:21" ht="14.25" customHeight="1">
      <c r="S2345"/>
      <c r="T2345"/>
      <c r="U2345"/>
    </row>
    <row r="2346" spans="19:21" ht="14.25" customHeight="1">
      <c r="S2346"/>
      <c r="T2346"/>
      <c r="U2346"/>
    </row>
    <row r="2347" spans="19:21" ht="14.25" customHeight="1">
      <c r="S2347"/>
      <c r="T2347"/>
      <c r="U2347"/>
    </row>
    <row r="2348" spans="19:21" ht="14.25" customHeight="1">
      <c r="S2348"/>
      <c r="T2348"/>
      <c r="U2348"/>
    </row>
    <row r="2349" spans="19:21" ht="14.25" customHeight="1">
      <c r="S2349"/>
      <c r="T2349"/>
      <c r="U2349"/>
    </row>
    <row r="2350" spans="19:21" ht="14.25" customHeight="1">
      <c r="S2350"/>
      <c r="T2350"/>
      <c r="U2350"/>
    </row>
    <row r="2351" spans="19:21" ht="14.25" customHeight="1">
      <c r="S2351"/>
      <c r="T2351"/>
      <c r="U2351"/>
    </row>
    <row r="2352" spans="19:21" ht="14.25" customHeight="1">
      <c r="S2352"/>
      <c r="T2352"/>
      <c r="U2352"/>
    </row>
    <row r="2353" spans="19:21" ht="14.25" customHeight="1">
      <c r="S2353"/>
      <c r="T2353"/>
      <c r="U2353"/>
    </row>
    <row r="2354" spans="19:21" ht="14.25" customHeight="1">
      <c r="S2354"/>
      <c r="T2354"/>
      <c r="U2354"/>
    </row>
    <row r="2355" spans="19:21" ht="14.25" customHeight="1">
      <c r="S2355"/>
      <c r="T2355"/>
      <c r="U2355"/>
    </row>
    <row r="2356" spans="19:21" ht="14.25" customHeight="1">
      <c r="S2356"/>
      <c r="T2356"/>
      <c r="U2356"/>
    </row>
    <row r="2357" spans="19:21" ht="14.25" customHeight="1">
      <c r="S2357"/>
      <c r="T2357"/>
      <c r="U2357"/>
    </row>
    <row r="2358" spans="19:21" ht="14.25" customHeight="1">
      <c r="S2358"/>
      <c r="T2358"/>
      <c r="U2358"/>
    </row>
    <row r="2359" spans="19:21" ht="14.25" customHeight="1">
      <c r="S2359"/>
      <c r="T2359"/>
      <c r="U2359"/>
    </row>
    <row r="2360" spans="19:21" ht="14.25" customHeight="1">
      <c r="S2360"/>
      <c r="T2360"/>
      <c r="U2360"/>
    </row>
    <row r="2361" spans="19:21" ht="14.25" customHeight="1">
      <c r="S2361"/>
      <c r="T2361"/>
      <c r="U2361"/>
    </row>
    <row r="2362" spans="19:21" ht="14.25" customHeight="1">
      <c r="S2362"/>
      <c r="T2362"/>
      <c r="U2362"/>
    </row>
    <row r="2363" spans="19:21" ht="14.25" customHeight="1">
      <c r="S2363"/>
      <c r="T2363"/>
      <c r="U2363"/>
    </row>
    <row r="2364" spans="19:21" ht="14.25" customHeight="1">
      <c r="S2364"/>
      <c r="T2364"/>
      <c r="U2364"/>
    </row>
    <row r="2365" spans="19:21" ht="14.25" customHeight="1">
      <c r="S2365"/>
      <c r="T2365"/>
      <c r="U2365"/>
    </row>
    <row r="2366" spans="19:21" ht="14.25" customHeight="1">
      <c r="S2366"/>
      <c r="T2366"/>
      <c r="U2366"/>
    </row>
    <row r="2367" spans="19:21" ht="14.25" customHeight="1">
      <c r="S2367"/>
      <c r="T2367"/>
      <c r="U2367"/>
    </row>
    <row r="2368" spans="19:21" ht="14.25" customHeight="1">
      <c r="S2368"/>
      <c r="T2368"/>
      <c r="U2368"/>
    </row>
    <row r="2369" spans="19:21" ht="14.25" customHeight="1">
      <c r="S2369"/>
      <c r="T2369"/>
      <c r="U2369"/>
    </row>
    <row r="2370" spans="19:21" ht="14.25" customHeight="1">
      <c r="S2370"/>
      <c r="T2370"/>
      <c r="U2370"/>
    </row>
    <row r="2371" spans="19:21" ht="14.25" customHeight="1">
      <c r="S2371"/>
      <c r="T2371"/>
      <c r="U2371"/>
    </row>
    <row r="2372" spans="19:21" ht="14.25" customHeight="1">
      <c r="S2372"/>
      <c r="T2372"/>
      <c r="U2372"/>
    </row>
    <row r="2373" spans="19:21" ht="14.25" customHeight="1">
      <c r="S2373"/>
      <c r="T2373"/>
      <c r="U2373"/>
    </row>
    <row r="2374" spans="19:21" ht="14.25" customHeight="1">
      <c r="S2374"/>
      <c r="T2374"/>
      <c r="U2374"/>
    </row>
    <row r="2375" spans="19:21" ht="14.25" customHeight="1">
      <c r="S2375"/>
      <c r="T2375"/>
      <c r="U2375"/>
    </row>
    <row r="2376" spans="19:21" ht="14.25" customHeight="1">
      <c r="S2376"/>
      <c r="T2376"/>
      <c r="U2376"/>
    </row>
    <row r="2377" spans="19:21" ht="14.25" customHeight="1">
      <c r="S2377"/>
      <c r="T2377"/>
      <c r="U2377"/>
    </row>
    <row r="2378" spans="19:21" ht="14.25" customHeight="1">
      <c r="S2378"/>
      <c r="T2378"/>
      <c r="U2378"/>
    </row>
    <row r="2379" spans="19:21" ht="14.25" customHeight="1">
      <c r="S2379"/>
      <c r="T2379"/>
      <c r="U2379"/>
    </row>
    <row r="2380" spans="19:21" ht="14.25" customHeight="1">
      <c r="S2380"/>
      <c r="T2380"/>
      <c r="U2380"/>
    </row>
    <row r="2381" spans="19:21" ht="14.25" customHeight="1">
      <c r="S2381"/>
      <c r="T2381"/>
      <c r="U2381"/>
    </row>
    <row r="2382" spans="19:21" ht="14.25" customHeight="1">
      <c r="S2382"/>
      <c r="T2382"/>
      <c r="U2382"/>
    </row>
    <row r="2383" spans="19:21" ht="14.25" customHeight="1">
      <c r="S2383"/>
      <c r="T2383"/>
      <c r="U2383"/>
    </row>
    <row r="2384" spans="19:21" ht="14.25" customHeight="1">
      <c r="S2384"/>
      <c r="T2384"/>
      <c r="U2384"/>
    </row>
    <row r="2385" spans="19:21" ht="14.25" customHeight="1">
      <c r="S2385"/>
      <c r="T2385"/>
      <c r="U2385"/>
    </row>
    <row r="2386" spans="19:21" ht="14.25" customHeight="1">
      <c r="S2386"/>
      <c r="T2386"/>
      <c r="U2386"/>
    </row>
    <row r="2387" spans="19:21" ht="14.25" customHeight="1">
      <c r="S2387"/>
      <c r="T2387"/>
      <c r="U2387"/>
    </row>
    <row r="2388" spans="19:21" ht="14.25" customHeight="1">
      <c r="S2388"/>
      <c r="T2388"/>
      <c r="U2388"/>
    </row>
    <row r="2389" spans="19:21" ht="14.25" customHeight="1">
      <c r="S2389"/>
      <c r="T2389"/>
      <c r="U2389"/>
    </row>
    <row r="2390" spans="19:21" ht="14.25" customHeight="1">
      <c r="S2390"/>
      <c r="T2390"/>
      <c r="U2390"/>
    </row>
    <row r="2391" spans="19:21" ht="14.25" customHeight="1">
      <c r="S2391"/>
      <c r="T2391"/>
      <c r="U2391"/>
    </row>
    <row r="2392" spans="19:21" ht="14.25" customHeight="1">
      <c r="S2392"/>
      <c r="T2392"/>
      <c r="U2392"/>
    </row>
    <row r="2393" spans="19:21" ht="14.25" customHeight="1">
      <c r="S2393"/>
      <c r="T2393"/>
      <c r="U2393"/>
    </row>
    <row r="2394" spans="19:21" ht="14.25" customHeight="1">
      <c r="S2394"/>
      <c r="T2394"/>
      <c r="U2394"/>
    </row>
    <row r="2395" spans="19:21" ht="14.25" customHeight="1">
      <c r="S2395"/>
      <c r="T2395"/>
      <c r="U2395"/>
    </row>
    <row r="2396" spans="19:21" ht="14.25" customHeight="1">
      <c r="S2396"/>
      <c r="T2396"/>
      <c r="U2396"/>
    </row>
    <row r="2397" spans="19:21" ht="14.25" customHeight="1">
      <c r="S2397"/>
      <c r="T2397"/>
      <c r="U2397"/>
    </row>
    <row r="2398" spans="19:21" ht="14.25" customHeight="1">
      <c r="S2398"/>
      <c r="T2398"/>
      <c r="U2398"/>
    </row>
    <row r="2399" spans="19:21" ht="14.25" customHeight="1">
      <c r="S2399"/>
      <c r="T2399"/>
      <c r="U2399"/>
    </row>
    <row r="2400" spans="19:21" ht="14.25" customHeight="1">
      <c r="S2400"/>
      <c r="T2400"/>
      <c r="U2400"/>
    </row>
    <row r="2401" spans="19:21" ht="14.25" customHeight="1">
      <c r="S2401"/>
      <c r="T2401"/>
      <c r="U2401"/>
    </row>
    <row r="2402" spans="19:21" ht="14.25" customHeight="1">
      <c r="S2402"/>
      <c r="T2402"/>
      <c r="U2402"/>
    </row>
    <row r="2403" spans="19:21" ht="14.25" customHeight="1">
      <c r="S2403"/>
      <c r="T2403"/>
      <c r="U2403"/>
    </row>
    <row r="2404" spans="19:21" ht="14.25" customHeight="1">
      <c r="S2404"/>
      <c r="T2404"/>
      <c r="U2404"/>
    </row>
    <row r="2405" spans="19:21" ht="14.25" customHeight="1">
      <c r="S2405"/>
      <c r="T2405"/>
      <c r="U2405"/>
    </row>
    <row r="2406" spans="19:21" ht="14.25" customHeight="1">
      <c r="S2406"/>
      <c r="T2406"/>
      <c r="U2406"/>
    </row>
    <row r="2407" spans="19:21" ht="14.25" customHeight="1">
      <c r="S2407"/>
      <c r="T2407"/>
      <c r="U2407"/>
    </row>
    <row r="2408" spans="19:21" ht="14.25" customHeight="1">
      <c r="S2408"/>
      <c r="T2408"/>
      <c r="U2408"/>
    </row>
    <row r="2409" spans="19:21" ht="14.25" customHeight="1">
      <c r="S2409"/>
      <c r="T2409"/>
      <c r="U2409"/>
    </row>
    <row r="2410" spans="19:21" ht="14.25" customHeight="1">
      <c r="S2410"/>
      <c r="T2410"/>
      <c r="U2410"/>
    </row>
    <row r="2411" spans="19:21" ht="14.25" customHeight="1">
      <c r="S2411"/>
      <c r="T2411"/>
      <c r="U2411"/>
    </row>
    <row r="2412" spans="19:21" ht="14.25" customHeight="1">
      <c r="S2412"/>
      <c r="T2412"/>
      <c r="U2412"/>
    </row>
    <row r="2413" spans="19:21" ht="14.25" customHeight="1">
      <c r="S2413"/>
      <c r="T2413"/>
      <c r="U2413"/>
    </row>
    <row r="2414" spans="19:21" ht="14.25" customHeight="1">
      <c r="S2414"/>
      <c r="T2414"/>
      <c r="U2414"/>
    </row>
    <row r="2415" spans="19:21" ht="14.25" customHeight="1">
      <c r="S2415"/>
      <c r="T2415"/>
      <c r="U2415"/>
    </row>
    <row r="2416" spans="19:21" ht="14.25" customHeight="1">
      <c r="S2416"/>
      <c r="T2416"/>
      <c r="U2416"/>
    </row>
    <row r="2417" spans="19:21" ht="14.25" customHeight="1">
      <c r="S2417"/>
      <c r="T2417"/>
      <c r="U2417"/>
    </row>
    <row r="2418" spans="19:21" ht="14.25" customHeight="1">
      <c r="S2418"/>
      <c r="T2418"/>
      <c r="U2418"/>
    </row>
    <row r="2419" spans="19:21" ht="14.25" customHeight="1">
      <c r="S2419"/>
      <c r="T2419"/>
      <c r="U2419"/>
    </row>
    <row r="2420" spans="19:21" ht="14.25" customHeight="1">
      <c r="S2420"/>
      <c r="T2420"/>
      <c r="U2420"/>
    </row>
    <row r="2421" spans="19:21" ht="14.25" customHeight="1">
      <c r="S2421"/>
      <c r="T2421"/>
      <c r="U2421"/>
    </row>
    <row r="2422" spans="19:21" ht="14.25" customHeight="1">
      <c r="S2422"/>
      <c r="T2422"/>
      <c r="U2422"/>
    </row>
    <row r="2423" spans="19:21" ht="14.25" customHeight="1">
      <c r="S2423"/>
      <c r="T2423"/>
      <c r="U2423"/>
    </row>
    <row r="2424" spans="19:21" ht="14.25" customHeight="1">
      <c r="S2424"/>
      <c r="T2424"/>
      <c r="U2424"/>
    </row>
    <row r="2425" spans="19:21" ht="14.25" customHeight="1">
      <c r="S2425"/>
      <c r="T2425"/>
      <c r="U2425"/>
    </row>
    <row r="2426" spans="19:21" ht="14.25" customHeight="1">
      <c r="S2426"/>
      <c r="T2426"/>
      <c r="U2426"/>
    </row>
    <row r="2427" spans="19:21" ht="14.25" customHeight="1">
      <c r="S2427"/>
      <c r="T2427"/>
      <c r="U2427"/>
    </row>
    <row r="2428" spans="19:21" ht="14.25" customHeight="1">
      <c r="S2428"/>
      <c r="T2428"/>
      <c r="U2428"/>
    </row>
    <row r="2429" spans="19:21" ht="14.25" customHeight="1">
      <c r="S2429"/>
      <c r="T2429"/>
      <c r="U2429"/>
    </row>
    <row r="2430" spans="19:21" ht="14.25" customHeight="1">
      <c r="S2430"/>
      <c r="T2430"/>
      <c r="U2430"/>
    </row>
    <row r="2431" spans="19:21" ht="14.25" customHeight="1">
      <c r="S2431"/>
      <c r="T2431"/>
      <c r="U2431"/>
    </row>
    <row r="2432" spans="19:21" ht="14.25" customHeight="1">
      <c r="S2432"/>
      <c r="T2432"/>
      <c r="U2432"/>
    </row>
    <row r="2433" spans="19:21" ht="14.25" customHeight="1">
      <c r="S2433"/>
      <c r="T2433"/>
      <c r="U2433"/>
    </row>
    <row r="2434" spans="19:21" ht="14.25" customHeight="1">
      <c r="S2434"/>
      <c r="T2434"/>
      <c r="U2434"/>
    </row>
  </sheetData>
  <mergeCells count="2">
    <mergeCell ref="A1:U1"/>
    <mergeCell ref="A2:U2"/>
  </mergeCells>
  <phoneticPr fontId="37" type="noConversion"/>
  <hyperlinks>
    <hyperlink ref="AN3" r:id="rId1" xr:uid="{55978C34-6E14-424E-99BD-5B932DE8211F}"/>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7C86B-DBE2-4B69-8098-B2CFB70DD104}">
  <sheetPr codeName="Hoja25"/>
  <dimension ref="A1:BZ84"/>
  <sheetViews>
    <sheetView zoomScale="60" zoomScaleNormal="60" workbookViewId="0">
      <selection activeCell="B77" sqref="B77"/>
    </sheetView>
  </sheetViews>
  <sheetFormatPr baseColWidth="10" defaultColWidth="8.88671875" defaultRowHeight="14.4"/>
  <cols>
    <col min="1" max="1" width="32.33203125" bestFit="1" customWidth="1"/>
    <col min="2" max="2" width="124.33203125" bestFit="1" customWidth="1"/>
    <col min="3" max="3" width="40.109375" bestFit="1" customWidth="1"/>
    <col min="6" max="6" width="19" customWidth="1"/>
    <col min="7" max="7" width="59" customWidth="1"/>
    <col min="20" max="24" width="8.88671875" style="189"/>
    <col min="55" max="55" width="8.88671875" style="189"/>
    <col min="60" max="61" width="8.88671875" style="189"/>
    <col min="77" max="77" width="8.88671875" style="189"/>
    <col min="78" max="78" width="8.88671875" style="190"/>
  </cols>
  <sheetData>
    <row r="1" spans="1:7" customFormat="1">
      <c r="A1" s="1" t="s">
        <v>844</v>
      </c>
      <c r="B1" s="174" t="s">
        <v>845</v>
      </c>
      <c r="E1" s="181"/>
      <c r="F1" s="173" t="s">
        <v>322</v>
      </c>
      <c r="G1" s="150" t="s">
        <v>350</v>
      </c>
    </row>
    <row r="2" spans="1:7" customFormat="1">
      <c r="A2" s="304" t="s">
        <v>352</v>
      </c>
      <c r="B2" s="304"/>
      <c r="C2" s="304"/>
      <c r="E2" s="182"/>
      <c r="F2" s="173" t="s">
        <v>325</v>
      </c>
      <c r="G2" s="150" t="s">
        <v>353</v>
      </c>
    </row>
    <row r="3" spans="1:7">
      <c r="A3" s="179" t="s">
        <v>355</v>
      </c>
      <c r="B3" s="179" t="s">
        <v>356</v>
      </c>
      <c r="C3" s="179" t="s">
        <v>324</v>
      </c>
    </row>
    <row r="4" spans="1:7">
      <c r="A4" s="149" t="s">
        <v>846</v>
      </c>
      <c r="B4" s="148" t="s">
        <v>847</v>
      </c>
      <c r="C4" t="s">
        <v>848</v>
      </c>
    </row>
    <row r="5" spans="1:7">
      <c r="A5" s="149" t="s">
        <v>849</v>
      </c>
      <c r="B5" s="148" t="s">
        <v>850</v>
      </c>
      <c r="C5" t="s">
        <v>851</v>
      </c>
      <c r="E5" t="s">
        <v>852</v>
      </c>
    </row>
    <row r="6" spans="1:7">
      <c r="A6" s="186" t="s">
        <v>853</v>
      </c>
      <c r="B6" t="s">
        <v>854</v>
      </c>
      <c r="E6" s="146" t="s">
        <v>855</v>
      </c>
    </row>
    <row r="7" spans="1:7">
      <c r="A7" s="186" t="s">
        <v>856</v>
      </c>
      <c r="B7" t="s">
        <v>857</v>
      </c>
    </row>
    <row r="8" spans="1:7">
      <c r="A8" s="186" t="s">
        <v>858</v>
      </c>
      <c r="B8" t="s">
        <v>859</v>
      </c>
    </row>
    <row r="9" spans="1:7">
      <c r="A9" s="186" t="s">
        <v>860</v>
      </c>
      <c r="B9" t="s">
        <v>861</v>
      </c>
    </row>
    <row r="10" spans="1:7">
      <c r="A10" s="186" t="s">
        <v>862</v>
      </c>
      <c r="B10" t="s">
        <v>863</v>
      </c>
    </row>
    <row r="11" spans="1:7">
      <c r="A11" s="186" t="s">
        <v>864</v>
      </c>
      <c r="B11" t="s">
        <v>865</v>
      </c>
    </row>
    <row r="12" spans="1:7">
      <c r="A12" s="186" t="s">
        <v>866</v>
      </c>
      <c r="B12" t="s">
        <v>867</v>
      </c>
    </row>
    <row r="13" spans="1:7">
      <c r="A13" s="186" t="s">
        <v>868</v>
      </c>
      <c r="B13" t="s">
        <v>869</v>
      </c>
    </row>
    <row r="14" spans="1:7">
      <c r="A14" s="186" t="s">
        <v>870</v>
      </c>
      <c r="B14" t="s">
        <v>871</v>
      </c>
    </row>
    <row r="15" spans="1:7">
      <c r="A15" s="149" t="s">
        <v>872</v>
      </c>
      <c r="B15" s="148" t="s">
        <v>873</v>
      </c>
      <c r="C15" t="s">
        <v>874</v>
      </c>
    </row>
    <row r="16" spans="1:7">
      <c r="A16" s="149" t="s">
        <v>875</v>
      </c>
      <c r="B16" s="148" t="s">
        <v>876</v>
      </c>
      <c r="C16" t="s">
        <v>877</v>
      </c>
    </row>
    <row r="17" spans="1:3">
      <c r="A17" s="186" t="s">
        <v>878</v>
      </c>
    </row>
    <row r="18" spans="1:3">
      <c r="A18" s="186" t="s">
        <v>879</v>
      </c>
    </row>
    <row r="19" spans="1:3">
      <c r="A19" s="186" t="s">
        <v>880</v>
      </c>
    </row>
    <row r="20" spans="1:3">
      <c r="A20" s="186" t="s">
        <v>881</v>
      </c>
    </row>
    <row r="21" spans="1:3">
      <c r="A21" s="186" t="s">
        <v>882</v>
      </c>
    </row>
    <row r="22" spans="1:3">
      <c r="A22" s="186" t="s">
        <v>883</v>
      </c>
      <c r="B22" t="s">
        <v>712</v>
      </c>
    </row>
    <row r="23" spans="1:3">
      <c r="A23" s="187" t="s">
        <v>884</v>
      </c>
      <c r="B23" s="189">
        <v>44.8</v>
      </c>
    </row>
    <row r="24" spans="1:3">
      <c r="A24" s="187" t="s">
        <v>885</v>
      </c>
      <c r="B24" s="189">
        <v>44.8</v>
      </c>
    </row>
    <row r="25" spans="1:3">
      <c r="A25" s="192" t="s">
        <v>886</v>
      </c>
      <c r="B25" s="193">
        <v>44.8</v>
      </c>
      <c r="C25" t="s">
        <v>887</v>
      </c>
    </row>
    <row r="26" spans="1:3">
      <c r="A26" s="187" t="s">
        <v>888</v>
      </c>
      <c r="B26" s="189">
        <v>0</v>
      </c>
    </row>
    <row r="27" spans="1:3">
      <c r="A27" s="187" t="s">
        <v>889</v>
      </c>
      <c r="B27" s="189">
        <v>0</v>
      </c>
    </row>
    <row r="28" spans="1:3">
      <c r="A28" s="186" t="s">
        <v>890</v>
      </c>
      <c r="B28" t="s">
        <v>891</v>
      </c>
    </row>
    <row r="29" spans="1:3">
      <c r="A29" s="186" t="s">
        <v>892</v>
      </c>
      <c r="B29" t="s">
        <v>893</v>
      </c>
    </row>
    <row r="30" spans="1:3">
      <c r="A30" s="149" t="s">
        <v>894</v>
      </c>
      <c r="B30" s="148" t="s">
        <v>895</v>
      </c>
      <c r="C30" t="s">
        <v>896</v>
      </c>
    </row>
    <row r="31" spans="1:3">
      <c r="A31" s="186" t="s">
        <v>897</v>
      </c>
      <c r="B31" t="s">
        <v>893</v>
      </c>
    </row>
    <row r="32" spans="1:3">
      <c r="A32" s="186" t="s">
        <v>898</v>
      </c>
      <c r="B32" t="s">
        <v>899</v>
      </c>
    </row>
    <row r="33" spans="1:3">
      <c r="A33" s="186" t="s">
        <v>900</v>
      </c>
      <c r="B33" t="s">
        <v>901</v>
      </c>
    </row>
    <row r="34" spans="1:3">
      <c r="A34" s="186" t="s">
        <v>902</v>
      </c>
    </row>
    <row r="35" spans="1:3">
      <c r="A35" s="186" t="s">
        <v>903</v>
      </c>
      <c r="B35" t="s">
        <v>904</v>
      </c>
    </row>
    <row r="36" spans="1:3">
      <c r="A36" s="149" t="s">
        <v>905</v>
      </c>
      <c r="B36" s="148" t="s">
        <v>906</v>
      </c>
      <c r="C36" t="s">
        <v>907</v>
      </c>
    </row>
    <row r="37" spans="1:3">
      <c r="A37" s="191" t="s">
        <v>908</v>
      </c>
      <c r="B37" s="147" t="s">
        <v>854</v>
      </c>
      <c r="C37" t="s">
        <v>909</v>
      </c>
    </row>
    <row r="38" spans="1:3">
      <c r="A38" s="191" t="s">
        <v>910</v>
      </c>
      <c r="B38" s="147" t="s">
        <v>911</v>
      </c>
      <c r="C38" t="s">
        <v>912</v>
      </c>
    </row>
    <row r="39" spans="1:3">
      <c r="A39" s="186" t="s">
        <v>913</v>
      </c>
      <c r="B39" t="s">
        <v>914</v>
      </c>
    </row>
    <row r="40" spans="1:3">
      <c r="A40" s="186" t="s">
        <v>915</v>
      </c>
      <c r="B40" t="s">
        <v>916</v>
      </c>
    </row>
    <row r="41" spans="1:3">
      <c r="A41" s="186" t="s">
        <v>917</v>
      </c>
      <c r="B41" t="s">
        <v>893</v>
      </c>
    </row>
    <row r="42" spans="1:3">
      <c r="A42" s="186" t="s">
        <v>918</v>
      </c>
      <c r="B42" t="s">
        <v>911</v>
      </c>
    </row>
    <row r="43" spans="1:3">
      <c r="A43" s="186" t="s">
        <v>919</v>
      </c>
      <c r="B43" t="s">
        <v>920</v>
      </c>
    </row>
    <row r="44" spans="1:3">
      <c r="A44" s="186" t="s">
        <v>921</v>
      </c>
      <c r="B44" t="s">
        <v>922</v>
      </c>
    </row>
    <row r="45" spans="1:3">
      <c r="A45" s="186" t="s">
        <v>923</v>
      </c>
    </row>
    <row r="46" spans="1:3">
      <c r="A46" s="186" t="s">
        <v>924</v>
      </c>
    </row>
    <row r="47" spans="1:3">
      <c r="A47" s="186" t="s">
        <v>925</v>
      </c>
    </row>
    <row r="48" spans="1:3">
      <c r="A48" s="186" t="s">
        <v>926</v>
      </c>
    </row>
    <row r="49" spans="1:2">
      <c r="A49" s="186" t="s">
        <v>927</v>
      </c>
    </row>
    <row r="50" spans="1:2">
      <c r="A50" s="186" t="s">
        <v>928</v>
      </c>
    </row>
    <row r="51" spans="1:2">
      <c r="A51" s="186" t="s">
        <v>929</v>
      </c>
    </row>
    <row r="52" spans="1:2">
      <c r="A52" s="186" t="s">
        <v>930</v>
      </c>
    </row>
    <row r="53" spans="1:2">
      <c r="A53" s="186" t="s">
        <v>931</v>
      </c>
    </row>
    <row r="54" spans="1:2">
      <c r="A54" s="186" t="s">
        <v>932</v>
      </c>
    </row>
    <row r="55" spans="1:2">
      <c r="A55" s="186" t="s">
        <v>933</v>
      </c>
    </row>
    <row r="56" spans="1:2">
      <c r="A56" s="186" t="s">
        <v>934</v>
      </c>
    </row>
    <row r="57" spans="1:2">
      <c r="A57" s="186" t="s">
        <v>935</v>
      </c>
    </row>
    <row r="58" spans="1:2">
      <c r="A58" s="187" t="s">
        <v>936</v>
      </c>
      <c r="B58" s="189"/>
    </row>
    <row r="59" spans="1:2">
      <c r="A59" s="186" t="s">
        <v>937</v>
      </c>
      <c r="B59" t="s">
        <v>938</v>
      </c>
    </row>
    <row r="60" spans="1:2">
      <c r="A60" s="186" t="s">
        <v>939</v>
      </c>
      <c r="B60" t="s">
        <v>940</v>
      </c>
    </row>
    <row r="61" spans="1:2">
      <c r="A61" s="186" t="s">
        <v>941</v>
      </c>
      <c r="B61" t="s">
        <v>942</v>
      </c>
    </row>
    <row r="62" spans="1:2">
      <c r="A62" s="186" t="s">
        <v>943</v>
      </c>
      <c r="B62" t="s">
        <v>944</v>
      </c>
    </row>
    <row r="63" spans="1:2">
      <c r="A63" s="187" t="s">
        <v>945</v>
      </c>
      <c r="B63" s="189">
        <v>44.8</v>
      </c>
    </row>
    <row r="64" spans="1:2">
      <c r="A64" s="187" t="s">
        <v>946</v>
      </c>
      <c r="B64" s="189">
        <v>0</v>
      </c>
    </row>
    <row r="65" spans="1:2">
      <c r="A65" s="186" t="s">
        <v>947</v>
      </c>
      <c r="B65" t="s">
        <v>948</v>
      </c>
    </row>
    <row r="66" spans="1:2">
      <c r="A66" s="186" t="s">
        <v>949</v>
      </c>
      <c r="B66" t="s">
        <v>950</v>
      </c>
    </row>
    <row r="67" spans="1:2">
      <c r="A67" s="186" t="s">
        <v>951</v>
      </c>
      <c r="B67" t="s">
        <v>952</v>
      </c>
    </row>
    <row r="68" spans="1:2">
      <c r="A68" s="186" t="s">
        <v>953</v>
      </c>
      <c r="B68" t="s">
        <v>922</v>
      </c>
    </row>
    <row r="69" spans="1:2">
      <c r="A69" s="186" t="s">
        <v>954</v>
      </c>
      <c r="B69" t="s">
        <v>922</v>
      </c>
    </row>
    <row r="70" spans="1:2">
      <c r="A70" s="186" t="s">
        <v>955</v>
      </c>
    </row>
    <row r="71" spans="1:2">
      <c r="A71" s="186" t="s">
        <v>956</v>
      </c>
    </row>
    <row r="72" spans="1:2">
      <c r="A72" s="186" t="s">
        <v>957</v>
      </c>
    </row>
    <row r="73" spans="1:2">
      <c r="A73" s="186" t="s">
        <v>958</v>
      </c>
    </row>
    <row r="74" spans="1:2">
      <c r="A74" s="186" t="s">
        <v>959</v>
      </c>
    </row>
    <row r="75" spans="1:2">
      <c r="A75" s="186" t="s">
        <v>960</v>
      </c>
    </row>
    <row r="76" spans="1:2">
      <c r="A76" s="186" t="s">
        <v>961</v>
      </c>
    </row>
    <row r="77" spans="1:2">
      <c r="A77" s="186" t="s">
        <v>962</v>
      </c>
    </row>
    <row r="78" spans="1:2">
      <c r="A78" s="186" t="s">
        <v>963</v>
      </c>
    </row>
    <row r="79" spans="1:2">
      <c r="A79" s="186" t="s">
        <v>964</v>
      </c>
    </row>
    <row r="80" spans="1:2">
      <c r="A80" s="187" t="s">
        <v>965</v>
      </c>
      <c r="B80" s="189">
        <v>8</v>
      </c>
    </row>
    <row r="81" spans="1:2">
      <c r="A81" s="188" t="s">
        <v>966</v>
      </c>
      <c r="B81" s="190"/>
    </row>
    <row r="82" spans="1:2">
      <c r="A82" s="186" t="s">
        <v>967</v>
      </c>
      <c r="B82" t="s">
        <v>968</v>
      </c>
    </row>
    <row r="83" spans="1:2">
      <c r="A83" s="186" t="s">
        <v>969</v>
      </c>
    </row>
    <row r="84" spans="1:2">
      <c r="A84" s="186" t="s">
        <v>970</v>
      </c>
    </row>
  </sheetData>
  <mergeCells count="1">
    <mergeCell ref="A2:C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E76B-22B6-494C-8F89-73097A94C9B7}">
  <dimension ref="A1:O20"/>
  <sheetViews>
    <sheetView topLeftCell="K1" workbookViewId="0">
      <selection activeCell="L45" sqref="L45"/>
    </sheetView>
  </sheetViews>
  <sheetFormatPr baseColWidth="10" defaultColWidth="11.44140625" defaultRowHeight="14.4"/>
  <cols>
    <col min="1" max="1" width="13" bestFit="1" customWidth="1"/>
    <col min="2" max="2" width="23.5546875" bestFit="1" customWidth="1"/>
    <col min="3" max="3" width="28.6640625" bestFit="1" customWidth="1"/>
    <col min="5" max="5" width="20.33203125" bestFit="1" customWidth="1"/>
    <col min="6" max="6" width="23.88671875" bestFit="1" customWidth="1"/>
    <col min="7" max="7" width="64" bestFit="1" customWidth="1"/>
    <col min="9" max="9" width="11" customWidth="1"/>
    <col min="10" max="10" width="28.6640625" bestFit="1" customWidth="1"/>
    <col min="11" max="11" width="98.109375" bestFit="1" customWidth="1"/>
  </cols>
  <sheetData>
    <row r="1" spans="1:15">
      <c r="A1" s="307" t="s">
        <v>971</v>
      </c>
      <c r="B1" s="307"/>
      <c r="C1" s="307"/>
      <c r="E1" s="307" t="s">
        <v>972</v>
      </c>
      <c r="F1" s="307"/>
      <c r="G1" s="307"/>
      <c r="I1" s="307" t="s">
        <v>973</v>
      </c>
      <c r="J1" s="307"/>
      <c r="K1" s="307"/>
    </row>
    <row r="2" spans="1:15">
      <c r="A2" s="221" t="s">
        <v>323</v>
      </c>
      <c r="B2" s="221" t="s">
        <v>422</v>
      </c>
      <c r="C2" s="221" t="s">
        <v>324</v>
      </c>
      <c r="E2" s="221" t="s">
        <v>323</v>
      </c>
      <c r="F2" s="221" t="s">
        <v>422</v>
      </c>
      <c r="G2" s="221" t="s">
        <v>324</v>
      </c>
      <c r="I2" s="221" t="s">
        <v>323</v>
      </c>
      <c r="J2" s="221" t="s">
        <v>422</v>
      </c>
      <c r="K2" s="221" t="s">
        <v>324</v>
      </c>
      <c r="N2" s="147"/>
      <c r="O2" s="1" t="s">
        <v>322</v>
      </c>
    </row>
    <row r="3" spans="1:15">
      <c r="A3" s="148" t="s">
        <v>974</v>
      </c>
      <c r="B3" s="148">
        <v>188</v>
      </c>
      <c r="C3" s="148" t="s">
        <v>975</v>
      </c>
      <c r="E3" s="148" t="s">
        <v>976</v>
      </c>
      <c r="F3" s="148">
        <v>1</v>
      </c>
      <c r="G3" s="148" t="s">
        <v>977</v>
      </c>
      <c r="I3" s="148" t="s">
        <v>978</v>
      </c>
      <c r="J3" s="148">
        <v>1</v>
      </c>
      <c r="K3" s="148" t="s">
        <v>979</v>
      </c>
      <c r="N3" s="148"/>
      <c r="O3" s="1" t="s">
        <v>325</v>
      </c>
    </row>
    <row r="4" spans="1:15">
      <c r="A4" s="148" t="s">
        <v>980</v>
      </c>
      <c r="B4" s="148">
        <v>9</v>
      </c>
      <c r="C4" s="148" t="s">
        <v>979</v>
      </c>
      <c r="E4" t="s">
        <v>981</v>
      </c>
      <c r="F4">
        <v>170577</v>
      </c>
      <c r="I4" s="147" t="s">
        <v>982</v>
      </c>
      <c r="J4" s="147" t="s">
        <v>983</v>
      </c>
      <c r="K4" s="147" t="s">
        <v>735</v>
      </c>
    </row>
    <row r="5" spans="1:15">
      <c r="A5" s="147" t="s">
        <v>973</v>
      </c>
      <c r="B5" s="147" t="s">
        <v>984</v>
      </c>
      <c r="C5" s="147" t="s">
        <v>985</v>
      </c>
      <c r="E5" t="s">
        <v>986</v>
      </c>
      <c r="F5">
        <v>12663</v>
      </c>
      <c r="I5" s="147" t="s">
        <v>987</v>
      </c>
      <c r="J5" s="147" t="s">
        <v>988</v>
      </c>
      <c r="K5" s="147" t="s">
        <v>743</v>
      </c>
    </row>
    <row r="6" spans="1:15">
      <c r="A6" s="148" t="s">
        <v>989</v>
      </c>
      <c r="B6" s="148">
        <v>1</v>
      </c>
      <c r="C6" s="148" t="s">
        <v>990</v>
      </c>
      <c r="E6" t="s">
        <v>991</v>
      </c>
      <c r="F6">
        <v>0</v>
      </c>
      <c r="I6" s="148" t="s">
        <v>992</v>
      </c>
      <c r="J6" s="148" t="s">
        <v>993</v>
      </c>
      <c r="K6" s="148" t="s">
        <v>994</v>
      </c>
      <c r="N6" t="s">
        <v>995</v>
      </c>
    </row>
    <row r="7" spans="1:15">
      <c r="A7" t="s">
        <v>996</v>
      </c>
      <c r="B7" t="s">
        <v>997</v>
      </c>
      <c r="E7" s="148" t="s">
        <v>998</v>
      </c>
      <c r="F7" s="148">
        <v>370</v>
      </c>
      <c r="G7" s="148" t="s">
        <v>999</v>
      </c>
      <c r="I7" s="147" t="s">
        <v>1000</v>
      </c>
      <c r="J7" s="147" t="s">
        <v>1001</v>
      </c>
      <c r="K7" s="147" t="s">
        <v>1002</v>
      </c>
      <c r="N7" s="146" t="s">
        <v>855</v>
      </c>
    </row>
    <row r="8" spans="1:15">
      <c r="A8" s="147" t="s">
        <v>1003</v>
      </c>
      <c r="B8" s="147" t="s">
        <v>1004</v>
      </c>
      <c r="C8" s="147" t="s">
        <v>1005</v>
      </c>
      <c r="E8" s="147" t="s">
        <v>1006</v>
      </c>
      <c r="F8" s="147" t="s">
        <v>1007</v>
      </c>
      <c r="G8" s="147" t="s">
        <v>1008</v>
      </c>
      <c r="I8" s="147" t="s">
        <v>1009</v>
      </c>
      <c r="J8" s="147" t="s">
        <v>1010</v>
      </c>
      <c r="K8" s="147" t="s">
        <v>1011</v>
      </c>
    </row>
    <row r="9" spans="1:15">
      <c r="A9" s="147" t="s">
        <v>1012</v>
      </c>
      <c r="B9" s="147" t="s">
        <v>1013</v>
      </c>
      <c r="C9" s="147" t="s">
        <v>1014</v>
      </c>
      <c r="E9" s="148" t="s">
        <v>1015</v>
      </c>
      <c r="F9" s="148">
        <v>2537</v>
      </c>
      <c r="G9" s="148" t="s">
        <v>1016</v>
      </c>
      <c r="I9" t="s">
        <v>1017</v>
      </c>
      <c r="J9" t="s">
        <v>1018</v>
      </c>
    </row>
    <row r="10" spans="1:15">
      <c r="A10" t="s">
        <v>1019</v>
      </c>
      <c r="B10" t="s">
        <v>1013</v>
      </c>
      <c r="E10" s="147" t="s">
        <v>1020</v>
      </c>
      <c r="F10" s="147" t="s">
        <v>1007</v>
      </c>
      <c r="G10" s="147" t="s">
        <v>1021</v>
      </c>
      <c r="I10" s="147" t="s">
        <v>1022</v>
      </c>
      <c r="J10" s="147">
        <v>0</v>
      </c>
      <c r="K10" s="147" t="s">
        <v>1023</v>
      </c>
    </row>
    <row r="11" spans="1:15">
      <c r="A11" t="s">
        <v>1024</v>
      </c>
      <c r="B11" t="s">
        <v>1025</v>
      </c>
      <c r="E11" s="147" t="s">
        <v>1026</v>
      </c>
      <c r="F11" s="147" t="s">
        <v>1027</v>
      </c>
      <c r="G11" s="147" t="s">
        <v>1028</v>
      </c>
    </row>
    <row r="12" spans="1:15">
      <c r="A12" t="s">
        <v>1029</v>
      </c>
      <c r="B12" t="s">
        <v>1030</v>
      </c>
      <c r="E12" t="s">
        <v>171</v>
      </c>
      <c r="F12" t="s">
        <v>1031</v>
      </c>
    </row>
    <row r="13" spans="1:15">
      <c r="A13" t="s">
        <v>1032</v>
      </c>
      <c r="B13" s="220">
        <v>0.11331018518518518</v>
      </c>
      <c r="E13" t="s">
        <v>1033</v>
      </c>
      <c r="F13" t="s">
        <v>1034</v>
      </c>
    </row>
    <row r="14" spans="1:15">
      <c r="A14" s="148" t="s">
        <v>976</v>
      </c>
      <c r="B14" s="148">
        <v>16780</v>
      </c>
      <c r="C14" s="148" t="s">
        <v>977</v>
      </c>
      <c r="E14" t="s">
        <v>1035</v>
      </c>
      <c r="F14">
        <v>38789</v>
      </c>
    </row>
    <row r="15" spans="1:15">
      <c r="A15" t="s">
        <v>981</v>
      </c>
      <c r="B15">
        <v>822710</v>
      </c>
      <c r="E15" s="147" t="s">
        <v>1036</v>
      </c>
      <c r="F15" s="147" t="s">
        <v>1037</v>
      </c>
      <c r="G15" s="147" t="s">
        <v>1038</v>
      </c>
    </row>
    <row r="16" spans="1:15">
      <c r="E16" s="147" t="s">
        <v>1039</v>
      </c>
      <c r="F16" s="147" t="s">
        <v>1040</v>
      </c>
      <c r="G16" s="147"/>
    </row>
    <row r="17" spans="5:7">
      <c r="E17" s="147" t="s">
        <v>1041</v>
      </c>
      <c r="F17" s="147" t="s">
        <v>1042</v>
      </c>
      <c r="G17" s="147"/>
    </row>
    <row r="18" spans="5:7">
      <c r="E18" t="s">
        <v>1043</v>
      </c>
      <c r="F18" t="s">
        <v>1044</v>
      </c>
    </row>
    <row r="19" spans="5:7">
      <c r="E19" t="s">
        <v>1022</v>
      </c>
      <c r="F19">
        <v>1</v>
      </c>
    </row>
    <row r="20" spans="5:7">
      <c r="E20" s="147" t="s">
        <v>1045</v>
      </c>
      <c r="F20" s="147" t="s">
        <v>1046</v>
      </c>
      <c r="G20" s="147" t="s">
        <v>1047</v>
      </c>
    </row>
  </sheetData>
  <mergeCells count="3">
    <mergeCell ref="A1:C1"/>
    <mergeCell ref="E1:G1"/>
    <mergeCell ref="I1:K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107C3-E480-4D19-BA5C-20E5B34DC88B}">
  <sheetPr codeName="Hoja26"/>
  <dimension ref="A2:U96"/>
  <sheetViews>
    <sheetView zoomScaleNormal="100" workbookViewId="0">
      <selection activeCell="B24" sqref="B24"/>
    </sheetView>
  </sheetViews>
  <sheetFormatPr baseColWidth="10" defaultColWidth="11.44140625" defaultRowHeight="14.4"/>
  <cols>
    <col min="1" max="1" width="53" bestFit="1" customWidth="1"/>
    <col min="2" max="2" width="55.44140625" customWidth="1"/>
    <col min="3" max="3" width="56.33203125" customWidth="1"/>
    <col min="4" max="4" width="45.5546875" customWidth="1"/>
    <col min="5" max="5" width="41" customWidth="1"/>
    <col min="6" max="6" width="39.88671875" bestFit="1" customWidth="1"/>
    <col min="7" max="7" width="40.6640625" bestFit="1" customWidth="1"/>
    <col min="10" max="10" width="28.33203125" bestFit="1" customWidth="1"/>
    <col min="11" max="11" width="9.109375"/>
    <col min="12" max="12" width="31.33203125" bestFit="1" customWidth="1"/>
    <col min="13" max="13" width="23" bestFit="1" customWidth="1"/>
    <col min="14" max="14" width="44.109375" bestFit="1" customWidth="1"/>
    <col min="15" max="15" width="18.88671875" bestFit="1" customWidth="1"/>
    <col min="16" max="16" width="37.5546875" bestFit="1" customWidth="1"/>
    <col min="17" max="17" width="27.33203125" bestFit="1" customWidth="1"/>
    <col min="18" max="18" width="9.109375"/>
    <col min="19" max="19" width="16.33203125" bestFit="1" customWidth="1"/>
    <col min="20" max="20" width="47.6640625" bestFit="1" customWidth="1"/>
    <col min="21" max="21" width="9.109375"/>
  </cols>
  <sheetData>
    <row r="2" spans="1:21">
      <c r="A2" s="309" t="s">
        <v>1048</v>
      </c>
      <c r="B2" s="309"/>
      <c r="C2" s="309"/>
      <c r="D2" s="309"/>
      <c r="E2" s="309"/>
      <c r="I2" s="194" t="s">
        <v>242</v>
      </c>
      <c r="J2" s="141" t="s">
        <v>1049</v>
      </c>
      <c r="K2" s="141" t="s">
        <v>144</v>
      </c>
      <c r="L2" s="141" t="s">
        <v>1050</v>
      </c>
      <c r="M2" s="141" t="s">
        <v>1051</v>
      </c>
      <c r="N2" s="141" t="s">
        <v>1052</v>
      </c>
      <c r="O2" s="141" t="s">
        <v>1003</v>
      </c>
      <c r="P2" s="141" t="s">
        <v>544</v>
      </c>
      <c r="Q2" s="141" t="s">
        <v>1053</v>
      </c>
      <c r="R2" s="141" t="s">
        <v>1054</v>
      </c>
      <c r="S2" s="141" t="s">
        <v>1055</v>
      </c>
      <c r="T2" s="141" t="s">
        <v>1056</v>
      </c>
      <c r="U2" s="141" t="s">
        <v>1057</v>
      </c>
    </row>
    <row r="3" spans="1:21">
      <c r="A3" s="141" t="s">
        <v>1058</v>
      </c>
      <c r="B3" s="141" t="s">
        <v>324</v>
      </c>
      <c r="C3" s="141" t="s">
        <v>1059</v>
      </c>
      <c r="D3" s="141" t="s">
        <v>1060</v>
      </c>
      <c r="E3" s="141" t="s">
        <v>1061</v>
      </c>
      <c r="I3" t="s">
        <v>248</v>
      </c>
      <c r="J3" t="s">
        <v>606</v>
      </c>
      <c r="L3" t="s">
        <v>1062</v>
      </c>
      <c r="N3" t="s">
        <v>1063</v>
      </c>
      <c r="O3" t="s">
        <v>1064</v>
      </c>
      <c r="P3" t="s">
        <v>1065</v>
      </c>
      <c r="Q3" t="s">
        <v>1066</v>
      </c>
      <c r="R3" t="s">
        <v>1067</v>
      </c>
      <c r="T3" t="s">
        <v>1068</v>
      </c>
    </row>
    <row r="4" spans="1:21">
      <c r="A4" t="s">
        <v>1069</v>
      </c>
      <c r="B4" t="s">
        <v>1070</v>
      </c>
      <c r="C4" t="s">
        <v>1071</v>
      </c>
      <c r="D4" t="s">
        <v>1072</v>
      </c>
      <c r="E4" t="s">
        <v>1073</v>
      </c>
      <c r="I4" t="s">
        <v>258</v>
      </c>
      <c r="J4" t="s">
        <v>573</v>
      </c>
      <c r="L4" t="s">
        <v>1074</v>
      </c>
      <c r="M4" t="s">
        <v>519</v>
      </c>
      <c r="N4" t="s">
        <v>1075</v>
      </c>
      <c r="P4" t="s">
        <v>1076</v>
      </c>
      <c r="Q4" t="s">
        <v>1077</v>
      </c>
      <c r="S4" t="s">
        <v>526</v>
      </c>
    </row>
    <row r="5" spans="1:21">
      <c r="A5" t="s">
        <v>144</v>
      </c>
      <c r="B5" t="s">
        <v>1078</v>
      </c>
      <c r="C5" t="s">
        <v>1079</v>
      </c>
      <c r="D5" t="s">
        <v>1080</v>
      </c>
      <c r="I5" t="s">
        <v>255</v>
      </c>
      <c r="L5" t="s">
        <v>1081</v>
      </c>
      <c r="N5" t="s">
        <v>433</v>
      </c>
      <c r="O5" t="s">
        <v>465</v>
      </c>
      <c r="Q5" t="s">
        <v>454</v>
      </c>
    </row>
    <row r="6" spans="1:21">
      <c r="A6" s="206" t="s">
        <v>1050</v>
      </c>
      <c r="B6" t="s">
        <v>1082</v>
      </c>
      <c r="C6" t="s">
        <v>1083</v>
      </c>
      <c r="D6" t="s">
        <v>1084</v>
      </c>
      <c r="I6" s="195" t="s">
        <v>252</v>
      </c>
      <c r="J6" t="s">
        <v>408</v>
      </c>
      <c r="L6" s="195" t="s">
        <v>357</v>
      </c>
      <c r="M6" t="s">
        <v>372</v>
      </c>
      <c r="P6" s="195"/>
      <c r="Q6" s="195"/>
    </row>
    <row r="7" spans="1:21">
      <c r="A7" t="s">
        <v>1051</v>
      </c>
      <c r="B7" t="s">
        <v>1085</v>
      </c>
      <c r="I7" t="s">
        <v>1086</v>
      </c>
      <c r="L7" t="s">
        <v>1087</v>
      </c>
      <c r="M7" t="s">
        <v>345</v>
      </c>
      <c r="N7" t="s">
        <v>1088</v>
      </c>
      <c r="O7" t="s">
        <v>330</v>
      </c>
      <c r="P7" t="s">
        <v>330</v>
      </c>
      <c r="Q7" t="s">
        <v>330</v>
      </c>
    </row>
    <row r="8" spans="1:21">
      <c r="A8" s="206" t="s">
        <v>1052</v>
      </c>
      <c r="B8" t="s">
        <v>1089</v>
      </c>
      <c r="C8" t="s">
        <v>1090</v>
      </c>
    </row>
    <row r="9" spans="1:21">
      <c r="A9" s="206" t="s">
        <v>1003</v>
      </c>
      <c r="B9" t="s">
        <v>1091</v>
      </c>
      <c r="C9" t="s">
        <v>1092</v>
      </c>
      <c r="D9" t="s">
        <v>1093</v>
      </c>
    </row>
    <row r="10" spans="1:21">
      <c r="A10" t="s">
        <v>544</v>
      </c>
      <c r="B10" t="s">
        <v>1094</v>
      </c>
      <c r="C10" t="s">
        <v>1095</v>
      </c>
      <c r="D10" t="s">
        <v>1096</v>
      </c>
    </row>
    <row r="11" spans="1:21">
      <c r="A11" t="s">
        <v>289</v>
      </c>
      <c r="B11" t="s">
        <v>1097</v>
      </c>
      <c r="D11" t="s">
        <v>1098</v>
      </c>
    </row>
    <row r="12" spans="1:21">
      <c r="A12" s="206" t="s">
        <v>1099</v>
      </c>
      <c r="B12" t="s">
        <v>1100</v>
      </c>
      <c r="C12" t="s">
        <v>1101</v>
      </c>
    </row>
    <row r="13" spans="1:21">
      <c r="A13" s="206" t="s">
        <v>1054</v>
      </c>
      <c r="B13" t="s">
        <v>1102</v>
      </c>
      <c r="C13" t="s">
        <v>1103</v>
      </c>
      <c r="D13" t="s">
        <v>1104</v>
      </c>
    </row>
    <row r="14" spans="1:21">
      <c r="A14" s="206" t="s">
        <v>1055</v>
      </c>
      <c r="B14" t="s">
        <v>1105</v>
      </c>
      <c r="C14" t="s">
        <v>1106</v>
      </c>
    </row>
    <row r="15" spans="1:21">
      <c r="A15" s="206" t="s">
        <v>1056</v>
      </c>
      <c r="B15" t="s">
        <v>1107</v>
      </c>
      <c r="C15" t="s">
        <v>1108</v>
      </c>
    </row>
    <row r="16" spans="1:21">
      <c r="A16" s="206" t="s">
        <v>1057</v>
      </c>
      <c r="B16" t="s">
        <v>1109</v>
      </c>
      <c r="C16" t="s">
        <v>1110</v>
      </c>
    </row>
    <row r="17" spans="1:5">
      <c r="A17" s="206" t="s">
        <v>1111</v>
      </c>
      <c r="B17" t="s">
        <v>1112</v>
      </c>
      <c r="C17" t="s">
        <v>1113</v>
      </c>
      <c r="D17" t="s">
        <v>1114</v>
      </c>
      <c r="E17" t="s">
        <v>1115</v>
      </c>
    </row>
    <row r="18" spans="1:5">
      <c r="A18" t="s">
        <v>330</v>
      </c>
      <c r="B18" t="s">
        <v>1116</v>
      </c>
      <c r="C18" t="s">
        <v>1117</v>
      </c>
      <c r="D18" t="s">
        <v>1118</v>
      </c>
    </row>
    <row r="19" spans="1:5">
      <c r="A19" t="s">
        <v>1026</v>
      </c>
      <c r="B19" t="s">
        <v>1119</v>
      </c>
      <c r="C19" t="s">
        <v>1120</v>
      </c>
      <c r="D19" t="s">
        <v>1121</v>
      </c>
    </row>
    <row r="20" spans="1:5">
      <c r="A20" t="s">
        <v>1122</v>
      </c>
      <c r="B20" t="s">
        <v>1123</v>
      </c>
      <c r="C20" t="s">
        <v>1124</v>
      </c>
    </row>
    <row r="21" spans="1:5">
      <c r="A21" t="s">
        <v>1125</v>
      </c>
      <c r="B21" t="s">
        <v>1126</v>
      </c>
      <c r="C21" t="s">
        <v>1127</v>
      </c>
    </row>
    <row r="22" spans="1:5">
      <c r="A22" t="s">
        <v>1128</v>
      </c>
      <c r="B22" t="s">
        <v>1129</v>
      </c>
    </row>
    <row r="25" spans="1:5" ht="16.8">
      <c r="C25" s="237"/>
    </row>
    <row r="26" spans="1:5">
      <c r="C26" s="2"/>
    </row>
    <row r="28" spans="1:5">
      <c r="A28" s="239" t="s">
        <v>1130</v>
      </c>
    </row>
    <row r="29" spans="1:5">
      <c r="A29" s="245" t="s">
        <v>1131</v>
      </c>
    </row>
    <row r="30" spans="1:5">
      <c r="A30" s="245" t="s">
        <v>1132</v>
      </c>
    </row>
    <row r="31" spans="1:5">
      <c r="A31" s="245" t="s">
        <v>1133</v>
      </c>
    </row>
    <row r="32" spans="1:5">
      <c r="A32" s="245" t="s">
        <v>1134</v>
      </c>
    </row>
    <row r="33" spans="1:1">
      <c r="A33" s="245" t="s">
        <v>1135</v>
      </c>
    </row>
    <row r="34" spans="1:1">
      <c r="A34" s="245" t="s">
        <v>1136</v>
      </c>
    </row>
    <row r="35" spans="1:1">
      <c r="A35" s="245" t="s">
        <v>1137</v>
      </c>
    </row>
    <row r="36" spans="1:1">
      <c r="A36" s="2"/>
    </row>
    <row r="37" spans="1:1">
      <c r="A37" s="239" t="s">
        <v>1138</v>
      </c>
    </row>
    <row r="38" spans="1:1">
      <c r="A38" s="245" t="s">
        <v>1139</v>
      </c>
    </row>
    <row r="39" spans="1:1">
      <c r="A39" s="245" t="s">
        <v>1140</v>
      </c>
    </row>
    <row r="40" spans="1:1">
      <c r="A40" s="245" t="s">
        <v>1141</v>
      </c>
    </row>
    <row r="41" spans="1:1">
      <c r="A41" s="246" t="s">
        <v>1142</v>
      </c>
    </row>
    <row r="42" spans="1:1">
      <c r="A42" s="245" t="s">
        <v>1143</v>
      </c>
    </row>
    <row r="43" spans="1:1">
      <c r="A43" s="2"/>
    </row>
    <row r="44" spans="1:1">
      <c r="A44" s="239" t="s">
        <v>1144</v>
      </c>
    </row>
    <row r="45" spans="1:1">
      <c r="A45" s="238" t="s">
        <v>1145</v>
      </c>
    </row>
    <row r="46" spans="1:1">
      <c r="A46" s="245" t="s">
        <v>1146</v>
      </c>
    </row>
    <row r="47" spans="1:1">
      <c r="A47" s="245" t="s">
        <v>1147</v>
      </c>
    </row>
    <row r="48" spans="1:1">
      <c r="A48" s="245" t="s">
        <v>1148</v>
      </c>
    </row>
    <row r="49" spans="1:7">
      <c r="A49" s="245" t="s">
        <v>1149</v>
      </c>
    </row>
    <row r="50" spans="1:7">
      <c r="A50" s="2"/>
    </row>
    <row r="51" spans="1:7">
      <c r="A51" s="239" t="s">
        <v>1150</v>
      </c>
    </row>
    <row r="52" spans="1:7">
      <c r="A52" s="245" t="s">
        <v>1151</v>
      </c>
    </row>
    <row r="53" spans="1:7">
      <c r="A53" s="245" t="s">
        <v>1152</v>
      </c>
    </row>
    <row r="54" spans="1:7">
      <c r="A54" s="238"/>
    </row>
    <row r="55" spans="1:7" ht="29.4">
      <c r="A55" s="308" t="s">
        <v>1153</v>
      </c>
      <c r="B55" s="308"/>
      <c r="C55" s="308"/>
      <c r="D55" s="308"/>
      <c r="E55" s="308"/>
      <c r="F55" s="308"/>
      <c r="G55" s="308"/>
    </row>
    <row r="56" spans="1:7" s="243" customFormat="1" ht="20.399999999999999">
      <c r="A56" s="242" t="s">
        <v>1069</v>
      </c>
      <c r="B56" s="242" t="s">
        <v>144</v>
      </c>
      <c r="C56" s="242" t="s">
        <v>359</v>
      </c>
      <c r="D56" s="242" t="s">
        <v>1003</v>
      </c>
      <c r="E56" s="242" t="s">
        <v>289</v>
      </c>
      <c r="F56" s="242" t="s">
        <v>1054</v>
      </c>
      <c r="G56" s="242" t="s">
        <v>1052</v>
      </c>
    </row>
    <row r="57" spans="1:7" ht="16.8">
      <c r="A57" s="240" t="s">
        <v>1154</v>
      </c>
      <c r="B57" s="240" t="s">
        <v>1155</v>
      </c>
      <c r="C57" s="240" t="s">
        <v>1156</v>
      </c>
      <c r="D57" s="240" t="s">
        <v>1157</v>
      </c>
      <c r="E57" s="240" t="s">
        <v>1158</v>
      </c>
      <c r="F57" s="240" t="s">
        <v>1159</v>
      </c>
      <c r="G57" s="240" t="s">
        <v>1160</v>
      </c>
    </row>
    <row r="58" spans="1:7" ht="16.8">
      <c r="A58" s="240" t="s">
        <v>1161</v>
      </c>
      <c r="B58" s="240" t="s">
        <v>1162</v>
      </c>
      <c r="C58" s="240" t="s">
        <v>1163</v>
      </c>
      <c r="D58" s="240" t="s">
        <v>1164</v>
      </c>
      <c r="E58" s="240" t="s">
        <v>1165</v>
      </c>
      <c r="F58" s="240" t="s">
        <v>1165</v>
      </c>
      <c r="G58" s="240" t="s">
        <v>1166</v>
      </c>
    </row>
    <row r="59" spans="1:7" ht="16.8">
      <c r="A59" s="240" t="s">
        <v>1167</v>
      </c>
      <c r="B59" s="240" t="s">
        <v>1167</v>
      </c>
      <c r="C59" s="240" t="s">
        <v>1167</v>
      </c>
      <c r="D59" s="240" t="s">
        <v>1167</v>
      </c>
      <c r="E59" s="240" t="s">
        <v>1167</v>
      </c>
      <c r="F59" s="240" t="s">
        <v>1167</v>
      </c>
      <c r="G59" s="240" t="s">
        <v>1167</v>
      </c>
    </row>
    <row r="60" spans="1:7" ht="16.8">
      <c r="A60" s="241" t="s">
        <v>1168</v>
      </c>
      <c r="B60" s="241" t="s">
        <v>1169</v>
      </c>
      <c r="C60" s="241" t="s">
        <v>1170</v>
      </c>
      <c r="D60" s="241" t="s">
        <v>1171</v>
      </c>
      <c r="E60" s="241" t="s">
        <v>1172</v>
      </c>
      <c r="F60" s="241" t="s">
        <v>1173</v>
      </c>
      <c r="G60" s="241" t="s">
        <v>1174</v>
      </c>
    </row>
    <row r="61" spans="1:7" ht="16.8">
      <c r="A61" s="241" t="s">
        <v>1175</v>
      </c>
      <c r="B61" s="240" t="s">
        <v>1176</v>
      </c>
      <c r="C61" s="241" t="s">
        <v>1177</v>
      </c>
      <c r="D61" s="240" t="s">
        <v>1178</v>
      </c>
      <c r="E61" s="241" t="s">
        <v>1179</v>
      </c>
      <c r="F61" s="241" t="s">
        <v>1180</v>
      </c>
      <c r="G61" s="240" t="s">
        <v>1181</v>
      </c>
    </row>
    <row r="62" spans="1:7" ht="16.8">
      <c r="A62" s="240" t="s">
        <v>1182</v>
      </c>
      <c r="C62" s="241" t="s">
        <v>1175</v>
      </c>
      <c r="E62" s="241" t="s">
        <v>1183</v>
      </c>
      <c r="F62" s="241" t="s">
        <v>1184</v>
      </c>
    </row>
    <row r="63" spans="1:7" ht="16.8">
      <c r="C63" s="241" t="s">
        <v>1185</v>
      </c>
      <c r="E63" s="241" t="s">
        <v>1186</v>
      </c>
      <c r="F63" s="240" t="s">
        <v>1187</v>
      </c>
    </row>
    <row r="64" spans="1:7" ht="16.8">
      <c r="C64" s="240" t="s">
        <v>1188</v>
      </c>
      <c r="E64" s="240" t="s">
        <v>1189</v>
      </c>
    </row>
    <row r="67" spans="1:7" ht="29.4">
      <c r="A67" s="308" t="s">
        <v>1190</v>
      </c>
      <c r="B67" s="308"/>
      <c r="C67" s="308"/>
      <c r="D67" s="308"/>
      <c r="E67" s="308"/>
      <c r="F67" s="244"/>
      <c r="G67" s="244"/>
    </row>
    <row r="68" spans="1:7" s="243" customFormat="1" ht="20.399999999999999">
      <c r="A68" s="242" t="s">
        <v>1122</v>
      </c>
      <c r="B68" s="242" t="s">
        <v>1125</v>
      </c>
      <c r="C68" s="242" t="s">
        <v>1055</v>
      </c>
      <c r="D68" s="242" t="s">
        <v>1056</v>
      </c>
      <c r="E68" s="242" t="s">
        <v>1057</v>
      </c>
    </row>
    <row r="69" spans="1:7" ht="16.8">
      <c r="A69" s="240" t="s">
        <v>1191</v>
      </c>
      <c r="B69" s="240" t="s">
        <v>1192</v>
      </c>
      <c r="C69" s="240" t="s">
        <v>1193</v>
      </c>
      <c r="D69" s="240" t="s">
        <v>1194</v>
      </c>
      <c r="E69" s="240" t="s">
        <v>1195</v>
      </c>
    </row>
    <row r="70" spans="1:7" ht="16.8">
      <c r="A70" s="240" t="s">
        <v>1167</v>
      </c>
      <c r="B70" s="240" t="s">
        <v>1167</v>
      </c>
      <c r="C70" s="240" t="s">
        <v>1196</v>
      </c>
      <c r="D70" s="240" t="s">
        <v>1197</v>
      </c>
      <c r="E70" s="240" t="s">
        <v>1197</v>
      </c>
    </row>
    <row r="71" spans="1:7" ht="16.8">
      <c r="A71" s="241" t="s">
        <v>1198</v>
      </c>
      <c r="B71" s="241" t="s">
        <v>1198</v>
      </c>
      <c r="C71" s="240" t="s">
        <v>1167</v>
      </c>
      <c r="D71" s="240" t="s">
        <v>1167</v>
      </c>
      <c r="E71" s="240" t="s">
        <v>1167</v>
      </c>
    </row>
    <row r="72" spans="1:7" ht="16.8">
      <c r="A72" s="241" t="s">
        <v>1199</v>
      </c>
      <c r="B72" s="241" t="s">
        <v>1199</v>
      </c>
      <c r="C72" s="241" t="s">
        <v>1200</v>
      </c>
      <c r="D72" s="241" t="s">
        <v>1201</v>
      </c>
      <c r="E72" s="241" t="s">
        <v>1201</v>
      </c>
    </row>
    <row r="73" spans="1:7" ht="16.8">
      <c r="A73" s="241" t="s">
        <v>1184</v>
      </c>
      <c r="B73" s="241" t="s">
        <v>1184</v>
      </c>
      <c r="C73" s="241" t="s">
        <v>1202</v>
      </c>
      <c r="D73" s="241" t="s">
        <v>1203</v>
      </c>
      <c r="E73" s="241" t="s">
        <v>1204</v>
      </c>
    </row>
    <row r="74" spans="1:7" ht="16.8">
      <c r="A74" s="240" t="s">
        <v>1205</v>
      </c>
      <c r="B74" s="240" t="s">
        <v>1206</v>
      </c>
      <c r="C74" s="241" t="s">
        <v>1207</v>
      </c>
      <c r="D74" s="240" t="s">
        <v>1208</v>
      </c>
      <c r="E74" s="240" t="s">
        <v>1209</v>
      </c>
    </row>
    <row r="75" spans="1:7" ht="16.8">
      <c r="C75" s="240" t="s">
        <v>1210</v>
      </c>
    </row>
    <row r="76" spans="1:7" ht="16.8">
      <c r="C76" s="237"/>
    </row>
    <row r="79" spans="1:7" ht="29.4">
      <c r="A79" s="308" t="s">
        <v>1211</v>
      </c>
      <c r="B79" s="308"/>
      <c r="C79" s="308"/>
      <c r="D79" s="308"/>
      <c r="E79" s="308"/>
    </row>
    <row r="80" spans="1:7" s="243" customFormat="1" ht="20.399999999999999">
      <c r="A80" s="242" t="s">
        <v>1111</v>
      </c>
      <c r="B80" s="242" t="s">
        <v>1212</v>
      </c>
      <c r="C80" s="242" t="s">
        <v>1213</v>
      </c>
      <c r="D80" s="242" t="s">
        <v>544</v>
      </c>
      <c r="E80" s="242" t="s">
        <v>1214</v>
      </c>
    </row>
    <row r="81" spans="1:5" ht="16.8">
      <c r="A81" s="240" t="s">
        <v>1215</v>
      </c>
      <c r="B81" s="240" t="s">
        <v>1216</v>
      </c>
      <c r="C81" s="240" t="s">
        <v>1162</v>
      </c>
      <c r="D81" s="240" t="s">
        <v>1217</v>
      </c>
      <c r="E81" s="240" t="s">
        <v>1218</v>
      </c>
    </row>
    <row r="82" spans="1:5" ht="16.8">
      <c r="A82" s="240" t="s">
        <v>1167</v>
      </c>
      <c r="B82" s="240" t="s">
        <v>1167</v>
      </c>
      <c r="C82" s="240" t="s">
        <v>1167</v>
      </c>
      <c r="D82" s="240" t="s">
        <v>1167</v>
      </c>
      <c r="E82" s="240" t="s">
        <v>1167</v>
      </c>
    </row>
    <row r="83" spans="1:5" ht="16.8">
      <c r="A83" s="241" t="s">
        <v>1219</v>
      </c>
      <c r="B83" s="241" t="s">
        <v>1220</v>
      </c>
      <c r="C83" s="241" t="s">
        <v>1221</v>
      </c>
      <c r="D83" s="241" t="s">
        <v>1222</v>
      </c>
      <c r="E83" s="241" t="s">
        <v>1223</v>
      </c>
    </row>
    <row r="84" spans="1:5" ht="16.8">
      <c r="A84" s="241" t="s">
        <v>1224</v>
      </c>
      <c r="B84" s="241" t="s">
        <v>1225</v>
      </c>
      <c r="C84" s="241" t="s">
        <v>1226</v>
      </c>
      <c r="D84" s="241" t="s">
        <v>1227</v>
      </c>
      <c r="E84" s="241" t="s">
        <v>1228</v>
      </c>
    </row>
    <row r="85" spans="1:5" ht="16.8">
      <c r="A85" s="241" t="s">
        <v>1229</v>
      </c>
      <c r="B85" s="240" t="s">
        <v>1230</v>
      </c>
      <c r="C85" s="241" t="s">
        <v>1184</v>
      </c>
      <c r="D85" s="240" t="s">
        <v>1231</v>
      </c>
      <c r="E85" s="240" t="s">
        <v>1232</v>
      </c>
    </row>
    <row r="86" spans="1:5" ht="16.8">
      <c r="A86" s="240" t="s">
        <v>1233</v>
      </c>
      <c r="C86" s="240" t="s">
        <v>1234</v>
      </c>
    </row>
    <row r="90" spans="1:5" ht="29.4">
      <c r="A90" s="308" t="s">
        <v>1235</v>
      </c>
      <c r="B90" s="308"/>
      <c r="C90" s="244"/>
      <c r="D90" s="244"/>
      <c r="E90" s="244"/>
    </row>
    <row r="91" spans="1:5" s="243" customFormat="1" ht="20.399999999999999">
      <c r="A91" s="242" t="s">
        <v>1236</v>
      </c>
      <c r="B91" s="242" t="s">
        <v>1128</v>
      </c>
      <c r="C91" s="242"/>
      <c r="D91" s="242"/>
      <c r="E91" s="242"/>
    </row>
    <row r="92" spans="1:5" ht="16.8">
      <c r="A92" s="240" t="s">
        <v>1237</v>
      </c>
      <c r="B92" s="240" t="s">
        <v>1238</v>
      </c>
    </row>
    <row r="93" spans="1:5" ht="16.8">
      <c r="A93" s="240" t="s">
        <v>1167</v>
      </c>
      <c r="B93" s="240" t="s">
        <v>1167</v>
      </c>
    </row>
    <row r="94" spans="1:5" ht="16.8">
      <c r="A94" s="241" t="s">
        <v>1239</v>
      </c>
      <c r="B94" s="241" t="s">
        <v>1239</v>
      </c>
    </row>
    <row r="95" spans="1:5" ht="16.8">
      <c r="A95" s="241" t="s">
        <v>1240</v>
      </c>
      <c r="B95" s="241" t="s">
        <v>1241</v>
      </c>
    </row>
    <row r="96" spans="1:5" ht="16.8">
      <c r="A96" s="240" t="s">
        <v>1242</v>
      </c>
      <c r="B96" s="240" t="s">
        <v>1243</v>
      </c>
    </row>
  </sheetData>
  <mergeCells count="5">
    <mergeCell ref="A79:E79"/>
    <mergeCell ref="A90:B90"/>
    <mergeCell ref="A2:E2"/>
    <mergeCell ref="A55:G55"/>
    <mergeCell ref="A67:E6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6B3B9-5BA1-4609-9A76-801178A8378B}">
  <dimension ref="A1:C9"/>
  <sheetViews>
    <sheetView workbookViewId="0">
      <selection activeCell="B2" sqref="B2"/>
    </sheetView>
  </sheetViews>
  <sheetFormatPr baseColWidth="10" defaultColWidth="11.44140625" defaultRowHeight="14.4"/>
  <cols>
    <col min="1" max="1" width="21.5546875" bestFit="1" customWidth="1"/>
    <col min="2" max="2" width="11.44140625" style="290"/>
    <col min="3" max="3" width="11.44140625" style="291"/>
  </cols>
  <sheetData>
    <row r="1" spans="1:3">
      <c r="A1" t="s">
        <v>1244</v>
      </c>
      <c r="B1" s="290" t="s">
        <v>1012</v>
      </c>
      <c r="C1" s="291" t="s">
        <v>1245</v>
      </c>
    </row>
    <row r="2" spans="1:3">
      <c r="A2" t="s">
        <v>1246</v>
      </c>
      <c r="B2" s="290">
        <v>46168</v>
      </c>
      <c r="C2" s="291">
        <v>0.64583333333333337</v>
      </c>
    </row>
    <row r="3" spans="1:3">
      <c r="A3" t="s">
        <v>1247</v>
      </c>
      <c r="B3" s="290">
        <v>46169</v>
      </c>
      <c r="C3" s="291">
        <v>0.5625</v>
      </c>
    </row>
    <row r="4" spans="1:3">
      <c r="A4" t="s">
        <v>1248</v>
      </c>
      <c r="B4" s="290">
        <v>46169</v>
      </c>
      <c r="C4" s="291">
        <v>0.64583333333333337</v>
      </c>
    </row>
    <row r="5" spans="1:3">
      <c r="A5" t="s">
        <v>1249</v>
      </c>
      <c r="B5" s="290">
        <v>46170</v>
      </c>
      <c r="C5" s="291">
        <v>0.5625</v>
      </c>
    </row>
    <row r="6" spans="1:3">
      <c r="A6" t="s">
        <v>1250</v>
      </c>
      <c r="B6" s="290">
        <v>46170</v>
      </c>
      <c r="C6" s="291">
        <v>0.64583333333333337</v>
      </c>
    </row>
    <row r="7" spans="1:3">
      <c r="A7" t="s">
        <v>1251</v>
      </c>
      <c r="B7" s="290">
        <v>46171</v>
      </c>
      <c r="C7" s="291">
        <v>0.5625</v>
      </c>
    </row>
    <row r="8" spans="1:3">
      <c r="A8" t="s">
        <v>1252</v>
      </c>
      <c r="B8" s="290">
        <v>46174</v>
      </c>
      <c r="C8" s="291">
        <v>0.375</v>
      </c>
    </row>
    <row r="9" spans="1:3">
      <c r="A9" t="s">
        <v>1253</v>
      </c>
      <c r="B9" s="290">
        <v>46174</v>
      </c>
      <c r="C9" s="291">
        <v>0.5625</v>
      </c>
    </row>
  </sheetData>
  <autoFilter ref="A1:C9" xr:uid="{FF26B3B9-5BA1-4609-9A76-801178A8378B}">
    <sortState xmlns:xlrd2="http://schemas.microsoft.com/office/spreadsheetml/2017/richdata2" ref="A2:C9">
      <sortCondition ref="B1:B9"/>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F5D3-402A-47A5-A2FC-0EC0275F0DAF}">
  <dimension ref="A3:E71"/>
  <sheetViews>
    <sheetView topLeftCell="A59" zoomScale="110" zoomScaleNormal="110" workbookViewId="0">
      <selection activeCell="A60" sqref="A60:A71"/>
    </sheetView>
  </sheetViews>
  <sheetFormatPr baseColWidth="10" defaultColWidth="9.109375" defaultRowHeight="14.4"/>
  <cols>
    <col min="1" max="1" width="29.6640625" bestFit="1" customWidth="1"/>
    <col min="2" max="2" width="47.33203125" bestFit="1" customWidth="1"/>
    <col min="3" max="3" width="255.6640625" bestFit="1" customWidth="1"/>
    <col min="4" max="4" width="44" bestFit="1" customWidth="1"/>
    <col min="5" max="5" width="198.33203125" bestFit="1" customWidth="1"/>
    <col min="6" max="6" width="29.6640625" bestFit="1" customWidth="1"/>
    <col min="7" max="7" width="45.44140625" bestFit="1" customWidth="1"/>
    <col min="9" max="9" width="44" bestFit="1" customWidth="1"/>
    <col min="16" max="16" width="47" bestFit="1" customWidth="1"/>
    <col min="18" max="18" width="193.109375" bestFit="1" customWidth="1"/>
  </cols>
  <sheetData>
    <row r="3" spans="3:5">
      <c r="C3" s="1" t="s">
        <v>1254</v>
      </c>
      <c r="E3" s="1" t="s">
        <v>1255</v>
      </c>
    </row>
    <row r="4" spans="3:5">
      <c r="C4" t="s">
        <v>1256</v>
      </c>
      <c r="E4" t="s">
        <v>1257</v>
      </c>
    </row>
    <row r="5" spans="3:5">
      <c r="C5" t="s">
        <v>1258</v>
      </c>
      <c r="E5" t="s">
        <v>1259</v>
      </c>
    </row>
    <row r="6" spans="3:5">
      <c r="C6" t="s">
        <v>1260</v>
      </c>
      <c r="E6" t="s">
        <v>1261</v>
      </c>
    </row>
    <row r="7" spans="3:5">
      <c r="C7" t="s">
        <v>1262</v>
      </c>
      <c r="E7" t="s">
        <v>1263</v>
      </c>
    </row>
    <row r="8" spans="3:5">
      <c r="C8" t="s">
        <v>1264</v>
      </c>
      <c r="E8" t="s">
        <v>1265</v>
      </c>
    </row>
    <row r="9" spans="3:5">
      <c r="C9" t="s">
        <v>1266</v>
      </c>
    </row>
    <row r="10" spans="3:5">
      <c r="C10" t="s">
        <v>1267</v>
      </c>
    </row>
    <row r="11" spans="3:5">
      <c r="C11" t="s">
        <v>1268</v>
      </c>
    </row>
    <row r="12" spans="3:5">
      <c r="C12" t="s">
        <v>1269</v>
      </c>
    </row>
    <row r="14" spans="3:5">
      <c r="C14" t="s">
        <v>1270</v>
      </c>
    </row>
    <row r="18" spans="3:3" ht="21">
      <c r="C18" s="224" t="s">
        <v>1271</v>
      </c>
    </row>
    <row r="19" spans="3:3" ht="18">
      <c r="C19" s="222" t="s">
        <v>1272</v>
      </c>
    </row>
    <row r="20" spans="3:3">
      <c r="C20" s="2"/>
    </row>
    <row r="21" spans="3:3">
      <c r="C21" s="2" t="s">
        <v>1273</v>
      </c>
    </row>
    <row r="22" spans="3:3">
      <c r="C22" s="3"/>
    </row>
    <row r="23" spans="3:3">
      <c r="C23" s="223" t="s">
        <v>1274</v>
      </c>
    </row>
    <row r="24" spans="3:3">
      <c r="C24" s="223" t="s">
        <v>1275</v>
      </c>
    </row>
    <row r="25" spans="3:3">
      <c r="C25" s="223" t="s">
        <v>1276</v>
      </c>
    </row>
    <row r="26" spans="3:3">
      <c r="C26" s="3" t="s">
        <v>1277</v>
      </c>
    </row>
    <row r="27" spans="3:3">
      <c r="C27" s="223" t="s">
        <v>1278</v>
      </c>
    </row>
    <row r="29" spans="3:3">
      <c r="C29" s="2" t="s">
        <v>1279</v>
      </c>
    </row>
    <row r="30" spans="3:3">
      <c r="C30" s="3" t="s">
        <v>1280</v>
      </c>
    </row>
    <row r="33" spans="3:3" ht="21">
      <c r="C33" s="224" t="s">
        <v>1281</v>
      </c>
    </row>
    <row r="34" spans="3:3" ht="18">
      <c r="C34" s="222" t="s">
        <v>1282</v>
      </c>
    </row>
    <row r="36" spans="3:3">
      <c r="C36" s="225" t="s">
        <v>1283</v>
      </c>
    </row>
    <row r="37" spans="3:3">
      <c r="C37" s="3"/>
    </row>
    <row r="38" spans="3:3">
      <c r="C38" s="223" t="s">
        <v>1284</v>
      </c>
    </row>
    <row r="39" spans="3:3">
      <c r="C39" s="226" t="s">
        <v>1285</v>
      </c>
    </row>
    <row r="41" spans="3:3">
      <c r="C41" s="3"/>
    </row>
    <row r="42" spans="3:3">
      <c r="C42" s="3"/>
    </row>
    <row r="43" spans="3:3">
      <c r="C43" s="227"/>
    </row>
    <row r="44" spans="3:3">
      <c r="C44" s="227"/>
    </row>
    <row r="45" spans="3:3">
      <c r="C45" s="227"/>
    </row>
    <row r="46" spans="3:3">
      <c r="C46" s="227"/>
    </row>
    <row r="47" spans="3:3">
      <c r="C47" s="227"/>
    </row>
    <row r="48" spans="3:3">
      <c r="C48" s="227"/>
    </row>
    <row r="49" spans="1:4">
      <c r="C49" s="227"/>
    </row>
    <row r="50" spans="1:4">
      <c r="C50" s="227"/>
    </row>
    <row r="51" spans="1:4">
      <c r="C51" s="227"/>
    </row>
    <row r="52" spans="1:4">
      <c r="C52" s="227"/>
    </row>
    <row r="58" spans="1:4">
      <c r="A58" s="129" t="s">
        <v>1286</v>
      </c>
    </row>
    <row r="59" spans="1:4" ht="21">
      <c r="A59" s="251" t="s">
        <v>1287</v>
      </c>
      <c r="B59" s="251"/>
      <c r="C59" s="251"/>
      <c r="D59" s="251"/>
    </row>
    <row r="60" spans="1:4" ht="15" customHeight="1" thickBot="1">
      <c r="A60" s="232" t="s">
        <v>1288</v>
      </c>
      <c r="B60" s="312" t="s">
        <v>1289</v>
      </c>
      <c r="C60" s="313"/>
      <c r="D60" s="236" t="s">
        <v>1290</v>
      </c>
    </row>
    <row r="61" spans="1:4" ht="15" thickBot="1">
      <c r="A61" s="234" t="s">
        <v>1291</v>
      </c>
      <c r="B61" s="310">
        <v>4</v>
      </c>
      <c r="C61" s="311"/>
      <c r="D61" s="229"/>
    </row>
    <row r="62" spans="1:4" ht="15" thickBot="1">
      <c r="A62" s="234" t="s">
        <v>1292</v>
      </c>
      <c r="B62" s="310">
        <v>47.68</v>
      </c>
      <c r="C62" s="311"/>
      <c r="D62" s="229">
        <v>11.92</v>
      </c>
    </row>
    <row r="63" spans="1:4" ht="15" thickBot="1">
      <c r="A63" s="233" t="s">
        <v>1293</v>
      </c>
      <c r="B63" s="310">
        <v>2</v>
      </c>
      <c r="C63" s="311"/>
      <c r="D63" s="230"/>
    </row>
    <row r="64" spans="1:4" ht="15" thickBot="1">
      <c r="A64" s="233" t="s">
        <v>1294</v>
      </c>
      <c r="B64" s="310">
        <v>23.84</v>
      </c>
      <c r="C64" s="311"/>
      <c r="D64" s="2">
        <v>11.92</v>
      </c>
    </row>
    <row r="65" spans="1:4" ht="15" thickBot="1">
      <c r="A65" s="234" t="s">
        <v>1295</v>
      </c>
      <c r="B65" s="310">
        <v>59.6</v>
      </c>
      <c r="C65" s="311"/>
      <c r="D65" s="2" t="s">
        <v>1296</v>
      </c>
    </row>
    <row r="66" spans="1:4" ht="15" thickBot="1">
      <c r="A66" s="231" t="s">
        <v>1297</v>
      </c>
      <c r="B66" s="235" t="s">
        <v>1298</v>
      </c>
      <c r="C66" s="131"/>
    </row>
    <row r="67" spans="1:4" ht="15" thickBot="1">
      <c r="A67" s="234" t="s">
        <v>1291</v>
      </c>
      <c r="B67" s="248">
        <v>4</v>
      </c>
      <c r="C67" s="249"/>
    </row>
    <row r="68" spans="1:4" ht="15" thickBot="1">
      <c r="A68" s="234" t="s">
        <v>1299</v>
      </c>
      <c r="B68" s="248">
        <f>B67*D70</f>
        <v>220</v>
      </c>
      <c r="C68" s="249"/>
    </row>
    <row r="69" spans="1:4" ht="15" thickBot="1">
      <c r="A69" s="234" t="s">
        <v>1293</v>
      </c>
      <c r="B69" s="248">
        <v>2</v>
      </c>
      <c r="C69" s="249"/>
    </row>
    <row r="70" spans="1:4" ht="15" thickBot="1">
      <c r="A70" s="234" t="s">
        <v>1294</v>
      </c>
      <c r="B70" s="248">
        <f>110</f>
        <v>110</v>
      </c>
      <c r="C70" s="249"/>
      <c r="D70">
        <f>B70/2</f>
        <v>55</v>
      </c>
    </row>
    <row r="71" spans="1:4">
      <c r="A71" s="234" t="s">
        <v>1295</v>
      </c>
      <c r="B71">
        <f>D70*5</f>
        <v>275</v>
      </c>
      <c r="D71" s="230" t="s">
        <v>1296</v>
      </c>
    </row>
  </sheetData>
  <mergeCells count="6">
    <mergeCell ref="B63:C63"/>
    <mergeCell ref="B64:C64"/>
    <mergeCell ref="B65:C65"/>
    <mergeCell ref="B60:C60"/>
    <mergeCell ref="B61:C61"/>
    <mergeCell ref="B62:C6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0719-A52C-44B3-A434-1E0B7FD2F4F7}">
  <dimension ref="A1:M18"/>
  <sheetViews>
    <sheetView topLeftCell="A3" zoomScale="80" zoomScaleNormal="80" workbookViewId="0">
      <selection activeCell="F9" sqref="F9"/>
    </sheetView>
  </sheetViews>
  <sheetFormatPr baseColWidth="10" defaultColWidth="255.5546875" defaultRowHeight="14.4"/>
  <cols>
    <col min="1" max="1" width="5" bestFit="1" customWidth="1"/>
    <col min="2" max="2" width="15.6640625" bestFit="1" customWidth="1"/>
    <col min="3" max="3" width="21.109375" bestFit="1" customWidth="1"/>
    <col min="4" max="4" width="21.5546875" bestFit="1" customWidth="1"/>
    <col min="5" max="5" width="17.109375" bestFit="1" customWidth="1"/>
    <col min="6" max="6" width="145" bestFit="1" customWidth="1"/>
    <col min="7" max="8" width="255.6640625" bestFit="1" customWidth="1"/>
    <col min="9" max="9" width="251.5546875" bestFit="1" customWidth="1"/>
    <col min="10" max="11" width="255.6640625" bestFit="1" customWidth="1"/>
    <col min="12" max="12" width="136.6640625" bestFit="1" customWidth="1"/>
    <col min="13" max="13" width="255.6640625" bestFit="1" customWidth="1"/>
  </cols>
  <sheetData>
    <row r="1" spans="1:13">
      <c r="A1" t="s">
        <v>1300</v>
      </c>
      <c r="B1" t="s">
        <v>1301</v>
      </c>
      <c r="C1" t="s">
        <v>1302</v>
      </c>
      <c r="D1" t="s">
        <v>1303</v>
      </c>
      <c r="E1" t="s">
        <v>1003</v>
      </c>
      <c r="F1" t="s">
        <v>1304</v>
      </c>
      <c r="G1" t="s">
        <v>1305</v>
      </c>
      <c r="H1" t="s">
        <v>1306</v>
      </c>
      <c r="I1" t="s">
        <v>1307</v>
      </c>
      <c r="J1" t="s">
        <v>1308</v>
      </c>
      <c r="K1" t="s">
        <v>1309</v>
      </c>
      <c r="L1" t="s">
        <v>1310</v>
      </c>
      <c r="M1" t="s">
        <v>1311</v>
      </c>
    </row>
    <row r="2" spans="1:13" ht="403.2">
      <c r="A2">
        <v>1</v>
      </c>
      <c r="B2" s="284">
        <v>46153.335127314815</v>
      </c>
      <c r="C2" s="284">
        <v>46153.454085648147</v>
      </c>
      <c r="D2" t="s">
        <v>1247</v>
      </c>
      <c r="E2" t="s">
        <v>1312</v>
      </c>
      <c r="F2" t="s">
        <v>1313</v>
      </c>
      <c r="G2" s="150" t="s">
        <v>1314</v>
      </c>
      <c r="H2" s="150" t="s">
        <v>1315</v>
      </c>
      <c r="I2" s="150" t="s">
        <v>1316</v>
      </c>
      <c r="J2" s="150" t="s">
        <v>1317</v>
      </c>
      <c r="K2" s="150" t="s">
        <v>1318</v>
      </c>
      <c r="L2" s="150" t="s">
        <v>1319</v>
      </c>
    </row>
    <row r="3" spans="1:13" ht="216">
      <c r="A3">
        <v>2</v>
      </c>
      <c r="B3" s="284">
        <v>46153.470335648148</v>
      </c>
      <c r="C3" s="284">
        <v>46153.481423611112</v>
      </c>
      <c r="D3" t="s">
        <v>1247</v>
      </c>
      <c r="E3" t="s">
        <v>1320</v>
      </c>
      <c r="F3" t="s">
        <v>1321</v>
      </c>
      <c r="G3" s="150" t="s">
        <v>1322</v>
      </c>
      <c r="H3" s="150" t="s">
        <v>1323</v>
      </c>
      <c r="I3" s="150" t="s">
        <v>1324</v>
      </c>
      <c r="J3" s="150" t="s">
        <v>1325</v>
      </c>
      <c r="K3" s="150" t="s">
        <v>1326</v>
      </c>
      <c r="L3" s="150" t="s">
        <v>1327</v>
      </c>
    </row>
    <row r="4" spans="1:13" ht="100.8">
      <c r="A4">
        <v>3</v>
      </c>
      <c r="B4" s="284">
        <v>46153.517962963</v>
      </c>
      <c r="C4" s="284">
        <v>46153.645972222199</v>
      </c>
      <c r="D4" s="285" t="s">
        <v>1248</v>
      </c>
      <c r="E4" s="285" t="s">
        <v>1328</v>
      </c>
      <c r="F4" s="285" t="s">
        <v>1329</v>
      </c>
      <c r="G4" s="286" t="s">
        <v>1330</v>
      </c>
      <c r="H4" s="286" t="s">
        <v>1331</v>
      </c>
      <c r="I4" s="286" t="s">
        <v>1332</v>
      </c>
      <c r="J4" s="286" t="s">
        <v>1333</v>
      </c>
      <c r="K4" s="286" t="s">
        <v>1334</v>
      </c>
      <c r="L4" s="286" t="s">
        <v>1335</v>
      </c>
      <c r="M4" s="285" t="s">
        <v>1336</v>
      </c>
    </row>
    <row r="5" spans="1:13" ht="144">
      <c r="A5">
        <v>4</v>
      </c>
      <c r="B5" s="284">
        <v>46153.676388888904</v>
      </c>
      <c r="C5" s="284">
        <v>46153.691990740699</v>
      </c>
      <c r="D5" s="285" t="s">
        <v>1247</v>
      </c>
      <c r="E5" s="285" t="s">
        <v>1337</v>
      </c>
      <c r="F5" s="285" t="s">
        <v>1338</v>
      </c>
      <c r="G5" s="286" t="s">
        <v>1339</v>
      </c>
      <c r="H5" s="286" t="s">
        <v>1340</v>
      </c>
      <c r="I5" s="286" t="s">
        <v>1341</v>
      </c>
      <c r="J5" s="286" t="s">
        <v>1342</v>
      </c>
      <c r="K5" s="286" t="s">
        <v>1343</v>
      </c>
      <c r="L5" s="286" t="s">
        <v>1344</v>
      </c>
      <c r="M5" s="285"/>
    </row>
    <row r="6" spans="1:13" ht="100.8">
      <c r="A6">
        <v>5</v>
      </c>
      <c r="B6" s="284">
        <v>46153.646712962996</v>
      </c>
      <c r="C6" s="284">
        <v>46153.712326388901</v>
      </c>
      <c r="D6" s="285" t="s">
        <v>1248</v>
      </c>
      <c r="E6" s="285" t="s">
        <v>1345</v>
      </c>
      <c r="F6" s="285" t="s">
        <v>1346</v>
      </c>
      <c r="G6" s="286" t="s">
        <v>1347</v>
      </c>
      <c r="H6" s="286" t="s">
        <v>1348</v>
      </c>
      <c r="I6" s="286" t="s">
        <v>1349</v>
      </c>
      <c r="J6" s="286" t="s">
        <v>1350</v>
      </c>
      <c r="K6" s="286" t="s">
        <v>1334</v>
      </c>
      <c r="L6" s="286" t="s">
        <v>1351</v>
      </c>
      <c r="M6" s="285" t="s">
        <v>1352</v>
      </c>
    </row>
    <row r="7" spans="1:13" ht="28.8">
      <c r="A7">
        <v>6</v>
      </c>
      <c r="B7" s="284">
        <v>46153.721863425897</v>
      </c>
      <c r="C7" s="284">
        <v>46153.7371643519</v>
      </c>
      <c r="D7" s="285" t="s">
        <v>1253</v>
      </c>
      <c r="E7" s="285" t="s">
        <v>1353</v>
      </c>
      <c r="F7" s="285" t="s">
        <v>1354</v>
      </c>
      <c r="G7" s="286" t="s">
        <v>1355</v>
      </c>
      <c r="H7" s="286" t="s">
        <v>1356</v>
      </c>
      <c r="I7" s="286" t="s">
        <v>1357</v>
      </c>
      <c r="J7" s="286" t="s">
        <v>1358</v>
      </c>
      <c r="K7" s="286" t="s">
        <v>1359</v>
      </c>
      <c r="L7" s="286" t="s">
        <v>1360</v>
      </c>
      <c r="M7" s="285" t="s">
        <v>1361</v>
      </c>
    </row>
    <row r="8" spans="1:13">
      <c r="A8">
        <v>17</v>
      </c>
      <c r="B8" s="284">
        <v>46154.538541666669</v>
      </c>
      <c r="C8" s="284">
        <v>46154.554560185185</v>
      </c>
      <c r="D8" t="s">
        <v>1249</v>
      </c>
      <c r="E8" t="s">
        <v>1362</v>
      </c>
      <c r="F8" t="s">
        <v>1362</v>
      </c>
      <c r="G8" t="s">
        <v>1363</v>
      </c>
      <c r="H8" t="s">
        <v>1364</v>
      </c>
      <c r="I8" t="s">
        <v>1365</v>
      </c>
      <c r="J8" t="s">
        <v>1366</v>
      </c>
      <c r="K8" t="s">
        <v>1367</v>
      </c>
      <c r="L8" t="s">
        <v>1368</v>
      </c>
    </row>
    <row r="9" spans="1:13" ht="129.6">
      <c r="A9">
        <v>7</v>
      </c>
      <c r="B9" s="284">
        <v>46153.747789351903</v>
      </c>
      <c r="C9" s="284">
        <v>46154.460601851897</v>
      </c>
      <c r="D9" s="285" t="s">
        <v>1246</v>
      </c>
      <c r="E9" s="285" t="s">
        <v>1369</v>
      </c>
      <c r="F9" s="285" t="s">
        <v>1370</v>
      </c>
      <c r="G9" s="286" t="s">
        <v>1371</v>
      </c>
      <c r="H9" s="286" t="s">
        <v>1372</v>
      </c>
      <c r="I9" s="286" t="s">
        <v>1373</v>
      </c>
      <c r="J9" s="286" t="s">
        <v>1374</v>
      </c>
      <c r="K9" s="286" t="s">
        <v>1375</v>
      </c>
      <c r="L9" s="286" t="s">
        <v>1376</v>
      </c>
      <c r="M9" s="285"/>
    </row>
    <row r="10" spans="1:13" ht="43.2">
      <c r="A10">
        <v>8</v>
      </c>
      <c r="B10" s="284">
        <v>46154.512442129599</v>
      </c>
      <c r="C10" s="284">
        <v>46154.5223148148</v>
      </c>
      <c r="D10" s="285" t="s">
        <v>1251</v>
      </c>
      <c r="E10" s="285" t="s">
        <v>1377</v>
      </c>
      <c r="F10" s="285" t="s">
        <v>1378</v>
      </c>
      <c r="G10" s="286" t="s">
        <v>1379</v>
      </c>
      <c r="H10" s="286" t="s">
        <v>1380</v>
      </c>
      <c r="I10" s="286" t="s">
        <v>1381</v>
      </c>
      <c r="J10" s="286" t="s">
        <v>1382</v>
      </c>
      <c r="K10" s="286" t="s">
        <v>1351</v>
      </c>
      <c r="L10" s="286" t="s">
        <v>1351</v>
      </c>
      <c r="M10" s="285"/>
    </row>
    <row r="11" spans="1:13" ht="28.8">
      <c r="A11">
        <v>9</v>
      </c>
      <c r="B11" s="284">
        <v>46154.522349537001</v>
      </c>
      <c r="C11" s="284">
        <v>46154.527581018498</v>
      </c>
      <c r="D11" s="285" t="s">
        <v>1251</v>
      </c>
      <c r="E11" s="285" t="s">
        <v>1383</v>
      </c>
      <c r="F11" s="285" t="s">
        <v>1384</v>
      </c>
      <c r="G11" s="286" t="s">
        <v>1385</v>
      </c>
      <c r="H11" s="286" t="s">
        <v>1386</v>
      </c>
      <c r="I11" s="286" t="s">
        <v>1387</v>
      </c>
      <c r="J11" s="286" t="s">
        <v>1388</v>
      </c>
      <c r="K11" s="286" t="s">
        <v>1389</v>
      </c>
      <c r="L11" s="286" t="s">
        <v>1351</v>
      </c>
      <c r="M11" s="285"/>
    </row>
    <row r="12" spans="1:13" ht="28.8">
      <c r="A12">
        <v>10</v>
      </c>
      <c r="B12" s="284">
        <v>46154.572303240697</v>
      </c>
      <c r="C12" s="284">
        <v>46154.681250000001</v>
      </c>
      <c r="D12" s="285" t="s">
        <v>1248</v>
      </c>
      <c r="E12" s="285" t="s">
        <v>1390</v>
      </c>
      <c r="F12" s="285" t="s">
        <v>1391</v>
      </c>
      <c r="G12" s="286" t="s">
        <v>1392</v>
      </c>
      <c r="H12" s="286" t="s">
        <v>1393</v>
      </c>
      <c r="I12" s="286" t="s">
        <v>1394</v>
      </c>
      <c r="J12" s="286" t="s">
        <v>1395</v>
      </c>
      <c r="K12" s="286" t="s">
        <v>1334</v>
      </c>
      <c r="L12" s="286" t="s">
        <v>1334</v>
      </c>
      <c r="M12" s="285" t="s">
        <v>1396</v>
      </c>
    </row>
    <row r="13" spans="1:13" ht="28.8">
      <c r="A13">
        <v>11</v>
      </c>
      <c r="B13" s="284">
        <v>46154.674861111103</v>
      </c>
      <c r="C13" s="284">
        <v>46154.681469907402</v>
      </c>
      <c r="D13" s="285" t="s">
        <v>1250</v>
      </c>
      <c r="E13" s="285" t="s">
        <v>1397</v>
      </c>
      <c r="F13" s="285" t="s">
        <v>1398</v>
      </c>
      <c r="G13" s="286" t="s">
        <v>1399</v>
      </c>
      <c r="H13" s="286" t="s">
        <v>1400</v>
      </c>
      <c r="I13" s="286" t="s">
        <v>1401</v>
      </c>
      <c r="J13" s="286" t="s">
        <v>1402</v>
      </c>
      <c r="K13" s="286" t="s">
        <v>1403</v>
      </c>
      <c r="L13" s="286" t="s">
        <v>1403</v>
      </c>
      <c r="M13" s="285"/>
    </row>
    <row r="14" spans="1:13">
      <c r="A14">
        <v>12</v>
      </c>
      <c r="B14" s="284">
        <v>46154.681516203702</v>
      </c>
      <c r="C14" s="284">
        <v>46154.684687499997</v>
      </c>
      <c r="D14" s="285" t="s">
        <v>1250</v>
      </c>
      <c r="E14" s="285" t="s">
        <v>1404</v>
      </c>
      <c r="F14" s="285" t="s">
        <v>1405</v>
      </c>
      <c r="G14" s="286" t="s">
        <v>1406</v>
      </c>
      <c r="H14" s="286" t="s">
        <v>1407</v>
      </c>
      <c r="I14" s="286" t="s">
        <v>1408</v>
      </c>
      <c r="J14" s="286" t="s">
        <v>1409</v>
      </c>
      <c r="K14" s="286" t="s">
        <v>1410</v>
      </c>
      <c r="L14" s="286" t="s">
        <v>1410</v>
      </c>
      <c r="M14" s="285"/>
    </row>
    <row r="15" spans="1:13">
      <c r="A15">
        <v>13</v>
      </c>
      <c r="B15" s="284">
        <v>46154.697812500002</v>
      </c>
      <c r="C15" s="284">
        <v>46154.700706018499</v>
      </c>
      <c r="D15" s="285" t="s">
        <v>1250</v>
      </c>
      <c r="E15" s="285" t="s">
        <v>1411</v>
      </c>
      <c r="F15" s="285" t="s">
        <v>1412</v>
      </c>
      <c r="G15" s="286" t="s">
        <v>1413</v>
      </c>
      <c r="H15" s="286" t="s">
        <v>1414</v>
      </c>
      <c r="I15" s="286" t="s">
        <v>1415</v>
      </c>
      <c r="J15" s="286" t="s">
        <v>1416</v>
      </c>
      <c r="K15" s="286" t="s">
        <v>1417</v>
      </c>
      <c r="L15" s="286" t="s">
        <v>1418</v>
      </c>
      <c r="M15" s="285"/>
    </row>
    <row r="16" spans="1:13" ht="43.2">
      <c r="A16">
        <v>14</v>
      </c>
      <c r="B16" s="284">
        <v>46154.6949537037</v>
      </c>
      <c r="C16" s="284">
        <v>46154.703020833302</v>
      </c>
      <c r="D16" s="285" t="s">
        <v>1248</v>
      </c>
      <c r="E16" s="285" t="s">
        <v>1419</v>
      </c>
      <c r="F16" s="285" t="s">
        <v>1420</v>
      </c>
      <c r="G16" s="286" t="s">
        <v>1421</v>
      </c>
      <c r="H16" s="286" t="s">
        <v>1422</v>
      </c>
      <c r="I16" s="286" t="s">
        <v>1423</v>
      </c>
      <c r="J16" s="286" t="s">
        <v>1424</v>
      </c>
      <c r="K16" s="286" t="s">
        <v>1425</v>
      </c>
      <c r="L16" s="286" t="s">
        <v>1334</v>
      </c>
      <c r="M16" s="285" t="s">
        <v>1426</v>
      </c>
    </row>
    <row r="17" spans="1:13">
      <c r="A17">
        <v>15</v>
      </c>
      <c r="B17" s="284">
        <v>46154.700960648101</v>
      </c>
      <c r="C17" s="284">
        <v>46154.703819444403</v>
      </c>
      <c r="D17" s="285" t="s">
        <v>1250</v>
      </c>
      <c r="E17" s="285" t="s">
        <v>1427</v>
      </c>
      <c r="F17" s="285" t="s">
        <v>1428</v>
      </c>
      <c r="G17" s="286" t="s">
        <v>1429</v>
      </c>
      <c r="H17" s="286" t="s">
        <v>1430</v>
      </c>
      <c r="I17" s="286" t="s">
        <v>1431</v>
      </c>
      <c r="J17" s="286" t="s">
        <v>1432</v>
      </c>
      <c r="K17" s="286" t="s">
        <v>1351</v>
      </c>
      <c r="L17" s="286" t="s">
        <v>1351</v>
      </c>
      <c r="M17" s="285"/>
    </row>
    <row r="18" spans="1:13" ht="28.8">
      <c r="A18">
        <v>16</v>
      </c>
      <c r="B18" s="284">
        <v>46160.583321759303</v>
      </c>
      <c r="C18" s="284">
        <v>46160.588599536997</v>
      </c>
      <c r="D18" s="285" t="s">
        <v>1433</v>
      </c>
      <c r="E18" s="285" t="s">
        <v>1434</v>
      </c>
      <c r="F18" s="285" t="s">
        <v>1434</v>
      </c>
      <c r="G18" s="286" t="s">
        <v>1435</v>
      </c>
      <c r="H18" s="286" t="s">
        <v>1436</v>
      </c>
      <c r="I18" s="286" t="s">
        <v>1437</v>
      </c>
      <c r="J18" s="286" t="s">
        <v>1438</v>
      </c>
      <c r="K18" s="286" t="s">
        <v>1439</v>
      </c>
      <c r="L18" s="286" t="s">
        <v>1440</v>
      </c>
      <c r="M18" s="285"/>
    </row>
  </sheetData>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93727-456F-436B-BDCC-DC6CB129D701}">
  <dimension ref="A1:M18"/>
  <sheetViews>
    <sheetView zoomScaleNormal="100" workbookViewId="0">
      <selection activeCell="D5" sqref="D5"/>
    </sheetView>
  </sheetViews>
  <sheetFormatPr baseColWidth="10" defaultColWidth="18.44140625" defaultRowHeight="14.4"/>
  <cols>
    <col min="1" max="1" width="16.44140625" bestFit="1" customWidth="1"/>
    <col min="2" max="2" width="44.109375" customWidth="1"/>
    <col min="4" max="4" width="29.109375" bestFit="1" customWidth="1"/>
    <col min="5" max="5" width="25.5546875" bestFit="1" customWidth="1"/>
    <col min="6" max="6" width="36.6640625" bestFit="1" customWidth="1"/>
    <col min="7" max="7" width="31.33203125" customWidth="1"/>
    <col min="8" max="8" width="28.33203125" bestFit="1" customWidth="1"/>
    <col min="9" max="9" width="36" bestFit="1" customWidth="1"/>
    <col min="10" max="10" width="22.6640625" bestFit="1" customWidth="1"/>
    <col min="11" max="11" width="41.88671875" bestFit="1" customWidth="1"/>
    <col min="12" max="12" width="32.88671875" bestFit="1" customWidth="1"/>
    <col min="13" max="13" width="38.6640625" bestFit="1" customWidth="1"/>
  </cols>
  <sheetData>
    <row r="1" spans="1:13">
      <c r="A1" s="287" t="s">
        <v>1003</v>
      </c>
      <c r="B1" s="287" t="s">
        <v>1441</v>
      </c>
      <c r="C1" s="287" t="s">
        <v>1442</v>
      </c>
      <c r="D1" s="287" t="s">
        <v>1443</v>
      </c>
      <c r="E1" s="287" t="s">
        <v>1444</v>
      </c>
      <c r="F1" s="287" t="s">
        <v>1445</v>
      </c>
      <c r="G1" s="287" t="s">
        <v>1446</v>
      </c>
      <c r="H1" s="287" t="s">
        <v>1447</v>
      </c>
      <c r="I1" s="287" t="s">
        <v>1448</v>
      </c>
      <c r="J1" s="287" t="s">
        <v>1449</v>
      </c>
      <c r="K1" s="287" t="s">
        <v>1450</v>
      </c>
      <c r="L1" s="287" t="s">
        <v>1451</v>
      </c>
      <c r="M1" s="287" t="s">
        <v>1452</v>
      </c>
    </row>
    <row r="2" spans="1:13" ht="43.2">
      <c r="A2" s="288" t="s">
        <v>1312</v>
      </c>
      <c r="B2" s="288" t="s">
        <v>1313</v>
      </c>
      <c r="C2" s="288" t="s">
        <v>1453</v>
      </c>
      <c r="D2" s="288" t="s">
        <v>1454</v>
      </c>
      <c r="E2" s="288"/>
      <c r="F2" s="288" t="s">
        <v>1455</v>
      </c>
      <c r="G2" s="288" t="s">
        <v>1456</v>
      </c>
      <c r="H2" s="288" t="s">
        <v>1457</v>
      </c>
      <c r="I2" s="288" t="s">
        <v>1458</v>
      </c>
      <c r="J2" s="288" t="s">
        <v>1459</v>
      </c>
      <c r="K2" s="288" t="s">
        <v>1460</v>
      </c>
      <c r="L2" s="288" t="s">
        <v>1461</v>
      </c>
      <c r="M2" s="288"/>
    </row>
    <row r="3" spans="1:13" ht="43.2">
      <c r="A3" s="289" t="s">
        <v>1320</v>
      </c>
      <c r="B3" s="289" t="s">
        <v>1321</v>
      </c>
      <c r="C3" s="289" t="s">
        <v>1453</v>
      </c>
      <c r="D3" s="289" t="s">
        <v>1454</v>
      </c>
      <c r="E3" s="289"/>
      <c r="F3" s="289" t="s">
        <v>1455</v>
      </c>
      <c r="G3" s="289" t="s">
        <v>1456</v>
      </c>
      <c r="H3" s="289" t="s">
        <v>1457</v>
      </c>
      <c r="I3" s="289" t="s">
        <v>1458</v>
      </c>
      <c r="J3" s="289" t="s">
        <v>1459</v>
      </c>
      <c r="K3" s="289" t="s">
        <v>1462</v>
      </c>
      <c r="L3" s="289" t="s">
        <v>1461</v>
      </c>
      <c r="M3" s="289"/>
    </row>
    <row r="4" spans="1:13" ht="28.8">
      <c r="A4" s="288" t="s">
        <v>1328</v>
      </c>
      <c r="B4" s="288" t="s">
        <v>1329</v>
      </c>
      <c r="C4" s="288" t="s">
        <v>1463</v>
      </c>
      <c r="D4" s="288" t="s">
        <v>1464</v>
      </c>
      <c r="E4" s="288"/>
      <c r="F4" s="288" t="s">
        <v>1455</v>
      </c>
      <c r="G4" s="288" t="s">
        <v>1465</v>
      </c>
      <c r="H4" s="288" t="s">
        <v>1466</v>
      </c>
      <c r="I4" s="288" t="s">
        <v>1467</v>
      </c>
      <c r="J4" s="288" t="s">
        <v>1468</v>
      </c>
      <c r="K4" s="288" t="s">
        <v>1469</v>
      </c>
      <c r="L4" s="288" t="s">
        <v>1470</v>
      </c>
      <c r="M4" s="288"/>
    </row>
    <row r="5" spans="1:13" ht="28.8">
      <c r="A5" s="289" t="s">
        <v>1337</v>
      </c>
      <c r="B5" s="289" t="s">
        <v>1338</v>
      </c>
      <c r="C5" s="289" t="s">
        <v>1471</v>
      </c>
      <c r="D5" s="289" t="s">
        <v>1472</v>
      </c>
      <c r="E5" s="289">
        <v>15</v>
      </c>
      <c r="F5" s="289" t="s">
        <v>1473</v>
      </c>
      <c r="G5" s="289" t="s">
        <v>1471</v>
      </c>
      <c r="H5" s="289" t="s">
        <v>1474</v>
      </c>
      <c r="I5" s="289"/>
      <c r="J5" s="289" t="s">
        <v>1459</v>
      </c>
      <c r="K5" s="289" t="s">
        <v>1475</v>
      </c>
      <c r="L5" s="289" t="s">
        <v>1476</v>
      </c>
      <c r="M5" s="289"/>
    </row>
    <row r="6" spans="1:13" ht="28.8">
      <c r="A6" s="288" t="s">
        <v>1345</v>
      </c>
      <c r="B6" s="288" t="s">
        <v>1346</v>
      </c>
      <c r="C6" s="288" t="s">
        <v>1477</v>
      </c>
      <c r="D6" s="288" t="s">
        <v>1478</v>
      </c>
      <c r="E6" s="288"/>
      <c r="F6" s="288" t="s">
        <v>1479</v>
      </c>
      <c r="G6" s="288" t="s">
        <v>1480</v>
      </c>
      <c r="H6" s="288" t="s">
        <v>1481</v>
      </c>
      <c r="I6" s="288" t="s">
        <v>1482</v>
      </c>
      <c r="J6" s="288" t="s">
        <v>1468</v>
      </c>
      <c r="K6" s="288" t="s">
        <v>1469</v>
      </c>
      <c r="L6" s="288" t="s">
        <v>1483</v>
      </c>
      <c r="M6" s="288"/>
    </row>
    <row r="7" spans="1:13" ht="28.8">
      <c r="A7" s="289" t="s">
        <v>1353</v>
      </c>
      <c r="B7" s="289" t="s">
        <v>1354</v>
      </c>
      <c r="C7" s="289" t="s">
        <v>1484</v>
      </c>
      <c r="D7" s="289" t="s">
        <v>1485</v>
      </c>
      <c r="E7" s="289"/>
      <c r="F7" s="289" t="s">
        <v>1473</v>
      </c>
      <c r="G7" s="289" t="s">
        <v>1486</v>
      </c>
      <c r="H7" s="289" t="s">
        <v>1487</v>
      </c>
      <c r="I7" s="289"/>
      <c r="J7" s="289" t="s">
        <v>1459</v>
      </c>
      <c r="K7" s="289" t="s">
        <v>1488</v>
      </c>
      <c r="L7" s="289" t="s">
        <v>1489</v>
      </c>
      <c r="M7" s="289"/>
    </row>
    <row r="8" spans="1:13" ht="43.2">
      <c r="A8" s="288" t="s">
        <v>1362</v>
      </c>
      <c r="B8" s="288" t="s">
        <v>1362</v>
      </c>
      <c r="C8" s="288" t="s">
        <v>1490</v>
      </c>
      <c r="D8" s="288" t="s">
        <v>1491</v>
      </c>
      <c r="E8" s="288"/>
      <c r="F8" s="288" t="s">
        <v>1492</v>
      </c>
      <c r="G8" s="288" t="s">
        <v>1493</v>
      </c>
      <c r="H8" s="288" t="s">
        <v>1494</v>
      </c>
      <c r="I8" s="288" t="s">
        <v>1495</v>
      </c>
      <c r="J8" s="288" t="s">
        <v>1496</v>
      </c>
      <c r="K8" s="288" t="s">
        <v>1497</v>
      </c>
      <c r="L8" s="288" t="s">
        <v>1498</v>
      </c>
      <c r="M8" s="288"/>
    </row>
    <row r="9" spans="1:13" ht="86.4">
      <c r="A9" s="289" t="s">
        <v>1369</v>
      </c>
      <c r="B9" s="289" t="s">
        <v>1370</v>
      </c>
      <c r="C9" s="289" t="s">
        <v>1499</v>
      </c>
      <c r="D9" s="289" t="s">
        <v>1500</v>
      </c>
      <c r="E9" s="289">
        <v>11.92</v>
      </c>
      <c r="F9" s="289" t="s">
        <v>1501</v>
      </c>
      <c r="G9" s="289" t="s">
        <v>1502</v>
      </c>
      <c r="H9" s="289" t="s">
        <v>1503</v>
      </c>
      <c r="I9" s="289"/>
      <c r="J9" s="289" t="s">
        <v>1459</v>
      </c>
      <c r="K9" s="289" t="s">
        <v>1504</v>
      </c>
      <c r="L9" s="289" t="s">
        <v>1505</v>
      </c>
      <c r="M9" s="289" t="s">
        <v>1506</v>
      </c>
    </row>
    <row r="10" spans="1:13" ht="28.8">
      <c r="A10" s="288" t="s">
        <v>1377</v>
      </c>
      <c r="B10" s="288" t="s">
        <v>1378</v>
      </c>
      <c r="C10" s="288" t="s">
        <v>1507</v>
      </c>
      <c r="D10" s="288" t="s">
        <v>1508</v>
      </c>
      <c r="E10" s="288"/>
      <c r="F10" s="288" t="s">
        <v>1455</v>
      </c>
      <c r="G10" s="288" t="s">
        <v>1509</v>
      </c>
      <c r="H10" s="288" t="s">
        <v>1510</v>
      </c>
      <c r="I10" s="288" t="s">
        <v>1467</v>
      </c>
      <c r="J10" s="288" t="s">
        <v>1511</v>
      </c>
      <c r="K10" s="288" t="s">
        <v>1512</v>
      </c>
      <c r="L10" s="288"/>
      <c r="M10" s="288"/>
    </row>
    <row r="11" spans="1:13" ht="28.8">
      <c r="A11" s="289" t="s">
        <v>1383</v>
      </c>
      <c r="B11" s="289" t="s">
        <v>1383</v>
      </c>
      <c r="C11" s="289" t="s">
        <v>1513</v>
      </c>
      <c r="D11" s="289" t="s">
        <v>1514</v>
      </c>
      <c r="E11" s="289"/>
      <c r="F11" s="289" t="s">
        <v>1455</v>
      </c>
      <c r="G11" s="289" t="s">
        <v>1453</v>
      </c>
      <c r="H11" s="289" t="s">
        <v>1515</v>
      </c>
      <c r="I11" s="289" t="s">
        <v>1458</v>
      </c>
      <c r="J11" s="289" t="s">
        <v>1511</v>
      </c>
      <c r="K11" s="289" t="s">
        <v>1516</v>
      </c>
      <c r="L11" s="289"/>
      <c r="M11" s="289" t="s">
        <v>1517</v>
      </c>
    </row>
    <row r="12" spans="1:13" ht="28.8">
      <c r="A12" s="288" t="s">
        <v>1390</v>
      </c>
      <c r="B12" s="288" t="s">
        <v>1391</v>
      </c>
      <c r="C12" s="288" t="s">
        <v>1509</v>
      </c>
      <c r="D12" s="288" t="s">
        <v>1518</v>
      </c>
      <c r="E12" s="288"/>
      <c r="F12" s="288" t="s">
        <v>1479</v>
      </c>
      <c r="G12" s="288" t="s">
        <v>1480</v>
      </c>
      <c r="H12" s="288" t="s">
        <v>1481</v>
      </c>
      <c r="I12" s="288" t="s">
        <v>1482</v>
      </c>
      <c r="J12" s="288" t="s">
        <v>1459</v>
      </c>
      <c r="K12" s="288" t="s">
        <v>1519</v>
      </c>
      <c r="L12" s="288" t="s">
        <v>1520</v>
      </c>
      <c r="M12" s="288" t="s">
        <v>1517</v>
      </c>
    </row>
    <row r="13" spans="1:13" ht="28.8">
      <c r="A13" s="289" t="s">
        <v>1397</v>
      </c>
      <c r="B13" s="289" t="s">
        <v>1398</v>
      </c>
      <c r="C13" s="289" t="s">
        <v>1521</v>
      </c>
      <c r="D13" s="289" t="s">
        <v>1522</v>
      </c>
      <c r="E13" s="289"/>
      <c r="F13" s="289" t="s">
        <v>1455</v>
      </c>
      <c r="G13" s="289" t="s">
        <v>1523</v>
      </c>
      <c r="H13" s="289" t="s">
        <v>1524</v>
      </c>
      <c r="I13" s="289" t="s">
        <v>1458</v>
      </c>
      <c r="J13" s="289" t="s">
        <v>1511</v>
      </c>
      <c r="K13" s="289" t="s">
        <v>1516</v>
      </c>
      <c r="L13" s="289"/>
      <c r="M13" s="289" t="s">
        <v>1517</v>
      </c>
    </row>
    <row r="14" spans="1:13" ht="28.8">
      <c r="A14" s="288" t="s">
        <v>1404</v>
      </c>
      <c r="B14" s="288" t="s">
        <v>1405</v>
      </c>
      <c r="C14" s="288" t="s">
        <v>1525</v>
      </c>
      <c r="D14" s="288" t="s">
        <v>1526</v>
      </c>
      <c r="E14" s="288"/>
      <c r="F14" s="288"/>
      <c r="G14" s="288" t="s">
        <v>1509</v>
      </c>
      <c r="H14" s="288" t="s">
        <v>1510</v>
      </c>
      <c r="I14" s="288" t="s">
        <v>1467</v>
      </c>
      <c r="J14" s="288" t="s">
        <v>1459</v>
      </c>
      <c r="K14" s="288" t="s">
        <v>1516</v>
      </c>
      <c r="L14" s="288"/>
      <c r="M14" s="288" t="s">
        <v>1517</v>
      </c>
    </row>
    <row r="15" spans="1:13" ht="43.2">
      <c r="A15" s="289" t="s">
        <v>1411</v>
      </c>
      <c r="B15" s="289" t="s">
        <v>1412</v>
      </c>
      <c r="C15" s="289" t="s">
        <v>1490</v>
      </c>
      <c r="D15" s="289" t="s">
        <v>1491</v>
      </c>
      <c r="E15" s="289"/>
      <c r="F15" s="289" t="s">
        <v>1492</v>
      </c>
      <c r="G15" s="289" t="s">
        <v>1509</v>
      </c>
      <c r="H15" s="289" t="s">
        <v>1510</v>
      </c>
      <c r="I15" s="289" t="s">
        <v>1467</v>
      </c>
      <c r="J15" s="289" t="s">
        <v>1468</v>
      </c>
      <c r="K15" s="289" t="s">
        <v>1516</v>
      </c>
      <c r="L15" s="289"/>
      <c r="M15" s="289" t="s">
        <v>1517</v>
      </c>
    </row>
    <row r="16" spans="1:13" ht="43.2">
      <c r="A16" s="288" t="s">
        <v>1419</v>
      </c>
      <c r="B16" s="288" t="s">
        <v>1420</v>
      </c>
      <c r="C16" s="288" t="s">
        <v>1527</v>
      </c>
      <c r="D16" s="288" t="s">
        <v>1528</v>
      </c>
      <c r="E16" s="288"/>
      <c r="F16" s="288" t="s">
        <v>1492</v>
      </c>
      <c r="G16" s="288" t="s">
        <v>1480</v>
      </c>
      <c r="H16" s="288" t="s">
        <v>1481</v>
      </c>
      <c r="I16" s="288" t="s">
        <v>1482</v>
      </c>
      <c r="J16" s="288" t="s">
        <v>1459</v>
      </c>
      <c r="K16" s="288" t="s">
        <v>1529</v>
      </c>
      <c r="L16" s="288" t="s">
        <v>1520</v>
      </c>
      <c r="M16" s="288"/>
    </row>
    <row r="17" spans="1:13" ht="43.2">
      <c r="A17" s="289" t="s">
        <v>1427</v>
      </c>
      <c r="B17" s="289" t="s">
        <v>1428</v>
      </c>
      <c r="C17" s="289" t="s">
        <v>1499</v>
      </c>
      <c r="D17" s="289" t="s">
        <v>1500</v>
      </c>
      <c r="E17" s="289"/>
      <c r="F17" s="289" t="s">
        <v>1492</v>
      </c>
      <c r="G17" s="289" t="s">
        <v>1530</v>
      </c>
      <c r="H17" s="289" t="s">
        <v>1531</v>
      </c>
      <c r="I17" s="289" t="s">
        <v>1495</v>
      </c>
      <c r="J17" s="289" t="s">
        <v>1496</v>
      </c>
      <c r="K17" s="289" t="s">
        <v>1516</v>
      </c>
      <c r="L17" s="289" t="s">
        <v>1520</v>
      </c>
      <c r="M17" s="289"/>
    </row>
    <row r="18" spans="1:13" ht="28.8">
      <c r="A18" s="288" t="s">
        <v>1434</v>
      </c>
      <c r="B18" s="288" t="s">
        <v>1434</v>
      </c>
      <c r="C18" s="288" t="s">
        <v>1532</v>
      </c>
      <c r="D18" s="288" t="s">
        <v>1533</v>
      </c>
      <c r="E18" s="288"/>
      <c r="F18" s="288" t="s">
        <v>1455</v>
      </c>
      <c r="G18" s="288" t="s">
        <v>1534</v>
      </c>
      <c r="H18" s="288" t="s">
        <v>1535</v>
      </c>
      <c r="I18" s="288" t="s">
        <v>1458</v>
      </c>
      <c r="J18" s="288" t="s">
        <v>1459</v>
      </c>
      <c r="K18" s="288" t="s">
        <v>1536</v>
      </c>
      <c r="L18" s="288"/>
      <c r="M18" s="288" t="s">
        <v>1517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D861E-B7E0-475C-ACF1-F46374C67FA8}">
  <dimension ref="A3:C30"/>
  <sheetViews>
    <sheetView workbookViewId="0">
      <selection activeCell="B9" sqref="B9"/>
    </sheetView>
  </sheetViews>
  <sheetFormatPr baseColWidth="10" defaultColWidth="11.44140625" defaultRowHeight="14.4"/>
  <cols>
    <col min="1" max="1" width="79.5546875" bestFit="1" customWidth="1"/>
    <col min="2" max="2" width="41" bestFit="1" customWidth="1"/>
    <col min="3" max="3" width="45.5546875" bestFit="1" customWidth="1"/>
  </cols>
  <sheetData>
    <row r="3" spans="1:3">
      <c r="A3" s="221" t="s">
        <v>1055</v>
      </c>
      <c r="B3" s="221" t="s">
        <v>1056</v>
      </c>
      <c r="C3" s="221" t="s">
        <v>1537</v>
      </c>
    </row>
    <row r="4" spans="1:3">
      <c r="A4" t="s">
        <v>1538</v>
      </c>
      <c r="B4" t="s">
        <v>1539</v>
      </c>
      <c r="C4" t="s">
        <v>1540</v>
      </c>
    </row>
    <row r="5" spans="1:3">
      <c r="A5" t="s">
        <v>1541</v>
      </c>
      <c r="B5" t="s">
        <v>1542</v>
      </c>
      <c r="C5" t="s">
        <v>1543</v>
      </c>
    </row>
    <row r="6" spans="1:3">
      <c r="A6" t="s">
        <v>1544</v>
      </c>
      <c r="C6" t="s">
        <v>1545</v>
      </c>
    </row>
    <row r="7" spans="1:3">
      <c r="A7" t="s">
        <v>1546</v>
      </c>
      <c r="B7" t="s">
        <v>1547</v>
      </c>
    </row>
    <row r="8" spans="1:3">
      <c r="A8" t="s">
        <v>1548</v>
      </c>
      <c r="B8" t="s">
        <v>1549</v>
      </c>
      <c r="C8" t="s">
        <v>1549</v>
      </c>
    </row>
    <row r="9" spans="1:3">
      <c r="A9" t="s">
        <v>1550</v>
      </c>
      <c r="B9" t="s">
        <v>1551</v>
      </c>
      <c r="C9" t="s">
        <v>1552</v>
      </c>
    </row>
    <row r="10" spans="1:3">
      <c r="A10" t="s">
        <v>1553</v>
      </c>
      <c r="C10" t="s">
        <v>1542</v>
      </c>
    </row>
    <row r="11" spans="1:3">
      <c r="A11" t="s">
        <v>1554</v>
      </c>
      <c r="B11" t="s">
        <v>1555</v>
      </c>
      <c r="C11" t="s">
        <v>1555</v>
      </c>
    </row>
    <row r="12" spans="1:3">
      <c r="A12" t="s">
        <v>1556</v>
      </c>
      <c r="B12" t="s">
        <v>1557</v>
      </c>
      <c r="C12" t="s">
        <v>1558</v>
      </c>
    </row>
    <row r="13" spans="1:3">
      <c r="A13" t="s">
        <v>1559</v>
      </c>
      <c r="C13" t="s">
        <v>1328</v>
      </c>
    </row>
    <row r="14" spans="1:3">
      <c r="A14" t="s">
        <v>1560</v>
      </c>
      <c r="B14" t="s">
        <v>1555</v>
      </c>
      <c r="C14" t="s">
        <v>1555</v>
      </c>
    </row>
    <row r="15" spans="1:3">
      <c r="A15" t="s">
        <v>1561</v>
      </c>
      <c r="C15" t="s">
        <v>1562</v>
      </c>
    </row>
    <row r="16" spans="1:3">
      <c r="A16" t="s">
        <v>1563</v>
      </c>
      <c r="C16" t="s">
        <v>1564</v>
      </c>
    </row>
    <row r="17" spans="1:3">
      <c r="A17" t="s">
        <v>1565</v>
      </c>
      <c r="B17" t="s">
        <v>1566</v>
      </c>
      <c r="C17" t="s">
        <v>1566</v>
      </c>
    </row>
    <row r="18" spans="1:3">
      <c r="A18" t="s">
        <v>1567</v>
      </c>
      <c r="C18" t="s">
        <v>1568</v>
      </c>
    </row>
    <row r="19" spans="1:3">
      <c r="A19" t="s">
        <v>1569</v>
      </c>
      <c r="B19" t="s">
        <v>1570</v>
      </c>
      <c r="C19" t="s">
        <v>1571</v>
      </c>
    </row>
    <row r="20" spans="1:3">
      <c r="A20" t="s">
        <v>1572</v>
      </c>
      <c r="B20" t="s">
        <v>1573</v>
      </c>
      <c r="C20" t="s">
        <v>1574</v>
      </c>
    </row>
    <row r="21" spans="1:3">
      <c r="A21" t="s">
        <v>527</v>
      </c>
      <c r="B21" t="s">
        <v>1575</v>
      </c>
      <c r="C21" t="s">
        <v>1576</v>
      </c>
    </row>
    <row r="22" spans="1:3">
      <c r="A22" t="s">
        <v>1577</v>
      </c>
      <c r="C22" t="s">
        <v>1578</v>
      </c>
    </row>
    <row r="23" spans="1:3">
      <c r="A23" t="s">
        <v>1579</v>
      </c>
      <c r="C23" t="s">
        <v>1580</v>
      </c>
    </row>
    <row r="24" spans="1:3">
      <c r="A24" t="s">
        <v>1581</v>
      </c>
      <c r="C24" t="s">
        <v>1582</v>
      </c>
    </row>
    <row r="25" spans="1:3">
      <c r="A25" t="s">
        <v>1583</v>
      </c>
      <c r="C25" t="s">
        <v>1584</v>
      </c>
    </row>
    <row r="26" spans="1:3">
      <c r="A26" t="s">
        <v>1585</v>
      </c>
      <c r="C26" t="s">
        <v>1586</v>
      </c>
    </row>
    <row r="27" spans="1:3">
      <c r="A27" t="s">
        <v>1587</v>
      </c>
      <c r="C27" t="s">
        <v>1588</v>
      </c>
    </row>
    <row r="28" spans="1:3">
      <c r="A28" t="s">
        <v>1589</v>
      </c>
      <c r="B28" t="s">
        <v>1328</v>
      </c>
    </row>
    <row r="29" spans="1:3">
      <c r="A29" t="s">
        <v>1590</v>
      </c>
      <c r="B29" t="s">
        <v>1591</v>
      </c>
    </row>
    <row r="30" spans="1:3">
      <c r="A30" t="s">
        <v>1592</v>
      </c>
      <c r="C30" t="s">
        <v>1545</v>
      </c>
    </row>
  </sheetData>
  <sortState xmlns:xlrd2="http://schemas.microsoft.com/office/spreadsheetml/2017/richdata2" ref="A4:C30">
    <sortCondition ref="A4:A30"/>
  </sortState>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34356-0A50-4BE9-81B3-761140A56C40}">
  <dimension ref="C1:T113"/>
  <sheetViews>
    <sheetView topLeftCell="D88" zoomScale="110" zoomScaleNormal="110" workbookViewId="0">
      <selection activeCell="L97" sqref="L97"/>
    </sheetView>
  </sheetViews>
  <sheetFormatPr baseColWidth="10" defaultColWidth="9.109375" defaultRowHeight="14.4"/>
  <cols>
    <col min="3" max="3" width="91.109375" customWidth="1"/>
    <col min="6" max="6" width="29.6640625" bestFit="1" customWidth="1"/>
    <col min="7" max="7" width="45.44140625" bestFit="1" customWidth="1"/>
    <col min="9" max="9" width="11.109375" customWidth="1"/>
    <col min="16" max="16" width="47" bestFit="1" customWidth="1"/>
    <col min="18" max="18" width="193.109375" bestFit="1" customWidth="1"/>
  </cols>
  <sheetData>
    <row r="1" spans="3:18">
      <c r="P1" s="1" t="s">
        <v>1254</v>
      </c>
      <c r="R1" s="1" t="s">
        <v>1255</v>
      </c>
    </row>
    <row r="2" spans="3:18" ht="21">
      <c r="C2" s="224" t="s">
        <v>1271</v>
      </c>
      <c r="P2" t="s">
        <v>1256</v>
      </c>
      <c r="R2" t="s">
        <v>1257</v>
      </c>
    </row>
    <row r="3" spans="3:18" ht="18">
      <c r="C3" s="222" t="s">
        <v>1272</v>
      </c>
      <c r="P3" t="s">
        <v>1258</v>
      </c>
      <c r="R3" t="s">
        <v>1259</v>
      </c>
    </row>
    <row r="4" spans="3:18">
      <c r="C4" s="2"/>
      <c r="P4" t="s">
        <v>1260</v>
      </c>
      <c r="R4" t="s">
        <v>1261</v>
      </c>
    </row>
    <row r="5" spans="3:18">
      <c r="C5" s="2" t="s">
        <v>1273</v>
      </c>
      <c r="P5" t="s">
        <v>1262</v>
      </c>
      <c r="R5" t="s">
        <v>1263</v>
      </c>
    </row>
    <row r="6" spans="3:18">
      <c r="C6" s="3"/>
      <c r="P6" t="s">
        <v>1264</v>
      </c>
      <c r="R6" t="s">
        <v>1265</v>
      </c>
    </row>
    <row r="7" spans="3:18">
      <c r="C7" s="223" t="s">
        <v>1274</v>
      </c>
      <c r="P7" t="s">
        <v>1266</v>
      </c>
    </row>
    <row r="8" spans="3:18">
      <c r="C8" s="223" t="s">
        <v>1275</v>
      </c>
      <c r="P8" t="s">
        <v>1267</v>
      </c>
    </row>
    <row r="9" spans="3:18">
      <c r="C9" s="223" t="s">
        <v>1276</v>
      </c>
      <c r="P9" t="s">
        <v>1268</v>
      </c>
    </row>
    <row r="10" spans="3:18">
      <c r="C10" s="3" t="s">
        <v>1277</v>
      </c>
      <c r="P10" t="s">
        <v>1269</v>
      </c>
    </row>
    <row r="11" spans="3:18">
      <c r="C11" s="223" t="s">
        <v>1278</v>
      </c>
    </row>
    <row r="13" spans="3:18">
      <c r="C13" s="2" t="s">
        <v>1279</v>
      </c>
    </row>
    <row r="14" spans="3:18">
      <c r="C14" s="3" t="s">
        <v>1280</v>
      </c>
    </row>
    <row r="15" spans="3:18">
      <c r="P15" t="s">
        <v>1270</v>
      </c>
    </row>
    <row r="17" spans="3:3" ht="21">
      <c r="C17" s="224" t="s">
        <v>1281</v>
      </c>
    </row>
    <row r="18" spans="3:3" ht="18">
      <c r="C18" s="222" t="s">
        <v>1282</v>
      </c>
    </row>
    <row r="20" spans="3:3">
      <c r="C20" s="225" t="s">
        <v>1283</v>
      </c>
    </row>
    <row r="21" spans="3:3">
      <c r="C21" s="3"/>
    </row>
    <row r="22" spans="3:3">
      <c r="C22" s="223" t="s">
        <v>1284</v>
      </c>
    </row>
    <row r="23" spans="3:3">
      <c r="C23" s="226" t="s">
        <v>1285</v>
      </c>
    </row>
    <row r="25" spans="3:3">
      <c r="C25" s="3"/>
    </row>
    <row r="26" spans="3:3">
      <c r="C26" s="3" t="s">
        <v>1593</v>
      </c>
    </row>
    <row r="27" spans="3:3">
      <c r="C27" s="227" t="s">
        <v>1289</v>
      </c>
    </row>
    <row r="28" spans="3:3">
      <c r="C28" s="250" t="s">
        <v>1594</v>
      </c>
    </row>
    <row r="29" spans="3:3">
      <c r="C29" s="250" t="s">
        <v>1595</v>
      </c>
    </row>
    <row r="30" spans="3:3">
      <c r="C30" s="227" t="s">
        <v>1353</v>
      </c>
    </row>
    <row r="31" spans="3:3">
      <c r="C31" s="250" t="s">
        <v>1596</v>
      </c>
    </row>
    <row r="32" spans="3:3">
      <c r="C32" s="250" t="s">
        <v>1597</v>
      </c>
    </row>
    <row r="33" spans="3:9">
      <c r="C33" s="227" t="s">
        <v>1598</v>
      </c>
    </row>
    <row r="34" spans="3:9">
      <c r="C34" s="250" t="s">
        <v>1599</v>
      </c>
    </row>
    <row r="35" spans="3:9">
      <c r="C35" s="250" t="s">
        <v>1600</v>
      </c>
    </row>
    <row r="36" spans="3:9">
      <c r="C36" s="250" t="s">
        <v>1601</v>
      </c>
    </row>
    <row r="44" spans="3:9">
      <c r="F44" s="129" t="s">
        <v>1286</v>
      </c>
    </row>
    <row r="45" spans="3:9" ht="21">
      <c r="F45" s="251" t="s">
        <v>1287</v>
      </c>
      <c r="G45" s="251"/>
      <c r="H45" s="251"/>
      <c r="I45" s="251"/>
    </row>
    <row r="46" spans="3:9" ht="15" thickBot="1">
      <c r="F46" s="232" t="s">
        <v>1288</v>
      </c>
      <c r="G46" s="312" t="s">
        <v>1289</v>
      </c>
      <c r="H46" s="313"/>
      <c r="I46" s="236" t="s">
        <v>1290</v>
      </c>
    </row>
    <row r="47" spans="3:9" ht="15" thickBot="1">
      <c r="F47" s="234" t="s">
        <v>1291</v>
      </c>
      <c r="G47" s="310">
        <v>4</v>
      </c>
      <c r="H47" s="311"/>
      <c r="I47" s="229"/>
    </row>
    <row r="48" spans="3:9" ht="15" thickBot="1">
      <c r="F48" s="234" t="s">
        <v>1292</v>
      </c>
      <c r="G48" s="310">
        <v>47.68</v>
      </c>
      <c r="H48" s="311"/>
      <c r="I48" s="229">
        <v>11.92</v>
      </c>
    </row>
    <row r="49" spans="6:9" ht="15" thickBot="1">
      <c r="F49" s="233" t="s">
        <v>1293</v>
      </c>
      <c r="G49" s="310">
        <v>2</v>
      </c>
      <c r="H49" s="311"/>
      <c r="I49" s="230"/>
    </row>
    <row r="50" spans="6:9" ht="15" thickBot="1">
      <c r="F50" s="233" t="s">
        <v>1294</v>
      </c>
      <c r="G50" s="310">
        <v>23.84</v>
      </c>
      <c r="H50" s="311"/>
      <c r="I50" s="2">
        <v>11.92</v>
      </c>
    </row>
    <row r="51" spans="6:9" ht="15" thickBot="1">
      <c r="F51" s="234" t="s">
        <v>1295</v>
      </c>
      <c r="G51" s="310">
        <f>I48*5</f>
        <v>59.6</v>
      </c>
      <c r="H51" s="311"/>
      <c r="I51" s="2" t="s">
        <v>1296</v>
      </c>
    </row>
    <row r="52" spans="6:9" ht="15" thickBot="1">
      <c r="F52" s="231" t="s">
        <v>1297</v>
      </c>
      <c r="G52" s="235" t="s">
        <v>1298</v>
      </c>
      <c r="H52" s="131"/>
    </row>
    <row r="53" spans="6:9" ht="15" thickBot="1">
      <c r="F53" s="234" t="s">
        <v>1291</v>
      </c>
      <c r="G53" s="248">
        <v>4</v>
      </c>
      <c r="H53" s="249"/>
    </row>
    <row r="54" spans="6:9" ht="15" thickBot="1">
      <c r="F54" s="234" t="s">
        <v>1299</v>
      </c>
      <c r="G54" s="248">
        <f>G53*I56</f>
        <v>220</v>
      </c>
      <c r="H54" s="249"/>
    </row>
    <row r="55" spans="6:9" ht="15" thickBot="1">
      <c r="F55" s="234" t="s">
        <v>1293</v>
      </c>
      <c r="G55" s="248">
        <v>2</v>
      </c>
      <c r="H55" s="249"/>
    </row>
    <row r="56" spans="6:9" ht="15" thickBot="1">
      <c r="F56" s="234" t="s">
        <v>1294</v>
      </c>
      <c r="G56" s="248">
        <f>110</f>
        <v>110</v>
      </c>
      <c r="H56" s="249"/>
      <c r="I56">
        <f>G56/2</f>
        <v>55</v>
      </c>
    </row>
    <row r="57" spans="6:9">
      <c r="F57" s="234" t="s">
        <v>1295</v>
      </c>
      <c r="G57">
        <f>I56*5</f>
        <v>275</v>
      </c>
      <c r="I57" s="230" t="s">
        <v>1296</v>
      </c>
    </row>
    <row r="59" spans="6:9">
      <c r="F59" s="345" t="s">
        <v>1600</v>
      </c>
      <c r="G59" s="345"/>
      <c r="H59" s="345"/>
      <c r="I59" s="345"/>
    </row>
    <row r="60" spans="6:9">
      <c r="F60" s="232" t="s">
        <v>1288</v>
      </c>
      <c r="G60" s="252"/>
    </row>
    <row r="61" spans="6:9" ht="15" thickBot="1">
      <c r="F61" s="234" t="s">
        <v>1291</v>
      </c>
      <c r="I61" s="229">
        <v>11.92</v>
      </c>
    </row>
    <row r="62" spans="6:9" ht="15" thickBot="1">
      <c r="F62" s="233" t="s">
        <v>1292</v>
      </c>
      <c r="G62" s="248">
        <v>4</v>
      </c>
      <c r="H62" s="249"/>
      <c r="I62" s="230"/>
    </row>
    <row r="63" spans="6:9" ht="15" thickBot="1">
      <c r="F63" s="233" t="s">
        <v>1293</v>
      </c>
      <c r="G63" s="248">
        <v>47.68</v>
      </c>
      <c r="H63" s="249"/>
      <c r="I63" s="2">
        <v>11.92</v>
      </c>
    </row>
    <row r="64" spans="6:9" ht="15" thickBot="1">
      <c r="F64" s="234" t="s">
        <v>1294</v>
      </c>
      <c r="G64" s="248">
        <v>2</v>
      </c>
      <c r="H64" s="249"/>
      <c r="I64" s="2" t="s">
        <v>1296</v>
      </c>
    </row>
    <row r="65" spans="6:20" ht="15" thickBot="1">
      <c r="F65" s="231" t="s">
        <v>1295</v>
      </c>
      <c r="G65" s="248">
        <v>23.84</v>
      </c>
      <c r="H65" s="249"/>
    </row>
    <row r="66" spans="6:20" ht="15" thickBot="1">
      <c r="F66" s="234"/>
      <c r="G66" s="248">
        <v>59.6</v>
      </c>
      <c r="H66" s="249"/>
    </row>
    <row r="68" spans="6:20" ht="15" thickBot="1"/>
    <row r="69" spans="6:20" ht="15" thickBot="1">
      <c r="F69" s="253"/>
      <c r="G69" s="254"/>
      <c r="H69" s="254"/>
      <c r="I69" s="322" t="s">
        <v>1602</v>
      </c>
      <c r="J69" s="323"/>
      <c r="K69" s="346" t="s">
        <v>1603</v>
      </c>
      <c r="L69" s="346"/>
      <c r="M69" s="347" t="s">
        <v>1604</v>
      </c>
      <c r="N69" s="348"/>
      <c r="O69" s="322" t="s">
        <v>1605</v>
      </c>
      <c r="P69" s="323"/>
      <c r="Q69" s="324" t="s">
        <v>1290</v>
      </c>
      <c r="R69" s="324"/>
      <c r="S69" s="324"/>
      <c r="T69" s="324"/>
    </row>
    <row r="70" spans="6:20" ht="15" thickBot="1">
      <c r="F70" s="317" t="s">
        <v>1291</v>
      </c>
      <c r="G70" s="317"/>
      <c r="H70" s="255"/>
      <c r="I70" s="316" t="s">
        <v>1606</v>
      </c>
      <c r="J70" s="316"/>
      <c r="K70" s="342">
        <v>2.5</v>
      </c>
      <c r="L70" s="342"/>
      <c r="M70" s="343">
        <v>2.5</v>
      </c>
      <c r="N70" s="344"/>
      <c r="O70" s="342">
        <v>1</v>
      </c>
      <c r="P70" s="342"/>
      <c r="Q70" s="256"/>
      <c r="R70" s="256"/>
      <c r="S70" s="254"/>
      <c r="T70" s="254"/>
    </row>
    <row r="71" spans="6:20" ht="15" thickBot="1">
      <c r="F71" s="317" t="s">
        <v>1607</v>
      </c>
      <c r="G71" s="317"/>
      <c r="H71" s="255"/>
      <c r="I71" s="316" t="s">
        <v>1608</v>
      </c>
      <c r="J71" s="316"/>
      <c r="K71" s="342">
        <v>1.5</v>
      </c>
      <c r="L71" s="342"/>
      <c r="M71" s="343" t="s">
        <v>1608</v>
      </c>
      <c r="N71" s="344"/>
      <c r="O71" s="342" t="s">
        <v>1608</v>
      </c>
      <c r="P71" s="342"/>
      <c r="Q71" s="257"/>
      <c r="R71" s="257"/>
      <c r="S71" s="257"/>
      <c r="T71" s="257"/>
    </row>
    <row r="72" spans="6:20" ht="15" thickBot="1">
      <c r="F72" s="314" t="s">
        <v>1609</v>
      </c>
      <c r="G72" s="315"/>
      <c r="H72" s="258"/>
      <c r="I72" s="316" t="s">
        <v>1606</v>
      </c>
      <c r="J72" s="316"/>
      <c r="K72" s="334">
        <v>29.8</v>
      </c>
      <c r="L72" s="334"/>
      <c r="M72" s="340">
        <v>29.8</v>
      </c>
      <c r="N72" s="341"/>
      <c r="O72" s="334">
        <v>11.92</v>
      </c>
      <c r="P72" s="334"/>
      <c r="Q72" s="257"/>
      <c r="R72" s="257"/>
      <c r="S72" s="259"/>
      <c r="T72" s="257"/>
    </row>
    <row r="73" spans="6:20" ht="15" thickBot="1">
      <c r="F73" s="314" t="s">
        <v>1610</v>
      </c>
      <c r="G73" s="315"/>
      <c r="H73" s="258"/>
      <c r="I73" s="316" t="s">
        <v>1608</v>
      </c>
      <c r="J73" s="316"/>
      <c r="K73" s="334">
        <v>17.88</v>
      </c>
      <c r="L73" s="334"/>
      <c r="M73" s="340" t="s">
        <v>1608</v>
      </c>
      <c r="N73" s="341"/>
      <c r="O73" s="334" t="s">
        <v>1608</v>
      </c>
      <c r="P73" s="334"/>
      <c r="Q73" s="257"/>
      <c r="R73" s="257"/>
      <c r="S73" s="257"/>
      <c r="T73" s="257"/>
    </row>
    <row r="74" spans="6:20" ht="15" thickBot="1">
      <c r="F74" s="317" t="s">
        <v>1611</v>
      </c>
      <c r="G74" s="317"/>
      <c r="H74" s="255"/>
      <c r="I74" s="316" t="s">
        <v>1606</v>
      </c>
      <c r="J74" s="316"/>
      <c r="K74" s="331">
        <v>5.96</v>
      </c>
      <c r="L74" s="331"/>
      <c r="M74" s="332">
        <v>5.96</v>
      </c>
      <c r="N74" s="333"/>
      <c r="O74" s="334" t="s">
        <v>1608</v>
      </c>
      <c r="P74" s="334"/>
      <c r="Q74" s="257"/>
      <c r="R74" s="257"/>
      <c r="S74" s="257"/>
      <c r="T74" s="257"/>
    </row>
    <row r="75" spans="6:20">
      <c r="F75" s="257"/>
      <c r="G75" s="257"/>
      <c r="H75" s="257"/>
      <c r="I75" s="257"/>
      <c r="J75" s="257"/>
      <c r="K75" s="257"/>
      <c r="L75" s="257"/>
      <c r="M75" s="257"/>
      <c r="N75" s="257"/>
      <c r="O75" s="257"/>
      <c r="P75" s="257"/>
      <c r="Q75" s="257"/>
      <c r="R75" s="257"/>
      <c r="S75" s="257"/>
      <c r="T75" s="257"/>
    </row>
    <row r="77" spans="6:20">
      <c r="F77" s="335" t="s">
        <v>1601</v>
      </c>
      <c r="G77" s="335"/>
      <c r="H77" s="260"/>
      <c r="I77" s="336" t="s">
        <v>1612</v>
      </c>
      <c r="J77" s="337" t="s">
        <v>1613</v>
      </c>
      <c r="K77" s="338" t="s">
        <v>1614</v>
      </c>
      <c r="L77" s="339" t="s">
        <v>1615</v>
      </c>
    </row>
    <row r="78" spans="6:20">
      <c r="F78" s="261"/>
      <c r="G78" s="262"/>
      <c r="H78" s="263"/>
      <c r="I78" s="336"/>
      <c r="J78" s="337"/>
      <c r="K78" s="338"/>
      <c r="L78" s="339"/>
    </row>
    <row r="79" spans="6:20" ht="15.6">
      <c r="G79" s="330" t="s">
        <v>1616</v>
      </c>
      <c r="H79" s="330"/>
      <c r="I79" s="264">
        <v>54.63</v>
      </c>
      <c r="J79" s="265">
        <v>61.18</v>
      </c>
      <c r="K79" s="266">
        <v>83.43</v>
      </c>
      <c r="L79" s="267">
        <v>83.26</v>
      </c>
    </row>
    <row r="80" spans="6:20" ht="15.6">
      <c r="F80" s="268"/>
      <c r="G80" s="330" t="s">
        <v>1617</v>
      </c>
      <c r="H80" s="330"/>
      <c r="I80" s="264">
        <v>35.36</v>
      </c>
      <c r="J80" s="265">
        <v>36.71</v>
      </c>
      <c r="K80" s="266">
        <v>36.71</v>
      </c>
      <c r="L80" s="267">
        <v>36.71</v>
      </c>
    </row>
    <row r="81" spans="6:12" ht="15.6">
      <c r="F81" s="268"/>
      <c r="G81" s="330" t="s">
        <v>1618</v>
      </c>
      <c r="H81" s="330"/>
      <c r="I81" s="264">
        <v>0.33</v>
      </c>
      <c r="J81" s="265">
        <v>0.33</v>
      </c>
      <c r="K81" s="266">
        <v>0.33</v>
      </c>
      <c r="L81" s="267">
        <v>0.33</v>
      </c>
    </row>
    <row r="82" spans="6:12">
      <c r="F82" s="292"/>
      <c r="G82" s="292"/>
      <c r="H82" s="269"/>
      <c r="I82" s="269"/>
      <c r="J82" s="257"/>
      <c r="K82" s="257"/>
      <c r="L82" s="257"/>
    </row>
    <row r="84" spans="6:12">
      <c r="F84" s="254"/>
      <c r="G84" s="256"/>
      <c r="H84" s="256"/>
      <c r="I84" s="256"/>
      <c r="J84" s="256"/>
      <c r="K84" s="256"/>
    </row>
    <row r="85" spans="6:12" ht="15" thickBot="1">
      <c r="F85" s="253"/>
      <c r="G85" s="227" t="s">
        <v>1594</v>
      </c>
      <c r="H85" s="254"/>
      <c r="I85" s="322" t="s">
        <v>1619</v>
      </c>
      <c r="J85" s="323"/>
      <c r="K85" s="256"/>
    </row>
    <row r="86" spans="6:12" ht="15" thickBot="1">
      <c r="F86" s="317" t="s">
        <v>1291</v>
      </c>
      <c r="G86" s="317"/>
      <c r="H86" s="255"/>
      <c r="I86" s="329" t="s">
        <v>1620</v>
      </c>
      <c r="J86" s="329"/>
      <c r="K86" s="256"/>
    </row>
    <row r="87" spans="6:12" ht="15" thickBot="1">
      <c r="F87" s="314" t="s">
        <v>1621</v>
      </c>
      <c r="G87" s="315"/>
      <c r="H87" s="258"/>
      <c r="I87" s="328">
        <v>23.84</v>
      </c>
      <c r="J87" s="328"/>
      <c r="K87" s="257"/>
    </row>
    <row r="88" spans="6:12" ht="15" thickBot="1">
      <c r="F88" s="314"/>
      <c r="G88" s="315"/>
      <c r="H88" s="258"/>
      <c r="I88" s="328"/>
      <c r="J88" s="328"/>
      <c r="K88" s="257"/>
    </row>
    <row r="89" spans="6:12" ht="15" thickBot="1">
      <c r="F89" s="317" t="s">
        <v>1611</v>
      </c>
      <c r="G89" s="317"/>
      <c r="H89" s="255"/>
      <c r="I89" s="329" t="s">
        <v>1608</v>
      </c>
      <c r="J89" s="329"/>
      <c r="K89" s="257"/>
    </row>
    <row r="92" spans="6:12" ht="15" thickBot="1">
      <c r="F92" s="270"/>
      <c r="G92" s="271"/>
      <c r="H92" s="271"/>
      <c r="I92" s="271"/>
    </row>
    <row r="93" spans="6:12" ht="15" thickBot="1">
      <c r="F93" s="272" t="s">
        <v>1622</v>
      </c>
      <c r="G93" s="273" t="s">
        <v>1623</v>
      </c>
      <c r="H93" s="273" t="s">
        <v>1624</v>
      </c>
      <c r="I93" s="273" t="s">
        <v>1624</v>
      </c>
    </row>
    <row r="94" spans="6:12" ht="15" thickBot="1">
      <c r="F94" s="325" t="s">
        <v>1625</v>
      </c>
      <c r="G94" s="326">
        <v>47.68</v>
      </c>
      <c r="H94" s="326"/>
      <c r="I94" s="326"/>
    </row>
    <row r="95" spans="6:12" ht="15" thickBot="1">
      <c r="F95" s="325"/>
      <c r="G95" s="326"/>
      <c r="H95" s="326"/>
      <c r="I95" s="326"/>
    </row>
    <row r="96" spans="6:12" ht="55.8" thickBot="1">
      <c r="F96" s="327" t="s">
        <v>1626</v>
      </c>
      <c r="G96" s="326">
        <f>3*11.92</f>
        <v>35.76</v>
      </c>
      <c r="H96" s="274" t="s">
        <v>1627</v>
      </c>
      <c r="I96" s="275" t="s">
        <v>1628</v>
      </c>
    </row>
    <row r="97" spans="6:14" ht="15" thickBot="1">
      <c r="F97" s="327"/>
      <c r="G97" s="326"/>
      <c r="H97" s="276">
        <v>35.76</v>
      </c>
      <c r="I97" s="276">
        <v>54.6</v>
      </c>
      <c r="J97" s="293"/>
    </row>
    <row r="100" spans="6:14">
      <c r="F100" s="227" t="s">
        <v>1599</v>
      </c>
      <c r="G100" s="277"/>
      <c r="H100" s="318" t="s">
        <v>1612</v>
      </c>
      <c r="I100" s="319" t="s">
        <v>1613</v>
      </c>
      <c r="J100" s="320" t="s">
        <v>1614</v>
      </c>
      <c r="K100" s="321" t="s">
        <v>1615</v>
      </c>
    </row>
    <row r="101" spans="6:14">
      <c r="F101" s="254"/>
      <c r="G101" s="254"/>
      <c r="H101" s="318"/>
      <c r="I101" s="319"/>
      <c r="J101" s="320"/>
      <c r="K101" s="321"/>
    </row>
    <row r="102" spans="6:14">
      <c r="F102" s="278" t="s">
        <v>1616</v>
      </c>
      <c r="G102" s="278"/>
      <c r="H102" s="279">
        <v>54.63</v>
      </c>
      <c r="I102" s="280">
        <v>61.18</v>
      </c>
      <c r="J102" s="281">
        <v>83.43</v>
      </c>
      <c r="K102" s="282">
        <v>83.43</v>
      </c>
    </row>
    <row r="103" spans="6:14">
      <c r="F103" s="278" t="s">
        <v>1617</v>
      </c>
      <c r="G103" s="278"/>
      <c r="H103" s="279">
        <v>35.35</v>
      </c>
      <c r="I103" s="280">
        <v>36.71</v>
      </c>
      <c r="J103" s="281">
        <v>36.71</v>
      </c>
      <c r="K103" s="283">
        <v>36.71</v>
      </c>
    </row>
    <row r="104" spans="6:14">
      <c r="F104" s="278" t="s">
        <v>1618</v>
      </c>
      <c r="G104" s="278"/>
      <c r="H104" s="279">
        <v>0.33</v>
      </c>
      <c r="I104" s="280">
        <v>0.33</v>
      </c>
      <c r="J104" s="281">
        <v>0.33</v>
      </c>
      <c r="K104" s="283">
        <v>0.33</v>
      </c>
    </row>
    <row r="107" spans="6:14" ht="15" thickBot="1">
      <c r="F107" s="253" t="s">
        <v>1595</v>
      </c>
      <c r="G107" s="254"/>
      <c r="H107" s="254"/>
      <c r="I107" s="322" t="s">
        <v>1629</v>
      </c>
      <c r="J107" s="323"/>
      <c r="K107" s="324" t="s">
        <v>1290</v>
      </c>
      <c r="L107" s="324"/>
      <c r="M107" s="324"/>
      <c r="N107" s="324"/>
    </row>
    <row r="108" spans="6:14" ht="15" thickBot="1">
      <c r="F108" s="317" t="s">
        <v>1291</v>
      </c>
      <c r="G108" s="317"/>
      <c r="H108" s="255"/>
      <c r="I108" s="316">
        <v>4</v>
      </c>
      <c r="J108" s="316"/>
      <c r="K108" s="256"/>
      <c r="L108" s="256"/>
      <c r="M108" s="254"/>
      <c r="N108" s="254"/>
    </row>
    <row r="109" spans="6:14" ht="15" thickBot="1">
      <c r="F109" s="317" t="s">
        <v>1292</v>
      </c>
      <c r="G109" s="317"/>
      <c r="H109" s="255"/>
      <c r="I109" s="316">
        <v>47.68</v>
      </c>
      <c r="J109" s="316"/>
      <c r="K109" s="259"/>
      <c r="L109" s="257"/>
      <c r="M109" s="257"/>
      <c r="N109" s="257"/>
    </row>
    <row r="110" spans="6:14" ht="15" thickBot="1">
      <c r="F110" s="314" t="s">
        <v>1293</v>
      </c>
      <c r="G110" s="315"/>
      <c r="H110" s="258"/>
      <c r="I110" s="316">
        <v>2</v>
      </c>
      <c r="J110" s="316"/>
      <c r="K110" s="257"/>
      <c r="L110" s="257"/>
      <c r="M110" s="259"/>
      <c r="N110" s="257"/>
    </row>
    <row r="111" spans="6:14" ht="15" thickBot="1">
      <c r="F111" s="314" t="s">
        <v>1294</v>
      </c>
      <c r="G111" s="315"/>
      <c r="H111" s="258"/>
      <c r="I111" s="316">
        <v>23.84</v>
      </c>
      <c r="J111" s="316"/>
      <c r="K111" s="257"/>
      <c r="L111" s="257"/>
      <c r="M111" s="257"/>
      <c r="N111" s="257"/>
    </row>
    <row r="112" spans="6:14" ht="15" thickBot="1">
      <c r="F112" s="317" t="s">
        <v>1295</v>
      </c>
      <c r="G112" s="317"/>
      <c r="H112" s="255"/>
      <c r="I112" s="316">
        <v>59.6</v>
      </c>
      <c r="J112" s="316"/>
      <c r="K112" s="257" t="s">
        <v>1296</v>
      </c>
      <c r="L112" s="257"/>
      <c r="M112" s="257"/>
      <c r="N112" s="257"/>
    </row>
    <row r="113" spans="6:14">
      <c r="F113" s="257"/>
      <c r="G113" s="257"/>
      <c r="H113" s="257"/>
      <c r="I113" s="257"/>
      <c r="J113" s="257"/>
      <c r="K113" s="257"/>
      <c r="L113" s="257"/>
      <c r="M113" s="257"/>
      <c r="N113" s="257"/>
    </row>
  </sheetData>
  <mergeCells count="76">
    <mergeCell ref="Q69:T69"/>
    <mergeCell ref="G46:H46"/>
    <mergeCell ref="G47:H47"/>
    <mergeCell ref="G48:H48"/>
    <mergeCell ref="G49:H49"/>
    <mergeCell ref="G50:H50"/>
    <mergeCell ref="G51:H51"/>
    <mergeCell ref="F59:I59"/>
    <mergeCell ref="I69:J69"/>
    <mergeCell ref="K69:L69"/>
    <mergeCell ref="M69:N69"/>
    <mergeCell ref="O69:P69"/>
    <mergeCell ref="F71:G71"/>
    <mergeCell ref="I71:J71"/>
    <mergeCell ref="K71:L71"/>
    <mergeCell ref="M71:N71"/>
    <mergeCell ref="O71:P71"/>
    <mergeCell ref="F70:G70"/>
    <mergeCell ref="I70:J70"/>
    <mergeCell ref="K70:L70"/>
    <mergeCell ref="M70:N70"/>
    <mergeCell ref="O70:P70"/>
    <mergeCell ref="F73:G73"/>
    <mergeCell ref="I73:J73"/>
    <mergeCell ref="K73:L73"/>
    <mergeCell ref="M73:N73"/>
    <mergeCell ref="O73:P73"/>
    <mergeCell ref="F72:G72"/>
    <mergeCell ref="I72:J72"/>
    <mergeCell ref="K72:L72"/>
    <mergeCell ref="M72:N72"/>
    <mergeCell ref="O72:P72"/>
    <mergeCell ref="F77:G77"/>
    <mergeCell ref="I77:I78"/>
    <mergeCell ref="J77:J78"/>
    <mergeCell ref="K77:K78"/>
    <mergeCell ref="L77:L78"/>
    <mergeCell ref="F74:G74"/>
    <mergeCell ref="I74:J74"/>
    <mergeCell ref="K74:L74"/>
    <mergeCell ref="M74:N74"/>
    <mergeCell ref="O74:P74"/>
    <mergeCell ref="G79:H79"/>
    <mergeCell ref="G80:H80"/>
    <mergeCell ref="G81:H81"/>
    <mergeCell ref="I85:J85"/>
    <mergeCell ref="F86:G86"/>
    <mergeCell ref="I86:J86"/>
    <mergeCell ref="F87:G87"/>
    <mergeCell ref="I87:J87"/>
    <mergeCell ref="F88:G88"/>
    <mergeCell ref="I88:J88"/>
    <mergeCell ref="F89:G89"/>
    <mergeCell ref="I89:J89"/>
    <mergeCell ref="F94:F95"/>
    <mergeCell ref="G94:G95"/>
    <mergeCell ref="H94:H95"/>
    <mergeCell ref="I94:I95"/>
    <mergeCell ref="F96:F97"/>
    <mergeCell ref="G96:G97"/>
    <mergeCell ref="H100:H101"/>
    <mergeCell ref="I100:I101"/>
    <mergeCell ref="J100:J101"/>
    <mergeCell ref="K100:K101"/>
    <mergeCell ref="I107:J107"/>
    <mergeCell ref="K107:N107"/>
    <mergeCell ref="F111:G111"/>
    <mergeCell ref="I111:J111"/>
    <mergeCell ref="F112:G112"/>
    <mergeCell ref="I112:J112"/>
    <mergeCell ref="F108:G108"/>
    <mergeCell ref="I108:J108"/>
    <mergeCell ref="F109:G109"/>
    <mergeCell ref="I109:J109"/>
    <mergeCell ref="F110:G110"/>
    <mergeCell ref="I110:J110"/>
  </mergeCells>
  <conditionalFormatting sqref="F69:F75">
    <cfRule type="cellIs" dxfId="30" priority="29" operator="equal">
      <formula>"AUTÓNOMO"</formula>
    </cfRule>
  </conditionalFormatting>
  <conditionalFormatting sqref="F85:F89">
    <cfRule type="cellIs" dxfId="29" priority="10" operator="equal">
      <formula>"AUTÓNOMO"</formula>
    </cfRule>
  </conditionalFormatting>
  <conditionalFormatting sqref="F94">
    <cfRule type="cellIs" dxfId="28" priority="6" operator="equal">
      <formula>"APERTURA PDV"</formula>
    </cfRule>
    <cfRule type="cellIs" dxfId="27" priority="7" operator="equal">
      <formula>"APERTURA PDV"</formula>
    </cfRule>
  </conditionalFormatting>
  <conditionalFormatting sqref="F107:F113">
    <cfRule type="cellIs" dxfId="26" priority="3" operator="equal">
      <formula>"AUTÓNOMO"</formula>
    </cfRule>
  </conditionalFormatting>
  <conditionalFormatting sqref="F77:L81">
    <cfRule type="containsText" dxfId="25" priority="11" operator="containsText" text="PARALIZADA">
      <formula>NOT(ISERROR(SEARCH("PARALIZADA",F77)))</formula>
    </cfRule>
  </conditionalFormatting>
  <conditionalFormatting sqref="I69:I74">
    <cfRule type="cellIs" dxfId="24" priority="17" operator="equal">
      <formula>"APERTURA PDV"</formula>
    </cfRule>
    <cfRule type="cellIs" dxfId="23" priority="18" operator="equal">
      <formula>"APERTURA PDV"</formula>
    </cfRule>
  </conditionalFormatting>
  <conditionalFormatting sqref="I85:I89">
    <cfRule type="cellIs" dxfId="22" priority="8" operator="equal">
      <formula>"APERTURA PDV"</formula>
    </cfRule>
    <cfRule type="cellIs" dxfId="21" priority="9" operator="equal">
      <formula>"APERTURA PDV"</formula>
    </cfRule>
  </conditionalFormatting>
  <conditionalFormatting sqref="I107:I112">
    <cfRule type="cellIs" dxfId="20" priority="1" operator="equal">
      <formula>"APERTURA PDV"</formula>
    </cfRule>
    <cfRule type="cellIs" dxfId="19" priority="2" operator="equal">
      <formula>"APERTURA PDV"</formula>
    </cfRule>
  </conditionalFormatting>
  <conditionalFormatting sqref="J82">
    <cfRule type="cellIs" dxfId="18" priority="12" operator="equal">
      <formula>"RECLAMAR"</formula>
    </cfRule>
    <cfRule type="cellIs" dxfId="17" priority="13" operator="equal">
      <formula>"OK"</formula>
    </cfRule>
    <cfRule type="cellIs" dxfId="16" priority="14" operator="equal">
      <formula>"REVISAR"</formula>
    </cfRule>
  </conditionalFormatting>
  <conditionalFormatting sqref="K69:K71">
    <cfRule type="cellIs" dxfId="15" priority="27" operator="equal">
      <formula>"APERTURA PDV"</formula>
    </cfRule>
    <cfRule type="cellIs" dxfId="14" priority="28" operator="equal">
      <formula>"APERTURA PDV"</formula>
    </cfRule>
  </conditionalFormatting>
  <conditionalFormatting sqref="K74">
    <cfRule type="cellIs" dxfId="13" priority="25" operator="equal">
      <formula>"APERTURA PDV"</formula>
    </cfRule>
    <cfRule type="cellIs" dxfId="12" priority="26" operator="equal">
      <formula>"APERTURA PDV"</formula>
    </cfRule>
  </conditionalFormatting>
  <conditionalFormatting sqref="M69:M71">
    <cfRule type="cellIs" dxfId="11" priority="23" operator="equal">
      <formula>"APERTURA PDV"</formula>
    </cfRule>
    <cfRule type="cellIs" dxfId="10" priority="24" operator="equal">
      <formula>"APERTURA PDV"</formula>
    </cfRule>
  </conditionalFormatting>
  <conditionalFormatting sqref="M74">
    <cfRule type="cellIs" dxfId="9" priority="21" operator="equal">
      <formula>"APERTURA PDV"</formula>
    </cfRule>
    <cfRule type="cellIs" dxfId="8" priority="22" operator="equal">
      <formula>"APERTURA PDV"</formula>
    </cfRule>
  </conditionalFormatting>
  <conditionalFormatting sqref="M108:N112">
    <cfRule type="cellIs" dxfId="7" priority="4" operator="equal">
      <formula>"RECIBIDO"</formula>
    </cfRule>
    <cfRule type="containsText" dxfId="6" priority="5" operator="containsText" text="OK">
      <formula>NOT(ISERROR(SEARCH("OK",M108)))</formula>
    </cfRule>
  </conditionalFormatting>
  <conditionalFormatting sqref="O69:O71">
    <cfRule type="cellIs" dxfId="5" priority="19" operator="equal">
      <formula>"APERTURA PDV"</formula>
    </cfRule>
    <cfRule type="cellIs" dxfId="4" priority="20" operator="equal">
      <formula>"APERTURA PDV"</formula>
    </cfRule>
  </conditionalFormatting>
  <conditionalFormatting sqref="P75:T75">
    <cfRule type="cellIs" dxfId="3" priority="15" operator="equal">
      <formula>"RECIBIDO"</formula>
    </cfRule>
    <cfRule type="containsText" dxfId="2" priority="16" operator="containsText" text="OK">
      <formula>NOT(ISERROR(SEARCH("OK",P75)))</formula>
    </cfRule>
  </conditionalFormatting>
  <conditionalFormatting sqref="S70:T74">
    <cfRule type="cellIs" dxfId="1" priority="30" operator="equal">
      <formula>"RECIBIDO"</formula>
    </cfRule>
    <cfRule type="containsText" dxfId="0" priority="31" operator="containsText" text="OK">
      <formula>NOT(ISERROR(SEARCH("OK",S70)))</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C7E496E75F43449807DA20AEA9E5BD1" ma:contentTypeVersion="9" ma:contentTypeDescription="Crear nuevo documento." ma:contentTypeScope="" ma:versionID="bd36b69422572bc71ef08c610672583f">
  <xsd:schema xmlns:xsd="http://www.w3.org/2001/XMLSchema" xmlns:xs="http://www.w3.org/2001/XMLSchema" xmlns:p="http://schemas.microsoft.com/office/2006/metadata/properties" xmlns:ns2="0a730db8-e339-4070-9a40-14345e58ba8b" targetNamespace="http://schemas.microsoft.com/office/2006/metadata/properties" ma:root="true" ma:fieldsID="134dd4ea042b346e68867fe958e6da99" ns2:_="">
    <xsd:import namespace="0a730db8-e339-4070-9a40-14345e58ba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730db8-e339-4070-9a40-14345e58ba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9825b88-26fc-4896-8a03-1a222bf3857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730db8-e339-4070-9a40-14345e58ba8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8BEA26-CB3F-4E35-A646-2A79A03094A6}">
  <ds:schemaRefs>
    <ds:schemaRef ds:uri="http://schemas.microsoft.com/sharepoint/v3/contenttype/forms"/>
  </ds:schemaRefs>
</ds:datastoreItem>
</file>

<file path=customXml/itemProps2.xml><?xml version="1.0" encoding="utf-8"?>
<ds:datastoreItem xmlns:ds="http://schemas.openxmlformats.org/officeDocument/2006/customXml" ds:itemID="{700ECFB5-745F-437C-A9FE-2AF7ACDE12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730db8-e339-4070-9a40-14345e58ba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FDB3F5-D8DD-44BC-884E-B42A22A70E7C}">
  <ds:schemaRefs>
    <ds:schemaRef ds:uri="0a730db8-e339-4070-9a40-14345e58ba8b"/>
    <ds:schemaRef ds:uri="http://purl.org/dc/elements/1.1/"/>
    <ds:schemaRef ds:uri="http://purl.org/dc/dcmitype/"/>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5780f936-0a2d-40a2-9dd8-4f65174e6a81}" enabled="1" method="Standard" siteId="{b0ab8ae4-77f9-4747-bf4a-790c6484695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6</vt:i4>
      </vt:variant>
    </vt:vector>
  </HeadingPairs>
  <TitlesOfParts>
    <vt:vector size="26" baseType="lpstr">
      <vt:lpstr>CRONOGRAMA</vt:lpstr>
      <vt:lpstr>ESTRUCTURA</vt:lpstr>
      <vt:lpstr>CONEXIONES</vt:lpstr>
      <vt:lpstr>Glosario</vt:lpstr>
      <vt:lpstr>Roles</vt:lpstr>
      <vt:lpstr>Flujo</vt:lpstr>
      <vt:lpstr>Innuva</vt:lpstr>
      <vt:lpstr>Bizneo</vt:lpstr>
      <vt:lpstr>Intratime</vt:lpstr>
      <vt:lpstr>PayHawk</vt:lpstr>
      <vt:lpstr>CeleroOne</vt:lpstr>
      <vt:lpstr>TravelPerk</vt:lpstr>
      <vt:lpstr>SGPV</vt:lpstr>
      <vt:lpstr>Entidades</vt:lpstr>
      <vt:lpstr>Hoja1</vt:lpstr>
      <vt:lpstr>Pagos - Facturación</vt:lpstr>
      <vt:lpstr>Detalles PagosFact_IL</vt:lpstr>
      <vt:lpstr>CuadroDetallesPagosFact</vt:lpstr>
      <vt:lpstr>Conceptos x Proyecto</vt:lpstr>
      <vt:lpstr>Pagos - Facturación (2)</vt:lpstr>
      <vt:lpstr>CRONOGRAMA!Inicio_del_proyecto</vt:lpstr>
      <vt:lpstr>CRONOGRAMA!Semana_para_mostrar</vt:lpstr>
      <vt:lpstr>CRONOGRAMA!task_end</vt:lpstr>
      <vt:lpstr>CRONOGRAMA!task_progress</vt:lpstr>
      <vt:lpstr>CRONOGRAMA!task_start</vt:lpstr>
      <vt:lpstr>CRONOGRAMA!Títulos_a_imprimir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Sergio Castaño García</dc:creator>
  <cp:keywords/>
  <dc:description/>
  <cp:lastModifiedBy>Nallibe Rivera Grisales | h&amp;k</cp:lastModifiedBy>
  <cp:revision/>
  <dcterms:created xsi:type="dcterms:W3CDTF">2026-02-23T10:37:24Z</dcterms:created>
  <dcterms:modified xsi:type="dcterms:W3CDTF">2026-06-11T06:41:55Z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0x0101002C7E496E75F43449807DA20AEA9E5BD1</vt:lpwstr>
  </property>
  <property fmtid="{D5CDD505-2E9C-101B-9397-08002B2CF9AE}" pid="3" name="MediaServiceImageTags">
    <vt:lpwstr/>
  </property>
</Properties>
</file>