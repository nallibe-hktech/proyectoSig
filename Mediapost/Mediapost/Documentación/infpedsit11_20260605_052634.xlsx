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ntenido\Mediapost\Reports\0632\infpedsit11\todas\"/>
    </mc:Choice>
  </mc:AlternateContent>
  <xr:revisionPtr revIDLastSave="0" documentId="8_{04F519DE-CA30-4272-8D89-A30734ECD02F}" xr6:coauthVersionLast="47" xr6:coauthVersionMax="47" xr10:uidLastSave="{00000000-0000-0000-0000-000000000000}"/>
  <bookViews>
    <workbookView xWindow="390" yWindow="390" windowWidth="18900" windowHeight="10965" tabRatio="253" firstSheet="1" activeTab="1" xr2:uid="{00000000-000D-0000-FFFF-FFFF00000000}"/>
  </bookViews>
  <sheets>
    <sheet name="Parametros" sheetId="1" state="hidden" r:id="rId1"/>
    <sheet name="Report" sheetId="2" r:id="rId2"/>
    <sheet name="Hoja1" sheetId="3" state="veryHidden" r:id="rId3"/>
    <sheet name="Hoja2" sheetId="4" state="veryHidden" r:id="rId4"/>
    <sheet name="Hoja3" sheetId="5" state="veryHidden" r:id="rId5"/>
    <sheet name="Hoja4" sheetId="6" state="veryHidden" r:id="rId6"/>
    <sheet name="Hoja5" sheetId="7" state="veryHidden" r:id="rId7"/>
    <sheet name="Hoja6" sheetId="8" state="veryHidden" r:id="rId8"/>
  </sheets>
  <definedNames>
    <definedName name="_xlnm._FilterDatabase" localSheetId="1" hidden="1">Report!$A$4:$S$4</definedName>
    <definedName name="CodCliente">Parametros!$E$5</definedName>
    <definedName name="Fechafin">Parametros!$E$8</definedName>
    <definedName name="Fechaini">Parametros!$E$7</definedName>
    <definedName name="Hoy">Parametros!$E$9</definedName>
    <definedName name="Operativa">Parametros!$E$6</definedName>
    <definedName name="OperativaIN">Parametros!$F$6</definedName>
    <definedName name="Titulo">Report!$A$2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7" i="1"/>
  <c r="F6" i="1"/>
</calcChain>
</file>

<file path=xl/sharedStrings.xml><?xml version="1.0" encoding="utf-8"?>
<sst xmlns="http://schemas.openxmlformats.org/spreadsheetml/2006/main" count="10934" uniqueCount="7816">
  <si>
    <t>Auto+Ocultar+OcultarHoja</t>
  </si>
  <si>
    <t>Encajar</t>
  </si>
  <si>
    <t>Cód. Cliente SGA</t>
  </si>
  <si>
    <t>0632</t>
  </si>
  <si>
    <t>Operativa</t>
  </si>
  <si>
    <t/>
  </si>
  <si>
    <t>Fecha inicial</t>
  </si>
  <si>
    <t>Fecha final</t>
  </si>
  <si>
    <t>infpedsit11</t>
  </si>
  <si>
    <t>RESUMEN DE PEDIDOS EXPEDIDOS LOS ÚLTIMOS 30 DIAS: 05/06/2026</t>
  </si>
  <si>
    <t>Service Innovation Group Españ</t>
  </si>
  <si>
    <t>Nº documento cliente</t>
  </si>
  <si>
    <t>No. referencia transporte</t>
  </si>
  <si>
    <t>No. expedición transporte</t>
  </si>
  <si>
    <t>Nombre punto entrega</t>
  </si>
  <si>
    <t>Dirección punto entrega</t>
  </si>
  <si>
    <t>C.P. Punto entrega</t>
  </si>
  <si>
    <t>Población punto entrega</t>
  </si>
  <si>
    <t>Provincia punto entrega</t>
  </si>
  <si>
    <t>País Punto entrega</t>
  </si>
  <si>
    <t>Comentarios</t>
  </si>
  <si>
    <t>Fecha preparación</t>
  </si>
  <si>
    <t>Fecha de expedición</t>
  </si>
  <si>
    <t>Estado</t>
  </si>
  <si>
    <t>Fecha última situación</t>
  </si>
  <si>
    <t>Descripción última situación</t>
  </si>
  <si>
    <t>Agencia de transporte</t>
  </si>
  <si>
    <t>Servicio Trans.</t>
  </si>
  <si>
    <t>URL seguimiento</t>
  </si>
  <si>
    <t>Localizador</t>
  </si>
  <si>
    <t>ICC050526</t>
  </si>
  <si>
    <t>1200792017</t>
  </si>
  <si>
    <t>CLIENT FIRST</t>
  </si>
  <si>
    <t>C/ Solidaritat, 35  Pol. Ind. Barrio del Cristo</t>
  </si>
  <si>
    <t>46960</t>
  </si>
  <si>
    <t>ALDAIA</t>
  </si>
  <si>
    <t>VALENCIA</t>
  </si>
  <si>
    <t>ES</t>
  </si>
  <si>
    <t>Entregado</t>
  </si>
  <si>
    <t>ENTREGADA</t>
  </si>
  <si>
    <t>TIPSA</t>
  </si>
  <si>
    <t>13:30 H</t>
  </si>
  <si>
    <t>https://www.tip-sa.com/cliente/datos.php?id=02800109585ICC05052646960</t>
  </si>
  <si>
    <t>0280010280011200792017</t>
  </si>
  <si>
    <t>LGL060526</t>
  </si>
  <si>
    <t>5602036</t>
  </si>
  <si>
    <t>VIC TRASTERS_Nº BOX 906</t>
  </si>
  <si>
    <t>Carrer de Francesc Santcliment, 87</t>
  </si>
  <si>
    <t>08500</t>
  </si>
  <si>
    <t>VIC</t>
  </si>
  <si>
    <t>BARCELONA</t>
  </si>
  <si>
    <t>ASM</t>
  </si>
  <si>
    <t>https://mygls.gls-spain.es/e/31200805602036/08500</t>
  </si>
  <si>
    <t>SGC040526</t>
  </si>
  <si>
    <t>103404</t>
  </si>
  <si>
    <t>SAMIA GORDILLO COBOS</t>
  </si>
  <si>
    <t>CARRETERA MONTE LENTISCA 35 PUERTA 2</t>
  </si>
  <si>
    <t>35300</t>
  </si>
  <si>
    <t>LAS PALMAS</t>
  </si>
  <si>
    <t>CADENALOG</t>
  </si>
  <si>
    <t>STD</t>
  </si>
  <si>
    <t>ISD040526.3</t>
  </si>
  <si>
    <t>0865423510</t>
  </si>
  <si>
    <t>GABRIELA ARIAS LEON</t>
  </si>
  <si>
    <t>CALLE BULEVAR DE CUARTE, Nº2 PORTAL 1, PISO 2B</t>
  </si>
  <si>
    <t>50410</t>
  </si>
  <si>
    <t>CUARTE DE HUERVA</t>
  </si>
  <si>
    <t>ZARAGOZA</t>
  </si>
  <si>
    <t>DHL</t>
  </si>
  <si>
    <t>https://clientesparcel.dhl.es/seguimientoenvios/integra/SeguimientoDocumentos.aspx?codigo=0865423510&amp;anno=2026&amp;lang=sp&amp;zatar=q45LoBtfSS29xHGRDZ57</t>
  </si>
  <si>
    <t>MMU040526</t>
  </si>
  <si>
    <t>1200791325</t>
  </si>
  <si>
    <t>MARI PAZ MOLLAR USO</t>
  </si>
  <si>
    <t>Calle  Poliesportiu, 6</t>
  </si>
  <si>
    <t>12539</t>
  </si>
  <si>
    <t>Alquerias</t>
  </si>
  <si>
    <t>CASTELLON</t>
  </si>
  <si>
    <t>https://www.tip-sa.com/cliente/datos.php?id=02800109585MMU04052612539</t>
  </si>
  <si>
    <t>0280010280011200791325</t>
  </si>
  <si>
    <t>MAUL050526MFX</t>
  </si>
  <si>
    <t>X26024721</t>
  </si>
  <si>
    <t>0865423740</t>
  </si>
  <si>
    <t>DHL CIUDAD REAL</t>
  </si>
  <si>
    <t>RECOGEN EN DELEGACION</t>
  </si>
  <si>
    <t>13006</t>
  </si>
  <si>
    <t>CIUDAD REAL</t>
  </si>
  <si>
    <t>https://clientesparcel.dhl.es/seguimientoenvios/integra/SeguimientoDocumentos.aspx?codigo=0865423740&amp;anno=2026&amp;lang=sp&amp;zatar=q45LoBtfSS29xHGRDZ57</t>
  </si>
  <si>
    <t>ITT040526</t>
  </si>
  <si>
    <t>0865423420</t>
  </si>
  <si>
    <t>DHL VALLADOLID</t>
  </si>
  <si>
    <t>RECOGEN EN DELEGACIÓN</t>
  </si>
  <si>
    <t>47193</t>
  </si>
  <si>
    <t>LA CISTERNIGA</t>
  </si>
  <si>
    <t>VALLADOLID</t>
  </si>
  <si>
    <t>En Reparto</t>
  </si>
  <si>
    <t>RECOGERA EN AGENCIA</t>
  </si>
  <si>
    <t>https://clientesparcel.dhl.es/seguimientoenvios/integra/SeguimientoDocumentos.aspx?codigo=0865423420&amp;anno=2026&amp;lang=sp&amp;zatar=q45LoBtfSS29xHGRDZ57</t>
  </si>
  <si>
    <t>FAFG040526</t>
  </si>
  <si>
    <t>1200791327</t>
  </si>
  <si>
    <t>FATIMA AL FICHTA EL GUENAOUI</t>
  </si>
  <si>
    <t>C Mónaco n 2 bajo C</t>
  </si>
  <si>
    <t>40005</t>
  </si>
  <si>
    <t>SEGOVIA</t>
  </si>
  <si>
    <t>https://www.tip-sa.com/cliente/datos.php?id=02800109585FAFG04052640005</t>
  </si>
  <si>
    <t>0280010280011200791327</t>
  </si>
  <si>
    <t>ISD040526.2</t>
  </si>
  <si>
    <t>103407</t>
  </si>
  <si>
    <t>SAMIA GORDILLO</t>
  </si>
  <si>
    <t>CARRETERA MONTE LENTISCAL N35, PUERTA 2</t>
  </si>
  <si>
    <t>SANTA BRÍGIDA</t>
  </si>
  <si>
    <t>MLG060526.1</t>
  </si>
  <si>
    <t>0865423780</t>
  </si>
  <si>
    <t>MARIA LOPEZ GIL</t>
  </si>
  <si>
    <t>Avenida jose garrigo farga 47 piso 1 puerta 4</t>
  </si>
  <si>
    <t>46185</t>
  </si>
  <si>
    <t>La pobla de Vallbona</t>
  </si>
  <si>
    <t>https://clientesparcel.dhl.es/seguimientoenvios/integra/SeguimientoDocumentos.aspx?codigo=0865423780&amp;anno=2026&amp;lang=sp&amp;zatar=q45LoBtfSS29xHGRDZ57</t>
  </si>
  <si>
    <t>IHF060526</t>
  </si>
  <si>
    <t>103410</t>
  </si>
  <si>
    <t>IVONNE HERNANDEZ FIGUEROA</t>
  </si>
  <si>
    <t>C/ ANTONIO LOPEZ LOPEZ N4, BLOQUE 24, 6 PLANTA, PUERTA 6A  MIRAMAR</t>
  </si>
  <si>
    <t>38009</t>
  </si>
  <si>
    <t>SANTA CRUZ DE TENERIFE</t>
  </si>
  <si>
    <t>DPD260133052</t>
  </si>
  <si>
    <t>Team PLV</t>
  </si>
  <si>
    <t>Avenida de los oficios números 17 b y 17c</t>
  </si>
  <si>
    <t>45222</t>
  </si>
  <si>
    <t>BOROX</t>
  </si>
  <si>
    <t>TOLEDO</t>
  </si>
  <si>
    <t>HIDALFER</t>
  </si>
  <si>
    <t>PRESUPUESTO</t>
  </si>
  <si>
    <t>https://img.directoatusclientes.com/iris/POD/HIDALFER/DPD260133052.pdf</t>
  </si>
  <si>
    <t>FAFG050526</t>
  </si>
  <si>
    <t>325576</t>
  </si>
  <si>
    <t>CEXPRESS</t>
  </si>
  <si>
    <t>https://www.correosexpress.com/chronoExtraNET/imagenes/mostrarImagen.seam?u=cdd394c03ac9cba88c65c265c9b9ea52&amp;e=2314979310650003255760</t>
  </si>
  <si>
    <t>9310650003255760</t>
  </si>
  <si>
    <t>ISD040526.1</t>
  </si>
  <si>
    <t>103406</t>
  </si>
  <si>
    <t>recoge en BEST LOGISTIC CANARIAS</t>
  </si>
  <si>
    <t>38180</t>
  </si>
  <si>
    <t>SIG070526.11</t>
  </si>
  <si>
    <t>1200792595</t>
  </si>
  <si>
    <t>TIPSA SANTANDER</t>
  </si>
  <si>
    <t>recoge en la delegacion</t>
  </si>
  <si>
    <t>39600</t>
  </si>
  <si>
    <t>Camargo</t>
  </si>
  <si>
    <t>Cantabria</t>
  </si>
  <si>
    <t>DISPONIBLE</t>
  </si>
  <si>
    <t>https://www.tip-sa.com/cliente/datos.php?id=02800109585SIG070526.1139600</t>
  </si>
  <si>
    <t>0280010280011200792595</t>
  </si>
  <si>
    <t>ACR070526.1</t>
  </si>
  <si>
    <t>5602158</t>
  </si>
  <si>
    <t>MEDIAPOST ALICANTE</t>
  </si>
  <si>
    <t>C/ Mistral, 5 Pol. Ind. Pla de la Vallonga</t>
  </si>
  <si>
    <t>03006</t>
  </si>
  <si>
    <t>ALICANTE</t>
  </si>
  <si>
    <t>https://mygls.gls-spain.es/e/31200805602158/03006</t>
  </si>
  <si>
    <t>ISD070526.2</t>
  </si>
  <si>
    <t>5602136</t>
  </si>
  <si>
    <t>SANDRA CASTAÑEDA PAVON</t>
  </si>
  <si>
    <t>C/Buen Pastor, 459</t>
  </si>
  <si>
    <t>11100</t>
  </si>
  <si>
    <t>SAN FERNANDO</t>
  </si>
  <si>
    <t>CADIZ</t>
  </si>
  <si>
    <t>https://mygls.gls-spain.es/e/31200805602136/11100</t>
  </si>
  <si>
    <t>63226000164</t>
  </si>
  <si>
    <t>0865423920</t>
  </si>
  <si>
    <t>Recoger en Delegación / Miriam Perez</t>
  </si>
  <si>
    <t>RECOGER EN DELEGACION</t>
  </si>
  <si>
    <t>03400</t>
  </si>
  <si>
    <t>VILLENA</t>
  </si>
  <si>
    <t>https://clientesparcel.dhl.es/seguimientoenvios/integra/SeguimientoDocumentos.aspx?codigo=0865423920&amp;anno=2026&amp;lang=sp&amp;zatar=q45LoBtfSS29xHGRDZ57</t>
  </si>
  <si>
    <t>ACR070526.3</t>
  </si>
  <si>
    <t>1200792571</t>
  </si>
  <si>
    <t>https://www.tip-sa.com/cliente/datos.php?id=02800109585ACR070526.303006</t>
  </si>
  <si>
    <t>0280010280011200792571</t>
  </si>
  <si>
    <t>63226000162</t>
  </si>
  <si>
    <t>000016766</t>
  </si>
  <si>
    <t>Estanco Irún-015</t>
  </si>
  <si>
    <t>MªJUNC.LABANDIBAR, 5</t>
  </si>
  <si>
    <t>20305</t>
  </si>
  <si>
    <t>Irún</t>
  </si>
  <si>
    <t>Guipúzcoa</t>
  </si>
  <si>
    <t>ONTIME</t>
  </si>
  <si>
    <t>https://ontimegts.alertran.net/gts/pub/clielocserv.seam?cliente=02890149&amp;expedicion=999949864800</t>
  </si>
  <si>
    <t>999949864800</t>
  </si>
  <si>
    <t>SIG070526.1</t>
  </si>
  <si>
    <t>1200792575</t>
  </si>
  <si>
    <t>TIPSA LOS ANZUELOS</t>
  </si>
  <si>
    <t>46026</t>
  </si>
  <si>
    <t>Valencia</t>
  </si>
  <si>
    <t>Devuelto</t>
  </si>
  <si>
    <t>RECHAZO CONFIRMADO</t>
  </si>
  <si>
    <t>https://www.tip-sa.com/cliente/datos.php?id=02800109585SIG070526.146026</t>
  </si>
  <si>
    <t>0280010280011200792575</t>
  </si>
  <si>
    <t>ISD070526.5</t>
  </si>
  <si>
    <t>0865423950</t>
  </si>
  <si>
    <t>MARIA ISABEL LOPEZ GOMEZ</t>
  </si>
  <si>
    <t>CALLE LAISECA 144 - A, Nº 6</t>
  </si>
  <si>
    <t>39709</t>
  </si>
  <si>
    <t>SAMANO</t>
  </si>
  <si>
    <t>CASTRO URDIALES</t>
  </si>
  <si>
    <t>https://clientesparcel.dhl.es/seguimientoenvios/integra/SeguimientoDocumentos.aspx?codigo=0865423950&amp;anno=2026&amp;lang=sp&amp;zatar=q45LoBtfSS29xHGRDZ57</t>
  </si>
  <si>
    <t>JJFR080526</t>
  </si>
  <si>
    <t>5602165</t>
  </si>
  <si>
    <t>https://mygls.gls-spain.es/e/31200805602165/03006</t>
  </si>
  <si>
    <t>SIG070526.2</t>
  </si>
  <si>
    <t>1200792577</t>
  </si>
  <si>
    <t>TIPSA A CORUÑA</t>
  </si>
  <si>
    <t>15190</t>
  </si>
  <si>
    <t>Poligono de Pocomaco</t>
  </si>
  <si>
    <t>A Coruña</t>
  </si>
  <si>
    <t>https://www.tip-sa.com/cliente/datos.php?id=02800109585SIG070526.215190</t>
  </si>
  <si>
    <t>0280010280011200792577</t>
  </si>
  <si>
    <t>BGK070526</t>
  </si>
  <si>
    <t>0865424240</t>
  </si>
  <si>
    <t>BARBARA GONZALEZ KUNDICH</t>
  </si>
  <si>
    <t>AV. DE HOLANDA 6 6ºA</t>
  </si>
  <si>
    <t>03540</t>
  </si>
  <si>
    <t>https://clientesparcel.dhl.es/seguimientoenvios/integra/SeguimientoDocumentos.aspx?codigo=0865424240&amp;anno=2026&amp;lang=sp&amp;zatar=q45LoBtfSS29xHGRDZ57</t>
  </si>
  <si>
    <t>SIG070526.8</t>
  </si>
  <si>
    <t>1200792589</t>
  </si>
  <si>
    <t>TIPSA TORREMOLINOS</t>
  </si>
  <si>
    <t>29620</t>
  </si>
  <si>
    <t>Torremolinos</t>
  </si>
  <si>
    <t>Malaga</t>
  </si>
  <si>
    <t>https://www.tip-sa.com/cliente/datos.php?id=02800109585SIG070526.829620</t>
  </si>
  <si>
    <t>0280010280011200792589</t>
  </si>
  <si>
    <t>SIG070526.10</t>
  </si>
  <si>
    <t>1200792593</t>
  </si>
  <si>
    <t>TIPSA FUENLABRADA</t>
  </si>
  <si>
    <t>28950</t>
  </si>
  <si>
    <t>Moraleja de En medio</t>
  </si>
  <si>
    <t>Madrid</t>
  </si>
  <si>
    <t>https://www.tip-sa.com/cliente/datos.php?id=02800109585SIG070526.1028950</t>
  </si>
  <si>
    <t>0280010280011200792593</t>
  </si>
  <si>
    <t>VV060526</t>
  </si>
  <si>
    <t>5602072</t>
  </si>
  <si>
    <t>OFICINAS COTY_TORRE MAPFRE. ATT: VALERIA VISPO PRAT</t>
  </si>
  <si>
    <t>Calle Marina 18, Planta 35</t>
  </si>
  <si>
    <t>08005</t>
  </si>
  <si>
    <t>https://mygls.gls-spain.es/e/31200805602072/08005</t>
  </si>
  <si>
    <t>MLG070526</t>
  </si>
  <si>
    <t>1200792567</t>
  </si>
  <si>
    <t>https://www.tip-sa.com/cliente/datos.php?id=02800109585MLG07052646185</t>
  </si>
  <si>
    <t>0280010280011200792567</t>
  </si>
  <si>
    <t>ISD070526.3</t>
  </si>
  <si>
    <t>5602138</t>
  </si>
  <si>
    <t>THAIANE NASCIMENTO DACOSTA</t>
  </si>
  <si>
    <t>C/ ESPARRAGALEJO, 5 (CASA)</t>
  </si>
  <si>
    <t>06800</t>
  </si>
  <si>
    <t>MERIDA</t>
  </si>
  <si>
    <t>BADAJOZ</t>
  </si>
  <si>
    <t>https://mygls.gls-spain.es/e/31200805602138/06800</t>
  </si>
  <si>
    <t>63226000168</t>
  </si>
  <si>
    <t>1200792375</t>
  </si>
  <si>
    <t>ESTANCO RAGA</t>
  </si>
  <si>
    <t>Almussafes, 8</t>
  </si>
  <si>
    <t>46450</t>
  </si>
  <si>
    <t>Benifaió</t>
  </si>
  <si>
    <t>https://www.tip-sa.com/cliente/datos.php?id=028001095856322600016846450</t>
  </si>
  <si>
    <t>0280010280011200792375</t>
  </si>
  <si>
    <t>DPD260142718</t>
  </si>
  <si>
    <t>DPD260142718_01</t>
  </si>
  <si>
    <t>DPD260142718_01-0</t>
  </si>
  <si>
    <t>https://img.directoatusclientes.com/iris/POD/HIDALFER/DPD260142718_01.pdf</t>
  </si>
  <si>
    <t>63226000166</t>
  </si>
  <si>
    <t>1200792337</t>
  </si>
  <si>
    <t>KARIM DIAZ / ANGEL PEREDA</t>
  </si>
  <si>
    <t>CARRER ROC DE BORONAT 66, PLANTA 3</t>
  </si>
  <si>
    <t>https://www.tip-sa.com/cliente/datos.php?id=028001095856322600016608005</t>
  </si>
  <si>
    <t>0280010280011200792337</t>
  </si>
  <si>
    <t>63226000158</t>
  </si>
  <si>
    <t>1200791893</t>
  </si>
  <si>
    <t>MARTA VAZQUEZ</t>
  </si>
  <si>
    <t>Calle San Gines de la Jara 7, Villanueva del Ariscal</t>
  </si>
  <si>
    <t>41808</t>
  </si>
  <si>
    <t>SEVILLA</t>
  </si>
  <si>
    <t>https://www.tip-sa.com/cliente/datos.php?id=028001095856322600015841808</t>
  </si>
  <si>
    <t>0280010280011200791893</t>
  </si>
  <si>
    <t>DPD260140587</t>
  </si>
  <si>
    <t>https://img.directoatusclientes.com/iris/POD/HIDALFER/DPD260140587.pdf</t>
  </si>
  <si>
    <t>ISD070526.1</t>
  </si>
  <si>
    <t>5602137</t>
  </si>
  <si>
    <t>ELISA ISABEL LOPEZ POLO</t>
  </si>
  <si>
    <t>Plaza Aldeas Infantiles número 7</t>
  </si>
  <si>
    <t>04740</t>
  </si>
  <si>
    <t>ROQUETAS DE MAR</t>
  </si>
  <si>
    <t>ALMERIA</t>
  </si>
  <si>
    <t>https://mygls.gls-spain.es/e/31200805602137/04740</t>
  </si>
  <si>
    <t>SIG070526.7</t>
  </si>
  <si>
    <t>1200792587</t>
  </si>
  <si>
    <t>TIPSA ALHAURIN DE LA TORRE</t>
  </si>
  <si>
    <t>29130</t>
  </si>
  <si>
    <t>Alhaurín de la Torre</t>
  </si>
  <si>
    <t>https://www.tip-sa.com/cliente/datos.php?id=02800109585SIG070526.729130</t>
  </si>
  <si>
    <t>0280010280011200792587</t>
  </si>
  <si>
    <t>ACR070526.2</t>
  </si>
  <si>
    <t>1200792569</t>
  </si>
  <si>
    <t>https://www.tip-sa.com/cliente/datos.php?id=02800109585ACR070526.203006</t>
  </si>
  <si>
    <t>0280010280011200792569</t>
  </si>
  <si>
    <t>SIG070526.6</t>
  </si>
  <si>
    <t>1200792585</t>
  </si>
  <si>
    <t>TIPSA LEON</t>
  </si>
  <si>
    <t>24391</t>
  </si>
  <si>
    <t>Santovenia de la Valdoncina</t>
  </si>
  <si>
    <t>Leon</t>
  </si>
  <si>
    <t>https://www.tip-sa.com/cliente/datos.php?id=02800109585SIG070526.624391</t>
  </si>
  <si>
    <t>0280010280011200792585</t>
  </si>
  <si>
    <t>SIG070526.4</t>
  </si>
  <si>
    <t>1200792581</t>
  </si>
  <si>
    <t>TIPSA ALICANTE OESTE</t>
  </si>
  <si>
    <t>Alicante</t>
  </si>
  <si>
    <t>https://www.tip-sa.com/cliente/datos.php?id=02800109585SIG070526.403006</t>
  </si>
  <si>
    <t>0280010280011200792581</t>
  </si>
  <si>
    <t>CRDC070526</t>
  </si>
  <si>
    <t>0865424250</t>
  </si>
  <si>
    <t>CARMEN RODRIGUEZ DE LA CARIDAD</t>
  </si>
  <si>
    <t>Avenida de España, 1, Portal 3 Bajo A</t>
  </si>
  <si>
    <t>05004</t>
  </si>
  <si>
    <t>AVILA</t>
  </si>
  <si>
    <t>https://clientesparcel.dhl.es/seguimientoenvios/integra/SeguimientoDocumentos.aspx?codigo=0865424250&amp;anno=2026&amp;lang=sp&amp;zatar=q45LoBtfSS29xHGRDZ57</t>
  </si>
  <si>
    <t>SIG070526.3</t>
  </si>
  <si>
    <t>1200792579</t>
  </si>
  <si>
    <t>TIPSA ALJARAFE SUR</t>
  </si>
  <si>
    <t>41927</t>
  </si>
  <si>
    <t>Mairena de Aljarafe</t>
  </si>
  <si>
    <t>Sevilla</t>
  </si>
  <si>
    <t>https://www.tip-sa.com/cliente/datos.php?id=02800109585SIG070526.341927</t>
  </si>
  <si>
    <t>0280010280011200792579</t>
  </si>
  <si>
    <t>SIG070526.9</t>
  </si>
  <si>
    <t>1200792591</t>
  </si>
  <si>
    <t>TIPSA BADALONA</t>
  </si>
  <si>
    <t>08918</t>
  </si>
  <si>
    <t>Badalona</t>
  </si>
  <si>
    <t>Barcelona</t>
  </si>
  <si>
    <t>https://www.tip-sa.com/cliente/datos.php?id=02800109585SIG070526.908918</t>
  </si>
  <si>
    <t>0280010280011200792591</t>
  </si>
  <si>
    <t>SIG070526.13</t>
  </si>
  <si>
    <t>1200792599</t>
  </si>
  <si>
    <t>TIPSA SANT BOI</t>
  </si>
  <si>
    <t>08840</t>
  </si>
  <si>
    <t>Viladecans</t>
  </si>
  <si>
    <t>https://www.tip-sa.com/cliente/datos.php?id=02800109585SIG070526.1308840</t>
  </si>
  <si>
    <t>0280010280011200792599</t>
  </si>
  <si>
    <t>ISD070526.4</t>
  </si>
  <si>
    <t>0865423960</t>
  </si>
  <si>
    <t>FATIMA VARGAS ALMENDRO</t>
  </si>
  <si>
    <t>SANCHO DE CABRERA 12</t>
  </si>
  <si>
    <t>10004</t>
  </si>
  <si>
    <t>CACERES</t>
  </si>
  <si>
    <t>https://clientesparcel.dhl.es/seguimientoenvios/integra/SeguimientoDocumentos.aspx?codigo=0865423960&amp;anno=2026&amp;lang=sp&amp;zatar=q45LoBtfSS29xHGRDZ57</t>
  </si>
  <si>
    <t>SIG070526.5</t>
  </si>
  <si>
    <t>1200792583</t>
  </si>
  <si>
    <t>TIPSA LA VENTANILLA</t>
  </si>
  <si>
    <t>28029</t>
  </si>
  <si>
    <t>https://www.tip-sa.com/cliente/datos.php?id=02800109585SIG070526.528029</t>
  </si>
  <si>
    <t>0280010280011200792583</t>
  </si>
  <si>
    <t>SIG070526.12</t>
  </si>
  <si>
    <t>1200792597</t>
  </si>
  <si>
    <t>TIPSA LAS PALMAS</t>
  </si>
  <si>
    <t>35010</t>
  </si>
  <si>
    <t>Las Palmas de Gran Canaria</t>
  </si>
  <si>
    <t>Las Palmas</t>
  </si>
  <si>
    <t>https://www.tip-sa.com/cliente/datos.php?id=02800109585SIG070526.1235010</t>
  </si>
  <si>
    <t>0280010280011200792597</t>
  </si>
  <si>
    <t>63226000160</t>
  </si>
  <si>
    <t>0865423750</t>
  </si>
  <si>
    <t>Recoger en Delegación / Sergio Alcántara</t>
  </si>
  <si>
    <t>ALHAURIN DE LA TORRE</t>
  </si>
  <si>
    <t>https://clientesparcel.dhl.es/seguimientoenvios/integra/SeguimientoDocumentos.aspx?codigo=0865423750&amp;anno=2026&amp;lang=sp&amp;zatar=q45LoBtfSS29xHGRDZ57</t>
  </si>
  <si>
    <t>OT 3022</t>
  </si>
  <si>
    <t>14812875</t>
  </si>
  <si>
    <t xml:space="preserve">hacer 25 kits </t>
  </si>
  <si>
    <t>ctra. sentmenat 36</t>
  </si>
  <si>
    <t>08213</t>
  </si>
  <si>
    <t>POLINYÁ</t>
  </si>
  <si>
    <t>RECOGERAN</t>
  </si>
  <si>
    <t>https://img.directoatusclientes.com/iris/POD/RECOGERAN/OT 3022.pdf</t>
  </si>
  <si>
    <t>GF1105</t>
  </si>
  <si>
    <t>26038426</t>
  </si>
  <si>
    <t>GALAN FORWARDING</t>
  </si>
  <si>
    <t>POL. IND. EL MOLINOT / MOBIR</t>
  </si>
  <si>
    <t>08471</t>
  </si>
  <si>
    <t>VALLGORGUINA</t>
  </si>
  <si>
    <t>SERTRANS</t>
  </si>
  <si>
    <t>https://img.directoatusclientes.com/iris/POD/SERTRANS/GF1105.pdf</t>
  </si>
  <si>
    <t>63226000170</t>
  </si>
  <si>
    <t>1200792901</t>
  </si>
  <si>
    <t>VALENTINA HERRERA</t>
  </si>
  <si>
    <t>Calle Menorca 18, 4º,C</t>
  </si>
  <si>
    <t>28009</t>
  </si>
  <si>
    <t>https://www.tip-sa.com/cliente/datos.php?id=028001095856322600017028009</t>
  </si>
  <si>
    <t>0280010280011200792901</t>
  </si>
  <si>
    <t>63226000172</t>
  </si>
  <si>
    <t>0865424450</t>
  </si>
  <si>
    <t>Jana Gallego</t>
  </si>
  <si>
    <t>C/Aguas vivas nº37</t>
  </si>
  <si>
    <t>03009</t>
  </si>
  <si>
    <t>ENTREGA PARCIAL</t>
  </si>
  <si>
    <t>https://clientesparcel.dhl.es/seguimientoenvios/integra/SeguimientoDocumentos.aspx?codigo=0865424450&amp;anno=2026&amp;lang=sp&amp;zatar=q45LoBtfSS29xHGRDZ57</t>
  </si>
  <si>
    <t>ISD120526.3</t>
  </si>
  <si>
    <t>5602201</t>
  </si>
  <si>
    <t>BEATRIZ GARRIDO BRIONES</t>
  </si>
  <si>
    <t>Avenida Club Deportivo 88 4izq</t>
  </si>
  <si>
    <t>26007</t>
  </si>
  <si>
    <t>LOGORÑO</t>
  </si>
  <si>
    <t>LA RIOJA</t>
  </si>
  <si>
    <t>https://mygls.gls-spain.es/e/31200805602201/26007</t>
  </si>
  <si>
    <t>63226000174</t>
  </si>
  <si>
    <t>000016799</t>
  </si>
  <si>
    <t>Estanco LA JONQUERA 001</t>
  </si>
  <si>
    <t>CL MAJOR, 94-96</t>
  </si>
  <si>
    <t>17700</t>
  </si>
  <si>
    <t>LA JONQUERA</t>
  </si>
  <si>
    <t>GIRONA</t>
  </si>
  <si>
    <t>https://ontimegts.alertran.net/gts/pub/clielocserv.seam?cliente=02890149&amp;expedicion=999949911238</t>
  </si>
  <si>
    <t>999949911238</t>
  </si>
  <si>
    <t>ISD120526.8</t>
  </si>
  <si>
    <t>5602203</t>
  </si>
  <si>
    <t>PATRICIA FERNANDEZ FERNANDEZ</t>
  </si>
  <si>
    <t>CALLE RAMÓN PÉREZ DE AYALA 30 - 3</t>
  </si>
  <si>
    <t>33600</t>
  </si>
  <si>
    <t>MIERES</t>
  </si>
  <si>
    <t>ASTURIAS</t>
  </si>
  <si>
    <t>https://mygls.gls-spain.es/e/31200805602203/33600</t>
  </si>
  <si>
    <t>JS1105</t>
  </si>
  <si>
    <t>1200793491</t>
  </si>
  <si>
    <t>Joseba Ruiz Pereda</t>
  </si>
  <si>
    <t>C/ Castaños 6. 5-A</t>
  </si>
  <si>
    <t>48007</t>
  </si>
  <si>
    <t>Bilbao</t>
  </si>
  <si>
    <t>VIZCAYA</t>
  </si>
  <si>
    <t>https://www.tip-sa.com/cliente/datos.php?id=02800109585JS110548007</t>
  </si>
  <si>
    <t>ISD120526.2</t>
  </si>
  <si>
    <t>5602200</t>
  </si>
  <si>
    <t>ALVARO SALCES MANSILLA</t>
  </si>
  <si>
    <t>CALLE VITORIA 194 1-D</t>
  </si>
  <si>
    <t>09007</t>
  </si>
  <si>
    <t>BURGOS</t>
  </si>
  <si>
    <t>https://mygls.gls-spain.es/e/31200805602200/09007</t>
  </si>
  <si>
    <t>ISD120526.1</t>
  </si>
  <si>
    <t>5602199</t>
  </si>
  <si>
    <t>JUAN VILLA ROMAN</t>
  </si>
  <si>
    <t>CL/CERVANTES,19</t>
  </si>
  <si>
    <t>14620</t>
  </si>
  <si>
    <t>CARPIO, EL</t>
  </si>
  <si>
    <t>CORDOBA</t>
  </si>
  <si>
    <t>https://mygls.gls-spain.es/e/31200805602199/14620</t>
  </si>
  <si>
    <t>DESTRUIR 130526</t>
  </si>
  <si>
    <t>14203470</t>
  </si>
  <si>
    <t>PONER CON TODO EL MATERIAL PLOOM PARA DESTRUIR</t>
  </si>
  <si>
    <t>CTRA. SENTMENAT  36</t>
  </si>
  <si>
    <t>INICIAL</t>
  </si>
  <si>
    <t>DESTRUIR</t>
  </si>
  <si>
    <t>https://img.directoatusclientes.com/iris/POD/DESTRUIR/DESTRUIR 130526.pdf</t>
  </si>
  <si>
    <t>WW_PILOTAJE</t>
  </si>
  <si>
    <t>14813330</t>
  </si>
  <si>
    <t>RECOGIDA EN MEDIAPOST</t>
  </si>
  <si>
    <t>ctra. Sentmenat 36</t>
  </si>
  <si>
    <t>polinya</t>
  </si>
  <si>
    <t>barcelona</t>
  </si>
  <si>
    <t>https://img.directoatusclientes.com/iris/POD/RECOGERAN/WW_PILOTAJE.pdf</t>
  </si>
  <si>
    <t>ISD120526.5</t>
  </si>
  <si>
    <t>5602202</t>
  </si>
  <si>
    <t>https://mygls.gls-spain.es/e/31200805602202/50410</t>
  </si>
  <si>
    <t>INPOST130526.2</t>
  </si>
  <si>
    <t>X26025828</t>
  </si>
  <si>
    <t>1200793809</t>
  </si>
  <si>
    <t>CARRER DE LA CIENCIA, 26</t>
  </si>
  <si>
    <t>https://www.tip-sa.com/cliente/datos.php?id=02800109585X2602582808840</t>
  </si>
  <si>
    <t>0280010280011200793809</t>
  </si>
  <si>
    <t>CRD120526</t>
  </si>
  <si>
    <t>5602211</t>
  </si>
  <si>
    <t>https://mygls.gls-spain.es/e/31200805602211/05004</t>
  </si>
  <si>
    <t>ISD120526.7</t>
  </si>
  <si>
    <t>0865424590</t>
  </si>
  <si>
    <t>MIGUEL ANGEL UNGRIA LASIERRA</t>
  </si>
  <si>
    <t>CL MANUEL HERRERA PIÑA 4, 3º B</t>
  </si>
  <si>
    <t>13003</t>
  </si>
  <si>
    <t>https://clientesparcel.dhl.es/seguimientoenvios/integra/SeguimientoDocumentos.aspx?codigo=0865424590&amp;anno=2026&amp;lang=sp&amp;zatar=q45LoBtfSS29xHGRDZ57</t>
  </si>
  <si>
    <t>63226000178</t>
  </si>
  <si>
    <t>0865424690</t>
  </si>
  <si>
    <t>https://clientesparcel.dhl.es/seguimientoenvios/integra/SeguimientoDocumentos.aspx?codigo=0865424690&amp;anno=2026&amp;lang=sp&amp;zatar=q45LoBtfSS29xHGRDZ57</t>
  </si>
  <si>
    <t>63226000176</t>
  </si>
  <si>
    <t>0865424620</t>
  </si>
  <si>
    <t>IRUN</t>
  </si>
  <si>
    <t>GUIPUZKOA</t>
  </si>
  <si>
    <t>https://clientesparcel.dhl.es/seguimientoenvios/integra/SeguimientoDocumentos.aspx?codigo=0865424620&amp;anno=2026&amp;lang=sp&amp;zatar=q45LoBtfSS29xHGRDZ57</t>
  </si>
  <si>
    <t>DPD260147282</t>
  </si>
  <si>
    <t>14813344</t>
  </si>
  <si>
    <t>RECOGE EL CLIENTE</t>
  </si>
  <si>
    <t>CTRA. SENTMENAT 36</t>
  </si>
  <si>
    <t>https://img.directoatusclientes.com/iris/POD/RECOGERAN/DPD260147282.pdf</t>
  </si>
  <si>
    <t>ISD120526.4</t>
  </si>
  <si>
    <t>0865424580</t>
  </si>
  <si>
    <t>CRISTINA SALCINES</t>
  </si>
  <si>
    <t>AV/REINA VICTORIA 4, 10 D</t>
  </si>
  <si>
    <t>39004</t>
  </si>
  <si>
    <t>SANTADER</t>
  </si>
  <si>
    <t>CANTABRIA</t>
  </si>
  <si>
    <t>https://clientesparcel.dhl.es/seguimientoenvios/integra/SeguimientoDocumentos.aspx?codigo=0865424580&amp;anno=2026&amp;lang=sp&amp;zatar=q45LoBtfSS29xHGRDZ57</t>
  </si>
  <si>
    <t>PLOOM BARCELONA</t>
  </si>
  <si>
    <t>000016790</t>
  </si>
  <si>
    <t>MEDIAPOST YELES</t>
  </si>
  <si>
    <t>CTRA. SERRANILLOS 2</t>
  </si>
  <si>
    <t>45220</t>
  </si>
  <si>
    <t>YELES</t>
  </si>
  <si>
    <t>https://ontimegts.alertran.net/gts/pub/clielocserv.seam?cliente=02890149&amp;expedicion=999949931761</t>
  </si>
  <si>
    <t>999949931761</t>
  </si>
  <si>
    <t>ISD120526.6</t>
  </si>
  <si>
    <t>000016843</t>
  </si>
  <si>
    <t>https://ontimegts.alertran.net/gts/pub/clielocserv.seam?cliente=02890149&amp;expedicion=999949931762</t>
  </si>
  <si>
    <t>999949931762</t>
  </si>
  <si>
    <t>INPOST130526.1</t>
  </si>
  <si>
    <t>X26025814</t>
  </si>
  <si>
    <t>1200793791</t>
  </si>
  <si>
    <t>https://www.tip-sa.com/cliente/datos.php?id=02800109585X2602581408840</t>
  </si>
  <si>
    <t>0280010280011200793791</t>
  </si>
  <si>
    <t>MMS130526</t>
  </si>
  <si>
    <t>26039117</t>
  </si>
  <si>
    <t>https://img.directoatusclientes.com/iris/POD/SERTRANS/MMS130526.pdf</t>
  </si>
  <si>
    <t>63226000180</t>
  </si>
  <si>
    <t>0865425060</t>
  </si>
  <si>
    <t>RECOGER EN DELEGACION / SERGIO ALCANTARA</t>
  </si>
  <si>
    <t>MALAGA</t>
  </si>
  <si>
    <t>https://clientesparcel.dhl.es/seguimientoenvios/integra/SeguimientoDocumentos.aspx?codigo=0865425060&amp;anno=2026&amp;lang=sp&amp;zatar=q45LoBtfSS29xHGRDZ57</t>
  </si>
  <si>
    <t>SL140526</t>
  </si>
  <si>
    <t>917400040888</t>
  </si>
  <si>
    <t>SIG LISBOA_ATT: Ana Sofia Oliveira</t>
  </si>
  <si>
    <t>Av. Uruguai, nº 32 B</t>
  </si>
  <si>
    <t>1500</t>
  </si>
  <si>
    <t>614</t>
  </si>
  <si>
    <t>LISBOA</t>
  </si>
  <si>
    <t>PT</t>
  </si>
  <si>
    <t>CBL</t>
  </si>
  <si>
    <t>http://clientes.cbl-logistica.com/public/ShowPOD.aspx?query=NmQ3MDI2ZmYtNDg4Yy05ZTE4LTU1ZGYtZGRlMmExOTdhMzI0|REF|SL140526</t>
  </si>
  <si>
    <t>FCFA4CBE</t>
  </si>
  <si>
    <t>ICC130526</t>
  </si>
  <si>
    <t>1200794023</t>
  </si>
  <si>
    <t>https://www.tip-sa.com/cliente/datos.php?id=02800109585ICC13052646960</t>
  </si>
  <si>
    <t>0280010280011200794023</t>
  </si>
  <si>
    <t>DESTRUCCION 140526</t>
  </si>
  <si>
    <t>14203471</t>
  </si>
  <si>
    <t>DESTRUIR DYSON SIN CERTIFICADO</t>
  </si>
  <si>
    <t>https://img.directoatusclientes.com/iris/POD/DESTRUIR/DESTRUCCION 140526.pdf</t>
  </si>
  <si>
    <t>63226000182</t>
  </si>
  <si>
    <t>14813541</t>
  </si>
  <si>
    <t>MEDIAPOST BARCELONA</t>
  </si>
  <si>
    <t>CTRA SENTMENAT 36</t>
  </si>
  <si>
    <t>https://img.directoatusclientes.com/iris/POD/RECOGERAN/63226000182.pdf</t>
  </si>
  <si>
    <t>63226000184</t>
  </si>
  <si>
    <t>000016911</t>
  </si>
  <si>
    <t>Karim Diaz / Javier Medina</t>
  </si>
  <si>
    <t>Carrer Roc de Boronat 66, Planta 3.</t>
  </si>
  <si>
    <t>https://ontimegts.alertran.net/gts/pub/clielocserv.seam?cliente=02890149&amp;expedicion=999949969617</t>
  </si>
  <si>
    <t>999949969617</t>
  </si>
  <si>
    <t>OT 3023</t>
  </si>
  <si>
    <t>14813514</t>
  </si>
  <si>
    <t>ot 3023</t>
  </si>
  <si>
    <t>https://img.directoatusclientes.com/iris/POD/RECOGERAN/OT 3023.pdf</t>
  </si>
  <si>
    <t>INPOST130526.4</t>
  </si>
  <si>
    <t>X26026343</t>
  </si>
  <si>
    <t>5602445</t>
  </si>
  <si>
    <t>Fede Acedo Becerra</t>
  </si>
  <si>
    <t>Galtzaraborda Hiribidea 85, piso 3, Izquierda</t>
  </si>
  <si>
    <t>20100</t>
  </si>
  <si>
    <t>Errenteria</t>
  </si>
  <si>
    <t>Gipuzkoa</t>
  </si>
  <si>
    <t>https://mygls.gls-spain.es/e/31200805602445/20100</t>
  </si>
  <si>
    <t>SIG180526.2</t>
  </si>
  <si>
    <t>1200794607</t>
  </si>
  <si>
    <t>TIPSA LAS ROZAS</t>
  </si>
  <si>
    <t>CALLE MUNICH, 2B</t>
  </si>
  <si>
    <t>28232</t>
  </si>
  <si>
    <t>Las Rozas de Madrid</t>
  </si>
  <si>
    <t>https://www.tip-sa.com/cliente/datos.php?id=02800109585SIG180526.228232</t>
  </si>
  <si>
    <t>0280010280011200794607</t>
  </si>
  <si>
    <t>SIG180526.3</t>
  </si>
  <si>
    <t>1200794609</t>
  </si>
  <si>
    <t>https://www.tip-sa.com/cliente/datos.php?id=02800109585SIG180526.308840</t>
  </si>
  <si>
    <t>0280010280011200794609</t>
  </si>
  <si>
    <t>INPOST130526.3</t>
  </si>
  <si>
    <t>X26026342</t>
  </si>
  <si>
    <t>5602444</t>
  </si>
  <si>
    <t>Joan Manuel Luque Figueras</t>
  </si>
  <si>
    <t>Avinguda Catalunya 76-78 1-1</t>
  </si>
  <si>
    <t>08880</t>
  </si>
  <si>
    <t>Cubelles</t>
  </si>
  <si>
    <t>https://mygls.gls-spain.es/e/31200805602444/08880</t>
  </si>
  <si>
    <t>SIG180526.1</t>
  </si>
  <si>
    <t>1200794605</t>
  </si>
  <si>
    <t>CARRER DE LA MAR JONICA, 5,LOCAL 14</t>
  </si>
  <si>
    <t>BADALONA</t>
  </si>
  <si>
    <t>https://www.tip-sa.com/cliente/datos.php?id=02800109585SIG180526.108918</t>
  </si>
  <si>
    <t>0280010280011200794605</t>
  </si>
  <si>
    <t>INPOST130526.6</t>
  </si>
  <si>
    <t>X26026345</t>
  </si>
  <si>
    <t>5602447</t>
  </si>
  <si>
    <t>Bryan Silvera Yancari</t>
  </si>
  <si>
    <t>Avenida de Andalucía 34, Piso 3 Puerta A.</t>
  </si>
  <si>
    <t>41006</t>
  </si>
  <si>
    <t>https://mygls.gls-spain.es/e/31200805602447/41006</t>
  </si>
  <si>
    <t>INPOST130526.5</t>
  </si>
  <si>
    <t>X26026344</t>
  </si>
  <si>
    <t>5602446</t>
  </si>
  <si>
    <t>Javier Cortegoso Torres</t>
  </si>
  <si>
    <t>Plaza España 3-4 8i</t>
  </si>
  <si>
    <t>15406</t>
  </si>
  <si>
    <t>Ferrol</t>
  </si>
  <si>
    <t>https://mygls.gls-spain.es/e/31200805602446/15406</t>
  </si>
  <si>
    <t>INPOST150526.1</t>
  </si>
  <si>
    <t>1200794587</t>
  </si>
  <si>
    <t>https://www.tip-sa.com/cliente/datos.php?id=02800109585INPOST150526.128232</t>
  </si>
  <si>
    <t>0280010280011200794587</t>
  </si>
  <si>
    <t>LGL180526.1</t>
  </si>
  <si>
    <t>917400040898</t>
  </si>
  <si>
    <t>http://clientes.cbl-logistica.com/public/ShowPOD.aspx?query=NmQ3MDI2ZmYtNDg4Yy05ZTE4LTU1ZGYtZGRlMmExOTdhMzI0|REF|LGL180526.1</t>
  </si>
  <si>
    <t>89BB0FD3</t>
  </si>
  <si>
    <t>MLG190526</t>
  </si>
  <si>
    <t>1200795081</t>
  </si>
  <si>
    <t>https://www.tip-sa.com/cliente/datos.php?id=02800109585MLG19052646185</t>
  </si>
  <si>
    <t>0280010280011200795081</t>
  </si>
  <si>
    <t>MVDP180726</t>
  </si>
  <si>
    <t>MVDP180726_01</t>
  </si>
  <si>
    <t>0865425390</t>
  </si>
  <si>
    <t>MARIA DEL VAL DIAZ PÉREZ</t>
  </si>
  <si>
    <t>C/Guadalajara 109 Urbanización Calypo II</t>
  </si>
  <si>
    <t>28600</t>
  </si>
  <si>
    <t>NAVALCARNERO</t>
  </si>
  <si>
    <t>MADRID</t>
  </si>
  <si>
    <t>https://clientesparcel.dhl.es/seguimientoenvios/integra/SeguimientoDocumentos.aspx?codigo=0865425390&amp;anno=2026&amp;lang=sp&amp;zatar=q45LoBtfSS29xHGRDZ57</t>
  </si>
  <si>
    <t>DYS3SKU04 REPO 2</t>
  </si>
  <si>
    <t>X26026529</t>
  </si>
  <si>
    <t>1200794963</t>
  </si>
  <si>
    <t>tipsa torremolinos</t>
  </si>
  <si>
    <t>recoge en delegacion</t>
  </si>
  <si>
    <t>TORREMOLINOS</t>
  </si>
  <si>
    <t>https://www.tip-sa.com/cliente/datos.php?id=02800109585X2602652929620</t>
  </si>
  <si>
    <t>0280010280011200794963</t>
  </si>
  <si>
    <t>MHM190526</t>
  </si>
  <si>
    <t>5602460</t>
  </si>
  <si>
    <t>MARIAN HOSSAIN MOHAMED</t>
  </si>
  <si>
    <t>Loma larga, 12 urb playa Benítez nºl 1 1ºA</t>
  </si>
  <si>
    <t>51004</t>
  </si>
  <si>
    <t>CEUTA</t>
  </si>
  <si>
    <t>DEVOLUCION A ORIGEN</t>
  </si>
  <si>
    <t>https://mygls.gls-spain.es/e/31200805602460/51004</t>
  </si>
  <si>
    <t>MILG190526</t>
  </si>
  <si>
    <t>0865425410</t>
  </si>
  <si>
    <t>Calle Laiseca 144 A, n°6</t>
  </si>
  <si>
    <t>Sámano Castro Urdiales</t>
  </si>
  <si>
    <t>https://clientesparcel.dhl.es/seguimientoenvios/integra/SeguimientoDocumentos.aspx?codigo=0865425410&amp;anno=2026&amp;lang=sp&amp;zatar=q45LoBtfSS29xHGRDZ57</t>
  </si>
  <si>
    <t>63226000186</t>
  </si>
  <si>
    <t>1200794745</t>
  </si>
  <si>
    <t>Estanco Raga</t>
  </si>
  <si>
    <t>https://www.tip-sa.com/cliente/datos.php?id=028001095856322600018646450</t>
  </si>
  <si>
    <t>0280010280011200794745</t>
  </si>
  <si>
    <t>INPOST200526.1</t>
  </si>
  <si>
    <t>X26026713</t>
  </si>
  <si>
    <t>1200795345</t>
  </si>
  <si>
    <t>https://www.tip-sa.com/cliente/datos.php?id=02800109585X2602671308918</t>
  </si>
  <si>
    <t>0280010280011200795345</t>
  </si>
  <si>
    <t>MVDP200526BAL2</t>
  </si>
  <si>
    <t>0865425550</t>
  </si>
  <si>
    <t>DHL SEGOVIA</t>
  </si>
  <si>
    <t>RECOGEN EN AGENCIA</t>
  </si>
  <si>
    <t>40195</t>
  </si>
  <si>
    <t>https://clientesparcel.dhl.es/seguimientoenvios/integra/SeguimientoDocumentos.aspx?codigo=0865425550&amp;anno=2026&amp;lang=sp&amp;zatar=q45LoBtfSS29xHGRDZ57</t>
  </si>
  <si>
    <t>MVDP200526BAL3</t>
  </si>
  <si>
    <t>0865425560</t>
  </si>
  <si>
    <t>https://clientesparcel.dhl.es/seguimientoenvios/integra/SeguimientoDocumentos.aspx?codigo=0865425560&amp;anno=2026&amp;lang=sp&amp;zatar=q45LoBtfSS29xHGRDZ57</t>
  </si>
  <si>
    <t>MVDP200526ZOR3</t>
  </si>
  <si>
    <t>0865425530</t>
  </si>
  <si>
    <t>https://clientesparcel.dhl.es/seguimientoenvios/integra/SeguimientoDocumentos.aspx?codigo=0865425530&amp;anno=2026&amp;lang=sp&amp;zatar=q45LoBtfSS29xHGRDZ57</t>
  </si>
  <si>
    <t>FINAL STOCK-2</t>
  </si>
  <si>
    <t>26040755</t>
  </si>
  <si>
    <t>NULO</t>
  </si>
  <si>
    <t>https://img.directoatusclientes.com/iris/POD/NULO/FINAL STOCK-2.pdf</t>
  </si>
  <si>
    <t>WW_2005_DMCR</t>
  </si>
  <si>
    <t>0865425460</t>
  </si>
  <si>
    <t>DIGNA MARIA CASTIÑEIRA RAMA</t>
  </si>
  <si>
    <t>RUA ADUANA 19, ENT D, SAN CIPRIAN</t>
  </si>
  <si>
    <t>27890</t>
  </si>
  <si>
    <t>CERVO</t>
  </si>
  <si>
    <t>LUGO</t>
  </si>
  <si>
    <t>https://clientesparcel.dhl.es/seguimientoenvios/integra/SeguimientoDocumentos.aspx?codigo=0865425460&amp;anno=2026&amp;lang=sp&amp;zatar=q45LoBtfSS29xHGRDZ57</t>
  </si>
  <si>
    <t>FINAL STOCK</t>
  </si>
  <si>
    <t>FINAL STOCK_01</t>
  </si>
  <si>
    <t>26040754</t>
  </si>
  <si>
    <t>https://img.directoatusclientes.com/iris/POD/NULO/FINAL STOCK_01.pdf</t>
  </si>
  <si>
    <t>MVDP200526ZOR1</t>
  </si>
  <si>
    <t>0865425510</t>
  </si>
  <si>
    <t>https://clientesparcel.dhl.es/seguimientoenvios/integra/SeguimientoDocumentos.aspx?codigo=0865425510&amp;anno=2026&amp;lang=sp&amp;zatar=q45LoBtfSS29xHGRDZ57</t>
  </si>
  <si>
    <t>63226000193</t>
  </si>
  <si>
    <t>0865425490</t>
  </si>
  <si>
    <t>Marta Vazquez</t>
  </si>
  <si>
    <t>https://clientesparcel.dhl.es/seguimientoenvios/integra/SeguimientoDocumentos.aspx?codigo=0865425490&amp;anno=2026&amp;lang=sp&amp;zatar=q45LoBtfSS29xHGRDZ57</t>
  </si>
  <si>
    <t>MVDP200526BAL1</t>
  </si>
  <si>
    <t>0865425540</t>
  </si>
  <si>
    <t>https://clientesparcel.dhl.es/seguimientoenvios/integra/SeguimientoDocumentos.aspx?codigo=0865425540&amp;anno=2026&amp;lang=sp&amp;zatar=q45LoBtfSS29xHGRDZ57</t>
  </si>
  <si>
    <t>FINAL STOCK-3</t>
  </si>
  <si>
    <t>26040753</t>
  </si>
  <si>
    <t>https://img.directoatusclientes.com/iris/POD/NULO/FINAL STOCK-3.pdf</t>
  </si>
  <si>
    <t>MVDP200526ZOR2</t>
  </si>
  <si>
    <t>0865425520</t>
  </si>
  <si>
    <t>https://clientesparcel.dhl.es/seguimientoenvios/integra/SeguimientoDocumentos.aspx?codigo=0865425520&amp;anno=2026&amp;lang=sp&amp;zatar=q45LoBtfSS29xHGRDZ57</t>
  </si>
  <si>
    <t>63226000191</t>
  </si>
  <si>
    <t>0865425480</t>
  </si>
  <si>
    <t>GESTION EN DESTINO</t>
  </si>
  <si>
    <t>https://clientesparcel.dhl.es/seguimientoenvios/integra/SeguimientoDocumentos.aspx?codigo=0865425480&amp;anno=2026&amp;lang=sp&amp;zatar=q45LoBtfSS29xHGRDZ57</t>
  </si>
  <si>
    <t>MVDP200526BAL4</t>
  </si>
  <si>
    <t>0865425570</t>
  </si>
  <si>
    <t>https://clientesparcel.dhl.es/seguimientoenvios/integra/SeguimientoDocumentos.aspx?codigo=0865425570&amp;anno=2026&amp;lang=sp&amp;zatar=q45LoBtfSS29xHGRDZ57</t>
  </si>
  <si>
    <t>DYS_RE1905</t>
  </si>
  <si>
    <t>1200795171</t>
  </si>
  <si>
    <t>https://www.tip-sa.com/cliente/datos.php?id=02800109585DYS_RE190528232</t>
  </si>
  <si>
    <t>0280010280011200795171</t>
  </si>
  <si>
    <t>MVDP200526BRA</t>
  </si>
  <si>
    <t>0865425500</t>
  </si>
  <si>
    <t>https://clientesparcel.dhl.es/seguimientoenvios/integra/SeguimientoDocumentos.aspx?codigo=0865425500&amp;anno=2026&amp;lang=sp&amp;zatar=q45LoBtfSS29xHGRDZ57</t>
  </si>
  <si>
    <t>63226000197</t>
  </si>
  <si>
    <t>5602758</t>
  </si>
  <si>
    <t>EIRINAIOS ZENIERIS</t>
  </si>
  <si>
    <t>Calle San Clemente 8, Escalera 4, 4D</t>
  </si>
  <si>
    <t>28025</t>
  </si>
  <si>
    <t>https://mygls.gls-spain.es/e/31200805602758/28025</t>
  </si>
  <si>
    <t>ISD200526.2</t>
  </si>
  <si>
    <t>5602510</t>
  </si>
  <si>
    <t>DOUGLASS</t>
  </si>
  <si>
    <t>Avda. Meritxell, 83, Bajo Edif. Cor</t>
  </si>
  <si>
    <t>AD500</t>
  </si>
  <si>
    <t>Andorra  La Vella</t>
  </si>
  <si>
    <t>Andorra</t>
  </si>
  <si>
    <t>AD</t>
  </si>
  <si>
    <t>https://mygls.gls-spain.es/e/31200805602510/AD500</t>
  </si>
  <si>
    <t>63226000195</t>
  </si>
  <si>
    <t>0865425580</t>
  </si>
  <si>
    <t>https://clientesparcel.dhl.es/seguimientoenvios/integra/SeguimientoDocumentos.aspx?codigo=0865425580&amp;anno=2026&amp;lang=sp&amp;zatar=q45LoBtfSS29xHGRDZ57</t>
  </si>
  <si>
    <t>ICC21052026</t>
  </si>
  <si>
    <t>1200795715</t>
  </si>
  <si>
    <t>https://www.tip-sa.com/cliente/datos.php?id=02800109585ICC2105202646960</t>
  </si>
  <si>
    <t>0280010280011200795715</t>
  </si>
  <si>
    <t>63226000199</t>
  </si>
  <si>
    <t>5602759</t>
  </si>
  <si>
    <t>MARCO ANDRÉ SOARES DAS NEVES</t>
  </si>
  <si>
    <t>Carrer de Francesc Moragas n°7 piso 1/2</t>
  </si>
  <si>
    <t>08901</t>
  </si>
  <si>
    <t>https://mygls.gls-spain.es/e/31200805602759/08901</t>
  </si>
  <si>
    <t>ISD200526.1</t>
  </si>
  <si>
    <t>5602740</t>
  </si>
  <si>
    <t>https://mygls.gls-spain.es/e/31200805602740/50410</t>
  </si>
  <si>
    <t>63226000201</t>
  </si>
  <si>
    <t>5602793</t>
  </si>
  <si>
    <t>https://mygls.gls-spain.es/e/31200805602793/28025</t>
  </si>
  <si>
    <t>INPOST220526.1</t>
  </si>
  <si>
    <t>X26027021</t>
  </si>
  <si>
    <t>1200795903</t>
  </si>
  <si>
    <t>https://www.tip-sa.com/cliente/datos.php?id=02800109585X2602702108840</t>
  </si>
  <si>
    <t>0280010280011200795903</t>
  </si>
  <si>
    <t>SMU220526.1</t>
  </si>
  <si>
    <t>0865426410</t>
  </si>
  <si>
    <t>SARA DE MIGUEL URBANO</t>
  </si>
  <si>
    <t>Carretera Villacastín Vigo km 273.5 (Última casa a la izquierda)</t>
  </si>
  <si>
    <t>49024</t>
  </si>
  <si>
    <t>ZAMORA</t>
  </si>
  <si>
    <t>https://clientesparcel.dhl.es/seguimientoenvios/integra/SeguimientoDocumentos.aspx?codigo=0865426410&amp;anno=2026&amp;lang=sp&amp;zatar=q45LoBtfSS29xHGRDZ57</t>
  </si>
  <si>
    <t>INPOST260526.1</t>
  </si>
  <si>
    <t>1200796863</t>
  </si>
  <si>
    <t>https://www.tip-sa.com/cliente/datos.php?id=02800109585INPOST260526.128232</t>
  </si>
  <si>
    <t>0280010280011200796863</t>
  </si>
  <si>
    <t>63226000203</t>
  </si>
  <si>
    <t>0865426370</t>
  </si>
  <si>
    <t>RECOGE EN DELEGACION / MIRIAM PEREZ</t>
  </si>
  <si>
    <t>RECOGE EN DELEGACION</t>
  </si>
  <si>
    <t>https://clientesparcel.dhl.es/seguimientoenvios/integra/SeguimientoDocumentos.aspx?codigo=0865426370&amp;anno=2026&amp;lang=sp&amp;zatar=q45LoBtfSS29xHGRDZ57</t>
  </si>
  <si>
    <t>DYS3SKU40.1</t>
  </si>
  <si>
    <t>DYS3SKU40.1_01</t>
  </si>
  <si>
    <t>917400040908</t>
  </si>
  <si>
    <t>CARREFOUR SJ DE AZNALFARACHE</t>
  </si>
  <si>
    <t>C. San Juan de Aznalfarache, Km. 1</t>
  </si>
  <si>
    <t>41920</t>
  </si>
  <si>
    <t>SAN JUAN DE AZNALFARACHE</t>
  </si>
  <si>
    <t>http://clientes.cbl-logistica.com/public/ShowPOD.aspx?query=NmQ3MDI2ZmYtNDg4Yy05ZTE4LTU1ZGYtZGRlMmExOTdhMzI0|REF|DYS3SKU40.1_01</t>
  </si>
  <si>
    <t>0E9A62CA</t>
  </si>
  <si>
    <t>INPOST260526.2</t>
  </si>
  <si>
    <t>X26027487</t>
  </si>
  <si>
    <t>5602835</t>
  </si>
  <si>
    <t>Ceva Logistics</t>
  </si>
  <si>
    <t>Carrer Principal 1, Poligon Industrial Les Planes Baixes</t>
  </si>
  <si>
    <t>43717</t>
  </si>
  <si>
    <t>La Bisbal del Penedes</t>
  </si>
  <si>
    <t>Tarragona</t>
  </si>
  <si>
    <t>https://mygls.gls-spain.es/e/31200805602835/43717</t>
  </si>
  <si>
    <t>LGL220526.1</t>
  </si>
  <si>
    <t>917400040907</t>
  </si>
  <si>
    <t>MEDIAPOST PALMA ARTS SPORTS</t>
  </si>
  <si>
    <t>C/ Vial San José, 41 Pol. Ind. Son Castelló</t>
  </si>
  <si>
    <t>07009</t>
  </si>
  <si>
    <t>PALMA DE MALLORCA</t>
  </si>
  <si>
    <t>BALEARES</t>
  </si>
  <si>
    <t>http://clientes.cbl-logistica.com/public/ShowPOD.aspx?query=NmQ3MDI2ZmYtNDg4Yy05ZTE4LTU1ZGYtZGRlMmExOTdhMzI0|REF|LGL220526.1</t>
  </si>
  <si>
    <t>29E8889F</t>
  </si>
  <si>
    <t>63226000205</t>
  </si>
  <si>
    <t>14814408</t>
  </si>
  <si>
    <t>https://img.directoatusclientes.com/iris/POD/RECOGERAN/63226000205.pdf</t>
  </si>
  <si>
    <t>WW_2505_ATS</t>
  </si>
  <si>
    <t>917400040910</t>
  </si>
  <si>
    <t>ABEL TELLO SANCHEZ</t>
  </si>
  <si>
    <t>CARRER DE DIEGO DE ALMAGRO 11, 3O 2A</t>
  </si>
  <si>
    <t>08204</t>
  </si>
  <si>
    <t>SABADELL</t>
  </si>
  <si>
    <t>https://clientes.cbl-logistica.com/public/consultaenvio.aspx?id=91240DCE</t>
  </si>
  <si>
    <t>91240DCE</t>
  </si>
  <si>
    <t>WW_2705_ALLB</t>
  </si>
  <si>
    <t>0865426490</t>
  </si>
  <si>
    <t>ANA LETICIA LOPEZ BENEITEZ</t>
  </si>
  <si>
    <t>AVENIDA FERNÁNDEZ LADREDA, NÚMERO 5, 2°A.</t>
  </si>
  <si>
    <t>24005</t>
  </si>
  <si>
    <t>LEON</t>
  </si>
  <si>
    <t>https://clientesparcel.dhl.es/seguimientoenvios/integra/SeguimientoDocumentos.aspx?codigo=0865426490&amp;anno=2026&amp;lang=sp&amp;zatar=q45LoBtfSS29xHGRDZ57</t>
  </si>
  <si>
    <t>WW_2505_FVA</t>
  </si>
  <si>
    <t>000017181</t>
  </si>
  <si>
    <t>CL SANCHO DE CABRERA, 12</t>
  </si>
  <si>
    <t>https://ontimegts.alertran.net/gts/pub/clielocserv.seam?cliente=02890149&amp;expedicion=999951158817</t>
  </si>
  <si>
    <t>999951158817</t>
  </si>
  <si>
    <t>WW_2505_RVN</t>
  </si>
  <si>
    <t>000017221</t>
  </si>
  <si>
    <t>RUTH VILLAS NIETO</t>
  </si>
  <si>
    <t>C/LUIS MITJANS, 13 2º C</t>
  </si>
  <si>
    <t>28007</t>
  </si>
  <si>
    <t>https://ontimegts.alertran.net/gts/pub/clielocserv.seam?cliente=02890149&amp;expedicion=999951158851</t>
  </si>
  <si>
    <t>999951158851</t>
  </si>
  <si>
    <t>63226000207</t>
  </si>
  <si>
    <t>0865426520</t>
  </si>
  <si>
    <t>https://clientesparcel.dhl.es/seguimientoenvios/integra/SeguimientoDocumentos.aspx?codigo=0865426520&amp;anno=2026&amp;lang=sp&amp;zatar=q45LoBtfSS29xHGRDZ57</t>
  </si>
  <si>
    <t>WW_2505_PPG</t>
  </si>
  <si>
    <t>000017178</t>
  </si>
  <si>
    <t>PALOMA PEREZ GOMEZ</t>
  </si>
  <si>
    <t>Calle Villajimena 51- 4C</t>
  </si>
  <si>
    <t>28032</t>
  </si>
  <si>
    <t>https://ontimegts.alertran.net/gts/pub/clielocserv.seam?cliente=02890149&amp;expedicion=999951158815</t>
  </si>
  <si>
    <t>999951158815</t>
  </si>
  <si>
    <t>INPOST270526.1</t>
  </si>
  <si>
    <t>X26027714</t>
  </si>
  <si>
    <t>5604341</t>
  </si>
  <si>
    <t>https://mygls.gls-spain.es/e/31200805604341/43717</t>
  </si>
  <si>
    <t>WW_2505_TCR</t>
  </si>
  <si>
    <t>0865426460</t>
  </si>
  <si>
    <t>TRINIDAD CASTIÑEIRA RAMA</t>
  </si>
  <si>
    <t>CARRETERA RIANXIÑO, Nº78</t>
  </si>
  <si>
    <t>15920</t>
  </si>
  <si>
    <t>RIANXO</t>
  </si>
  <si>
    <t>A CORUÑA</t>
  </si>
  <si>
    <t>https://clientesparcel.dhl.es/seguimientoenvios/integra/SeguimientoDocumentos.aspx?codigo=0865426460&amp;anno=2026&amp;lang=sp&amp;zatar=q45LoBtfSS29xHGRDZ57</t>
  </si>
  <si>
    <t>WW_2705_ACR</t>
  </si>
  <si>
    <t>000017226</t>
  </si>
  <si>
    <t>ANTONIO CUENCA RODRIGUEZ</t>
  </si>
  <si>
    <t>CL PUYOLA 4</t>
  </si>
  <si>
    <t>30300</t>
  </si>
  <si>
    <t>CARTAGENA</t>
  </si>
  <si>
    <t>MURCIA</t>
  </si>
  <si>
    <t>https://ontimegts.alertran.net/gts/pub/clielocserv.seam?cliente=02890149&amp;expedicion=999951158853</t>
  </si>
  <si>
    <t>999951158853</t>
  </si>
  <si>
    <t>WW_2505_PFF</t>
  </si>
  <si>
    <t>000017176</t>
  </si>
  <si>
    <t>GRILLERO, Nº 2</t>
  </si>
  <si>
    <t>33612</t>
  </si>
  <si>
    <t>SANTA CRUZ DE MIERES</t>
  </si>
  <si>
    <t>https://ontimegts.alertran.net/gts/pub/clielocserv.seam?cliente=02890149&amp;expedicion=999951158814</t>
  </si>
  <si>
    <t>999951158814</t>
  </si>
  <si>
    <t>WW_2505_MJMP.4</t>
  </si>
  <si>
    <t>0865426450</t>
  </si>
  <si>
    <t>MARIA JOSE MARTINEZ PALAZON</t>
  </si>
  <si>
    <t>28906</t>
  </si>
  <si>
    <t>GETAFE</t>
  </si>
  <si>
    <t>https://clientesparcel.dhl.es/seguimientoenvios/integra/SeguimientoDocumentos.aspx?codigo=0865426450&amp;anno=2026&amp;lang=sp&amp;zatar=q45LoBtfSS29xHGRDZ57</t>
  </si>
  <si>
    <t>WW_2505_MJMP.3</t>
  </si>
  <si>
    <t>0865426440</t>
  </si>
  <si>
    <t>https://clientesparcel.dhl.es/seguimientoenvios/integra/SeguimientoDocumentos.aspx?codigo=0865426440&amp;anno=2026&amp;lang=sp&amp;zatar=q45LoBtfSS29xHGRDZ57</t>
  </si>
  <si>
    <t>WW_2705_MCM</t>
  </si>
  <si>
    <t>000017194</t>
  </si>
  <si>
    <t>MARTA CALVACHE MENA</t>
  </si>
  <si>
    <t>CALLE NUESTRA SEÑORA DEL PERPETÚO SOCORRO, 4 - BAJO (ES UN GIMNASIO)</t>
  </si>
  <si>
    <t>23008</t>
  </si>
  <si>
    <t>JAÉN</t>
  </si>
  <si>
    <t>JAEN</t>
  </si>
  <si>
    <t>https://ontimegts.alertran.net/gts/pub/clielocserv.seam?cliente=02890149&amp;expedicion=999951158826</t>
  </si>
  <si>
    <t>999951158826</t>
  </si>
  <si>
    <t>WW_2705_MILG</t>
  </si>
  <si>
    <t>000017227</t>
  </si>
  <si>
    <t>CALLE LAISECA 144 A, N°6</t>
  </si>
  <si>
    <t>SAMANO (CASTRO URDIALES)</t>
  </si>
  <si>
    <t>https://ontimegts.alertran.net/gts/pub/clielocserv.seam?cliente=02890149&amp;expedicion=999951163046</t>
  </si>
  <si>
    <t>999951163046</t>
  </si>
  <si>
    <t>WW_2705_SVR</t>
  </si>
  <si>
    <t>000017195</t>
  </si>
  <si>
    <t>SONIA VILELA RINCON</t>
  </si>
  <si>
    <t>RUA CASTELAO NUMERO 9 PISO 5E</t>
  </si>
  <si>
    <t>27600</t>
  </si>
  <si>
    <t>SARRIA</t>
  </si>
  <si>
    <t>https://ontimegts.alertran.net/gts/pub/clielocserv.seam?cliente=02890149&amp;expedicion=999951158837</t>
  </si>
  <si>
    <t>999951158837</t>
  </si>
  <si>
    <t>WW_2705_SCP</t>
  </si>
  <si>
    <t>000017192</t>
  </si>
  <si>
    <t xml:space="preserve"> CALLE BUEN PASTOR 459</t>
  </si>
  <si>
    <t>CÁDIZ</t>
  </si>
  <si>
    <t>https://ontimegts.alertran.net/gts/pub/clielocserv.seam?cliente=02890149&amp;expedicion=999951158821</t>
  </si>
  <si>
    <t>999951158821</t>
  </si>
  <si>
    <t>WW_2505_MJMP</t>
  </si>
  <si>
    <t>0865426420</t>
  </si>
  <si>
    <t>https://clientesparcel.dhl.es/seguimientoenvios/integra/SeguimientoDocumentos.aspx?codigo=0865426420&amp;anno=2026&amp;lang=sp&amp;zatar=q45LoBtfSS29xHGRDZ57</t>
  </si>
  <si>
    <t>DPD260160187</t>
  </si>
  <si>
    <t>1200797221</t>
  </si>
  <si>
    <t>LAS ROZAS</t>
  </si>
  <si>
    <t>https://www.tip-sa.com/cliente/datos.php?id=02800109585DPD26016018728232</t>
  </si>
  <si>
    <t>0280010280011200797221</t>
  </si>
  <si>
    <t>WW_2705_MFP</t>
  </si>
  <si>
    <t>0865426480</t>
  </si>
  <si>
    <t>MIGUEL FERNANDEZ PAEZ</t>
  </si>
  <si>
    <t>RÚA SEIXALBO 3, 3°C</t>
  </si>
  <si>
    <t>32005</t>
  </si>
  <si>
    <t>OURENSE</t>
  </si>
  <si>
    <t>https://clientesparcel.dhl.es/seguimientoenvios/integra/SeguimientoDocumentos.aspx?codigo=0865426480&amp;anno=2026&amp;lang=sp&amp;zatar=q45LoBtfSS29xHGRDZ57</t>
  </si>
  <si>
    <t>WW_2705_SMJA</t>
  </si>
  <si>
    <t>0865426470</t>
  </si>
  <si>
    <t>SANDRA MARIA JUAN ALVAREZ</t>
  </si>
  <si>
    <t>CAMINO PAJARON 24 BAJO</t>
  </si>
  <si>
    <t>37185</t>
  </si>
  <si>
    <t>VILLAMAYOR</t>
  </si>
  <si>
    <t>SALAMANCA</t>
  </si>
  <si>
    <t>https://clientesparcel.dhl.es/seguimientoenvios/integra/SeguimientoDocumentos.aspx?codigo=0865426470&amp;anno=2026&amp;lang=sp&amp;zatar=q45LoBtfSS29xHGRDZ57</t>
  </si>
  <si>
    <t>WW_2025_NEP</t>
  </si>
  <si>
    <t>000017182</t>
  </si>
  <si>
    <t>NURIA ESCOBAR PASTOR</t>
  </si>
  <si>
    <t>C/ CIUDAD DE RIGA N2, BLOQUE 3, PISO 6A</t>
  </si>
  <si>
    <t>03005</t>
  </si>
  <si>
    <t>https://ontimegts.alertran.net/gts/pub/clielocserv.seam?cliente=02890149&amp;expedicion=999951158818</t>
  </si>
  <si>
    <t>999951158818</t>
  </si>
  <si>
    <t>WW_2705_ABG</t>
  </si>
  <si>
    <t>0865426500</t>
  </si>
  <si>
    <t>ANDREA BARRIO GARCIA</t>
  </si>
  <si>
    <t>CALLE SAN FRANCISCO 31, 2ºG</t>
  </si>
  <si>
    <t>09005</t>
  </si>
  <si>
    <t>https://clientesparcel.dhl.es/seguimientoenvios/integra/SeguimientoDocumentos.aspx?codigo=0865426500&amp;anno=2026&amp;lang=sp&amp;zatar=q45LoBtfSS29xHGRDZ57</t>
  </si>
  <si>
    <t>WW_2505_VBG</t>
  </si>
  <si>
    <t>000017180</t>
  </si>
  <si>
    <t>VERONICA BOULLOSA GOMEZ</t>
  </si>
  <si>
    <t>RUA MOAÑA 22 3 IZQUIERDA</t>
  </si>
  <si>
    <t>36209</t>
  </si>
  <si>
    <t>VIGO</t>
  </si>
  <si>
    <t>PONTEVEDRA</t>
  </si>
  <si>
    <t>https://ontimegts.alertran.net/gts/pub/clielocserv.seam?cliente=02890149&amp;expedicion=999951158816</t>
  </si>
  <si>
    <t>999951158816</t>
  </si>
  <si>
    <t>WW_2505_IME</t>
  </si>
  <si>
    <t>000017222</t>
  </si>
  <si>
    <t>IVAN MARTINEZ ESPARZA</t>
  </si>
  <si>
    <t>C/ Federico García Lorca 25 1º izq D</t>
  </si>
  <si>
    <t>30710</t>
  </si>
  <si>
    <t>LOS ALCAZARES</t>
  </si>
  <si>
    <t>https://ontimegts.alertran.net/gts/pub/clielocserv.seam?cliente=02890149&amp;expedicion=999951158852</t>
  </si>
  <si>
    <t>999951158852</t>
  </si>
  <si>
    <t>WW_2705_ALG</t>
  </si>
  <si>
    <t>000017197</t>
  </si>
  <si>
    <t>ALBERTO LOPEZ GARZON</t>
  </si>
  <si>
    <t>CL LOS SAUCES, Nº1</t>
  </si>
  <si>
    <t>29532</t>
  </si>
  <si>
    <t>MOLLINA</t>
  </si>
  <si>
    <t>https://ontimegts.alertran.net/gts/pub/clielocserv.seam?cliente=02890149&amp;expedicion=999951158848</t>
  </si>
  <si>
    <t>999951158848</t>
  </si>
  <si>
    <t>WW_2505_MJMP.2</t>
  </si>
  <si>
    <t>0865426430</t>
  </si>
  <si>
    <t>https://clientesparcel.dhl.es/seguimientoenvios/integra/SeguimientoDocumentos.aspx?codigo=0865426430&amp;anno=2026&amp;lang=sp&amp;zatar=q45LoBtfSS29xHGRDZ57</t>
  </si>
  <si>
    <t>WW_2905_MPMU</t>
  </si>
  <si>
    <t>000017236</t>
  </si>
  <si>
    <t>Calle Caixer 2A</t>
  </si>
  <si>
    <t>Alquerias Niño Perdido</t>
  </si>
  <si>
    <t>https://ontimegts.alertran.net/gts/pub/clielocserv.seam?cliente=02890149&amp;expedicion=999951178285</t>
  </si>
  <si>
    <t>999951178285</t>
  </si>
  <si>
    <t>WW_2905_LGL</t>
  </si>
  <si>
    <t>000017238</t>
  </si>
  <si>
    <t>VIC TRASTERS</t>
  </si>
  <si>
    <t>Carrer de Francesc Santcliment, 87, 08500 Vic, Barcelona( trastero nº 311)</t>
  </si>
  <si>
    <t>https://ontimegts.alertran.net/gts/pub/clielocserv.seam?cliente=02890149&amp;expedicion=999951178286</t>
  </si>
  <si>
    <t>999951178286</t>
  </si>
  <si>
    <t>INP280526.1</t>
  </si>
  <si>
    <t>1200797673</t>
  </si>
  <si>
    <t>https://www.tip-sa.com/cliente/datos.php?id=02800109585INP280526.108918</t>
  </si>
  <si>
    <t>0280010280011200797673</t>
  </si>
  <si>
    <t>BGK290526</t>
  </si>
  <si>
    <t>1200797839</t>
  </si>
  <si>
    <t>https://www.tip-sa.com/cliente/datos.php?id=02800109585BGK29052603006</t>
  </si>
  <si>
    <t>0280010280011200797839</t>
  </si>
  <si>
    <t>WW_2905_ALG</t>
  </si>
  <si>
    <t>000017241</t>
  </si>
  <si>
    <t>https://ontimegts.alertran.net/gts/pub/clielocserv.seam?cliente=02890149&amp;expedicion=999951178287</t>
  </si>
  <si>
    <t>999951178287</t>
  </si>
  <si>
    <t>WW_2905_PPG</t>
  </si>
  <si>
    <t>000017233</t>
  </si>
  <si>
    <t>https://ontimegts.alertran.net/gts/pub/clielocserv.seam?cliente=02890149&amp;expedicion=999951178284</t>
  </si>
  <si>
    <t>999951178284</t>
  </si>
  <si>
    <t>WW_2905_MJMP</t>
  </si>
  <si>
    <t>0865427020</t>
  </si>
  <si>
    <t>DHL GETAFE</t>
  </si>
  <si>
    <t>https://clientesparcel.dhl.es/seguimientoenvios/integra/SeguimientoDocumentos.aspx?codigo=0865427020&amp;anno=2026&amp;lang=sp&amp;zatar=q45LoBtfSS29xHGRDZ57</t>
  </si>
  <si>
    <t>WW_2905_PRP</t>
  </si>
  <si>
    <t>0865427000</t>
  </si>
  <si>
    <t>PAULA REPISO PASCUA</t>
  </si>
  <si>
    <t>C/MONASTERIO DE SANTA MARIA DE LA VID, Nº 6 - 2ºB</t>
  </si>
  <si>
    <t>47015</t>
  </si>
  <si>
    <t>https://clientesparcel.dhl.es/seguimientoenvios/integra/SeguimientoDocumentos.aspx?codigo=0865427000&amp;anno=2026&amp;lang=sp&amp;zatar=q45LoBtfSS29xHGRDZ57</t>
  </si>
  <si>
    <t>WW_2905_ALLB</t>
  </si>
  <si>
    <t>0865427010</t>
  </si>
  <si>
    <t>https://clientesparcel.dhl.es/seguimientoenvios/integra/SeguimientoDocumentos.aspx?codigo=0865427010&amp;anno=2026&amp;lang=sp&amp;zatar=q45LoBtfSS29xHGRDZ57</t>
  </si>
  <si>
    <t>LGL280526</t>
  </si>
  <si>
    <t>5604355</t>
  </si>
  <si>
    <t>https://mygls.gls-spain.es/e/31200805604355/08500</t>
  </si>
  <si>
    <t>WW_2905_CGO</t>
  </si>
  <si>
    <t>0865426960</t>
  </si>
  <si>
    <t>CARMEN GARCIA ORTEGA</t>
  </si>
  <si>
    <t>CALLE CHILE 22 3IZQ</t>
  </si>
  <si>
    <t>02006</t>
  </si>
  <si>
    <t>ALBACETE</t>
  </si>
  <si>
    <t>https://clientesparcel.dhl.es/seguimientoenvios/integra/SeguimientoDocumentos.aspx?codigo=0865426960&amp;anno=2026&amp;lang=sp&amp;zatar=q45LoBtfSS29xHGRDZ57</t>
  </si>
  <si>
    <t>WW_2705_SGC.4</t>
  </si>
  <si>
    <t>103499</t>
  </si>
  <si>
    <t>Grimaldi Cargo Canarias</t>
  </si>
  <si>
    <t>35220</t>
  </si>
  <si>
    <t>JINAMAR</t>
  </si>
  <si>
    <t>EN GESTION ORIGEN</t>
  </si>
  <si>
    <t>WW_2905_EILP</t>
  </si>
  <si>
    <t>0865426980</t>
  </si>
  <si>
    <t>https://clientesparcel.dhl.es/seguimientoenvios/integra/SeguimientoDocumentos.aspx?codigo=0865426980&amp;anno=2026&amp;lang=sp&amp;zatar=q45LoBtfSS29xHGRDZ57</t>
  </si>
  <si>
    <t>DPD260160925</t>
  </si>
  <si>
    <t>328914</t>
  </si>
  <si>
    <t>Daniel Rios Solano</t>
  </si>
  <si>
    <t>Parque Industrial, C. de los Fontaneros, 1</t>
  </si>
  <si>
    <t>28830</t>
  </si>
  <si>
    <t>SAN FERNANDO DE HENARES</t>
  </si>
  <si>
    <t>https://www.correosexpress.com/chronoExtraNET/imagenes/mostrarImagen.seam?u=cdd394c03ac9cba88c65c265c9b9ea52&amp;e=749579310650003289147</t>
  </si>
  <si>
    <t>9310650003289147</t>
  </si>
  <si>
    <t>INP280526.2</t>
  </si>
  <si>
    <t>1200797675</t>
  </si>
  <si>
    <t>LAS ROZAS DE MADRID</t>
  </si>
  <si>
    <t>https://www.tip-sa.com/cliente/datos.php?id=02800109585INP280526.228232</t>
  </si>
  <si>
    <t>0280010280011200797675</t>
  </si>
  <si>
    <t>INP280526.3</t>
  </si>
  <si>
    <t>1200797677</t>
  </si>
  <si>
    <t>VILADECANS</t>
  </si>
  <si>
    <t>https://www.tip-sa.com/cliente/datos.php?id=02800109585INP280526.308840</t>
  </si>
  <si>
    <t>0280010280011200797677</t>
  </si>
  <si>
    <t>WW_2905_MJMP.2</t>
  </si>
  <si>
    <t>0865427030</t>
  </si>
  <si>
    <t>https://clientesparcel.dhl.es/seguimientoenvios/integra/SeguimientoDocumentos.aspx?codigo=0865427030&amp;anno=2026&amp;lang=sp&amp;zatar=q45LoBtfSS29xHGRDZ57</t>
  </si>
  <si>
    <t>WW_2705_IHF</t>
  </si>
  <si>
    <t>103494</t>
  </si>
  <si>
    <t>C/ ANTONIO LOPEZ LOPEZ N4, BLOQUE 24, 6 PLANTA, PUERTA 6A  MIRAMAR</t>
  </si>
  <si>
    <t>WW_2705_GAL</t>
  </si>
  <si>
    <t>000017229</t>
  </si>
  <si>
    <t>C. BULEVAR DE CUARTE 2, ESC. 1, 2-B</t>
  </si>
  <si>
    <t>https://ontimegts.alertran.net/gts/pub/clielocserv.seam?cliente=02890149&amp;expedicion=999951178283</t>
  </si>
  <si>
    <t>999951178283</t>
  </si>
  <si>
    <t>WW_2905_IIA</t>
  </si>
  <si>
    <t>0865426970</t>
  </si>
  <si>
    <t>ISABEL IGLESIAS ALVITE</t>
  </si>
  <si>
    <t>CL MANUEL PIÑEIRO POSE, Nº10 7ºC</t>
  </si>
  <si>
    <t>15006</t>
  </si>
  <si>
    <t>https://clientesparcel.dhl.es/seguimientoenvios/integra/SeguimientoDocumentos.aspx?codigo=0865426970&amp;anno=2026&amp;lang=sp&amp;zatar=q45LoBtfSS29xHGRDZ57</t>
  </si>
  <si>
    <t>WW_2705_SGC</t>
  </si>
  <si>
    <t>103495</t>
  </si>
  <si>
    <t>WW_2705_SGC.3</t>
  </si>
  <si>
    <t>103498</t>
  </si>
  <si>
    <t>WW_2705_SGC.2</t>
  </si>
  <si>
    <t>103497</t>
  </si>
  <si>
    <t>WW_2905_BGK</t>
  </si>
  <si>
    <t>000017235</t>
  </si>
  <si>
    <t>AV. DE HOLANDA 6 , PISO 6º PUERAT A</t>
  </si>
  <si>
    <t>https://ontimegts.alertran.net/gts/pub/clielocserv.seam?cliente=02890149&amp;expedicion=999951200191</t>
  </si>
  <si>
    <t>999951200191</t>
  </si>
  <si>
    <t>WW_2905_TNC</t>
  </si>
  <si>
    <t>0865426990</t>
  </si>
  <si>
    <t xml:space="preserve"> THAIANE NASCIMENTO DA COSTA</t>
  </si>
  <si>
    <t>https://clientesparcel.dhl.es/seguimientoenvios/integra/SeguimientoDocumentos.aspx?codigo=0865426990&amp;anno=2026&amp;lang=sp&amp;zatar=q45LoBtfSS29xHGRDZ57</t>
  </si>
  <si>
    <t>WW_2905_EME</t>
  </si>
  <si>
    <t>000017234</t>
  </si>
  <si>
    <t>ENCARNACION MARTINEZ ESTEBAN</t>
  </si>
  <si>
    <t>CALLE BOLIVIA, 21</t>
  </si>
  <si>
    <t>18210</t>
  </si>
  <si>
    <t>PELIGROS</t>
  </si>
  <si>
    <t>GRANADA</t>
  </si>
  <si>
    <t>https://ontimegts.alertran.net/gts/pub/clielocserv.seam?cliente=02890149&amp;expedicion=999951200190</t>
  </si>
  <si>
    <t>999951200190</t>
  </si>
  <si>
    <t>WW_2705_SGC.1</t>
  </si>
  <si>
    <t>103496</t>
  </si>
  <si>
    <t>02062026.1</t>
  </si>
  <si>
    <t>1200798575</t>
  </si>
  <si>
    <t>https://www.tip-sa.com/cliente/datos.php?id=0280010958502062026.128232</t>
  </si>
  <si>
    <t>0280010280011200798575</t>
  </si>
  <si>
    <t>ITT010626.1</t>
  </si>
  <si>
    <t>0865427320</t>
  </si>
  <si>
    <t>RECOGE EN DELEGACIÓN</t>
  </si>
  <si>
    <t>https://clientesparcel.dhl.es/seguimientoenvios/integra/SeguimientoDocumentos.aspx?codigo=0865427320&amp;anno=2026&amp;lang=sp&amp;zatar=q45LoBtfSS29xHGRDZ57</t>
  </si>
  <si>
    <t>63226000211</t>
  </si>
  <si>
    <t>1200798069</t>
  </si>
  <si>
    <t>Leyre Figa</t>
  </si>
  <si>
    <t>PLAÇA NACIONS 5 AP. 64</t>
  </si>
  <si>
    <t>17250</t>
  </si>
  <si>
    <t>PLATJA D'ARO</t>
  </si>
  <si>
    <t>Girona</t>
  </si>
  <si>
    <t>RECLAMADO AL TRANSPORTE QUE REALICE LA ENTREGA</t>
  </si>
  <si>
    <t>https://www.tip-sa.com/cliente/datos.php?id=028001095856322600021117250</t>
  </si>
  <si>
    <t>0280010280011200798069</t>
  </si>
  <si>
    <t>63226000209</t>
  </si>
  <si>
    <t>0865427070</t>
  </si>
  <si>
    <t>https://clientesparcel.dhl.es/seguimientoenvios/integra/SeguimientoDocumentos.aspx?codigo=0865427070&amp;anno=2026&amp;lang=sp&amp;zatar=q45LoBtfSS29xHGRDZ57</t>
  </si>
  <si>
    <t>63226000213</t>
  </si>
  <si>
    <t>0865427330</t>
  </si>
  <si>
    <t>RECOGE EN DELEGACION _ MIRIAM PEREZ</t>
  </si>
  <si>
    <t>https://clientesparcel.dhl.es/seguimientoenvios/integra/SeguimientoDocumentos.aspx?codigo=0865427330&amp;anno=2026&amp;lang=sp&amp;zatar=q45LoBtfSS29xHGRDZ57</t>
  </si>
  <si>
    <t>MHM190526 REPO</t>
  </si>
  <si>
    <t>1200798829</t>
  </si>
  <si>
    <t>https://www.tip-sa.com/cliente/datos.php?id=02800109585MHM190526 REPO51004</t>
  </si>
  <si>
    <t>0280010280011200798829</t>
  </si>
  <si>
    <t>63226000215</t>
  </si>
  <si>
    <t>000017312</t>
  </si>
  <si>
    <t>LA JONQUERA-001</t>
  </si>
  <si>
    <t>https://ontimegts.alertran.net/gts/pub/clielocserv.seam?cliente=02890149&amp;expedicion=999951244835</t>
  </si>
  <si>
    <t>999951244835</t>
  </si>
  <si>
    <t>63226000219</t>
  </si>
  <si>
    <t>000017339</t>
  </si>
  <si>
    <t>https://ontimegts.alertran.net/gts/pub/clielocserv.seam?cliente=02890149&amp;expedicion=999951244841</t>
  </si>
  <si>
    <t>999951244841</t>
  </si>
  <si>
    <t>63226000225</t>
  </si>
  <si>
    <t>1200798865</t>
  </si>
  <si>
    <t>Javier Medina / Karim Diaz</t>
  </si>
  <si>
    <t>Carrer Roc de Boronat 66, planta 3</t>
  </si>
  <si>
    <t>https://www.tip-sa.com/cliente/datos.php?id=028001095856322600022508005</t>
  </si>
  <si>
    <t>0280010280011200798865</t>
  </si>
  <si>
    <t>63226000217</t>
  </si>
  <si>
    <t>1200798841</t>
  </si>
  <si>
    <t>https://www.tip-sa.com/cliente/datos.php?id=028001095856322600021746450</t>
  </si>
  <si>
    <t>0280010280011200798841</t>
  </si>
  <si>
    <t>63226000221</t>
  </si>
  <si>
    <t>0865427390</t>
  </si>
  <si>
    <t>LLEGO TARDE PARA ENTRAR EN REPARTO</t>
  </si>
  <si>
    <t>https://clientesparcel.dhl.es/seguimientoenvios/integra/SeguimientoDocumentos.aspx?codigo=0865427390&amp;anno=2026&amp;lang=sp&amp;zatar=q45LoBtfSS29xHGRDZ57</t>
  </si>
  <si>
    <t>63226000223</t>
  </si>
  <si>
    <t>1200798861</t>
  </si>
  <si>
    <t>Valentina Herrera</t>
  </si>
  <si>
    <t>https://www.tip-sa.com/cliente/datos.php?id=028001095856322600022328009</t>
  </si>
  <si>
    <t>0280010280011200798861</t>
  </si>
  <si>
    <t>BGK030626</t>
  </si>
  <si>
    <t>1200799267</t>
  </si>
  <si>
    <t>https://www.tip-sa.com/cliente/datos.php?id=02800109585BGK03062603540</t>
  </si>
  <si>
    <t>0280010280011200799267</t>
  </si>
  <si>
    <t>63226000227</t>
  </si>
  <si>
    <t>14815084</t>
  </si>
  <si>
    <t>https://img.directoatusclientes.com/iris/POD/RECOGERAN/63226000227.pdf</t>
  </si>
  <si>
    <t>Auto+Ocultar+Valores+Formulas=Hoja1,Hoja2+FormulasOnly</t>
  </si>
  <si>
    <t>Ocultar</t>
  </si>
  <si>
    <t>="RESUMEN DE PEDIDOS EXPEDIDOS LOS ÚLTIMOS 30 DIAS: "&amp;TEXT(TODAY()-1,"dd/mm/aa")</t>
  </si>
  <si>
    <t>=NL("Primero","Cliente SGA",,"No.",CodCliente,"DataSource=","Navision","Empresa=","MEDIAPOST SPAIN")</t>
  </si>
  <si>
    <t>=NF($B4,"Nombre")</t>
  </si>
  <si>
    <t>=NL("Filas","Cab. albarán salida",{"No. documento cliente";"No. expedición transporte";"No. referencia transporte";"Nombre punto entrega";"Dirección punto entrega";"C.P. Punto entrega";"Población punto entrega";"Provincia punto entrega";"País punto entrega";"Fecha envío al SGA";"Fecha completado SGA";"Estado";"Estado Dispatching";"Fecha última situación";"Cód. Transportista";"Cód. servicio solicitado";"Link Imagen";"Tipo documento";"No.";"Cód. Incidencia/Situación";"Observaciones SGA"},"No. Cliente SGA",CodCliente,"Cód. operativa","*"&amp;Operativa,"Fecha confirmación SGA",NP("Filtrofecha",Fechaini,Fechafin),"Estado Dispatching","&lt;&gt;Anulado","Enlace=","Operativas","No. cliente SGA","=No. Cliente SGA","Código","=Cód. operativa","Activa","1","DataSource=","Navision","Empresa=","MEDIAPOST SPAIN")</t>
  </si>
  <si>
    <t>=NF($B6,"No.")</t>
  </si>
  <si>
    <t>=NL("Filas","SQL=select max(t.[Nº movimiento]) movimiento "&amp;
"    from [dbo].[MEDIAPOST SPAIN$Tracking Documento] t "&amp;
"  where t.[Nº Albarán] =  '"&amp;$C6&amp;"'  "&amp;
"       and t.[Estado Documento] &lt;&gt; '' ",{"movimiento"},"Datasource=","SQL-NAVISION")</t>
  </si>
  <si>
    <t>=NL("Primero","Tracking Documento",{"Estado Documento";"Cód. Incidencia"},"Nº movimiento",NF($D6,"movimiento"),"DataSource=","Navision","Empresa=","MEDIAPOST SPAIN")</t>
  </si>
  <si>
    <t>=NF($E6,"Cód. Incidencia")</t>
  </si>
  <si>
    <t>=IF($F6="","",NL("Primero","Situaciones Dispatching","Descripción","Cód. incidencia",$F6,"Notificar cliente","Sí","DataSource=","Navision","Empresa=","MEDIAPOST SPAIN"))</t>
  </si>
  <si>
    <t>=NF($B6,"No. Documento cliente")</t>
  </si>
  <si>
    <t>=NF($B6,"No. referencia transporte")</t>
  </si>
  <si>
    <t>=NF($B6,"No. expedición transporte")</t>
  </si>
  <si>
    <t>=NF($B6,"Nombre punto entrega")</t>
  </si>
  <si>
    <t>=NF($B6,"Dirección punto entrega")</t>
  </si>
  <si>
    <t>=NF($B6,"C.P. punto entrega")</t>
  </si>
  <si>
    <t>=NF($B6,"Población punto entrega")</t>
  </si>
  <si>
    <t>=NF($B6,"Provincia punto entrega")</t>
  </si>
  <si>
    <t>=NF($B6,"País punto entrega")</t>
  </si>
  <si>
    <t>=NF($B6,"Observaciones SGA")</t>
  </si>
  <si>
    <t>=IF($T6="Anulado","",TEXT(NF($B6,"Fecha envío al SGA"),"dd/mm/aaaa"))</t>
  </si>
  <si>
    <t>=IF($T6="Preparado","",TEXT(NF($B6,"Fecha completado SGA"),"dd/mm/aaaa"))</t>
  </si>
  <si>
    <t>=NF($E6,"Estado documento")</t>
  </si>
  <si>
    <t>=NF($B6,"Fecha última situación")</t>
  </si>
  <si>
    <t>=IF($F6="","",NL("Primero","Situaciones Dispatching","Descripción","Cód. incidencia",$F6,"DataSource=","Navision","Empresa=","MEDIAPOST SPAIN"))</t>
  </si>
  <si>
    <t>=NF($B6,"Cód. transportista")</t>
  </si>
  <si>
    <t>=NF($B6,"Cód. servicio solicitado")</t>
  </si>
  <si>
    <t>=IF(NF($B6,"Link imagen")&lt;&gt;"",HYPERLINK(NF($B6,"Link imagen")),"")</t>
  </si>
  <si>
    <t>=NL("Primero","Cab. Expedición","Localizador","No. referencia transporte",NF($B6,"No. referencia transporte"),"Conexión=","Navision","Empresa=","MEDIAPOST SPAIN")</t>
  </si>
  <si>
    <t>="RESUMEN DE PEDIDOS EXPEDIDOS LOS ÚLTIMOS 30 DIAS: "&amp;TEXTO(HOY()-1;"dd/mm/aa")</t>
  </si>
  <si>
    <t>�</t>
  </si>
  <si>
    <t>=NF($B4;"Nombre")</t>
  </si>
  <si>
    <t>=NL("Filas";"Cab. albarán salida";{"No. documento cliente";"No. expedición transporte";"No. referencia transporte";"Nombre punto entrega";"Dirección punto entrega";"C.P. Punto entrega";"Población punto entrega";"Provincia punto entrega";"País punto entrega";"Fecha envío al SGA";"Fecha completado SGA";"Estado";"Estado Dispatching";"Fecha última situación";"Cód. Transportista";"Cód. servicio solicitado";"Link Imagen";"Tipo documento";"No.";"Cód. Incidencia/Situación";"Observaciones SGA"};"No. Cliente SGA";CodCliente;"Cód. operativa";"*"&amp;Operativa;"Fecha confirmación SGA";NP("Filtrofecha";Fechaini;Fechafin);"Estado Dispatching";"&lt;&gt;Anulado";"Enlace=";"Operativas";"No. cliente SGA";"=No. Cliente SGA";"Código";"=Cód. operativa";"Activa";"1";"DataSource=";"Navision";"Empresa=";"MEDIAPOST SPAIN")</t>
  </si>
  <si>
    <t>=NF($B6;"No.")</t>
  </si>
  <si>
    <t>=NL("Filas";"SQL=select max(t.[Nº movimiento]) movimiento "&amp;
"    from [dbo].[MEDIAPOST SPAIN$Tracking Documento] t "&amp;
"  where t.[Nº Albarán] =  '"&amp;$C6&amp;"'  "&amp;
"       and t.[Estado Documento] &lt;&gt; '' ";{"movimiento"};"Datasource=";"SQL-NAVISION")</t>
  </si>
  <si>
    <t>=NL("Primero";"Tracking Documento";{"Estado Documento";"Cód. Incidencia"};"Nº movimiento";NF($D6;"movimiento");"DataSource=";"Navision";"Empresa=";"MEDIAPOST SPAIN")</t>
  </si>
  <si>
    <t>=NF($E6;"Cód. Incidencia")</t>
  </si>
  <si>
    <t>=SI($F6="";"";NL("Primero";"Situaciones Dispatching";"Descripción";"Cód. incidencia";$F6;"Notificar cliente";"Sí";"DataSource=";"Navision";"Empresa=";"MEDIAPOST SPAIN"))</t>
  </si>
  <si>
    <t>=NF($B6;"No. Documento cliente")</t>
  </si>
  <si>
    <t>=NF($B6;"No. referencia transporte")</t>
  </si>
  <si>
    <t>=NF($B6;"No. expedición transporte")</t>
  </si>
  <si>
    <t>=NF($B6;"Nombre punto entrega")</t>
  </si>
  <si>
    <t>=NF($B6;"Dirección punto entrega")</t>
  </si>
  <si>
    <t>=NF($B6;"C.P. punto entrega")</t>
  </si>
  <si>
    <t>=NF($B6;"Población punto entrega")</t>
  </si>
  <si>
    <t>=NF($B6;"Provincia punto entrega")</t>
  </si>
  <si>
    <t>=NF($B6;"País punto entrega")</t>
  </si>
  <si>
    <t>=NF($B6;"Observaciones SGA")</t>
  </si>
  <si>
    <t>=SI($T6="Anulado";"";TEXTO(NF($B6;"Fecha envío al SGA");"dd/mm/aaaa"))</t>
  </si>
  <si>
    <t>=SI($T6="Preparado";"";TEXTO(NF($B6;"Fecha completado SGA");"dd/mm/aaaa"))</t>
  </si>
  <si>
    <t>=NF($E6;"Estado documento")</t>
  </si>
  <si>
    <t>=NF($B6;"Fecha última situación")</t>
  </si>
  <si>
    <t>=SI($F6="";"";NL("Primero";"Situaciones Dispatching";"Descripción";"Cód. incidencia";$F6;"DataSource=";"Navision";"Empresa=";"MEDIAPOST SPAIN"))</t>
  </si>
  <si>
    <t>=NF($B6;"Cód. transportista")</t>
  </si>
  <si>
    <t>=NF($B6;"Cód. servicio solicitado")</t>
  </si>
  <si>
    <t>=SI(NF($B6;"Link imagen")&lt;&gt;"";HIPERVINCULO(NF($B6;"Link imagen"));"")</t>
  </si>
  <si>
    <t>=NL("Primero";"Cab. Expedición";"Localizador";"No. referencia transporte";NF($B6;"No. referencia transporte");"Conexión=";"Navision";"Empresa=";"MEDIAPOST SPAIN")</t>
  </si>
  <si>
    <t>Auto+Ocultar+Valores+Formulas=Hoja3,Hoja1,Hoja2+FormulasOnly</t>
  </si>
  <si>
    <t>Auto</t>
  </si>
  <si>
    <t>="""Navision"",""MEDIAPOST SPAIN"",""7098016"",""14"",""64425001555"",""51"",""1200708895"",""50"",""64425001555"",""60"",""Jose Luis Gonzalez Polo"",""61"",""Calle Meléndez Valdés 67, 2ºD"",""62"",""28015"",""63"",""Madrid"",""64"",""MADRID"",""65"",""ES"",""102"",""09/09/2025"",""50208"",""09/09/2025"","""&amp;"50007"",""Entregado"",""50006"",""Enviado"",""50319"",""12/09/2025"",""40"",""TIPSA"",""41"",""STD"",""238"",""https://www.tip-sa.com/cliente/datos.php?id=028001093946442500155528015"",""1"",""Pedido"",""2"",""PD250153852"",""50318"",""00002"",""50045"","""""</t>
  </si>
  <si>
    <t>=NF($B7,"No.")</t>
  </si>
  <si>
    <t>=NL("Filas","SQL=select max(t.[Nº movimiento]) movimiento "&amp;
"    from [dbo].[MEDIAPOST SPAIN$Tracking Documento] t "&amp;
"  where t.[Nº Albarán] =  '"&amp;$C7&amp;"'  "&amp;
"       and t.[Estado Documento] &lt;&gt; '' ",{"movimiento"},"Datasource=","SQL-NAVISION")</t>
  </si>
  <si>
    <t>=NL("Primero","Tracking Documento",{"Estado Documento";"Cód. Incidencia"},"Nº movimiento",NF($D7,"movimiento"),"DataSource=","Navision","Empresa=","MEDIAPOST SPAIN")</t>
  </si>
  <si>
    <t>=NF($E7,"Cód. Incidencia")</t>
  </si>
  <si>
    <t>=IF($F7="","",NL("Primero","Situaciones Dispatching","Descripción","Cód. incidencia",$F7,"Notificar cliente","Sí","DataSource=","Navision","Empresa=","MEDIAPOST SPAIN"))</t>
  </si>
  <si>
    <t>=NF($B7,"No. Documento cliente")</t>
  </si>
  <si>
    <t>=NF($B7,"No. referencia transporte")</t>
  </si>
  <si>
    <t>=NF($B7,"No. expedición transporte")</t>
  </si>
  <si>
    <t>=NF($B7,"Nombre punto entrega")</t>
  </si>
  <si>
    <t>=NF($B7,"Dirección punto entrega")</t>
  </si>
  <si>
    <t>=NF($B7,"C.P. punto entrega")</t>
  </si>
  <si>
    <t>=NF($B7,"Población punto entrega")</t>
  </si>
  <si>
    <t>=NF($B7,"Provincia punto entrega")</t>
  </si>
  <si>
    <t>=NF($B7,"País punto entrega")</t>
  </si>
  <si>
    <t>=NF($B7,"Observaciones SGA")</t>
  </si>
  <si>
    <t>=IF($T7="Anulado","",TEXT(NF($B7,"Fecha envío al SGA"),"dd/mm/aaaa"))</t>
  </si>
  <si>
    <t>=IF($T7="Preparado","",TEXT(NF($B7,"Fecha completado SGA"),"dd/mm/aaaa"))</t>
  </si>
  <si>
    <t>=NF($E7,"Estado documento")</t>
  </si>
  <si>
    <t>=NF($B7,"Fecha última situación")</t>
  </si>
  <si>
    <t>=IF($F7="","",NL("Primero","Situaciones Dispatching","Descripción","Cód. incidencia",$F7,"DataSource=","Navision","Empresa=","MEDIAPOST SPAIN"))</t>
  </si>
  <si>
    <t>=NF($B7,"Cód. transportista")</t>
  </si>
  <si>
    <t>=NF($B7,"Cód. servicio solicitado")</t>
  </si>
  <si>
    <t>=IF(NF($B7,"Link imagen")&lt;&gt;"",HYPERLINK(NF($B7,"Link imagen")),"")</t>
  </si>
  <si>
    <t>=NL("Primero","Cab. Expedición","Localizador","No. referencia transporte",NF($B7,"No. referencia transporte"),"Conexión=","Navision","Empresa=","MEDIAPOST SPAIN")</t>
  </si>
  <si>
    <t>="""Navision"",""MEDIAPOST SPAIN"",""7098016"",""14"",""64425001556"",""51"",""0457648"",""50"",""64425001556"",""60"",""Jose Daniel Buendía Sanchez"",""61"",""C/ Julian Gayarre 14, 3ºD"",""62"",""28014"",""63"",""MADRID"",""64"",""MADRID"",""65"",""ES"",""102"",""09/09/2025"",""50208"",""09/09/2025"",""500"&amp;"07"",""Entregado"",""50006"",""Enviado"",""50319"",""11/09/2025"",""40"",""ASM"",""41"",""STD"",""238"",""https://pods.gls-spain.es/Extranet/public/AlbaranDesdeFirma.aspx?codplaza_org=280&amp;codexp=1171556239&amp;uid=C1092B19-C412-47A6-AF97-99E21A96260B"",""1"",""Pedido"",""2"",""PD250153853"&amp;""",""50318"",""00002"",""50045"","""""</t>
  </si>
  <si>
    <t>=NF($B8,"No.")</t>
  </si>
  <si>
    <t>=NL("Filas","SQL=select max(t.[Nº movimiento]) movimiento "&amp;
"    from [dbo].[MEDIAPOST SPAIN$Tracking Documento] t "&amp;
"  where t.[Nº Albarán] =  '"&amp;$C8&amp;"'  "&amp;
"       and t.[Estado Documento] &lt;&gt; '' ",{"movimiento"},"Datasource=","SQL-NAVISION")</t>
  </si>
  <si>
    <t>=NL("Primero","Tracking Documento",{"Estado Documento";"Cód. Incidencia"},"Nº movimiento",NF($D8,"movimiento"),"DataSource=","Navision","Empresa=","MEDIAPOST SPAIN")</t>
  </si>
  <si>
    <t>=NF($E8,"Cód. Incidencia")</t>
  </si>
  <si>
    <t>=IF($F8="","",NL("Primero","Situaciones Dispatching","Descripción","Cód. incidencia",$F8,"Notificar cliente","Sí","DataSource=","Navision","Empresa=","MEDIAPOST SPAIN"))</t>
  </si>
  <si>
    <t>=NF($B8,"No. Documento cliente")</t>
  </si>
  <si>
    <t>=NF($B8,"No. referencia transporte")</t>
  </si>
  <si>
    <t>=NF($B8,"No. expedición transporte")</t>
  </si>
  <si>
    <t>=NF($B8,"Nombre punto entrega")</t>
  </si>
  <si>
    <t>=NF($B8,"Dirección punto entrega")</t>
  </si>
  <si>
    <t>=NF($B8,"C.P. punto entrega")</t>
  </si>
  <si>
    <t>=NF($B8,"Población punto entrega")</t>
  </si>
  <si>
    <t>=NF($B8,"Provincia punto entrega")</t>
  </si>
  <si>
    <t>=NF($B8,"País punto entrega")</t>
  </si>
  <si>
    <t>=NF($B8,"Observaciones SGA")</t>
  </si>
  <si>
    <t>=IF($T8="Anulado","",TEXT(NF($B8,"Fecha envío al SGA"),"dd/mm/aaaa"))</t>
  </si>
  <si>
    <t>=IF($T8="Preparado","",TEXT(NF($B8,"Fecha completado SGA"),"dd/mm/aaaa"))</t>
  </si>
  <si>
    <t>=NF($E8,"Estado documento")</t>
  </si>
  <si>
    <t>=NF($B8,"Fecha última situación")</t>
  </si>
  <si>
    <t>=IF($F8="","",NL("Primero","Situaciones Dispatching","Descripción","Cód. incidencia",$F8,"DataSource=","Navision","Empresa=","MEDIAPOST SPAIN"))</t>
  </si>
  <si>
    <t>=NF($B8,"Cód. transportista")</t>
  </si>
  <si>
    <t>=NF($B8,"Cód. servicio solicitado")</t>
  </si>
  <si>
    <t>=IF(NF($B8,"Link imagen")&lt;&gt;"",HYPERLINK(NF($B8,"Link imagen")),"")</t>
  </si>
  <si>
    <t>=NL("Primero","Cab. Expedición","Localizador","No. referencia transporte",NF($B8,"No. referencia transporte"),"Conexión=","Navision","Empresa=","MEDIAPOST SPAIN")</t>
  </si>
  <si>
    <t>="""Navision"",""MEDIAPOST SPAIN"",""7098016"",""14"",""64425001557"",""51"",""000277815"",""50"",""64425001557"",""60"",""Maite Blasco Hernanz"",""61"",""C/ Paraiso de Santa Eufemia 12"",""62"",""41940"",""63"",""Tomares"",""64"",""SEVILLA"",""65"",""ES"",""102"",""09/09/2025"",""50208"",""09/09/2025"",""5"&amp;"0007"",""Entregado"",""50006"",""Enviado"",""50319"",""11/09/2025"",""40"",""CEXPRESS"",""41"",""STD"",""238"",""https://www.correosexpress.com/chronoExtraNET/imagenes/mostrarImagen.seam?u=cdd394c03ac9cba88c65c265c9b9ea52&amp;e=639599310650002778154"",""1"",""Pedido"",""2"",""PD250153855"""&amp;",""50318"",""00002"",""50045"","""""</t>
  </si>
  <si>
    <t>=NF($B9,"No.")</t>
  </si>
  <si>
    <t>=NL("Filas","SQL=select max(t.[Nº movimiento]) movimiento "&amp;
"    from [dbo].[MEDIAPOST SPAIN$Tracking Documento] t "&amp;
"  where t.[Nº Albarán] =  '"&amp;$C9&amp;"'  "&amp;
"       and t.[Estado Documento] &lt;&gt; '' ",{"movimiento"},"Datasource=","SQL-NAVISION")</t>
  </si>
  <si>
    <t>=NL("Primero","Tracking Documento",{"Estado Documento";"Cód. Incidencia"},"Nº movimiento",NF($D9,"movimiento"),"DataSource=","Navision","Empresa=","MEDIAPOST SPAIN")</t>
  </si>
  <si>
    <t>=NF($E9,"Cód. Incidencia")</t>
  </si>
  <si>
    <t>=IF($F9="","",NL("Primero","Situaciones Dispatching","Descripción","Cód. incidencia",$F9,"Notificar cliente","Sí","DataSource=","Navision","Empresa=","MEDIAPOST SPAIN"))</t>
  </si>
  <si>
    <t>=NF($B9,"No. Documento cliente")</t>
  </si>
  <si>
    <t>=NF($B9,"No. referencia transporte")</t>
  </si>
  <si>
    <t>=NF($B9,"No. expedición transporte")</t>
  </si>
  <si>
    <t>=NF($B9,"Nombre punto entrega")</t>
  </si>
  <si>
    <t>=NF($B9,"Dirección punto entrega")</t>
  </si>
  <si>
    <t>=NF($B9,"C.P. punto entrega")</t>
  </si>
  <si>
    <t>=NF($B9,"Población punto entrega")</t>
  </si>
  <si>
    <t>=NF($B9,"Provincia punto entrega")</t>
  </si>
  <si>
    <t>=NF($B9,"País punto entrega")</t>
  </si>
  <si>
    <t>=NF($B9,"Observaciones SGA")</t>
  </si>
  <si>
    <t>=IF($T9="Anulado","",TEXT(NF($B9,"Fecha envío al SGA"),"dd/mm/aaaa"))</t>
  </si>
  <si>
    <t>=IF($T9="Preparado","",TEXT(NF($B9,"Fecha completado SGA"),"dd/mm/aaaa"))</t>
  </si>
  <si>
    <t>=NF($E9,"Estado documento")</t>
  </si>
  <si>
    <t>=NF($B9,"Fecha última situación")</t>
  </si>
  <si>
    <t>=IF($F9="","",NL("Primero","Situaciones Dispatching","Descripción","Cód. incidencia",$F9,"DataSource=","Navision","Empresa=","MEDIAPOST SPAIN"))</t>
  </si>
  <si>
    <t>=NF($B9,"Cód. transportista")</t>
  </si>
  <si>
    <t>=NF($B9,"Cód. servicio solicitado")</t>
  </si>
  <si>
    <t>=IF(NF($B9,"Link imagen")&lt;&gt;"",HYPERLINK(NF($B9,"Link imagen")),"")</t>
  </si>
  <si>
    <t>=NL("Primero","Cab. Expedición","Localizador","No. referencia transporte",NF($B9,"No. referencia transporte"),"Conexión=","Navision","Empresa=","MEDIAPOST SPAIN")</t>
  </si>
  <si>
    <t>="""Navision"",""MEDIAPOST SPAIN"",""7098016"",""14"",""64425001559"",""51"",""1200709203"",""50"",""64425001559"",""60"",""Pablo Campos Baz"",""61"",""Rua da Historia N 5 - 6º L"",""62"",""36004"",""63"",""PONTEVEDRA"",""64"",""PONTEVEDRA"",""65"",""ES"",""102"",""10/09/2025"",""50208"",""11/09/2025"",""50"&amp;"007"",""Entregado"",""50006"",""Enviado"",""50319"",""12/09/2025"",""40"",""TIPSA"",""41"",""STD"",""238"",""https://www.tip-sa.com/cliente/datos.php?id=028001093946442500155936004"",""1"",""Pedido"",""2"",""PD250155417"",""50318"",""00002"",""50045"","""""</t>
  </si>
  <si>
    <t>=NF($B10,"No.")</t>
  </si>
  <si>
    <t>=NL("Filas","SQL=select max(t.[Nº movimiento]) movimiento "&amp;
"    from [dbo].[MEDIAPOST SPAIN$Tracking Documento] t "&amp;
"  where t.[Nº Albarán] =  '"&amp;$C10&amp;"'  "&amp;
"       and t.[Estado Documento] &lt;&gt; '' ",{"movimiento"},"Datasource=","SQL-NAVISION")</t>
  </si>
  <si>
    <t>=NL("Primero","Tracking Documento",{"Estado Documento";"Cód. Incidencia"},"Nº movimiento",NF($D10,"movimiento"),"DataSource=","Navision","Empresa=","MEDIAPOST SPAIN")</t>
  </si>
  <si>
    <t>=NF($E10,"Cód. Incidencia")</t>
  </si>
  <si>
    <t>=IF($F10="","",NL("Primero","Situaciones Dispatching","Descripción","Cód. incidencia",$F10,"Notificar cliente","Sí","DataSource=","Navision","Empresa=","MEDIAPOST SPAIN"))</t>
  </si>
  <si>
    <t>=NF($B10,"No. Documento cliente")</t>
  </si>
  <si>
    <t>=NF($B10,"No. referencia transporte")</t>
  </si>
  <si>
    <t>=NF($B10,"No. expedición transporte")</t>
  </si>
  <si>
    <t>=NF($B10,"Nombre punto entrega")</t>
  </si>
  <si>
    <t>=NF($B10,"Dirección punto entrega")</t>
  </si>
  <si>
    <t>=NF($B10,"C.P. punto entrega")</t>
  </si>
  <si>
    <t>=NF($B10,"Población punto entrega")</t>
  </si>
  <si>
    <t>=NF($B10,"Provincia punto entrega")</t>
  </si>
  <si>
    <t>=NF($B10,"País punto entrega")</t>
  </si>
  <si>
    <t>=NF($B10,"Observaciones SGA")</t>
  </si>
  <si>
    <t>=IF($T10="Anulado","",TEXT(NF($B10,"Fecha envío al SGA"),"dd/mm/aaaa"))</t>
  </si>
  <si>
    <t>=IF($T10="Preparado","",TEXT(NF($B10,"Fecha completado SGA"),"dd/mm/aaaa"))</t>
  </si>
  <si>
    <t>=NF($E10,"Estado documento")</t>
  </si>
  <si>
    <t>=NF($B10,"Fecha última situación")</t>
  </si>
  <si>
    <t>=IF($F10="","",NL("Primero","Situaciones Dispatching","Descripción","Cód. incidencia",$F10,"DataSource=","Navision","Empresa=","MEDIAPOST SPAIN"))</t>
  </si>
  <si>
    <t>=NF($B10,"Cód. transportista")</t>
  </si>
  <si>
    <t>=NF($B10,"Cód. servicio solicitado")</t>
  </si>
  <si>
    <t>=IF(NF($B10,"Link imagen")&lt;&gt;"",HYPERLINK(NF($B10,"Link imagen")),"")</t>
  </si>
  <si>
    <t>=NL("Primero","Cab. Expedición","Localizador","No. referencia transporte",NF($B10,"No. referencia transporte"),"Conexión=","Navision","Empresa=","MEDIAPOST SPAIN")</t>
  </si>
  <si>
    <t>="""Navision"",""MEDIAPOST SPAIN"",""7098016"",""14"",""64425001560"",""51"",""1200709205"",""50"",""64425001560"",""60"",""Maria Begoña Canabal Arias"",""61"",""Aurelio Aguirre Galarraga 8, 10E"",""62"",""15008"",""63"",""LA CORUÑA"",""64"",""A CORUÑA"",""65"",""ES"",""102"",""10/09/2025"",""50208"",""11"&amp;"/09/2025"",""50007"",""Entregado"",""50006"",""Enviado"",""50319"",""12/09/2025"",""40"",""TIPSA"",""41"",""STD"",""238"",""https://www.tip-sa.com/cliente/datos.php?id=028001093946442500156015008"",""1"",""Pedido"",""2"",""PD250155418"",""50318"",""00002"",""50045"","""""</t>
  </si>
  <si>
    <t>=NF($B11,"No.")</t>
  </si>
  <si>
    <t>=NL("Filas","SQL=select max(t.[Nº movimiento]) movimiento "&amp;
"    from [dbo].[MEDIAPOST SPAIN$Tracking Documento] t "&amp;
"  where t.[Nº Albarán] =  '"&amp;$C11&amp;"'  "&amp;
"       and t.[Estado Documento] &lt;&gt; '' ",{"movimiento"},"Datasource=","SQL-NAVISION")</t>
  </si>
  <si>
    <t>=NL("Primero","Tracking Documento",{"Estado Documento";"Cód. Incidencia"},"Nº movimiento",NF($D11,"movimiento"),"DataSource=","Navision","Empresa=","MEDIAPOST SPAIN")</t>
  </si>
  <si>
    <t>=NF($E11,"Cód. Incidencia")</t>
  </si>
  <si>
    <t>=IF($F11="","",NL("Primero","Situaciones Dispatching","Descripción","Cód. incidencia",$F11,"Notificar cliente","Sí","DataSource=","Navision","Empresa=","MEDIAPOST SPAIN"))</t>
  </si>
  <si>
    <t>=NF($B11,"No. Documento cliente")</t>
  </si>
  <si>
    <t>=NF($B11,"No. referencia transporte")</t>
  </si>
  <si>
    <t>=NF($B11,"No. expedición transporte")</t>
  </si>
  <si>
    <t>=NF($B11,"Nombre punto entrega")</t>
  </si>
  <si>
    <t>=NF($B11,"Dirección punto entrega")</t>
  </si>
  <si>
    <t>=NF($B11,"C.P. punto entrega")</t>
  </si>
  <si>
    <t>=NF($B11,"Población punto entrega")</t>
  </si>
  <si>
    <t>=NF($B11,"Provincia punto entrega")</t>
  </si>
  <si>
    <t>=NF($B11,"País punto entrega")</t>
  </si>
  <si>
    <t>=NF($B11,"Observaciones SGA")</t>
  </si>
  <si>
    <t>=IF($T11="Anulado","",TEXT(NF($B11,"Fecha envío al SGA"),"dd/mm/aaaa"))</t>
  </si>
  <si>
    <t>=IF($T11="Preparado","",TEXT(NF($B11,"Fecha completado SGA"),"dd/mm/aaaa"))</t>
  </si>
  <si>
    <t>=NF($E11,"Estado documento")</t>
  </si>
  <si>
    <t>=NF($B11,"Fecha última situación")</t>
  </si>
  <si>
    <t>=IF($F11="","",NL("Primero","Situaciones Dispatching","Descripción","Cód. incidencia",$F11,"DataSource=","Navision","Empresa=","MEDIAPOST SPAIN"))</t>
  </si>
  <si>
    <t>=NF($B11,"Cód. transportista")</t>
  </si>
  <si>
    <t>=NF($B11,"Cód. servicio solicitado")</t>
  </si>
  <si>
    <t>=IF(NF($B11,"Link imagen")&lt;&gt;"",HYPERLINK(NF($B11,"Link imagen")),"")</t>
  </si>
  <si>
    <t>=NL("Primero","Cab. Expedición","Localizador","No. referencia transporte",NF($B11,"No. referencia transporte"),"Conexión=","Navision","Empresa=","MEDIAPOST SPAIN")</t>
  </si>
  <si>
    <t>="""Navision"",""MEDIAPOST SPAIN"",""7098016"",""14"",""64425001561"",""51"",""1200709207"",""50"",""64425001561"",""60"",""Ignacio Jimenez Abejon"",""61"",""Bauro, 39"",""62"",""33425"",""63"",""SAN CUCAO DE LLANERA"",""64"",""ASTURIAS"",""65"",""ES"",""102"",""10/09/2025"",""50208"",""11/09/2025"",""50007"&amp;""",""Entregado"",""50006"",""Enviado"",""50319"",""16/09/2025"",""40"",""TIPSA"",""41"",""STD"",""238"",""https://www.tip-sa.com/cliente/datos.php?id=028001093946442500156133425"",""1"",""Pedido"",""2"",""PD250155419"",""50318"",""00002"",""50045"","""""</t>
  </si>
  <si>
    <t>=NF($B12,"No.")</t>
  </si>
  <si>
    <t>=NL("Filas","SQL=select max(t.[Nº movimiento]) movimiento "&amp;
"    from [dbo].[MEDIAPOST SPAIN$Tracking Documento] t "&amp;
"  where t.[Nº Albarán] =  '"&amp;$C12&amp;"'  "&amp;
"       and t.[Estado Documento] &lt;&gt; '' ",{"movimiento"},"Datasource=","SQL-NAVISION")</t>
  </si>
  <si>
    <t>=NL("Primero","Tracking Documento",{"Estado Documento";"Cód. Incidencia"},"Nº movimiento",NF($D12,"movimiento"),"DataSource=","Navision","Empresa=","MEDIAPOST SPAIN")</t>
  </si>
  <si>
    <t>=NF($E12,"Cód. Incidencia")</t>
  </si>
  <si>
    <t>=IF($F12="","",NL("Primero","Situaciones Dispatching","Descripción","Cód. incidencia",$F12,"Notificar cliente","Sí","DataSource=","Navision","Empresa=","MEDIAPOST SPAIN"))</t>
  </si>
  <si>
    <t>=NF($B12,"No. Documento cliente")</t>
  </si>
  <si>
    <t>=NF($B12,"No. referencia transporte")</t>
  </si>
  <si>
    <t>=NF($B12,"No. expedición transporte")</t>
  </si>
  <si>
    <t>=NF($B12,"Nombre punto entrega")</t>
  </si>
  <si>
    <t>=NF($B12,"Dirección punto entrega")</t>
  </si>
  <si>
    <t>=NF($B12,"C.P. punto entrega")</t>
  </si>
  <si>
    <t>=NF($B12,"Población punto entrega")</t>
  </si>
  <si>
    <t>=NF($B12,"Provincia punto entrega")</t>
  </si>
  <si>
    <t>=NF($B12,"País punto entrega")</t>
  </si>
  <si>
    <t>=NF($B12,"Observaciones SGA")</t>
  </si>
  <si>
    <t>=IF($T12="Anulado","",TEXT(NF($B12,"Fecha envío al SGA"),"dd/mm/aaaa"))</t>
  </si>
  <si>
    <t>=IF($T12="Preparado","",TEXT(NF($B12,"Fecha completado SGA"),"dd/mm/aaaa"))</t>
  </si>
  <si>
    <t>=NF($E12,"Estado documento")</t>
  </si>
  <si>
    <t>=NF($B12,"Fecha última situación")</t>
  </si>
  <si>
    <t>=IF($F12="","",NL("Primero","Situaciones Dispatching","Descripción","Cód. incidencia",$F12,"DataSource=","Navision","Empresa=","MEDIAPOST SPAIN"))</t>
  </si>
  <si>
    <t>=NF($B12,"Cód. transportista")</t>
  </si>
  <si>
    <t>=NF($B12,"Cód. servicio solicitado")</t>
  </si>
  <si>
    <t>=IF(NF($B12,"Link imagen")&lt;&gt;"",HYPERLINK(NF($B12,"Link imagen")),"")</t>
  </si>
  <si>
    <t>=NL("Primero","Cab. Expedición","Localizador","No. referencia transporte",NF($B12,"No. referencia transporte"),"Conexión=","Navision","Empresa=","MEDIAPOST SPAIN")</t>
  </si>
  <si>
    <t>="""Navision"",""MEDIAPOST SPAIN"",""7098016"",""14"",""64425001562"",""51"",""1200709209"",""50"",""64425001562"",""60"",""Carlos Ignacio Martinez-Almeida Fernandez"",""61"",""C/ Tomás Alonso 93, portal 2 , 7ªA"",""62"",""36208"",""63"",""Vigo"",""64"",""PONTEVEDRA"",""65"",""ES"",""102"",""10/09/202"&amp;"5"",""50208"",""11/09/2025"",""50007"",""Entregado"",""50006"",""Enviado"",""50319"",""16/09/2025"",""40"",""TIPSA"",""41"",""STD"",""238"",""https://www.tip-sa.com/cliente/datos.php?id=028001093946442500156236208"",""1"",""Pedido"",""2"",""PD250155420"",""50318"",""00002"",""50045"","""""</t>
  </si>
  <si>
    <t>=NF($B13,"No.")</t>
  </si>
  <si>
    <t>=NL("Filas","SQL=select max(t.[Nº movimiento]) movimiento "&amp;
"    from [dbo].[MEDIAPOST SPAIN$Tracking Documento] t "&amp;
"  where t.[Nº Albarán] =  '"&amp;$C13&amp;"'  "&amp;
"       and t.[Estado Documento] &lt;&gt; '' ",{"movimiento"},"Datasource=","SQL-NAVISION")</t>
  </si>
  <si>
    <t>=NL("Primero","Tracking Documento",{"Estado Documento";"Cód. Incidencia"},"Nº movimiento",NF($D13,"movimiento"),"DataSource=","Navision","Empresa=","MEDIAPOST SPAIN")</t>
  </si>
  <si>
    <t>=NF($E13,"Cód. Incidencia")</t>
  </si>
  <si>
    <t>=IF($F13="","",NL("Primero","Situaciones Dispatching","Descripción","Cód. incidencia",$F13,"Notificar cliente","Sí","DataSource=","Navision","Empresa=","MEDIAPOST SPAIN"))</t>
  </si>
  <si>
    <t>=NF($B13,"No. Documento cliente")</t>
  </si>
  <si>
    <t>=NF($B13,"No. referencia transporte")</t>
  </si>
  <si>
    <t>=NF($B13,"No. expedición transporte")</t>
  </si>
  <si>
    <t>=NF($B13,"Nombre punto entrega")</t>
  </si>
  <si>
    <t>=NF($B13,"Dirección punto entrega")</t>
  </si>
  <si>
    <t>=NF($B13,"C.P. punto entrega")</t>
  </si>
  <si>
    <t>=NF($B13,"Población punto entrega")</t>
  </si>
  <si>
    <t>=NF($B13,"Provincia punto entrega")</t>
  </si>
  <si>
    <t>=NF($B13,"País punto entrega")</t>
  </si>
  <si>
    <t>=NF($B13,"Observaciones SGA")</t>
  </si>
  <si>
    <t>=IF($T13="Anulado","",TEXT(NF($B13,"Fecha envío al SGA"),"dd/mm/aaaa"))</t>
  </si>
  <si>
    <t>=IF($T13="Preparado","",TEXT(NF($B13,"Fecha completado SGA"),"dd/mm/aaaa"))</t>
  </si>
  <si>
    <t>=NF($E13,"Estado documento")</t>
  </si>
  <si>
    <t>=NF($B13,"Fecha última situación")</t>
  </si>
  <si>
    <t>=IF($F13="","",NL("Primero","Situaciones Dispatching","Descripción","Cód. incidencia",$F13,"DataSource=","Navision","Empresa=","MEDIAPOST SPAIN"))</t>
  </si>
  <si>
    <t>=NF($B13,"Cód. transportista")</t>
  </si>
  <si>
    <t>=NF($B13,"Cód. servicio solicitado")</t>
  </si>
  <si>
    <t>=IF(NF($B13,"Link imagen")&lt;&gt;"",HYPERLINK(NF($B13,"Link imagen")),"")</t>
  </si>
  <si>
    <t>=NL("Primero","Cab. Expedición","Localizador","No. referencia transporte",NF($B13,"No. referencia transporte"),"Conexión=","Navision","Empresa=","MEDIAPOST SPAIN")</t>
  </si>
  <si>
    <t>="""Navision"",""MEDIAPOST SPAIN"",""7098016"",""14"",""64425001563"",""51"",""1200709211"",""50"",""64425001563"",""60"",""Alberto Pena Costa"",""61"",""Avenida de Romero Donallo 49, 8ºO"",""62"",""15706"",""63"",""Santiago de Compostela"",""64"",""A CORUÑA"",""65"",""ES"",""102"",""10/09/2025"",""5020"&amp;"8"",""11/09/2025"",""50007"",""Entregado"",""50006"",""Enviado"",""50319"",""12/09/2025"",""40"",""TIPSA"",""41"",""STD"",""238"",""https://www.tip-sa.com/cliente/datos.php?id=028001093946442500156315706"",""1"",""Pedido"",""2"",""PD250155421"",""50318"",""00002"",""50045"","""""</t>
  </si>
  <si>
    <t>=NF($B14,"No.")</t>
  </si>
  <si>
    <t>=NL("Filas","SQL=select max(t.[Nº movimiento]) movimiento "&amp;
"    from [dbo].[MEDIAPOST SPAIN$Tracking Documento] t "&amp;
"  where t.[Nº Albarán] =  '"&amp;$C14&amp;"'  "&amp;
"       and t.[Estado Documento] &lt;&gt; '' ",{"movimiento"},"Datasource=","SQL-NAVISION")</t>
  </si>
  <si>
    <t>=NL("Primero","Tracking Documento",{"Estado Documento";"Cód. Incidencia"},"Nº movimiento",NF($D14,"movimiento"),"DataSource=","Navision","Empresa=","MEDIAPOST SPAIN")</t>
  </si>
  <si>
    <t>=NF($E14,"Cód. Incidencia")</t>
  </si>
  <si>
    <t>=IF($F14="","",NL("Primero","Situaciones Dispatching","Descripción","Cód. incidencia",$F14,"Notificar cliente","Sí","DataSource=","Navision","Empresa=","MEDIAPOST SPAIN"))</t>
  </si>
  <si>
    <t>=NF($B14,"No. Documento cliente")</t>
  </si>
  <si>
    <t>=NF($B14,"No. referencia transporte")</t>
  </si>
  <si>
    <t>=NF($B14,"No. expedición transporte")</t>
  </si>
  <si>
    <t>=NF($B14,"Nombre punto entrega")</t>
  </si>
  <si>
    <t>=NF($B14,"Dirección punto entrega")</t>
  </si>
  <si>
    <t>=NF($B14,"C.P. punto entrega")</t>
  </si>
  <si>
    <t>=NF($B14,"Población punto entrega")</t>
  </si>
  <si>
    <t>=NF($B14,"Provincia punto entrega")</t>
  </si>
  <si>
    <t>=NF($B14,"País punto entrega")</t>
  </si>
  <si>
    <t>=NF($B14,"Observaciones SGA")</t>
  </si>
  <si>
    <t>=IF($T14="Anulado","",TEXT(NF($B14,"Fecha envío al SGA"),"dd/mm/aaaa"))</t>
  </si>
  <si>
    <t>=IF($T14="Preparado","",TEXT(NF($B14,"Fecha completado SGA"),"dd/mm/aaaa"))</t>
  </si>
  <si>
    <t>=NF($E14,"Estado documento")</t>
  </si>
  <si>
    <t>=NF($B14,"Fecha última situación")</t>
  </si>
  <si>
    <t>=IF($F14="","",NL("Primero","Situaciones Dispatching","Descripción","Cód. incidencia",$F14,"DataSource=","Navision","Empresa=","MEDIAPOST SPAIN"))</t>
  </si>
  <si>
    <t>=NF($B14,"Cód. transportista")</t>
  </si>
  <si>
    <t>=NF($B14,"Cód. servicio solicitado")</t>
  </si>
  <si>
    <t>=IF(NF($B14,"Link imagen")&lt;&gt;"",HYPERLINK(NF($B14,"Link imagen")),"")</t>
  </si>
  <si>
    <t>=NL("Primero","Cab. Expedición","Localizador","No. referencia transporte",NF($B14,"No. referencia transporte"),"Conexión=","Navision","Empresa=","MEDIAPOST SPAIN")</t>
  </si>
  <si>
    <t>="""Navision"",""MEDIAPOST SPAIN"",""7098016"",""14"",""64425001564"",""51"",""1200709213"",""50"",""64425001564"",""60"",""Miguel Angel Ponce De Leon Alvarez"",""61"",""C/ Desfiladero de la Hermida, 3-3A"",""62"",""33212"",""63"",""Gijon"",""64"",""ASTURIAS"",""65"",""ES"",""102"",""10/09/2025"",""5020"&amp;"8"",""11/09/2025"",""50007"",""Entregado"",""50006"",""Enviado"",""50319"",""12/09/2025"",""40"",""TIPSA"",""41"",""STD"",""238"",""https://www.tip-sa.com/cliente/datos.php?id=028001093946442500156433212"",""1"",""Pedido"",""2"",""PD250155422"",""50318"",""00002"",""50045"","""""</t>
  </si>
  <si>
    <t>=NF($B15,"No.")</t>
  </si>
  <si>
    <t>=NL("Filas","SQL=select max(t.[Nº movimiento]) movimiento "&amp;
"    from [dbo].[MEDIAPOST SPAIN$Tracking Documento] t "&amp;
"  where t.[Nº Albarán] =  '"&amp;$C15&amp;"'  "&amp;
"       and t.[Estado Documento] &lt;&gt; '' ",{"movimiento"},"Datasource=","SQL-NAVISION")</t>
  </si>
  <si>
    <t>=NL("Primero","Tracking Documento",{"Estado Documento";"Cód. Incidencia"},"Nº movimiento",NF($D15,"movimiento"),"DataSource=","Navision","Empresa=","MEDIAPOST SPAIN")</t>
  </si>
  <si>
    <t>=NF($E15,"Cód. Incidencia")</t>
  </si>
  <si>
    <t>=IF($F15="","",NL("Primero","Situaciones Dispatching","Descripción","Cód. incidencia",$F15,"Notificar cliente","Sí","DataSource=","Navision","Empresa=","MEDIAPOST SPAIN"))</t>
  </si>
  <si>
    <t>=NF($B15,"No. Documento cliente")</t>
  </si>
  <si>
    <t>=NF($B15,"No. referencia transporte")</t>
  </si>
  <si>
    <t>=NF($B15,"No. expedición transporte")</t>
  </si>
  <si>
    <t>=NF($B15,"Nombre punto entrega")</t>
  </si>
  <si>
    <t>=NF($B15,"Dirección punto entrega")</t>
  </si>
  <si>
    <t>=NF($B15,"C.P. punto entrega")</t>
  </si>
  <si>
    <t>=NF($B15,"Población punto entrega")</t>
  </si>
  <si>
    <t>=NF($B15,"Provincia punto entrega")</t>
  </si>
  <si>
    <t>=NF($B15,"País punto entrega")</t>
  </si>
  <si>
    <t>=NF($B15,"Observaciones SGA")</t>
  </si>
  <si>
    <t>=IF($T15="Anulado","",TEXT(NF($B15,"Fecha envío al SGA"),"dd/mm/aaaa"))</t>
  </si>
  <si>
    <t>=IF($T15="Preparado","",TEXT(NF($B15,"Fecha completado SGA"),"dd/mm/aaaa"))</t>
  </si>
  <si>
    <t>=NF($E15,"Estado documento")</t>
  </si>
  <si>
    <t>=NF($B15,"Fecha última situación")</t>
  </si>
  <si>
    <t>=IF($F15="","",NL("Primero","Situaciones Dispatching","Descripción","Cód. incidencia",$F15,"DataSource=","Navision","Empresa=","MEDIAPOST SPAIN"))</t>
  </si>
  <si>
    <t>=NF($B15,"Cód. transportista")</t>
  </si>
  <si>
    <t>=NF($B15,"Cód. servicio solicitado")</t>
  </si>
  <si>
    <t>=IF(NF($B15,"Link imagen")&lt;&gt;"",HYPERLINK(NF($B15,"Link imagen")),"")</t>
  </si>
  <si>
    <t>=NL("Primero","Cab. Expedición","Localizador","No. referencia transporte",NF($B15,"No. referencia transporte"),"Conexión=","Navision","Empresa=","MEDIAPOST SPAIN")</t>
  </si>
  <si>
    <t>="""Navision"",""MEDIAPOST SPAIN"",""7098016"",""14"",""64425001565"",""51"",""1200709215"",""50"",""64425001565"",""60"",""Begoña Becerra Gonzalez"",""61"",""Pintor Laxeiro, 3 - 4º B"",""62"",""27002"",""63"",""Lugo"",""64"",""LUGO"",""65"",""ES"",""102"",""10/09/2025"",""50208"",""11/09/2025"",""50007"",""E"&amp;"ntregado"",""50006"",""Enviado"",""50319"",""12/09/2025"",""40"",""TIPSA"",""41"",""STD"",""238"",""https://www.tip-sa.com/cliente/datos.php?id=028001093946442500156527002"",""1"",""Pedido"",""2"",""PD250155423"",""50318"",""00002"",""50045"","""""</t>
  </si>
  <si>
    <t>=NF($B16,"No.")</t>
  </si>
  <si>
    <t>=NL("Filas","SQL=select max(t.[Nº movimiento]) movimiento "&amp;
"    from [dbo].[MEDIAPOST SPAIN$Tracking Documento] t "&amp;
"  where t.[Nº Albarán] =  '"&amp;$C16&amp;"'  "&amp;
"       and t.[Estado Documento] &lt;&gt; '' ",{"movimiento"},"Datasource=","SQL-NAVISION")</t>
  </si>
  <si>
    <t>=NL("Primero","Tracking Documento",{"Estado Documento";"Cód. Incidencia"},"Nº movimiento",NF($D16,"movimiento"),"DataSource=","Navision","Empresa=","MEDIAPOST SPAIN")</t>
  </si>
  <si>
    <t>=NF($E16,"Cód. Incidencia")</t>
  </si>
  <si>
    <t>=IF($F16="","",NL("Primero","Situaciones Dispatching","Descripción","Cód. incidencia",$F16,"Notificar cliente","Sí","DataSource=","Navision","Empresa=","MEDIAPOST SPAIN"))</t>
  </si>
  <si>
    <t>=NF($B16,"No. Documento cliente")</t>
  </si>
  <si>
    <t>=NF($B16,"No. referencia transporte")</t>
  </si>
  <si>
    <t>=NF($B16,"No. expedición transporte")</t>
  </si>
  <si>
    <t>=NF($B16,"Nombre punto entrega")</t>
  </si>
  <si>
    <t>=NF($B16,"Dirección punto entrega")</t>
  </si>
  <si>
    <t>=NF($B16,"C.P. punto entrega")</t>
  </si>
  <si>
    <t>=NF($B16,"Población punto entrega")</t>
  </si>
  <si>
    <t>=NF($B16,"Provincia punto entrega")</t>
  </si>
  <si>
    <t>=NF($B16,"País punto entrega")</t>
  </si>
  <si>
    <t>=NF($B16,"Observaciones SGA")</t>
  </si>
  <si>
    <t>=IF($T16="Anulado","",TEXT(NF($B16,"Fecha envío al SGA"),"dd/mm/aaaa"))</t>
  </si>
  <si>
    <t>=IF($T16="Preparado","",TEXT(NF($B16,"Fecha completado SGA"),"dd/mm/aaaa"))</t>
  </si>
  <si>
    <t>=NF($E16,"Estado documento")</t>
  </si>
  <si>
    <t>=NF($B16,"Fecha última situación")</t>
  </si>
  <si>
    <t>=IF($F16="","",NL("Primero","Situaciones Dispatching","Descripción","Cód. incidencia",$F16,"DataSource=","Navision","Empresa=","MEDIAPOST SPAIN"))</t>
  </si>
  <si>
    <t>=NF($B16,"Cód. transportista")</t>
  </si>
  <si>
    <t>=NF($B16,"Cód. servicio solicitado")</t>
  </si>
  <si>
    <t>=IF(NF($B16,"Link imagen")&lt;&gt;"",HYPERLINK(NF($B16,"Link imagen")),"")</t>
  </si>
  <si>
    <t>=NL("Primero","Cab. Expedición","Localizador","No. referencia transporte",NF($B16,"No. referencia transporte"),"Conexión=","Navision","Empresa=","MEDIAPOST SPAIN")</t>
  </si>
  <si>
    <t>="""Navision"",""MEDIAPOST SPAIN"",""7098016"",""14"",""64425001566"",""51"",""1200709217"",""50"",""64425001566"",""60"",""Ciclos Quintena - ATT Alejandro Mesías Senra"",""61"",""Calle Pasteur 7B( Polígono A Grela)"",""62"",""15008"",""63"",""A CORUÑA / CENTRO IND."",""64"",""A CORUÑA"",""65"","""&amp;"ES"",""102"",""10/09/2025"",""50208"",""11/09/2025"",""50007"",""Entregado"",""50006"",""Enviado"",""50319"",""12/09/2025"",""40"",""TIPSA"",""41"",""STD"",""238"",""https://www.tip-sa.com/cliente/datos.php?id=028001093946442500156615008"",""1"",""Pedido"",""2"",""PD250155424"",""50318"",""00002"","""&amp;"50045"","""""</t>
  </si>
  <si>
    <t>=NF($B17,"No.")</t>
  </si>
  <si>
    <t>=NL("Filas","SQL=select max(t.[Nº movimiento]) movimiento "&amp;
"    from [dbo].[MEDIAPOST SPAIN$Tracking Documento] t "&amp;
"  where t.[Nº Albarán] =  '"&amp;$C17&amp;"'  "&amp;
"       and t.[Estado Documento] &lt;&gt; '' ",{"movimiento"},"Datasource=","SQL-NAVISION")</t>
  </si>
  <si>
    <t>=NL("Primero","Tracking Documento",{"Estado Documento";"Cód. Incidencia"},"Nº movimiento",NF($D17,"movimiento"),"DataSource=","Navision","Empresa=","MEDIAPOST SPAIN")</t>
  </si>
  <si>
    <t>=NF($E17,"Cód. Incidencia")</t>
  </si>
  <si>
    <t>=IF($F17="","",NL("Primero","Situaciones Dispatching","Descripción","Cód. incidencia",$F17,"Notificar cliente","Sí","DataSource=","Navision","Empresa=","MEDIAPOST SPAIN"))</t>
  </si>
  <si>
    <t>=NF($B17,"No. Documento cliente")</t>
  </si>
  <si>
    <t>=NF($B17,"No. referencia transporte")</t>
  </si>
  <si>
    <t>=NF($B17,"No. expedición transporte")</t>
  </si>
  <si>
    <t>=NF($B17,"Nombre punto entrega")</t>
  </si>
  <si>
    <t>=NF($B17,"Dirección punto entrega")</t>
  </si>
  <si>
    <t>=NF($B17,"C.P. punto entrega")</t>
  </si>
  <si>
    <t>=NF($B17,"Población punto entrega")</t>
  </si>
  <si>
    <t>=NF($B17,"Provincia punto entrega")</t>
  </si>
  <si>
    <t>=NF($B17,"País punto entrega")</t>
  </si>
  <si>
    <t>=NF($B17,"Observaciones SGA")</t>
  </si>
  <si>
    <t>=IF($T17="Anulado","",TEXT(NF($B17,"Fecha envío al SGA"),"dd/mm/aaaa"))</t>
  </si>
  <si>
    <t>=IF($T17="Preparado","",TEXT(NF($B17,"Fecha completado SGA"),"dd/mm/aaaa"))</t>
  </si>
  <si>
    <t>=NF($E17,"Estado documento")</t>
  </si>
  <si>
    <t>=NF($B17,"Fecha última situación")</t>
  </si>
  <si>
    <t>=IF($F17="","",NL("Primero","Situaciones Dispatching","Descripción","Cód. incidencia",$F17,"DataSource=","Navision","Empresa=","MEDIAPOST SPAIN"))</t>
  </si>
  <si>
    <t>=NF($B17,"Cód. transportista")</t>
  </si>
  <si>
    <t>=NF($B17,"Cód. servicio solicitado")</t>
  </si>
  <si>
    <t>=IF(NF($B17,"Link imagen")&lt;&gt;"",HYPERLINK(NF($B17,"Link imagen")),"")</t>
  </si>
  <si>
    <t>=NL("Primero","Cab. Expedición","Localizador","No. referencia transporte",NF($B17,"No. referencia transporte"),"Conexión=","Navision","Empresa=","MEDIAPOST SPAIN")</t>
  </si>
  <si>
    <t>="""Navision"",""MEDIAPOST SPAIN"",""7098016"",""14"",""64425001567"",""51"",""1200709219"",""50"",""64425001567"",""60"",""Iago Feijóo López"",""61"",""Avenida de la Habana 20, 7ºB"",""62"",""32003"",""63"",""Ourense"",""64"",""OURENSE"",""65"",""ES"",""102"",""10/09/2025"",""50208"",""11/09/2025"",""50007"&amp;""",""Entregado"",""50006"",""Enviado"",""50319"",""12/09/2025"",""40"",""TIPSA"",""41"",""STD"",""238"",""https://www.tip-sa.com/cliente/datos.php?id=028001093946442500156732003"",""1"",""Pedido"",""2"",""PD250155425"",""50318"",""00002"",""50045"","""""</t>
  </si>
  <si>
    <t>=NF($B18,"No.")</t>
  </si>
  <si>
    <t>=NL("Filas","SQL=select max(t.[Nº movimiento]) movimiento "&amp;
"    from [dbo].[MEDIAPOST SPAIN$Tracking Documento] t "&amp;
"  where t.[Nº Albarán] =  '"&amp;$C18&amp;"'  "&amp;
"       and t.[Estado Documento] &lt;&gt; '' ",{"movimiento"},"Datasource=","SQL-NAVISION")</t>
  </si>
  <si>
    <t>=NL("Primero","Tracking Documento",{"Estado Documento";"Cód. Incidencia"},"Nº movimiento",NF($D18,"movimiento"),"DataSource=","Navision","Empresa=","MEDIAPOST SPAIN")</t>
  </si>
  <si>
    <t>=NF($E18,"Cód. Incidencia")</t>
  </si>
  <si>
    <t>=IF($F18="","",NL("Primero","Situaciones Dispatching","Descripción","Cód. incidencia",$F18,"Notificar cliente","Sí","DataSource=","Navision","Empresa=","MEDIAPOST SPAIN"))</t>
  </si>
  <si>
    <t>=NF($B18,"No. Documento cliente")</t>
  </si>
  <si>
    <t>=NF($B18,"No. referencia transporte")</t>
  </si>
  <si>
    <t>=NF($B18,"No. expedición transporte")</t>
  </si>
  <si>
    <t>=NF($B18,"Nombre punto entrega")</t>
  </si>
  <si>
    <t>=NF($B18,"Dirección punto entrega")</t>
  </si>
  <si>
    <t>=NF($B18,"C.P. punto entrega")</t>
  </si>
  <si>
    <t>=NF($B18,"Población punto entrega")</t>
  </si>
  <si>
    <t>=NF($B18,"Provincia punto entrega")</t>
  </si>
  <si>
    <t>=NF($B18,"País punto entrega")</t>
  </si>
  <si>
    <t>=NF($B18,"Observaciones SGA")</t>
  </si>
  <si>
    <t>=IF($T18="Anulado","",TEXT(NF($B18,"Fecha envío al SGA"),"dd/mm/aaaa"))</t>
  </si>
  <si>
    <t>=IF($T18="Preparado","",TEXT(NF($B18,"Fecha completado SGA"),"dd/mm/aaaa"))</t>
  </si>
  <si>
    <t>=NF($E18,"Estado documento")</t>
  </si>
  <si>
    <t>=NF($B18,"Fecha última situación")</t>
  </si>
  <si>
    <t>=IF($F18="","",NL("Primero","Situaciones Dispatching","Descripción","Cód. incidencia",$F18,"DataSource=","Navision","Empresa=","MEDIAPOST SPAIN"))</t>
  </si>
  <si>
    <t>=NF($B18,"Cód. transportista")</t>
  </si>
  <si>
    <t>=NF($B18,"Cód. servicio solicitado")</t>
  </si>
  <si>
    <t>=IF(NF($B18,"Link imagen")&lt;&gt;"",HYPERLINK(NF($B18,"Link imagen")),"")</t>
  </si>
  <si>
    <t>=NL("Primero","Cab. Expedición","Localizador","No. referencia transporte",NF($B18,"No. referencia transporte"),"Conexión=","Navision","Empresa=","MEDIAPOST SPAIN")</t>
  </si>
  <si>
    <t>="""Navision"",""MEDIAPOST SPAIN"",""7098016"",""14"",""64425001568"",""51"",""1200709221"",""50"",""64425001568"",""60"",""Jorge Diaz Cortina"",""61"",""El Cerezaledo, Miyares s/n"",""62"",""33584"",""63"",""PILOÑA"",""64"",""ASTURIAS"",""65"",""ES"",""102"",""10/09/2025"",""50208"",""11/09/2025"",""50007"""&amp;",""Entregado"",""50006"",""Enviado"",""50319"",""15/09/2025"",""40"",""TIPSA"",""41"",""STD"",""238"",""https://www.tip-sa.com/cliente/datos.php?id=028001093946442500156833584"",""1"",""Pedido"",""2"",""PD250155426"",""50318"",""00002"",""50045"","""""</t>
  </si>
  <si>
    <t>=NF($B19,"No.")</t>
  </si>
  <si>
    <t>=NL("Filas","SQL=select max(t.[Nº movimiento]) movimiento "&amp;
"    from [dbo].[MEDIAPOST SPAIN$Tracking Documento] t "&amp;
"  where t.[Nº Albarán] =  '"&amp;$C19&amp;"'  "&amp;
"       and t.[Estado Documento] &lt;&gt; '' ",{"movimiento"},"Datasource=","SQL-NAVISION")</t>
  </si>
  <si>
    <t>=NL("Primero","Tracking Documento",{"Estado Documento";"Cód. Incidencia"},"Nº movimiento",NF($D19,"movimiento"),"DataSource=","Navision","Empresa=","MEDIAPOST SPAIN")</t>
  </si>
  <si>
    <t>=NF($E19,"Cód. Incidencia")</t>
  </si>
  <si>
    <t>=IF($F19="","",NL("Primero","Situaciones Dispatching","Descripción","Cód. incidencia",$F19,"Notificar cliente","Sí","DataSource=","Navision","Empresa=","MEDIAPOST SPAIN"))</t>
  </si>
  <si>
    <t>=NF($B19,"No. Documento cliente")</t>
  </si>
  <si>
    <t>=NF($B19,"No. referencia transporte")</t>
  </si>
  <si>
    <t>=NF($B19,"No. expedición transporte")</t>
  </si>
  <si>
    <t>=NF($B19,"Nombre punto entrega")</t>
  </si>
  <si>
    <t>=NF($B19,"Dirección punto entrega")</t>
  </si>
  <si>
    <t>=NF($B19,"C.P. punto entrega")</t>
  </si>
  <si>
    <t>=NF($B19,"Población punto entrega")</t>
  </si>
  <si>
    <t>=NF($B19,"Provincia punto entrega")</t>
  </si>
  <si>
    <t>=NF($B19,"País punto entrega")</t>
  </si>
  <si>
    <t>=NF($B19,"Observaciones SGA")</t>
  </si>
  <si>
    <t>=IF($T19="Anulado","",TEXT(NF($B19,"Fecha envío al SGA"),"dd/mm/aaaa"))</t>
  </si>
  <si>
    <t>=IF($T19="Preparado","",TEXT(NF($B19,"Fecha completado SGA"),"dd/mm/aaaa"))</t>
  </si>
  <si>
    <t>=NF($E19,"Estado documento")</t>
  </si>
  <si>
    <t>=NF($B19,"Fecha última situación")</t>
  </si>
  <si>
    <t>=IF($F19="","",NL("Primero","Situaciones Dispatching","Descripción","Cód. incidencia",$F19,"DataSource=","Navision","Empresa=","MEDIAPOST SPAIN"))</t>
  </si>
  <si>
    <t>=NF($B19,"Cód. transportista")</t>
  </si>
  <si>
    <t>=NF($B19,"Cód. servicio solicitado")</t>
  </si>
  <si>
    <t>=IF(NF($B19,"Link imagen")&lt;&gt;"",HYPERLINK(NF($B19,"Link imagen")),"")</t>
  </si>
  <si>
    <t>=NL("Primero","Cab. Expedición","Localizador","No. referencia transporte",NF($B19,"No. referencia transporte"),"Conexión=","Navision","Empresa=","MEDIAPOST SPAIN")</t>
  </si>
  <si>
    <t>="""Navision"",""MEDIAPOST SPAIN"",""7098016"",""14"",""64425001569"",""51"",""1200709223"",""50"",""64425001569"",""60"",""Jesús De La Riva Fernández"",""61"",""Plaza de la Huerta Nº7-3º B"",""62"",""24010"",""63"",""Trobajo del Camino"",""64"",""LEON"",""65"",""ES"",""102"",""10/09/2025"",""50208"",""11"&amp;"/09/2025"",""50007"",""Entregado"",""50006"",""Enviado"",""50319"",""12/09/2025"",""40"",""TIPSA"",""41"",""STD"",""238"",""https://www.tip-sa.com/cliente/datos.php?id=028001093946442500156924010"",""1"",""Pedido"",""2"",""PD250155427"",""50318"",""00002"",""50045"","""""</t>
  </si>
  <si>
    <t>=NF($B20,"No.")</t>
  </si>
  <si>
    <t>=NL("Filas","SQL=select max(t.[Nº movimiento]) movimiento "&amp;
"    from [dbo].[MEDIAPOST SPAIN$Tracking Documento] t "&amp;
"  where t.[Nº Albarán] =  '"&amp;$C20&amp;"'  "&amp;
"       and t.[Estado Documento] &lt;&gt; '' ",{"movimiento"},"Datasource=","SQL-NAVISION")</t>
  </si>
  <si>
    <t>=NL("Primero","Tracking Documento",{"Estado Documento";"Cód. Incidencia"},"Nº movimiento",NF($D20,"movimiento"),"DataSource=","Navision","Empresa=","MEDIAPOST SPAIN")</t>
  </si>
  <si>
    <t>=NF($E20,"Cód. Incidencia")</t>
  </si>
  <si>
    <t>=IF($F20="","",NL("Primero","Situaciones Dispatching","Descripción","Cód. incidencia",$F20,"Notificar cliente","Sí","DataSource=","Navision","Empresa=","MEDIAPOST SPAIN"))</t>
  </si>
  <si>
    <t>=NF($B20,"No. Documento cliente")</t>
  </si>
  <si>
    <t>=NF($B20,"No. referencia transporte")</t>
  </si>
  <si>
    <t>=NF($B20,"No. expedición transporte")</t>
  </si>
  <si>
    <t>=NF($B20,"Nombre punto entrega")</t>
  </si>
  <si>
    <t>=NF($B20,"Dirección punto entrega")</t>
  </si>
  <si>
    <t>=NF($B20,"C.P. punto entrega")</t>
  </si>
  <si>
    <t>=NF($B20,"Población punto entrega")</t>
  </si>
  <si>
    <t>=NF($B20,"Provincia punto entrega")</t>
  </si>
  <si>
    <t>=NF($B20,"País punto entrega")</t>
  </si>
  <si>
    <t>=NF($B20,"Observaciones SGA")</t>
  </si>
  <si>
    <t>=IF($T20="Anulado","",TEXT(NF($B20,"Fecha envío al SGA"),"dd/mm/aaaa"))</t>
  </si>
  <si>
    <t>=IF($T20="Preparado","",TEXT(NF($B20,"Fecha completado SGA"),"dd/mm/aaaa"))</t>
  </si>
  <si>
    <t>=NF($E20,"Estado documento")</t>
  </si>
  <si>
    <t>=NF($B20,"Fecha última situación")</t>
  </si>
  <si>
    <t>=IF($F20="","",NL("Primero","Situaciones Dispatching","Descripción","Cód. incidencia",$F20,"DataSource=","Navision","Empresa=","MEDIAPOST SPAIN"))</t>
  </si>
  <si>
    <t>=NF($B20,"Cód. transportista")</t>
  </si>
  <si>
    <t>=NF($B20,"Cód. servicio solicitado")</t>
  </si>
  <si>
    <t>=IF(NF($B20,"Link imagen")&lt;&gt;"",HYPERLINK(NF($B20,"Link imagen")),"")</t>
  </si>
  <si>
    <t>=NL("Primero","Cab. Expedición","Localizador","No. referencia transporte",NF($B20,"No. referencia transporte"),"Conexión=","Navision","Empresa=","MEDIAPOST SPAIN")</t>
  </si>
  <si>
    <t>="""Navision"",""MEDIAPOST SPAIN"",""7098016"",""14"",""64425001570"",""51"",""1200709225"",""50"",""64425001570"",""60"",""Maria Auxiliadora Diaz Cuesta"",""61"",""C/ El Yugo 16, Urbanización Las Toras"",""62"",""37439"",""63"",""San Cristóbal de la Cuesta"",""64"",""SALAMANCA"",""65"",""ES"",""102"&amp;""",""10/09/2025"",""50208"",""11/09/2025"",""50007"",""Entregado"",""50006"",""Enviado"",""50319"",""12/09/2025"",""40"",""TIPSA"",""41"",""STD"",""238"",""https://www.tip-sa.com/cliente/datos.php?id=028001093946442500157037439"",""1"",""Pedido"",""2"",""PD250155428"",""50318"",""00002"",""50045"","""&amp;""""</t>
  </si>
  <si>
    <t>=NF($B21,"No.")</t>
  </si>
  <si>
    <t>=NL("Filas","SQL=select max(t.[Nº movimiento]) movimiento "&amp;
"    from [dbo].[MEDIAPOST SPAIN$Tracking Documento] t "&amp;
"  where t.[Nº Albarán] =  '"&amp;$C21&amp;"'  "&amp;
"       and t.[Estado Documento] &lt;&gt; '' ",{"movimiento"},"Datasource=","SQL-NAVISION")</t>
  </si>
  <si>
    <t>=NL("Primero","Tracking Documento",{"Estado Documento";"Cód. Incidencia"},"Nº movimiento",NF($D21,"movimiento"),"DataSource=","Navision","Empresa=","MEDIAPOST SPAIN")</t>
  </si>
  <si>
    <t>=NF($E21,"Cód. Incidencia")</t>
  </si>
  <si>
    <t>=IF($F21="","",NL("Primero","Situaciones Dispatching","Descripción","Cód. incidencia",$F21,"Notificar cliente","Sí","DataSource=","Navision","Empresa=","MEDIAPOST SPAIN"))</t>
  </si>
  <si>
    <t>=NF($B21,"No. Documento cliente")</t>
  </si>
  <si>
    <t>=NF($B21,"No. referencia transporte")</t>
  </si>
  <si>
    <t>=NF($B21,"No. expedición transporte")</t>
  </si>
  <si>
    <t>=NF($B21,"Nombre punto entrega")</t>
  </si>
  <si>
    <t>=NF($B21,"Dirección punto entrega")</t>
  </si>
  <si>
    <t>=NF($B21,"C.P. punto entrega")</t>
  </si>
  <si>
    <t>=NF($B21,"Población punto entrega")</t>
  </si>
  <si>
    <t>=NF($B21,"Provincia punto entrega")</t>
  </si>
  <si>
    <t>=NF($B21,"País punto entrega")</t>
  </si>
  <si>
    <t>=NF($B21,"Observaciones SGA")</t>
  </si>
  <si>
    <t>=IF($T21="Anulado","",TEXT(NF($B21,"Fecha envío al SGA"),"dd/mm/aaaa"))</t>
  </si>
  <si>
    <t>=IF($T21="Preparado","",TEXT(NF($B21,"Fecha completado SGA"),"dd/mm/aaaa"))</t>
  </si>
  <si>
    <t>=NF($E21,"Estado documento")</t>
  </si>
  <si>
    <t>=NF($B21,"Fecha última situación")</t>
  </si>
  <si>
    <t>=IF($F21="","",NL("Primero","Situaciones Dispatching","Descripción","Cód. incidencia",$F21,"DataSource=","Navision","Empresa=","MEDIAPOST SPAIN"))</t>
  </si>
  <si>
    <t>=NF($B21,"Cód. transportista")</t>
  </si>
  <si>
    <t>=NF($B21,"Cód. servicio solicitado")</t>
  </si>
  <si>
    <t>=IF(NF($B21,"Link imagen")&lt;&gt;"",HYPERLINK(NF($B21,"Link imagen")),"")</t>
  </si>
  <si>
    <t>=NL("Primero","Cab. Expedición","Localizador","No. referencia transporte",NF($B21,"No. referencia transporte"),"Conexión=","Navision","Empresa=","MEDIAPOST SPAIN")</t>
  </si>
  <si>
    <t>="""Navision"",""MEDIAPOST SPAIN"",""7098016"",""14"",""64425001571"",""51"",""1200709227"",""50"",""64425001571"",""60"",""Jose Mª Guillen Macias"",""61"",""C/ Clavellinas 25, 4ª 4A"",""62"",""06010"",""63"",""Badajoz"",""64"",""BADAJOZ"",""65"",""ES"",""102"",""10/09/2025"",""50208"",""11/09/2025"",""5000"&amp;"7"",""Entregado"",""50006"",""Enviado"",""50319"",""12/09/2025"",""40"",""TIPSA"",""41"",""STD"",""238"",""https://www.tip-sa.com/cliente/datos.php?id=028001093946442500157106010"",""1"",""Pedido"",""2"",""PD250155429"",""50318"",""00002"",""50045"","""""</t>
  </si>
  <si>
    <t>=NF($B22,"No.")</t>
  </si>
  <si>
    <t>=NL("Filas","SQL=select max(t.[Nº movimiento]) movimiento "&amp;
"    from [dbo].[MEDIAPOST SPAIN$Tracking Documento] t "&amp;
"  where t.[Nº Albarán] =  '"&amp;$C22&amp;"'  "&amp;
"       and t.[Estado Documento] &lt;&gt; '' ",{"movimiento"},"Datasource=","SQL-NAVISION")</t>
  </si>
  <si>
    <t>=NL("Primero","Tracking Documento",{"Estado Documento";"Cód. Incidencia"},"Nº movimiento",NF($D22,"movimiento"),"DataSource=","Navision","Empresa=","MEDIAPOST SPAIN")</t>
  </si>
  <si>
    <t>=NF($E22,"Cód. Incidencia")</t>
  </si>
  <si>
    <t>=IF($F22="","",NL("Primero","Situaciones Dispatching","Descripción","Cód. incidencia",$F22,"Notificar cliente","Sí","DataSource=","Navision","Empresa=","MEDIAPOST SPAIN"))</t>
  </si>
  <si>
    <t>=NF($B22,"No. Documento cliente")</t>
  </si>
  <si>
    <t>=NF($B22,"No. referencia transporte")</t>
  </si>
  <si>
    <t>=NF($B22,"No. expedición transporte")</t>
  </si>
  <si>
    <t>=NF($B22,"Nombre punto entrega")</t>
  </si>
  <si>
    <t>=NF($B22,"Dirección punto entrega")</t>
  </si>
  <si>
    <t>=NF($B22,"C.P. punto entrega")</t>
  </si>
  <si>
    <t>=NF($B22,"Población punto entrega")</t>
  </si>
  <si>
    <t>=NF($B22,"Provincia punto entrega")</t>
  </si>
  <si>
    <t>=NF($B22,"País punto entrega")</t>
  </si>
  <si>
    <t>=NF($B22,"Observaciones SGA")</t>
  </si>
  <si>
    <t>=IF($T22="Anulado","",TEXT(NF($B22,"Fecha envío al SGA"),"dd/mm/aaaa"))</t>
  </si>
  <si>
    <t>=IF($T22="Preparado","",TEXT(NF($B22,"Fecha completado SGA"),"dd/mm/aaaa"))</t>
  </si>
  <si>
    <t>=NF($E22,"Estado documento")</t>
  </si>
  <si>
    <t>=NF($B22,"Fecha última situación")</t>
  </si>
  <si>
    <t>=IF($F22="","",NL("Primero","Situaciones Dispatching","Descripción","Cód. incidencia",$F22,"DataSource=","Navision","Empresa=","MEDIAPOST SPAIN"))</t>
  </si>
  <si>
    <t>=NF($B22,"Cód. transportista")</t>
  </si>
  <si>
    <t>=NF($B22,"Cód. servicio solicitado")</t>
  </si>
  <si>
    <t>=IF(NF($B22,"Link imagen")&lt;&gt;"",HYPERLINK(NF($B22,"Link imagen")),"")</t>
  </si>
  <si>
    <t>=NL("Primero","Cab. Expedición","Localizador","No. referencia transporte",NF($B22,"No. referencia transporte"),"Conexión=","Navision","Empresa=","MEDIAPOST SPAIN")</t>
  </si>
  <si>
    <t>="""Navision"",""MEDIAPOST SPAIN"",""7098016"",""14"",""64425001572"",""51"",""1200709229"",""50"",""64425001572"",""60"",""Purificacion Moreno Seijas"",""61"",""Roma, 3 - 1º C"",""62"",""10005"",""63"",""Caceres"",""64"",""CACERES"",""65"",""ES"",""102"",""10/09/2025"",""50208"",""11/09/2025"",""50007"",""En"&amp;"tregado"",""50006"",""Enviado"",""50319"",""12/09/2025"",""40"",""TIPSA"",""41"",""STD"",""238"",""https://www.tip-sa.com/cliente/datos.php?id=028001093946442500157210005"",""1"",""Pedido"",""2"",""PD250155430"",""50318"",""00002"",""50045"","""""</t>
  </si>
  <si>
    <t>=NF($B23,"No.")</t>
  </si>
  <si>
    <t>=NL("Filas","SQL=select max(t.[Nº movimiento]) movimiento "&amp;
"    from [dbo].[MEDIAPOST SPAIN$Tracking Documento] t "&amp;
"  where t.[Nº Albarán] =  '"&amp;$C23&amp;"'  "&amp;
"       and t.[Estado Documento] &lt;&gt; '' ",{"movimiento"},"Datasource=","SQL-NAVISION")</t>
  </si>
  <si>
    <t>=NL("Primero","Tracking Documento",{"Estado Documento";"Cód. Incidencia"},"Nº movimiento",NF($D23,"movimiento"),"DataSource=","Navision","Empresa=","MEDIAPOST SPAIN")</t>
  </si>
  <si>
    <t>=NF($E23,"Cód. Incidencia")</t>
  </si>
  <si>
    <t>=IF($F23="","",NL("Primero","Situaciones Dispatching","Descripción","Cód. incidencia",$F23,"Notificar cliente","Sí","DataSource=","Navision","Empresa=","MEDIAPOST SPAIN"))</t>
  </si>
  <si>
    <t>=NF($B23,"No. Documento cliente")</t>
  </si>
  <si>
    <t>=NF($B23,"No. referencia transporte")</t>
  </si>
  <si>
    <t>=NF($B23,"No. expedición transporte")</t>
  </si>
  <si>
    <t>=NF($B23,"Nombre punto entrega")</t>
  </si>
  <si>
    <t>=NF($B23,"Dirección punto entrega")</t>
  </si>
  <si>
    <t>=NF($B23,"C.P. punto entrega")</t>
  </si>
  <si>
    <t>=NF($B23,"Población punto entrega")</t>
  </si>
  <si>
    <t>=NF($B23,"Provincia punto entrega")</t>
  </si>
  <si>
    <t>=NF($B23,"País punto entrega")</t>
  </si>
  <si>
    <t>=NF($B23,"Observaciones SGA")</t>
  </si>
  <si>
    <t>=IF($T23="Anulado","",TEXT(NF($B23,"Fecha envío al SGA"),"dd/mm/aaaa"))</t>
  </si>
  <si>
    <t>=IF($T23="Preparado","",TEXT(NF($B23,"Fecha completado SGA"),"dd/mm/aaaa"))</t>
  </si>
  <si>
    <t>=NF($E23,"Estado documento")</t>
  </si>
  <si>
    <t>=NF($B23,"Fecha última situación")</t>
  </si>
  <si>
    <t>=IF($F23="","",NL("Primero","Situaciones Dispatching","Descripción","Cód. incidencia",$F23,"DataSource=","Navision","Empresa=","MEDIAPOST SPAIN"))</t>
  </si>
  <si>
    <t>=NF($B23,"Cód. transportista")</t>
  </si>
  <si>
    <t>=NF($B23,"Cód. servicio solicitado")</t>
  </si>
  <si>
    <t>=IF(NF($B23,"Link imagen")&lt;&gt;"",HYPERLINK(NF($B23,"Link imagen")),"")</t>
  </si>
  <si>
    <t>=NL("Primero","Cab. Expedición","Localizador","No. referencia transporte",NF($B23,"No. referencia transporte"),"Conexión=","Navision","Empresa=","MEDIAPOST SPAIN")</t>
  </si>
  <si>
    <t>="""Navision"",""MEDIAPOST SPAIN"",""7098016"",""14"",""64425001573"",""51"",""1200709231"",""50"",""64425001573"",""60"",""Jose Manuel Pereda Auriguiberry"",""61"",""C/ Francisco Luján 3 sexto C"",""62"",""06004"",""63"",""Badajoz"",""64"",""BADAJOZ"",""65"",""ES"",""102"",""10/09/2025"",""50208"",""11/0"&amp;"9/2025"",""50007"",""Entregado"",""50006"",""Enviado"",""50319"",""12/09/2025"",""40"",""TIPSA"",""41"",""STD"",""238"",""https://www.tip-sa.com/cliente/datos.php?id=028001093946442500157306004"",""1"",""Pedido"",""2"",""PD250155431"",""50318"",""00002"",""50045"","""""</t>
  </si>
  <si>
    <t>=NF($B24,"No.")</t>
  </si>
  <si>
    <t>=NL("Filas","SQL=select max(t.[Nº movimiento]) movimiento "&amp;
"    from [dbo].[MEDIAPOST SPAIN$Tracking Documento] t "&amp;
"  where t.[Nº Albarán] =  '"&amp;$C24&amp;"'  "&amp;
"       and t.[Estado Documento] &lt;&gt; '' ",{"movimiento"},"Datasource=","SQL-NAVISION")</t>
  </si>
  <si>
    <t>=NL("Primero","Tracking Documento",{"Estado Documento";"Cód. Incidencia"},"Nº movimiento",NF($D24,"movimiento"),"DataSource=","Navision","Empresa=","MEDIAPOST SPAIN")</t>
  </si>
  <si>
    <t>=NF($E24,"Cód. Incidencia")</t>
  </si>
  <si>
    <t>=IF($F24="","",NL("Primero","Situaciones Dispatching","Descripción","Cód. incidencia",$F24,"Notificar cliente","Sí","DataSource=","Navision","Empresa=","MEDIAPOST SPAIN"))</t>
  </si>
  <si>
    <t>=NF($B24,"No. Documento cliente")</t>
  </si>
  <si>
    <t>=NF($B24,"No. referencia transporte")</t>
  </si>
  <si>
    <t>=NF($B24,"No. expedición transporte")</t>
  </si>
  <si>
    <t>=NF($B24,"Nombre punto entrega")</t>
  </si>
  <si>
    <t>=NF($B24,"Dirección punto entrega")</t>
  </si>
  <si>
    <t>=NF($B24,"C.P. punto entrega")</t>
  </si>
  <si>
    <t>=NF($B24,"Población punto entrega")</t>
  </si>
  <si>
    <t>=NF($B24,"Provincia punto entrega")</t>
  </si>
  <si>
    <t>=NF($B24,"País punto entrega")</t>
  </si>
  <si>
    <t>=NF($B24,"Observaciones SGA")</t>
  </si>
  <si>
    <t>=IF($T24="Anulado","",TEXT(NF($B24,"Fecha envío al SGA"),"dd/mm/aaaa"))</t>
  </si>
  <si>
    <t>=IF($T24="Preparado","",TEXT(NF($B24,"Fecha completado SGA"),"dd/mm/aaaa"))</t>
  </si>
  <si>
    <t>=NF($E24,"Estado documento")</t>
  </si>
  <si>
    <t>=NF($B24,"Fecha última situación")</t>
  </si>
  <si>
    <t>=IF($F24="","",NL("Primero","Situaciones Dispatching","Descripción","Cód. incidencia",$F24,"DataSource=","Navision","Empresa=","MEDIAPOST SPAIN"))</t>
  </si>
  <si>
    <t>=NF($B24,"Cód. transportista")</t>
  </si>
  <si>
    <t>=NF($B24,"Cód. servicio solicitado")</t>
  </si>
  <si>
    <t>=IF(NF($B24,"Link imagen")&lt;&gt;"",HYPERLINK(NF($B24,"Link imagen")),"")</t>
  </si>
  <si>
    <t>=NL("Primero","Cab. Expedición","Localizador","No. referencia transporte",NF($B24,"No. referencia transporte"),"Conexión=","Navision","Empresa=","MEDIAPOST SPAIN")</t>
  </si>
  <si>
    <t>="""Navision"",""MEDIAPOST SPAIN"",""7098016"",""14"",""64425001574"",""51"",""1200709233"",""50"",""64425001574"",""60"",""Antonio L. Santos Ortega"",""61"",""C/Río Valdellorma, 1 - 4º D"",""62"",""24010"",""63"",""Leon"",""64"",""LEON"",""65"",""ES"",""102"",""10/09/2025"",""50208"",""11/09/2025"",""50007"&amp;""",""Entregado"",""50006"",""Enviado"",""50319"",""12/09/2025"",""40"",""TIPSA"",""41"",""STD"",""238"",""https://www.tip-sa.com/cliente/datos.php?id=028001093946442500157424010"",""1"",""Pedido"",""2"",""PD250155432"",""50318"",""00002"",""50045"","""""</t>
  </si>
  <si>
    <t>=NF($B25,"No.")</t>
  </si>
  <si>
    <t>=NL("Filas","SQL=select max(t.[Nº movimiento]) movimiento "&amp;
"    from [dbo].[MEDIAPOST SPAIN$Tracking Documento] t "&amp;
"  where t.[Nº Albarán] =  '"&amp;$C25&amp;"'  "&amp;
"       and t.[Estado Documento] &lt;&gt; '' ",{"movimiento"},"Datasource=","SQL-NAVISION")</t>
  </si>
  <si>
    <t>=NL("Primero","Tracking Documento",{"Estado Documento";"Cód. Incidencia"},"Nº movimiento",NF($D25,"movimiento"),"DataSource=","Navision","Empresa=","MEDIAPOST SPAIN")</t>
  </si>
  <si>
    <t>=NF($E25,"Cód. Incidencia")</t>
  </si>
  <si>
    <t>=IF($F25="","",NL("Primero","Situaciones Dispatching","Descripción","Cód. incidencia",$F25,"Notificar cliente","Sí","DataSource=","Navision","Empresa=","MEDIAPOST SPAIN"))</t>
  </si>
  <si>
    <t>=NF($B25,"No. Documento cliente")</t>
  </si>
  <si>
    <t>=NF($B25,"No. referencia transporte")</t>
  </si>
  <si>
    <t>=NF($B25,"No. expedición transporte")</t>
  </si>
  <si>
    <t>=NF($B25,"Nombre punto entrega")</t>
  </si>
  <si>
    <t>=NF($B25,"Dirección punto entrega")</t>
  </si>
  <si>
    <t>=NF($B25,"C.P. punto entrega")</t>
  </si>
  <si>
    <t>=NF($B25,"Población punto entrega")</t>
  </si>
  <si>
    <t>=NF($B25,"Provincia punto entrega")</t>
  </si>
  <si>
    <t>=NF($B25,"País punto entrega")</t>
  </si>
  <si>
    <t>=NF($B25,"Observaciones SGA")</t>
  </si>
  <si>
    <t>=IF($T25="Anulado","",TEXT(NF($B25,"Fecha envío al SGA"),"dd/mm/aaaa"))</t>
  </si>
  <si>
    <t>=IF($T25="Preparado","",TEXT(NF($B25,"Fecha completado SGA"),"dd/mm/aaaa"))</t>
  </si>
  <si>
    <t>=NF($E25,"Estado documento")</t>
  </si>
  <si>
    <t>=NF($B25,"Fecha última situación")</t>
  </si>
  <si>
    <t>=IF($F25="","",NL("Primero","Situaciones Dispatching","Descripción","Cód. incidencia",$F25,"DataSource=","Navision","Empresa=","MEDIAPOST SPAIN"))</t>
  </si>
  <si>
    <t>=NF($B25,"Cód. transportista")</t>
  </si>
  <si>
    <t>=NF($B25,"Cód. servicio solicitado")</t>
  </si>
  <si>
    <t>=IF(NF($B25,"Link imagen")&lt;&gt;"",HYPERLINK(NF($B25,"Link imagen")),"")</t>
  </si>
  <si>
    <t>=NL("Primero","Cab. Expedición","Localizador","No. referencia transporte",NF($B25,"No. referencia transporte"),"Conexión=","Navision","Empresa=","MEDIAPOST SPAIN")</t>
  </si>
  <si>
    <t>="""Navision"",""MEDIAPOST SPAIN"",""7098016"",""14"",""64425001575"",""51"",""1200709235"",""50"",""64425001575"",""60"",""Manuel Joaquín Serrano Fernández-Paris"",""61"",""Calle Martin Santos Romero 101, 3ºB"",""62"",""47016"",""63"",""Valladolid"",""64"",""VALLADOLID"",""65"",""ES"",""102"",""10/09"&amp;"/2025"",""50208"",""11/09/2025"",""50007"",""Entregado"",""50006"",""Enviado"",""50319"",""12/09/2025"",""40"",""TIPSA"",""41"",""STD"",""238"",""https://www.tip-sa.com/cliente/datos.php?id=028001093946442500157547016"",""1"",""Pedido"",""2"",""PD250155433"",""50318"",""00002"",""50045"","""""</t>
  </si>
  <si>
    <t>=NF($B26,"No.")</t>
  </si>
  <si>
    <t>=NL("Filas","SQL=select max(t.[Nº movimiento]) movimiento "&amp;
"    from [dbo].[MEDIAPOST SPAIN$Tracking Documento] t "&amp;
"  where t.[Nº Albarán] =  '"&amp;$C26&amp;"'  "&amp;
"       and t.[Estado Documento] &lt;&gt; '' ",{"movimiento"},"Datasource=","SQL-NAVISION")</t>
  </si>
  <si>
    <t>=NL("Primero","Tracking Documento",{"Estado Documento";"Cód. Incidencia"},"Nº movimiento",NF($D26,"movimiento"),"DataSource=","Navision","Empresa=","MEDIAPOST SPAIN")</t>
  </si>
  <si>
    <t>=NF($E26,"Cód. Incidencia")</t>
  </si>
  <si>
    <t>=IF($F26="","",NL("Primero","Situaciones Dispatching","Descripción","Cód. incidencia",$F26,"Notificar cliente","Sí","DataSource=","Navision","Empresa=","MEDIAPOST SPAIN"))</t>
  </si>
  <si>
    <t>=NF($B26,"No. Documento cliente")</t>
  </si>
  <si>
    <t>=NF($B26,"No. referencia transporte")</t>
  </si>
  <si>
    <t>=NF($B26,"No. expedición transporte")</t>
  </si>
  <si>
    <t>=NF($B26,"Nombre punto entrega")</t>
  </si>
  <si>
    <t>=NF($B26,"Dirección punto entrega")</t>
  </si>
  <si>
    <t>=NF($B26,"C.P. punto entrega")</t>
  </si>
  <si>
    <t>=NF($B26,"Población punto entrega")</t>
  </si>
  <si>
    <t>=NF($B26,"Provincia punto entrega")</t>
  </si>
  <si>
    <t>=NF($B26,"País punto entrega")</t>
  </si>
  <si>
    <t>=NF($B26,"Observaciones SGA")</t>
  </si>
  <si>
    <t>=IF($T26="Anulado","",TEXT(NF($B26,"Fecha envío al SGA"),"dd/mm/aaaa"))</t>
  </si>
  <si>
    <t>=IF($T26="Preparado","",TEXT(NF($B26,"Fecha completado SGA"),"dd/mm/aaaa"))</t>
  </si>
  <si>
    <t>=NF($E26,"Estado documento")</t>
  </si>
  <si>
    <t>=NF($B26,"Fecha última situación")</t>
  </si>
  <si>
    <t>=IF($F26="","",NL("Primero","Situaciones Dispatching","Descripción","Cód. incidencia",$F26,"DataSource=","Navision","Empresa=","MEDIAPOST SPAIN"))</t>
  </si>
  <si>
    <t>=NF($B26,"Cód. transportista")</t>
  </si>
  <si>
    <t>=NF($B26,"Cód. servicio solicitado")</t>
  </si>
  <si>
    <t>=IF(NF($B26,"Link imagen")&lt;&gt;"",HYPERLINK(NF($B26,"Link imagen")),"")</t>
  </si>
  <si>
    <t>=NL("Primero","Cab. Expedición","Localizador","No. referencia transporte",NF($B26,"No. referencia transporte"),"Conexión=","Navision","Empresa=","MEDIAPOST SPAIN")</t>
  </si>
  <si>
    <t>="""Navision"",""MEDIAPOST SPAIN"",""7098016"",""14"",""64425001576"",""51"",""0457666"",""50"",""64425001576"",""60"",""Delegacion GLS - Recoge Myriam Fernandez Rodriguez"",""61"",""Calle Helio, 24 Polígono San Cristóbal"",""62"",""47012"",""63"",""VALLADOLID"",""64"",""VALLADOLID"",""65"",""ES"","&amp;"""102"",""10/09/2025"",""50208"",""11/09/2025"",""50007"",""En Reparto"",""50006"",""Enviado"",""50319"",""30/09/2025"",""40"",""ASM"",""41"",""STD"",""238"",""https://mygls.gls-spain.es/e/31200800457666/47012"",""1"",""Pedido"",""2"",""PD250155434"",""50318"",""00370"",""50045"","""""</t>
  </si>
  <si>
    <t>=NF($B27,"No.")</t>
  </si>
  <si>
    <t>=NL("Filas","SQL=select max(t.[Nº movimiento]) movimiento "&amp;
"    from [dbo].[MEDIAPOST SPAIN$Tracking Documento] t "&amp;
"  where t.[Nº Albarán] =  '"&amp;$C27&amp;"'  "&amp;
"       and t.[Estado Documento] &lt;&gt; '' ",{"movimiento"},"Datasource=","SQL-NAVISION")</t>
  </si>
  <si>
    <t>=NL("Primero","Tracking Documento",{"Estado Documento";"Cód. Incidencia"},"Nº movimiento",NF($D27,"movimiento"),"DataSource=","Navision","Empresa=","MEDIAPOST SPAIN")</t>
  </si>
  <si>
    <t>=NF($E27,"Cód. Incidencia")</t>
  </si>
  <si>
    <t>=IF($F27="","",NL("Primero","Situaciones Dispatching","Descripción","Cód. incidencia",$F27,"Notificar cliente","Sí","DataSource=","Navision","Empresa=","MEDIAPOST SPAIN"))</t>
  </si>
  <si>
    <t>=NF($B27,"No. Documento cliente")</t>
  </si>
  <si>
    <t>=NF($B27,"No. referencia transporte")</t>
  </si>
  <si>
    <t>=NF($B27,"No. expedición transporte")</t>
  </si>
  <si>
    <t>=NF($B27,"Nombre punto entrega")</t>
  </si>
  <si>
    <t>=NF($B27,"Dirección punto entrega")</t>
  </si>
  <si>
    <t>=NF($B27,"C.P. punto entrega")</t>
  </si>
  <si>
    <t>=NF($B27,"Población punto entrega")</t>
  </si>
  <si>
    <t>=NF($B27,"Provincia punto entrega")</t>
  </si>
  <si>
    <t>=NF($B27,"País punto entrega")</t>
  </si>
  <si>
    <t>=NF($B27,"Observaciones SGA")</t>
  </si>
  <si>
    <t>=IF($T27="Anulado","",TEXT(NF($B27,"Fecha envío al SGA"),"dd/mm/aaaa"))</t>
  </si>
  <si>
    <t>=IF($T27="Preparado","",TEXT(NF($B27,"Fecha completado SGA"),"dd/mm/aaaa"))</t>
  </si>
  <si>
    <t>=NF($E27,"Estado documento")</t>
  </si>
  <si>
    <t>=NF($B27,"Fecha última situación")</t>
  </si>
  <si>
    <t>=IF($F27="","",NL("Primero","Situaciones Dispatching","Descripción","Cód. incidencia",$F27,"DataSource=","Navision","Empresa=","MEDIAPOST SPAIN"))</t>
  </si>
  <si>
    <t>=NF($B27,"Cód. transportista")</t>
  </si>
  <si>
    <t>=NF($B27,"Cód. servicio solicitado")</t>
  </si>
  <si>
    <t>=IF(NF($B27,"Link imagen")&lt;&gt;"",HYPERLINK(NF($B27,"Link imagen")),"")</t>
  </si>
  <si>
    <t>=NL("Primero","Cab. Expedición","Localizador","No. referencia transporte",NF($B27,"No. referencia transporte"),"Conexión=","Navision","Empresa=","MEDIAPOST SPAIN")</t>
  </si>
  <si>
    <t>="""Navision"",""MEDIAPOST SPAIN"",""7098016"",""14"",""64425001577"",""51"",""1200709237"",""50"",""64425001577"",""60"",""Cristina Redondo Moro"",""61"",""C/ Erribera 7, 2ºE"",""62"",""20810"",""63"",""Orio"",""64"",""GUIPUZCOA"",""65"",""ES"",""102"",""10/09/2025"",""50208"",""11/09/2025"",""50007"",""Entr"&amp;"egado"",""50006"",""Enviado"",""50319"",""12/09/2025"",""40"",""TIPSA"",""41"",""STD"",""238"",""https://www.tip-sa.com/cliente/datos.php?id=028001093946442500157720810"",""1"",""Pedido"",""2"",""PD250155435"",""50318"",""00002"",""50045"","""""</t>
  </si>
  <si>
    <t>=NF($B28,"No.")</t>
  </si>
  <si>
    <t>=NL("Filas","SQL=select max(t.[Nº movimiento]) movimiento "&amp;
"    from [dbo].[MEDIAPOST SPAIN$Tracking Documento] t "&amp;
"  where t.[Nº Albarán] =  '"&amp;$C28&amp;"'  "&amp;
"       and t.[Estado Documento] &lt;&gt; '' ",{"movimiento"},"Datasource=","SQL-NAVISION")</t>
  </si>
  <si>
    <t>=NL("Primero","Tracking Documento",{"Estado Documento";"Cód. Incidencia"},"Nº movimiento",NF($D28,"movimiento"),"DataSource=","Navision","Empresa=","MEDIAPOST SPAIN")</t>
  </si>
  <si>
    <t>=NF($E28,"Cód. Incidencia")</t>
  </si>
  <si>
    <t>=IF($F28="","",NL("Primero","Situaciones Dispatching","Descripción","Cód. incidencia",$F28,"Notificar cliente","Sí","DataSource=","Navision","Empresa=","MEDIAPOST SPAIN"))</t>
  </si>
  <si>
    <t>=NF($B28,"No. Documento cliente")</t>
  </si>
  <si>
    <t>=NF($B28,"No. referencia transporte")</t>
  </si>
  <si>
    <t>=NF($B28,"No. expedición transporte")</t>
  </si>
  <si>
    <t>=NF($B28,"Nombre punto entrega")</t>
  </si>
  <si>
    <t>=NF($B28,"Dirección punto entrega")</t>
  </si>
  <si>
    <t>=NF($B28,"C.P. punto entrega")</t>
  </si>
  <si>
    <t>=NF($B28,"Población punto entrega")</t>
  </si>
  <si>
    <t>=NF($B28,"Provincia punto entrega")</t>
  </si>
  <si>
    <t>=NF($B28,"País punto entrega")</t>
  </si>
  <si>
    <t>=NF($B28,"Observaciones SGA")</t>
  </si>
  <si>
    <t>=IF($T28="Anulado","",TEXT(NF($B28,"Fecha envío al SGA"),"dd/mm/aaaa"))</t>
  </si>
  <si>
    <t>=IF($T28="Preparado","",TEXT(NF($B28,"Fecha completado SGA"),"dd/mm/aaaa"))</t>
  </si>
  <si>
    <t>=NF($E28,"Estado documento")</t>
  </si>
  <si>
    <t>=NF($B28,"Fecha última situación")</t>
  </si>
  <si>
    <t>=IF($F28="","",NL("Primero","Situaciones Dispatching","Descripción","Cód. incidencia",$F28,"DataSource=","Navision","Empresa=","MEDIAPOST SPAIN"))</t>
  </si>
  <si>
    <t>=NF($B28,"Cód. transportista")</t>
  </si>
  <si>
    <t>=NF($B28,"Cód. servicio solicitado")</t>
  </si>
  <si>
    <t>=IF(NF($B28,"Link imagen")&lt;&gt;"",HYPERLINK(NF($B28,"Link imagen")),"")</t>
  </si>
  <si>
    <t>=NL("Primero","Cab. Expedición","Localizador","No. referencia transporte",NF($B28,"No. referencia transporte"),"Conexión=","Navision","Empresa=","MEDIAPOST SPAIN")</t>
  </si>
  <si>
    <t>="""Navision"",""MEDIAPOST SPAIN"",""7098016"",""14"",""64425001578"",""51"",""1200709239"",""50"",""64425001578"",""60"",""Jose Maria Salazar Garcia"",""61"",""Enrique Eguren, 11 - 1º B"",""62"",""01008"",""63"",""VITORIA"",""64"",""ALAVA"",""65"",""ES"",""102"",""10/09/2025"",""50208"",""11/09/2025"",""50"&amp;"007"",""Entregado"",""50006"",""Enviado"",""50319"",""15/09/2025"",""40"",""TIPSA"",""41"",""STD"",""238"",""https://www.tip-sa.com/cliente/datos.php?id=028001093946442500157801008"",""1"",""Pedido"",""2"",""PD250155436"",""50318"",""00002"",""50045"","""""</t>
  </si>
  <si>
    <t>=NF($B29,"No.")</t>
  </si>
  <si>
    <t>=NL("Filas","SQL=select max(t.[Nº movimiento]) movimiento "&amp;
"    from [dbo].[MEDIAPOST SPAIN$Tracking Documento] t "&amp;
"  where t.[Nº Albarán] =  '"&amp;$C29&amp;"'  "&amp;
"       and t.[Estado Documento] &lt;&gt; '' ",{"movimiento"},"Datasource=","SQL-NAVISION")</t>
  </si>
  <si>
    <t>=NL("Primero","Tracking Documento",{"Estado Documento";"Cód. Incidencia"},"Nº movimiento",NF($D29,"movimiento"),"DataSource=","Navision","Empresa=","MEDIAPOST SPAIN")</t>
  </si>
  <si>
    <t>=NF($E29,"Cód. Incidencia")</t>
  </si>
  <si>
    <t>=IF($F29="","",NL("Primero","Situaciones Dispatching","Descripción","Cód. incidencia",$F29,"Notificar cliente","Sí","DataSource=","Navision","Empresa=","MEDIAPOST SPAIN"))</t>
  </si>
  <si>
    <t>=NF($B29,"No. Documento cliente")</t>
  </si>
  <si>
    <t>=NF($B29,"No. referencia transporte")</t>
  </si>
  <si>
    <t>=NF($B29,"No. expedición transporte")</t>
  </si>
  <si>
    <t>=NF($B29,"Nombre punto entrega")</t>
  </si>
  <si>
    <t>=NF($B29,"Dirección punto entrega")</t>
  </si>
  <si>
    <t>=NF($B29,"C.P. punto entrega")</t>
  </si>
  <si>
    <t>=NF($B29,"Población punto entrega")</t>
  </si>
  <si>
    <t>=NF($B29,"Provincia punto entrega")</t>
  </si>
  <si>
    <t>=NF($B29,"País punto entrega")</t>
  </si>
  <si>
    <t>=NF($B29,"Observaciones SGA")</t>
  </si>
  <si>
    <t>=IF($T29="Anulado","",TEXT(NF($B29,"Fecha envío al SGA"),"dd/mm/aaaa"))</t>
  </si>
  <si>
    <t>=IF($T29="Preparado","",TEXT(NF($B29,"Fecha completado SGA"),"dd/mm/aaaa"))</t>
  </si>
  <si>
    <t>=NF($E29,"Estado documento")</t>
  </si>
  <si>
    <t>=NF($B29,"Fecha última situación")</t>
  </si>
  <si>
    <t>=IF($F29="","",NL("Primero","Situaciones Dispatching","Descripción","Cód. incidencia",$F29,"DataSource=","Navision","Empresa=","MEDIAPOST SPAIN"))</t>
  </si>
  <si>
    <t>=NF($B29,"Cód. transportista")</t>
  </si>
  <si>
    <t>=NF($B29,"Cód. servicio solicitado")</t>
  </si>
  <si>
    <t>=IF(NF($B29,"Link imagen")&lt;&gt;"",HYPERLINK(NF($B29,"Link imagen")),"")</t>
  </si>
  <si>
    <t>=NL("Primero","Cab. Expedición","Localizador","No. referencia transporte",NF($B29,"No. referencia transporte"),"Conexión=","Navision","Empresa=","MEDIAPOST SPAIN")</t>
  </si>
  <si>
    <t>="""Navision"",""MEDIAPOST SPAIN"",""7098016"",""14"",""64425001579"",""51"",""1200709241"",""50"",""64425001579"",""60"",""Amaya Torre Peña"",""61"",""Duque de Ahumada s/n-Gar.Carabaza,pl 326"",""62"",""39008"",""63"",""SANTANDER"",""64"",""CANTABRIA"",""65"",""ES"",""102"",""10/09/2025"",""50208"",""11/"&amp;"09/2025"",""50007"",""Entregado"",""50006"",""Enviado"",""50319"",""12/09/2025"",""40"",""TIPSA"",""41"",""STD"",""238"",""https://www.tip-sa.com/cliente/datos.php?id=028001093946442500157939008"",""1"",""Pedido"",""2"",""PD250155437"",""50318"",""00002"",""50045"","""""</t>
  </si>
  <si>
    <t>=NF($B30,"No.")</t>
  </si>
  <si>
    <t>=NL("Filas","SQL=select max(t.[Nº movimiento]) movimiento "&amp;
"    from [dbo].[MEDIAPOST SPAIN$Tracking Documento] t "&amp;
"  where t.[Nº Albarán] =  '"&amp;$C30&amp;"'  "&amp;
"       and t.[Estado Documento] &lt;&gt; '' ",{"movimiento"},"Datasource=","SQL-NAVISION")</t>
  </si>
  <si>
    <t>=NL("Primero","Tracking Documento",{"Estado Documento";"Cód. Incidencia"},"Nº movimiento",NF($D30,"movimiento"),"DataSource=","Navision","Empresa=","MEDIAPOST SPAIN")</t>
  </si>
  <si>
    <t>=NF($E30,"Cód. Incidencia")</t>
  </si>
  <si>
    <t>=IF($F30="","",NL("Primero","Situaciones Dispatching","Descripción","Cód. incidencia",$F30,"Notificar cliente","Sí","DataSource=","Navision","Empresa=","MEDIAPOST SPAIN"))</t>
  </si>
  <si>
    <t>=NF($B30,"No. Documento cliente")</t>
  </si>
  <si>
    <t>=NF($B30,"No. referencia transporte")</t>
  </si>
  <si>
    <t>=NF($B30,"No. expedición transporte")</t>
  </si>
  <si>
    <t>=NF($B30,"Nombre punto entrega")</t>
  </si>
  <si>
    <t>=NF($B30,"Dirección punto entrega")</t>
  </si>
  <si>
    <t>=NF($B30,"C.P. punto entrega")</t>
  </si>
  <si>
    <t>=NF($B30,"Población punto entrega")</t>
  </si>
  <si>
    <t>=NF($B30,"Provincia punto entrega")</t>
  </si>
  <si>
    <t>=NF($B30,"País punto entrega")</t>
  </si>
  <si>
    <t>=NF($B30,"Observaciones SGA")</t>
  </si>
  <si>
    <t>=IF($T30="Anulado","",TEXT(NF($B30,"Fecha envío al SGA"),"dd/mm/aaaa"))</t>
  </si>
  <si>
    <t>=IF($T30="Preparado","",TEXT(NF($B30,"Fecha completado SGA"),"dd/mm/aaaa"))</t>
  </si>
  <si>
    <t>=NF($E30,"Estado documento")</t>
  </si>
  <si>
    <t>=NF($B30,"Fecha última situación")</t>
  </si>
  <si>
    <t>=IF($F30="","",NL("Primero","Situaciones Dispatching","Descripción","Cód. incidencia",$F30,"DataSource=","Navision","Empresa=","MEDIAPOST SPAIN"))</t>
  </si>
  <si>
    <t>=NF($B30,"Cód. transportista")</t>
  </si>
  <si>
    <t>=NF($B30,"Cód. servicio solicitado")</t>
  </si>
  <si>
    <t>=IF(NF($B30,"Link imagen")&lt;&gt;"",HYPERLINK(NF($B30,"Link imagen")),"")</t>
  </si>
  <si>
    <t>=NL("Primero","Cab. Expedición","Localizador","No. referencia transporte",NF($B30,"No. referencia transporte"),"Conexión=","Navision","Empresa=","MEDIAPOST SPAIN")</t>
  </si>
  <si>
    <t>="""Navision"",""MEDIAPOST SPAIN"",""7098016"",""14"",""64425001580"",""51"",""1200709243"",""50"",""64425001580"",""60"",""Ainhoa Calvo García"",""61"",""C/ Alameda Urquijo 20, 1º Iz Iz"",""62"",""48008"",""63"",""Bilbao"",""64"",""VIZCAYA"",""65"",""ES"",""102"",""10/09/2025"",""50208"",""11/09/2025"",""5"&amp;"0007"",""Entregado"",""50006"",""Enviado"",""50319"",""15/09/2025"",""40"",""TIPSA"",""41"",""STD"",""238"",""https://www.tip-sa.com/cliente/datos.php?id=028001093946442500158048008"",""1"",""Pedido"",""2"",""PD250155438"",""50318"",""00002"",""50045"","""""</t>
  </si>
  <si>
    <t>=NF($B31,"No.")</t>
  </si>
  <si>
    <t>=NL("Filas","SQL=select max(t.[Nº movimiento]) movimiento "&amp;
"    from [dbo].[MEDIAPOST SPAIN$Tracking Documento] t "&amp;
"  where t.[Nº Albarán] =  '"&amp;$C31&amp;"'  "&amp;
"       and t.[Estado Documento] &lt;&gt; '' ",{"movimiento"},"Datasource=","SQL-NAVISION")</t>
  </si>
  <si>
    <t>=NL("Primero","Tracking Documento",{"Estado Documento";"Cód. Incidencia"},"Nº movimiento",NF($D31,"movimiento"),"DataSource=","Navision","Empresa=","MEDIAPOST SPAIN")</t>
  </si>
  <si>
    <t>=NF($E31,"Cód. Incidencia")</t>
  </si>
  <si>
    <t>=IF($F31="","",NL("Primero","Situaciones Dispatching","Descripción","Cód. incidencia",$F31,"Notificar cliente","Sí","DataSource=","Navision","Empresa=","MEDIAPOST SPAIN"))</t>
  </si>
  <si>
    <t>=NF($B31,"No. Documento cliente")</t>
  </si>
  <si>
    <t>=NF($B31,"No. referencia transporte")</t>
  </si>
  <si>
    <t>=NF($B31,"No. expedición transporte")</t>
  </si>
  <si>
    <t>=NF($B31,"Nombre punto entrega")</t>
  </si>
  <si>
    <t>=NF($B31,"Dirección punto entrega")</t>
  </si>
  <si>
    <t>=NF($B31,"C.P. punto entrega")</t>
  </si>
  <si>
    <t>=NF($B31,"Población punto entrega")</t>
  </si>
  <si>
    <t>=NF($B31,"Provincia punto entrega")</t>
  </si>
  <si>
    <t>=NF($B31,"País punto entrega")</t>
  </si>
  <si>
    <t>=NF($B31,"Observaciones SGA")</t>
  </si>
  <si>
    <t>=IF($T31="Anulado","",TEXT(NF($B31,"Fecha envío al SGA"),"dd/mm/aaaa"))</t>
  </si>
  <si>
    <t>=IF($T31="Preparado","",TEXT(NF($B31,"Fecha completado SGA"),"dd/mm/aaaa"))</t>
  </si>
  <si>
    <t>=NF($E31,"Estado documento")</t>
  </si>
  <si>
    <t>=NF($B31,"Fecha última situación")</t>
  </si>
  <si>
    <t>=IF($F31="","",NL("Primero","Situaciones Dispatching","Descripción","Cód. incidencia",$F31,"DataSource=","Navision","Empresa=","MEDIAPOST SPAIN"))</t>
  </si>
  <si>
    <t>=NF($B31,"Cód. transportista")</t>
  </si>
  <si>
    <t>=NF($B31,"Cód. servicio solicitado")</t>
  </si>
  <si>
    <t>=IF(NF($B31,"Link imagen")&lt;&gt;"",HYPERLINK(NF($B31,"Link imagen")),"")</t>
  </si>
  <si>
    <t>=NL("Primero","Cab. Expedición","Localizador","No. referencia transporte",NF($B31,"No. referencia transporte"),"Conexión=","Navision","Empresa=","MEDIAPOST SPAIN")</t>
  </si>
  <si>
    <t>="""Navision"",""MEDIAPOST SPAIN"",""7098016"",""14"",""64425001581"",""51"",""1200709245"",""50"",""64425001581"",""60"",""Monica Sanchez Gonzalez"",""61"",""C/ Ander Deuna 25, 4º Dcha"",""62"",""48960"",""63"",""Galdakao"",""64"",""VIZCAYA"",""65"",""ES"",""102"",""10/09/2025"",""50208"",""11/09/2025"","""&amp;"50007"",""Entregado"",""50006"",""Enviado"",""50319"",""12/09/2025"",""40"",""TIPSA"",""41"",""STD"",""238"",""https://www.tip-sa.com/cliente/datos.php?id=028001093946442500158148960"",""1"",""Pedido"",""2"",""PD250155439"",""50318"",""00002"",""50045"","""""</t>
  </si>
  <si>
    <t>=NF($B32,"No.")</t>
  </si>
  <si>
    <t>=NL("Filas","SQL=select max(t.[Nº movimiento]) movimiento "&amp;
"    from [dbo].[MEDIAPOST SPAIN$Tracking Documento] t "&amp;
"  where t.[Nº Albarán] =  '"&amp;$C32&amp;"'  "&amp;
"       and t.[Estado Documento] &lt;&gt; '' ",{"movimiento"},"Datasource=","SQL-NAVISION")</t>
  </si>
  <si>
    <t>=NL("Primero","Tracking Documento",{"Estado Documento";"Cód. Incidencia"},"Nº movimiento",NF($D32,"movimiento"),"DataSource=","Navision","Empresa=","MEDIAPOST SPAIN")</t>
  </si>
  <si>
    <t>=NF($E32,"Cód. Incidencia")</t>
  </si>
  <si>
    <t>=IF($F32="","",NL("Primero","Situaciones Dispatching","Descripción","Cód. incidencia",$F32,"Notificar cliente","Sí","DataSource=","Navision","Empresa=","MEDIAPOST SPAIN"))</t>
  </si>
  <si>
    <t>=NF($B32,"No. Documento cliente")</t>
  </si>
  <si>
    <t>=NF($B32,"No. referencia transporte")</t>
  </si>
  <si>
    <t>=NF($B32,"No. expedición transporte")</t>
  </si>
  <si>
    <t>=NF($B32,"Nombre punto entrega")</t>
  </si>
  <si>
    <t>=NF($B32,"Dirección punto entrega")</t>
  </si>
  <si>
    <t>=NF($B32,"C.P. punto entrega")</t>
  </si>
  <si>
    <t>=NF($B32,"Población punto entrega")</t>
  </si>
  <si>
    <t>=NF($B32,"Provincia punto entrega")</t>
  </si>
  <si>
    <t>=NF($B32,"País punto entrega")</t>
  </si>
  <si>
    <t>=NF($B32,"Observaciones SGA")</t>
  </si>
  <si>
    <t>=IF($T32="Anulado","",TEXT(NF($B32,"Fecha envío al SGA"),"dd/mm/aaaa"))</t>
  </si>
  <si>
    <t>=IF($T32="Preparado","",TEXT(NF($B32,"Fecha completado SGA"),"dd/mm/aaaa"))</t>
  </si>
  <si>
    <t>=NF($E32,"Estado documento")</t>
  </si>
  <si>
    <t>=NF($B32,"Fecha última situación")</t>
  </si>
  <si>
    <t>=IF($F32="","",NL("Primero","Situaciones Dispatching","Descripción","Cód. incidencia",$F32,"DataSource=","Navision","Empresa=","MEDIAPOST SPAIN"))</t>
  </si>
  <si>
    <t>=NF($B32,"Cód. transportista")</t>
  </si>
  <si>
    <t>=NF($B32,"Cód. servicio solicitado")</t>
  </si>
  <si>
    <t>=IF(NF($B32,"Link imagen")&lt;&gt;"",HYPERLINK(NF($B32,"Link imagen")),"")</t>
  </si>
  <si>
    <t>=NL("Primero","Cab. Expedición","Localizador","No. referencia transporte",NF($B32,"No. referencia transporte"),"Conexión=","Navision","Empresa=","MEDIAPOST SPAIN")</t>
  </si>
  <si>
    <t>="""Navision"",""MEDIAPOST SPAIN"",""7098016"",""14"",""64425001582"",""51"",""1200709247"",""50"",""64425001582"",""60"",""Ignacio Guisasola Agra"",""61"",""Calle Alfonso VI nº11 portal I 4ºD"",""62"",""26007"",""63"",""Logroño"",""64"",""LA RIOJA"",""65"",""ES"",""102"",""10/09/2025"",""50208"",""11/09/"&amp;"2025"",""50007"",""Entregado"",""50006"",""Enviado"",""50319"",""12/09/2025"",""40"",""TIPSA"",""41"",""STD"",""238"",""https://www.tip-sa.com/cliente/datos.php?id=028001093946442500158226007"",""1"",""Pedido"",""2"",""PD250155440"",""50318"",""00002"",""50045"","""""</t>
  </si>
  <si>
    <t>=NF($B33,"No.")</t>
  </si>
  <si>
    <t>=NL("Filas","SQL=select max(t.[Nº movimiento]) movimiento "&amp;
"    from [dbo].[MEDIAPOST SPAIN$Tracking Documento] t "&amp;
"  where t.[Nº Albarán] =  '"&amp;$C33&amp;"'  "&amp;
"       and t.[Estado Documento] &lt;&gt; '' ",{"movimiento"},"Datasource=","SQL-NAVISION")</t>
  </si>
  <si>
    <t>=NL("Primero","Tracking Documento",{"Estado Documento";"Cód. Incidencia"},"Nº movimiento",NF($D33,"movimiento"),"DataSource=","Navision","Empresa=","MEDIAPOST SPAIN")</t>
  </si>
  <si>
    <t>=NF($E33,"Cód. Incidencia")</t>
  </si>
  <si>
    <t>=IF($F33="","",NL("Primero","Situaciones Dispatching","Descripción","Cód. incidencia",$F33,"Notificar cliente","Sí","DataSource=","Navision","Empresa=","MEDIAPOST SPAIN"))</t>
  </si>
  <si>
    <t>=NF($B33,"No. Documento cliente")</t>
  </si>
  <si>
    <t>=NF($B33,"No. referencia transporte")</t>
  </si>
  <si>
    <t>=NF($B33,"No. expedición transporte")</t>
  </si>
  <si>
    <t>=NF($B33,"Nombre punto entrega")</t>
  </si>
  <si>
    <t>=NF($B33,"Dirección punto entrega")</t>
  </si>
  <si>
    <t>=NF($B33,"C.P. punto entrega")</t>
  </si>
  <si>
    <t>=NF($B33,"Población punto entrega")</t>
  </si>
  <si>
    <t>=NF($B33,"Provincia punto entrega")</t>
  </si>
  <si>
    <t>=NF($B33,"País punto entrega")</t>
  </si>
  <si>
    <t>=NF($B33,"Observaciones SGA")</t>
  </si>
  <si>
    <t>=IF($T33="Anulado","",TEXT(NF($B33,"Fecha envío al SGA"),"dd/mm/aaaa"))</t>
  </si>
  <si>
    <t>=IF($T33="Preparado","",TEXT(NF($B33,"Fecha completado SGA"),"dd/mm/aaaa"))</t>
  </si>
  <si>
    <t>=NF($E33,"Estado documento")</t>
  </si>
  <si>
    <t>=NF($B33,"Fecha última situación")</t>
  </si>
  <si>
    <t>=IF($F33="","",NL("Primero","Situaciones Dispatching","Descripción","Cód. incidencia",$F33,"DataSource=","Navision","Empresa=","MEDIAPOST SPAIN"))</t>
  </si>
  <si>
    <t>=NF($B33,"Cód. transportista")</t>
  </si>
  <si>
    <t>=NF($B33,"Cód. servicio solicitado")</t>
  </si>
  <si>
    <t>=IF(NF($B33,"Link imagen")&lt;&gt;"",HYPERLINK(NF($B33,"Link imagen")),"")</t>
  </si>
  <si>
    <t>=NL("Primero","Cab. Expedición","Localizador","No. referencia transporte",NF($B33,"No. referencia transporte"),"Conexión=","Navision","Empresa=","MEDIAPOST SPAIN")</t>
  </si>
  <si>
    <t>="""Navision"",""MEDIAPOST SPAIN"",""7098016"",""14"",""64425001583"",""51"",""1200709249"",""50"",""64425001583"",""60"",""Ignacio Hijar Arriero"",""61"",""Barrio el Soito, 2A, puerta 15"",""62"",""39477"",""63"",""ORUÑA DE PIELAGOS"",""64"",""CANTABRIA"",""65"",""ES"",""102"",""10/09/2025"",""50208"","""&amp;"11/09/2025"",""50007"",""Entregado"",""50006"",""Enviado"",""50319"",""15/09/2025"",""40"",""TIPSA"",""41"",""STD"",""238"",""https://www.tip-sa.com/cliente/datos.php?id=028001093946442500158339477"",""1"",""Pedido"",""2"",""PD250155441"",""50318"",""00002"",""50045"","""""</t>
  </si>
  <si>
    <t>=NF($B34,"No.")</t>
  </si>
  <si>
    <t>=NL("Filas","SQL=select max(t.[Nº movimiento]) movimiento "&amp;
"    from [dbo].[MEDIAPOST SPAIN$Tracking Documento] t "&amp;
"  where t.[Nº Albarán] =  '"&amp;$C34&amp;"'  "&amp;
"       and t.[Estado Documento] &lt;&gt; '' ",{"movimiento"},"Datasource=","SQL-NAVISION")</t>
  </si>
  <si>
    <t>=NL("Primero","Tracking Documento",{"Estado Documento";"Cód. Incidencia"},"Nº movimiento",NF($D34,"movimiento"),"DataSource=","Navision","Empresa=","MEDIAPOST SPAIN")</t>
  </si>
  <si>
    <t>=NF($E34,"Cód. Incidencia")</t>
  </si>
  <si>
    <t>=IF($F34="","",NL("Primero","Situaciones Dispatching","Descripción","Cód. incidencia",$F34,"Notificar cliente","Sí","DataSource=","Navision","Empresa=","MEDIAPOST SPAIN"))</t>
  </si>
  <si>
    <t>=NF($B34,"No. Documento cliente")</t>
  </si>
  <si>
    <t>=NF($B34,"No. referencia transporte")</t>
  </si>
  <si>
    <t>=NF($B34,"No. expedición transporte")</t>
  </si>
  <si>
    <t>=NF($B34,"Nombre punto entrega")</t>
  </si>
  <si>
    <t>=NF($B34,"Dirección punto entrega")</t>
  </si>
  <si>
    <t>=NF($B34,"C.P. punto entrega")</t>
  </si>
  <si>
    <t>=NF($B34,"Población punto entrega")</t>
  </si>
  <si>
    <t>=NF($B34,"Provincia punto entrega")</t>
  </si>
  <si>
    <t>=NF($B34,"País punto entrega")</t>
  </si>
  <si>
    <t>=NF($B34,"Observaciones SGA")</t>
  </si>
  <si>
    <t>=IF($T34="Anulado","",TEXT(NF($B34,"Fecha envío al SGA"),"dd/mm/aaaa"))</t>
  </si>
  <si>
    <t>=IF($T34="Preparado","",TEXT(NF($B34,"Fecha completado SGA"),"dd/mm/aaaa"))</t>
  </si>
  <si>
    <t>=NF($E34,"Estado documento")</t>
  </si>
  <si>
    <t>=NF($B34,"Fecha última situación")</t>
  </si>
  <si>
    <t>=IF($F34="","",NL("Primero","Situaciones Dispatching","Descripción","Cód. incidencia",$F34,"DataSource=","Navision","Empresa=","MEDIAPOST SPAIN"))</t>
  </si>
  <si>
    <t>=NF($B34,"Cód. transportista")</t>
  </si>
  <si>
    <t>=NF($B34,"Cód. servicio solicitado")</t>
  </si>
  <si>
    <t>=IF(NF($B34,"Link imagen")&lt;&gt;"",HYPERLINK(NF($B34,"Link imagen")),"")</t>
  </si>
  <si>
    <t>=NL("Primero","Cab. Expedición","Localizador","No. referencia transporte",NF($B34,"No. referencia transporte"),"Conexión=","Navision","Empresa=","MEDIAPOST SPAIN")</t>
  </si>
  <si>
    <t>="""Navision"",""MEDIAPOST SPAIN"",""7098016"",""14"",""64425001584"",""51"",""1200709251"",""50"",""64425001584"",""60"",""Ana Mª Bullon Guallar"",""61"",""C/ MIGUEL ASIN Y PALACIOS, Nº 7, 5 A"",""62"",""50009"",""63"",""Zaragoza"",""64"",""ZARAGOZA"",""65"",""ES"",""102"",""10/09/2025"",""50208"",""11/0"&amp;"9/2025"",""50007"",""Entregado"",""50006"",""Enviado"",""50319"",""12/09/2025"",""40"",""TIPSA"",""41"",""STD"",""238"",""https://www.tip-sa.com/cliente/datos.php?id=028001093946442500158450009"",""1"",""Pedido"",""2"",""PD250155442"",""50318"",""00002"",""50045"","""""</t>
  </si>
  <si>
    <t>=NF($B35,"No.")</t>
  </si>
  <si>
    <t>=NL("Filas","SQL=select max(t.[Nº movimiento]) movimiento "&amp;
"    from [dbo].[MEDIAPOST SPAIN$Tracking Documento] t "&amp;
"  where t.[Nº Albarán] =  '"&amp;$C35&amp;"'  "&amp;
"       and t.[Estado Documento] &lt;&gt; '' ",{"movimiento"},"Datasource=","SQL-NAVISION")</t>
  </si>
  <si>
    <t>=NL("Primero","Tracking Documento",{"Estado Documento";"Cód. Incidencia"},"Nº movimiento",NF($D35,"movimiento"),"DataSource=","Navision","Empresa=","MEDIAPOST SPAIN")</t>
  </si>
  <si>
    <t>=NF($E35,"Cód. Incidencia")</t>
  </si>
  <si>
    <t>=IF($F35="","",NL("Primero","Situaciones Dispatching","Descripción","Cód. incidencia",$F35,"Notificar cliente","Sí","DataSource=","Navision","Empresa=","MEDIAPOST SPAIN"))</t>
  </si>
  <si>
    <t>=NF($B35,"No. Documento cliente")</t>
  </si>
  <si>
    <t>=NF($B35,"No. referencia transporte")</t>
  </si>
  <si>
    <t>=NF($B35,"No. expedición transporte")</t>
  </si>
  <si>
    <t>=NF($B35,"Nombre punto entrega")</t>
  </si>
  <si>
    <t>=NF($B35,"Dirección punto entrega")</t>
  </si>
  <si>
    <t>=NF($B35,"C.P. punto entrega")</t>
  </si>
  <si>
    <t>=NF($B35,"Población punto entrega")</t>
  </si>
  <si>
    <t>=NF($B35,"Provincia punto entrega")</t>
  </si>
  <si>
    <t>=NF($B35,"País punto entrega")</t>
  </si>
  <si>
    <t>=NF($B35,"Observaciones SGA")</t>
  </si>
  <si>
    <t>=IF($T35="Anulado","",TEXT(NF($B35,"Fecha envío al SGA"),"dd/mm/aaaa"))</t>
  </si>
  <si>
    <t>=IF($T35="Preparado","",TEXT(NF($B35,"Fecha completado SGA"),"dd/mm/aaaa"))</t>
  </si>
  <si>
    <t>=NF($E35,"Estado documento")</t>
  </si>
  <si>
    <t>=NF($B35,"Fecha última situación")</t>
  </si>
  <si>
    <t>=IF($F35="","",NL("Primero","Situaciones Dispatching","Descripción","Cód. incidencia",$F35,"DataSource=","Navision","Empresa=","MEDIAPOST SPAIN"))</t>
  </si>
  <si>
    <t>=NF($B35,"Cód. transportista")</t>
  </si>
  <si>
    <t>=NF($B35,"Cód. servicio solicitado")</t>
  </si>
  <si>
    <t>=IF(NF($B35,"Link imagen")&lt;&gt;"",HYPERLINK(NF($B35,"Link imagen")),"")</t>
  </si>
  <si>
    <t>=NL("Primero","Cab. Expedición","Localizador","No. referencia transporte",NF($B35,"No. referencia transporte"),"Conexión=","Navision","Empresa=","MEDIAPOST SPAIN")</t>
  </si>
  <si>
    <t>="""Navision"",""MEDIAPOST SPAIN"",""7098016"",""14"",""64425001585"",""51"",""1200709253"",""50"",""64425001585"",""60"",""Alvaro Fernandez Sanchez"",""61"",""Manuel Lasala, 4 - 4º D"",""62"",""50006"",""63"",""ZARAGOZA"",""64"",""ZARAGOZA"",""65"",""ES"",""102"",""10/09/2025"",""50208"",""11/09/2025"",""5"&amp;"0007"",""Entregado"",""50006"",""Enviado"",""50319"",""12/09/2025"",""40"",""TIPSA"",""41"",""STD"",""238"",""https://www.tip-sa.com/cliente/datos.php?id=028001093946442500158550006"",""1"",""Pedido"",""2"",""PD250155443"",""50318"",""00002"",""50045"","""""</t>
  </si>
  <si>
    <t>=NF($B36,"No.")</t>
  </si>
  <si>
    <t>=NL("Filas","SQL=select max(t.[Nº movimiento]) movimiento "&amp;
"    from [dbo].[MEDIAPOST SPAIN$Tracking Documento] t "&amp;
"  where t.[Nº Albarán] =  '"&amp;$C36&amp;"'  "&amp;
"       and t.[Estado Documento] &lt;&gt; '' ",{"movimiento"},"Datasource=","SQL-NAVISION")</t>
  </si>
  <si>
    <t>=NL("Primero","Tracking Documento",{"Estado Documento";"Cód. Incidencia"},"Nº movimiento",NF($D36,"movimiento"),"DataSource=","Navision","Empresa=","MEDIAPOST SPAIN")</t>
  </si>
  <si>
    <t>=NF($E36,"Cód. Incidencia")</t>
  </si>
  <si>
    <t>=IF($F36="","",NL("Primero","Situaciones Dispatching","Descripción","Cód. incidencia",$F36,"Notificar cliente","Sí","DataSource=","Navision","Empresa=","MEDIAPOST SPAIN"))</t>
  </si>
  <si>
    <t>=NF($B36,"No. Documento cliente")</t>
  </si>
  <si>
    <t>=NF($B36,"No. referencia transporte")</t>
  </si>
  <si>
    <t>=NF($B36,"No. expedición transporte")</t>
  </si>
  <si>
    <t>=NF($B36,"Nombre punto entrega")</t>
  </si>
  <si>
    <t>=NF($B36,"Dirección punto entrega")</t>
  </si>
  <si>
    <t>=NF($B36,"C.P. punto entrega")</t>
  </si>
  <si>
    <t>=NF($B36,"Población punto entrega")</t>
  </si>
  <si>
    <t>=NF($B36,"Provincia punto entrega")</t>
  </si>
  <si>
    <t>=NF($B36,"País punto entrega")</t>
  </si>
  <si>
    <t>=NF($B36,"Observaciones SGA")</t>
  </si>
  <si>
    <t>=IF($T36="Anulado","",TEXT(NF($B36,"Fecha envío al SGA"),"dd/mm/aaaa"))</t>
  </si>
  <si>
    <t>=IF($T36="Preparado","",TEXT(NF($B36,"Fecha completado SGA"),"dd/mm/aaaa"))</t>
  </si>
  <si>
    <t>=NF($E36,"Estado documento")</t>
  </si>
  <si>
    <t>=NF($B36,"Fecha última situación")</t>
  </si>
  <si>
    <t>=IF($F36="","",NL("Primero","Situaciones Dispatching","Descripción","Cód. incidencia",$F36,"DataSource=","Navision","Empresa=","MEDIAPOST SPAIN"))</t>
  </si>
  <si>
    <t>=NF($B36,"Cód. transportista")</t>
  </si>
  <si>
    <t>=NF($B36,"Cód. servicio solicitado")</t>
  </si>
  <si>
    <t>=IF(NF($B36,"Link imagen")&lt;&gt;"",HYPERLINK(NF($B36,"Link imagen")),"")</t>
  </si>
  <si>
    <t>=NL("Primero","Cab. Expedición","Localizador","No. referencia transporte",NF($B36,"No. referencia transporte"),"Conexión=","Navision","Empresa=","MEDIAPOST SPAIN")</t>
  </si>
  <si>
    <t>="""Navision"",""MEDIAPOST SPAIN"",""7098016"",""14"",""64425001586"",""51"",""1200709255"",""50"",""64425001586"",""60"",""Santos Pañar Farre"",""61"",""Jesús y María, 85 (casa 10)"",""62"",""50015"",""63"",""ZARAGOZA"",""64"",""ZARAGOZA"",""65"",""ES"",""102"",""10/09/2025"",""50208"",""11/09/2025"",""500"&amp;"07"",""Entregado"",""50006"",""Enviado"",""50319"",""15/09/2025"",""40"",""TIPSA"",""41"",""STD"",""238"",""https://www.tip-sa.com/cliente/datos.php?id=028001093946442500158650015"",""1"",""Pedido"",""2"",""PD250155444"",""50318"",""00002"",""50045"","""""</t>
  </si>
  <si>
    <t>=NF($B37,"No.")</t>
  </si>
  <si>
    <t>=NL("Filas","SQL=select max(t.[Nº movimiento]) movimiento "&amp;
"    from [dbo].[MEDIAPOST SPAIN$Tracking Documento] t "&amp;
"  where t.[Nº Albarán] =  '"&amp;$C37&amp;"'  "&amp;
"       and t.[Estado Documento] &lt;&gt; '' ",{"movimiento"},"Datasource=","SQL-NAVISION")</t>
  </si>
  <si>
    <t>=NL("Primero","Tracking Documento",{"Estado Documento";"Cód. Incidencia"},"Nº movimiento",NF($D37,"movimiento"),"DataSource=","Navision","Empresa=","MEDIAPOST SPAIN")</t>
  </si>
  <si>
    <t>=NF($E37,"Cód. Incidencia")</t>
  </si>
  <si>
    <t>=IF($F37="","",NL("Primero","Situaciones Dispatching","Descripción","Cód. incidencia",$F37,"Notificar cliente","Sí","DataSource=","Navision","Empresa=","MEDIAPOST SPAIN"))</t>
  </si>
  <si>
    <t>=NF($B37,"No. Documento cliente")</t>
  </si>
  <si>
    <t>=NF($B37,"No. referencia transporte")</t>
  </si>
  <si>
    <t>=NF($B37,"No. expedición transporte")</t>
  </si>
  <si>
    <t>=NF($B37,"Nombre punto entrega")</t>
  </si>
  <si>
    <t>=NF($B37,"Dirección punto entrega")</t>
  </si>
  <si>
    <t>=NF($B37,"C.P. punto entrega")</t>
  </si>
  <si>
    <t>=NF($B37,"Población punto entrega")</t>
  </si>
  <si>
    <t>=NF($B37,"Provincia punto entrega")</t>
  </si>
  <si>
    <t>=NF($B37,"País punto entrega")</t>
  </si>
  <si>
    <t>=NF($B37,"Observaciones SGA")</t>
  </si>
  <si>
    <t>=IF($T37="Anulado","",TEXT(NF($B37,"Fecha envío al SGA"),"dd/mm/aaaa"))</t>
  </si>
  <si>
    <t>=IF($T37="Preparado","",TEXT(NF($B37,"Fecha completado SGA"),"dd/mm/aaaa"))</t>
  </si>
  <si>
    <t>=NF($E37,"Estado documento")</t>
  </si>
  <si>
    <t>=NF($B37,"Fecha última situación")</t>
  </si>
  <si>
    <t>=IF($F37="","",NL("Primero","Situaciones Dispatching","Descripción","Cód. incidencia",$F37,"DataSource=","Navision","Empresa=","MEDIAPOST SPAIN"))</t>
  </si>
  <si>
    <t>=NF($B37,"Cód. transportista")</t>
  </si>
  <si>
    <t>=NF($B37,"Cód. servicio solicitado")</t>
  </si>
  <si>
    <t>=IF(NF($B37,"Link imagen")&lt;&gt;"",HYPERLINK(NF($B37,"Link imagen")),"")</t>
  </si>
  <si>
    <t>=NL("Primero","Cab. Expedición","Localizador","No. referencia transporte",NF($B37,"No. referencia transporte"),"Conexión=","Navision","Empresa=","MEDIAPOST SPAIN")</t>
  </si>
  <si>
    <t>="""Navision"",""MEDIAPOST SPAIN"",""7098016"",""14"",""64425001587"",""51"",""1200709257"",""50"",""64425001587"",""60"",""Susana Isabel Mabry Paraiso"",""61"",""Plaza Sas 6, 6ºB"",""62"",""50003"",""63"",""ZARAGOZA"",""64"",""ZARAGOZA"",""65"",""ES"",""102"",""10/09/2025"",""50208"",""11/09/2025"",""50007"&amp;""",""Entregado"",""50006"",""Enviado"",""50319"",""15/09/2025"",""40"",""TIPSA"",""41"",""STD"",""238"",""https://www.tip-sa.com/cliente/datos.php?id=028001093946442500158750003"",""1"",""Pedido"",""2"",""PD250155445"",""50318"",""00002"",""50045"","""""</t>
  </si>
  <si>
    <t>=NF($B38,"No.")</t>
  </si>
  <si>
    <t>=NL("Filas","SQL=select max(t.[Nº movimiento]) movimiento "&amp;
"    from [dbo].[MEDIAPOST SPAIN$Tracking Documento] t "&amp;
"  where t.[Nº Albarán] =  '"&amp;$C38&amp;"'  "&amp;
"       and t.[Estado Documento] &lt;&gt; '' ",{"movimiento"},"Datasource=","SQL-NAVISION")</t>
  </si>
  <si>
    <t>=NL("Primero","Tracking Documento",{"Estado Documento";"Cód. Incidencia"},"Nº movimiento",NF($D38,"movimiento"),"DataSource=","Navision","Empresa=","MEDIAPOST SPAIN")</t>
  </si>
  <si>
    <t>=NF($E38,"Cód. Incidencia")</t>
  </si>
  <si>
    <t>=IF($F38="","",NL("Primero","Situaciones Dispatching","Descripción","Cód. incidencia",$F38,"Notificar cliente","Sí","DataSource=","Navision","Empresa=","MEDIAPOST SPAIN"))</t>
  </si>
  <si>
    <t>=NF($B38,"No. Documento cliente")</t>
  </si>
  <si>
    <t>=NF($B38,"No. referencia transporte")</t>
  </si>
  <si>
    <t>=NF($B38,"No. expedición transporte")</t>
  </si>
  <si>
    <t>=NF($B38,"Nombre punto entrega")</t>
  </si>
  <si>
    <t>=NF($B38,"Dirección punto entrega")</t>
  </si>
  <si>
    <t>=NF($B38,"C.P. punto entrega")</t>
  </si>
  <si>
    <t>=NF($B38,"Población punto entrega")</t>
  </si>
  <si>
    <t>=NF($B38,"Provincia punto entrega")</t>
  </si>
  <si>
    <t>=NF($B38,"País punto entrega")</t>
  </si>
  <si>
    <t>=NF($B38,"Observaciones SGA")</t>
  </si>
  <si>
    <t>=IF($T38="Anulado","",TEXT(NF($B38,"Fecha envío al SGA"),"dd/mm/aaaa"))</t>
  </si>
  <si>
    <t>=IF($T38="Preparado","",TEXT(NF($B38,"Fecha completado SGA"),"dd/mm/aaaa"))</t>
  </si>
  <si>
    <t>=NF($E38,"Estado documento")</t>
  </si>
  <si>
    <t>=NF($B38,"Fecha última situación")</t>
  </si>
  <si>
    <t>=IF($F38="","",NL("Primero","Situaciones Dispatching","Descripción","Cód. incidencia",$F38,"DataSource=","Navision","Empresa=","MEDIAPOST SPAIN"))</t>
  </si>
  <si>
    <t>=NF($B38,"Cód. transportista")</t>
  </si>
  <si>
    <t>=NF($B38,"Cód. servicio solicitado")</t>
  </si>
  <si>
    <t>=IF(NF($B38,"Link imagen")&lt;&gt;"",HYPERLINK(NF($B38,"Link imagen")),"")</t>
  </si>
  <si>
    <t>=NL("Primero","Cab. Expedición","Localizador","No. referencia transporte",NF($B38,"No. referencia transporte"),"Conexión=","Navision","Empresa=","MEDIAPOST SPAIN")</t>
  </si>
  <si>
    <t>="""Navision"",""MEDIAPOST SPAIN"",""7098016"",""14"",""64425001588"",""51"",""1200709259"",""50"",""64425001588"",""60"",""Sonia Gallastegui Ruiz De Eguino"",""61"",""Peluq, Javier Ayensa, Trav, Fco Aleson 2 Trasera"",""62"",""31008"",""63"",""Pamplona"",""64"",""NAVARRA"",""65"",""ES"",""102"",""10/"&amp;"09/2025"",""50208"",""11/09/2025"",""50007"",""Entregado"",""50006"",""Enviado"",""50319"",""13/09/2025"",""40"",""TIPSA"",""41"",""STD"",""238"",""https://www.tip-sa.com/cliente/datos.php?id=028001093946442500158831008"",""1"",""Pedido"",""2"",""PD250155446"",""50318"",""00002"",""50045"","""""</t>
  </si>
  <si>
    <t>=NF($B39,"No.")</t>
  </si>
  <si>
    <t>=NL("Filas","SQL=select max(t.[Nº movimiento]) movimiento "&amp;
"    from [dbo].[MEDIAPOST SPAIN$Tracking Documento] t "&amp;
"  where t.[Nº Albarán] =  '"&amp;$C39&amp;"'  "&amp;
"       and t.[Estado Documento] &lt;&gt; '' ",{"movimiento"},"Datasource=","SQL-NAVISION")</t>
  </si>
  <si>
    <t>=NL("Primero","Tracking Documento",{"Estado Documento";"Cód. Incidencia"},"Nº movimiento",NF($D39,"movimiento"),"DataSource=","Navision","Empresa=","MEDIAPOST SPAIN")</t>
  </si>
  <si>
    <t>=NF($E39,"Cód. Incidencia")</t>
  </si>
  <si>
    <t>=IF($F39="","",NL("Primero","Situaciones Dispatching","Descripción","Cód. incidencia",$F39,"Notificar cliente","Sí","DataSource=","Navision","Empresa=","MEDIAPOST SPAIN"))</t>
  </si>
  <si>
    <t>=NF($B39,"No. Documento cliente")</t>
  </si>
  <si>
    <t>=NF($B39,"No. referencia transporte")</t>
  </si>
  <si>
    <t>=NF($B39,"No. expedición transporte")</t>
  </si>
  <si>
    <t>=NF($B39,"Nombre punto entrega")</t>
  </si>
  <si>
    <t>=NF($B39,"Dirección punto entrega")</t>
  </si>
  <si>
    <t>=NF($B39,"C.P. punto entrega")</t>
  </si>
  <si>
    <t>=NF($B39,"Población punto entrega")</t>
  </si>
  <si>
    <t>=NF($B39,"Provincia punto entrega")</t>
  </si>
  <si>
    <t>=NF($B39,"País punto entrega")</t>
  </si>
  <si>
    <t>=NF($B39,"Observaciones SGA")</t>
  </si>
  <si>
    <t>=IF($T39="Anulado","",TEXT(NF($B39,"Fecha envío al SGA"),"dd/mm/aaaa"))</t>
  </si>
  <si>
    <t>=IF($T39="Preparado","",TEXT(NF($B39,"Fecha completado SGA"),"dd/mm/aaaa"))</t>
  </si>
  <si>
    <t>=NF($E39,"Estado documento")</t>
  </si>
  <si>
    <t>=NF($B39,"Fecha última situación")</t>
  </si>
  <si>
    <t>=IF($F39="","",NL("Primero","Situaciones Dispatching","Descripción","Cód. incidencia",$F39,"DataSource=","Navision","Empresa=","MEDIAPOST SPAIN"))</t>
  </si>
  <si>
    <t>=NF($B39,"Cód. transportista")</t>
  </si>
  <si>
    <t>=NF($B39,"Cód. servicio solicitado")</t>
  </si>
  <si>
    <t>=IF(NF($B39,"Link imagen")&lt;&gt;"",HYPERLINK(NF($B39,"Link imagen")),"")</t>
  </si>
  <si>
    <t>=NL("Primero","Cab. Expedición","Localizador","No. referencia transporte",NF($B39,"No. referencia transporte"),"Conexión=","Navision","Empresa=","MEDIAPOST SPAIN")</t>
  </si>
  <si>
    <t>="""Navision"",""MEDIAPOST SPAIN"",""7098016"",""14"",""64425001589"",""51"",""1200709261"",""50"",""64425001589"",""60"",""Maria Olga Rodriguez Sedano"",""61"",""Los Nardos, 17"",""62"",""09197"",""63"",""QUINTANADUEÑAS"",""64"",""BURGOS"",""65"",""ES"",""102"",""10/09/2025"",""50208"",""11/09/2025"",""500"&amp;"07"",""Entregado"",""50006"",""Enviado"",""50319"",""12/09/2025"",""40"",""TIPSA"",""41"",""STD"",""238"",""https://www.tip-sa.com/cliente/datos.php?id=028001093946442500158909197"",""1"",""Pedido"",""2"",""PD250155447"",""50318"",""00002"",""50045"","""""</t>
  </si>
  <si>
    <t>=NF($B40,"No.")</t>
  </si>
  <si>
    <t>=NL("Filas","SQL=select max(t.[Nº movimiento]) movimiento "&amp;
"    from [dbo].[MEDIAPOST SPAIN$Tracking Documento] t "&amp;
"  where t.[Nº Albarán] =  '"&amp;$C40&amp;"'  "&amp;
"       and t.[Estado Documento] &lt;&gt; '' ",{"movimiento"},"Datasource=","SQL-NAVISION")</t>
  </si>
  <si>
    <t>=NL("Primero","Tracking Documento",{"Estado Documento";"Cód. Incidencia"},"Nº movimiento",NF($D40,"movimiento"),"DataSource=","Navision","Empresa=","MEDIAPOST SPAIN")</t>
  </si>
  <si>
    <t>=NF($E40,"Cód. Incidencia")</t>
  </si>
  <si>
    <t>=IF($F40="","",NL("Primero","Situaciones Dispatching","Descripción","Cód. incidencia",$F40,"Notificar cliente","Sí","DataSource=","Navision","Empresa=","MEDIAPOST SPAIN"))</t>
  </si>
  <si>
    <t>=NF($B40,"No. Documento cliente")</t>
  </si>
  <si>
    <t>=NF($B40,"No. referencia transporte")</t>
  </si>
  <si>
    <t>=NF($B40,"No. expedición transporte")</t>
  </si>
  <si>
    <t>=NF($B40,"Nombre punto entrega")</t>
  </si>
  <si>
    <t>=NF($B40,"Dirección punto entrega")</t>
  </si>
  <si>
    <t>=NF($B40,"C.P. punto entrega")</t>
  </si>
  <si>
    <t>=NF($B40,"Población punto entrega")</t>
  </si>
  <si>
    <t>=NF($B40,"Provincia punto entrega")</t>
  </si>
  <si>
    <t>=NF($B40,"País punto entrega")</t>
  </si>
  <si>
    <t>=NF($B40,"Observaciones SGA")</t>
  </si>
  <si>
    <t>=IF($T40="Anulado","",TEXT(NF($B40,"Fecha envío al SGA"),"dd/mm/aaaa"))</t>
  </si>
  <si>
    <t>=IF($T40="Preparado","",TEXT(NF($B40,"Fecha completado SGA"),"dd/mm/aaaa"))</t>
  </si>
  <si>
    <t>=NF($E40,"Estado documento")</t>
  </si>
  <si>
    <t>=NF($B40,"Fecha última situación")</t>
  </si>
  <si>
    <t>=IF($F40="","",NL("Primero","Situaciones Dispatching","Descripción","Cód. incidencia",$F40,"DataSource=","Navision","Empresa=","MEDIAPOST SPAIN"))</t>
  </si>
  <si>
    <t>=NF($B40,"Cód. transportista")</t>
  </si>
  <si>
    <t>=NF($B40,"Cód. servicio solicitado")</t>
  </si>
  <si>
    <t>=IF(NF($B40,"Link imagen")&lt;&gt;"",HYPERLINK(NF($B40,"Link imagen")),"")</t>
  </si>
  <si>
    <t>=NL("Primero","Cab. Expedición","Localizador","No. referencia transporte",NF($B40,"No. referencia transporte"),"Conexión=","Navision","Empresa=","MEDIAPOST SPAIN")</t>
  </si>
  <si>
    <t>="""Navision"",""MEDIAPOST SPAIN"",""7098016"",""14"",""64425001590"",""51"",""1200709263"",""50"",""64425001590"",""60"",""Oscar Fernandez Molina"",""61"",""BLUESPACE, Ram. Guipúzcoa 157, Box 4206"",""62"",""08020"",""63"",""Barcelona"",""64"",""BARCELONA"",""65"",""ES"",""102"",""10/09/2025"",""50208"""&amp;",""11/09/2025"",""50007"",""Entregado"",""50006"",""Enviado"",""50319"",""12/09/2025"",""40"",""TIPSA"",""41"",""STD"",""238"",""https://www.tip-sa.com/cliente/datos.php?id=028001093946442500159008020"",""1"",""Pedido"",""2"",""PD250155448"",""50318"",""00002"",""50045"","""""</t>
  </si>
  <si>
    <t>=NF($B41,"No.")</t>
  </si>
  <si>
    <t>=NL("Filas","SQL=select max(t.[Nº movimiento]) movimiento "&amp;
"    from [dbo].[MEDIAPOST SPAIN$Tracking Documento] t "&amp;
"  where t.[Nº Albarán] =  '"&amp;$C41&amp;"'  "&amp;
"       and t.[Estado Documento] &lt;&gt; '' ",{"movimiento"},"Datasource=","SQL-NAVISION")</t>
  </si>
  <si>
    <t>=NL("Primero","Tracking Documento",{"Estado Documento";"Cód. Incidencia"},"Nº movimiento",NF($D41,"movimiento"),"DataSource=","Navision","Empresa=","MEDIAPOST SPAIN")</t>
  </si>
  <si>
    <t>=NF($E41,"Cód. Incidencia")</t>
  </si>
  <si>
    <t>=IF($F41="","",NL("Primero","Situaciones Dispatching","Descripción","Cód. incidencia",$F41,"Notificar cliente","Sí","DataSource=","Navision","Empresa=","MEDIAPOST SPAIN"))</t>
  </si>
  <si>
    <t>=NF($B41,"No. Documento cliente")</t>
  </si>
  <si>
    <t>=NF($B41,"No. referencia transporte")</t>
  </si>
  <si>
    <t>=NF($B41,"No. expedición transporte")</t>
  </si>
  <si>
    <t>=NF($B41,"Nombre punto entrega")</t>
  </si>
  <si>
    <t>=NF($B41,"Dirección punto entrega")</t>
  </si>
  <si>
    <t>=NF($B41,"C.P. punto entrega")</t>
  </si>
  <si>
    <t>=NF($B41,"Población punto entrega")</t>
  </si>
  <si>
    <t>=NF($B41,"Provincia punto entrega")</t>
  </si>
  <si>
    <t>=NF($B41,"País punto entrega")</t>
  </si>
  <si>
    <t>=NF($B41,"Observaciones SGA")</t>
  </si>
  <si>
    <t>=IF($T41="Anulado","",TEXT(NF($B41,"Fecha envío al SGA"),"dd/mm/aaaa"))</t>
  </si>
  <si>
    <t>=IF($T41="Preparado","",TEXT(NF($B41,"Fecha completado SGA"),"dd/mm/aaaa"))</t>
  </si>
  <si>
    <t>=NF($E41,"Estado documento")</t>
  </si>
  <si>
    <t>=NF($B41,"Fecha última situación")</t>
  </si>
  <si>
    <t>=IF($F41="","",NL("Primero","Situaciones Dispatching","Descripción","Cód. incidencia",$F41,"DataSource=","Navision","Empresa=","MEDIAPOST SPAIN"))</t>
  </si>
  <si>
    <t>=NF($B41,"Cód. transportista")</t>
  </si>
  <si>
    <t>=NF($B41,"Cód. servicio solicitado")</t>
  </si>
  <si>
    <t>=IF(NF($B41,"Link imagen")&lt;&gt;"",HYPERLINK(NF($B41,"Link imagen")),"")</t>
  </si>
  <si>
    <t>=NL("Primero","Cab. Expedición","Localizador","No. referencia transporte",NF($B41,"No. referencia transporte"),"Conexión=","Navision","Empresa=","MEDIAPOST SPAIN")</t>
  </si>
  <si>
    <t>="""Navision"",""MEDIAPOST SPAIN"",""7098016"",""14"",""64425001591"",""51"",""1200709265"",""50"",""64425001591"",""60"",""Ferran Josep Muñoz Alcaraz"",""61"",""C/ SANT QUIRZE 12"",""62"",""08370"",""63"",""Calella de Mar"",""64"",""BARCELONA"",""65"",""ES"",""102"",""10/09/2025"",""50208"",""11/09/2025"""&amp;",""50007"",""Entregado"",""50006"",""Enviado"",""50319"",""12/09/2025"",""40"",""TIPSA"",""41"",""STD"",""238"",""https://www.tip-sa.com/cliente/datos.php?id=028001093946442500159108370"",""1"",""Pedido"",""2"",""PD250155449"",""50318"",""00002"",""50045"","""""</t>
  </si>
  <si>
    <t>=NF($B42,"No.")</t>
  </si>
  <si>
    <t>=NL("Filas","SQL=select max(t.[Nº movimiento]) movimiento "&amp;
"    from [dbo].[MEDIAPOST SPAIN$Tracking Documento] t "&amp;
"  where t.[Nº Albarán] =  '"&amp;$C42&amp;"'  "&amp;
"       and t.[Estado Documento] &lt;&gt; '' ",{"movimiento"},"Datasource=","SQL-NAVISION")</t>
  </si>
  <si>
    <t>=NL("Primero","Tracking Documento",{"Estado Documento";"Cód. Incidencia"},"Nº movimiento",NF($D42,"movimiento"),"DataSource=","Navision","Empresa=","MEDIAPOST SPAIN")</t>
  </si>
  <si>
    <t>=NF($E42,"Cód. Incidencia")</t>
  </si>
  <si>
    <t>=IF($F42="","",NL("Primero","Situaciones Dispatching","Descripción","Cód. incidencia",$F42,"Notificar cliente","Sí","DataSource=","Navision","Empresa=","MEDIAPOST SPAIN"))</t>
  </si>
  <si>
    <t>=NF($B42,"No. Documento cliente")</t>
  </si>
  <si>
    <t>=NF($B42,"No. referencia transporte")</t>
  </si>
  <si>
    <t>=NF($B42,"No. expedición transporte")</t>
  </si>
  <si>
    <t>=NF($B42,"Nombre punto entrega")</t>
  </si>
  <si>
    <t>=NF($B42,"Dirección punto entrega")</t>
  </si>
  <si>
    <t>=NF($B42,"C.P. punto entrega")</t>
  </si>
  <si>
    <t>=NF($B42,"Población punto entrega")</t>
  </si>
  <si>
    <t>=NF($B42,"Provincia punto entrega")</t>
  </si>
  <si>
    <t>=NF($B42,"País punto entrega")</t>
  </si>
  <si>
    <t>=NF($B42,"Observaciones SGA")</t>
  </si>
  <si>
    <t>=IF($T42="Anulado","",TEXT(NF($B42,"Fecha envío al SGA"),"dd/mm/aaaa"))</t>
  </si>
  <si>
    <t>=IF($T42="Preparado","",TEXT(NF($B42,"Fecha completado SGA"),"dd/mm/aaaa"))</t>
  </si>
  <si>
    <t>=NF($E42,"Estado documento")</t>
  </si>
  <si>
    <t>=NF($B42,"Fecha última situación")</t>
  </si>
  <si>
    <t>=IF($F42="","",NL("Primero","Situaciones Dispatching","Descripción","Cód. incidencia",$F42,"DataSource=","Navision","Empresa=","MEDIAPOST SPAIN"))</t>
  </si>
  <si>
    <t>=NF($B42,"Cód. transportista")</t>
  </si>
  <si>
    <t>=NF($B42,"Cód. servicio solicitado")</t>
  </si>
  <si>
    <t>=IF(NF($B42,"Link imagen")&lt;&gt;"",HYPERLINK(NF($B42,"Link imagen")),"")</t>
  </si>
  <si>
    <t>=NL("Primero","Cab. Expedición","Localizador","No. referencia transporte",NF($B42,"No. referencia transporte"),"Conexión=","Navision","Empresa=","MEDIAPOST SPAIN")</t>
  </si>
  <si>
    <t>="""Navision"",""MEDIAPOST SPAIN"",""7098016"",""14"",""64425001592"",""51"",""1200709267"",""50"",""64425001592"",""60"",""Eduardo Ventura Olandia"",""61"",""BLUESPACE, Ram. Guipúzcoa 157, Box 4206"",""62"",""08020"",""63"",""Barcelona"",""64"",""BARCELONA"",""65"",""ES"",""102"",""10/09/2025"",""50208"&amp;""",""11/09/2025"",""50007"",""Entregado"",""50006"",""Enviado"",""50319"",""12/09/2025"",""40"",""TIPSA"",""41"",""STD"",""238"",""https://www.tip-sa.com/cliente/datos.php?id=028001093946442500159208020"",""1"",""Pedido"",""2"",""PD250155450"",""50318"",""00002"",""50045"","""""</t>
  </si>
  <si>
    <t>=NF($B43,"No.")</t>
  </si>
  <si>
    <t>=NL("Filas","SQL=select max(t.[Nº movimiento]) movimiento "&amp;
"    from [dbo].[MEDIAPOST SPAIN$Tracking Documento] t "&amp;
"  where t.[Nº Albarán] =  '"&amp;$C43&amp;"'  "&amp;
"       and t.[Estado Documento] &lt;&gt; '' ",{"movimiento"},"Datasource=","SQL-NAVISION")</t>
  </si>
  <si>
    <t>=NL("Primero","Tracking Documento",{"Estado Documento";"Cód. Incidencia"},"Nº movimiento",NF($D43,"movimiento"),"DataSource=","Navision","Empresa=","MEDIAPOST SPAIN")</t>
  </si>
  <si>
    <t>=NF($E43,"Cód. Incidencia")</t>
  </si>
  <si>
    <t>=IF($F43="","",NL("Primero","Situaciones Dispatching","Descripción","Cód. incidencia",$F43,"Notificar cliente","Sí","DataSource=","Navision","Empresa=","MEDIAPOST SPAIN"))</t>
  </si>
  <si>
    <t>=NF($B43,"No. Documento cliente")</t>
  </si>
  <si>
    <t>=NF($B43,"No. referencia transporte")</t>
  </si>
  <si>
    <t>=NF($B43,"No. expedición transporte")</t>
  </si>
  <si>
    <t>=NF($B43,"Nombre punto entrega")</t>
  </si>
  <si>
    <t>=NF($B43,"Dirección punto entrega")</t>
  </si>
  <si>
    <t>=NF($B43,"C.P. punto entrega")</t>
  </si>
  <si>
    <t>=NF($B43,"Población punto entrega")</t>
  </si>
  <si>
    <t>=NF($B43,"Provincia punto entrega")</t>
  </si>
  <si>
    <t>=NF($B43,"País punto entrega")</t>
  </si>
  <si>
    <t>=NF($B43,"Observaciones SGA")</t>
  </si>
  <si>
    <t>=IF($T43="Anulado","",TEXT(NF($B43,"Fecha envío al SGA"),"dd/mm/aaaa"))</t>
  </si>
  <si>
    <t>=IF($T43="Preparado","",TEXT(NF($B43,"Fecha completado SGA"),"dd/mm/aaaa"))</t>
  </si>
  <si>
    <t>=NF($E43,"Estado documento")</t>
  </si>
  <si>
    <t>=NF($B43,"Fecha última situación")</t>
  </si>
  <si>
    <t>=IF($F43="","",NL("Primero","Situaciones Dispatching","Descripción","Cód. incidencia",$F43,"DataSource=","Navision","Empresa=","MEDIAPOST SPAIN"))</t>
  </si>
  <si>
    <t>=NF($B43,"Cód. transportista")</t>
  </si>
  <si>
    <t>=NF($B43,"Cód. servicio solicitado")</t>
  </si>
  <si>
    <t>=IF(NF($B43,"Link imagen")&lt;&gt;"",HYPERLINK(NF($B43,"Link imagen")),"")</t>
  </si>
  <si>
    <t>=NL("Primero","Cab. Expedición","Localizador","No. referencia transporte",NF($B43,"No. referencia transporte"),"Conexión=","Navision","Empresa=","MEDIAPOST SPAIN")</t>
  </si>
  <si>
    <t>="""Navision"",""MEDIAPOST SPAIN"",""7098016"",""14"",""64425001593"",""51"",""1200709269"",""50"",""64425001593"",""60"",""Monica Nicart Fernandez"",""61"",""BLUESPACE, Ram. Guipúzcoa 157, Box 4206"",""62"",""08020"",""63"",""BARCELONA"",""64"",""BARCELONA"",""65"",""ES"",""102"",""10/09/2025"",""50208"&amp;""",""11/09/2025"",""50007"",""Entregado"",""50006"",""Enviado"",""50319"",""12/09/2025"",""40"",""TIPSA"",""41"",""STD"",""238"",""https://www.tip-sa.com/cliente/datos.php?id=028001093946442500159308020"",""1"",""Pedido"",""2"",""PD250155451"",""50318"",""00002"",""50045"","""""</t>
  </si>
  <si>
    <t>=NF($B44,"No.")</t>
  </si>
  <si>
    <t>=NL("Filas","SQL=select max(t.[Nº movimiento]) movimiento "&amp;
"    from [dbo].[MEDIAPOST SPAIN$Tracking Documento] t "&amp;
"  where t.[Nº Albarán] =  '"&amp;$C44&amp;"'  "&amp;
"       and t.[Estado Documento] &lt;&gt; '' ",{"movimiento"},"Datasource=","SQL-NAVISION")</t>
  </si>
  <si>
    <t>=NL("Primero","Tracking Documento",{"Estado Documento";"Cód. Incidencia"},"Nº movimiento",NF($D44,"movimiento"),"DataSource=","Navision","Empresa=","MEDIAPOST SPAIN")</t>
  </si>
  <si>
    <t>=NF($E44,"Cód. Incidencia")</t>
  </si>
  <si>
    <t>=IF($F44="","",NL("Primero","Situaciones Dispatching","Descripción","Cód. incidencia",$F44,"Notificar cliente","Sí","DataSource=","Navision","Empresa=","MEDIAPOST SPAIN"))</t>
  </si>
  <si>
    <t>=NF($B44,"No. Documento cliente")</t>
  </si>
  <si>
    <t>=NF($B44,"No. referencia transporte")</t>
  </si>
  <si>
    <t>=NF($B44,"No. expedición transporte")</t>
  </si>
  <si>
    <t>=NF($B44,"Nombre punto entrega")</t>
  </si>
  <si>
    <t>=NF($B44,"Dirección punto entrega")</t>
  </si>
  <si>
    <t>=NF($B44,"C.P. punto entrega")</t>
  </si>
  <si>
    <t>=NF($B44,"Población punto entrega")</t>
  </si>
  <si>
    <t>=NF($B44,"Provincia punto entrega")</t>
  </si>
  <si>
    <t>=NF($B44,"País punto entrega")</t>
  </si>
  <si>
    <t>=NF($B44,"Observaciones SGA")</t>
  </si>
  <si>
    <t>=IF($T44="Anulado","",TEXT(NF($B44,"Fecha envío al SGA"),"dd/mm/aaaa"))</t>
  </si>
  <si>
    <t>=IF($T44="Preparado","",TEXT(NF($B44,"Fecha completado SGA"),"dd/mm/aaaa"))</t>
  </si>
  <si>
    <t>=NF($E44,"Estado documento")</t>
  </si>
  <si>
    <t>=NF($B44,"Fecha última situación")</t>
  </si>
  <si>
    <t>=IF($F44="","",NL("Primero","Situaciones Dispatching","Descripción","Cód. incidencia",$F44,"DataSource=","Navision","Empresa=","MEDIAPOST SPAIN"))</t>
  </si>
  <si>
    <t>=NF($B44,"Cód. transportista")</t>
  </si>
  <si>
    <t>=NF($B44,"Cód. servicio solicitado")</t>
  </si>
  <si>
    <t>=IF(NF($B44,"Link imagen")&lt;&gt;"",HYPERLINK(NF($B44,"Link imagen")),"")</t>
  </si>
  <si>
    <t>=NL("Primero","Cab. Expedición","Localizador","No. referencia transporte",NF($B44,"No. referencia transporte"),"Conexión=","Navision","Empresa=","MEDIAPOST SPAIN")</t>
  </si>
  <si>
    <t>="""Navision"",""MEDIAPOST SPAIN"",""7098016"",""14"",""64425001594"",""51"",""1200709271"",""50"",""64425001594"",""60"",""Alejandro Bonilla Alarcon"",""61"",""Dr. Calsina 264, 1"",""62"",""08226"",""63"",""Terrasa"",""64"",""BARCELONA"",""65"",""ES"",""102"",""10/09/2025"",""50208"",""11/09/2025"",""50007"&amp;""",""Entregado"",""50006"",""Enviado"",""50319"",""12/09/2025"",""40"",""TIPSA"",""41"",""STD"",""238"",""https://www.tip-sa.com/cliente/datos.php?id=028001093946442500159408226"",""1"",""Pedido"",""2"",""PD250155452"",""50318"",""00002"",""50045"","""""</t>
  </si>
  <si>
    <t>=NF($B45,"No.")</t>
  </si>
  <si>
    <t>=NL("Filas","SQL=select max(t.[Nº movimiento]) movimiento "&amp;
"    from [dbo].[MEDIAPOST SPAIN$Tracking Documento] t "&amp;
"  where t.[Nº Albarán] =  '"&amp;$C45&amp;"'  "&amp;
"       and t.[Estado Documento] &lt;&gt; '' ",{"movimiento"},"Datasource=","SQL-NAVISION")</t>
  </si>
  <si>
    <t>=NL("Primero","Tracking Documento",{"Estado Documento";"Cód. Incidencia"},"Nº movimiento",NF($D45,"movimiento"),"DataSource=","Navision","Empresa=","MEDIAPOST SPAIN")</t>
  </si>
  <si>
    <t>=NF($E45,"Cód. Incidencia")</t>
  </si>
  <si>
    <t>=IF($F45="","",NL("Primero","Situaciones Dispatching","Descripción","Cód. incidencia",$F45,"Notificar cliente","Sí","DataSource=","Navision","Empresa=","MEDIAPOST SPAIN"))</t>
  </si>
  <si>
    <t>=NF($B45,"No. Documento cliente")</t>
  </si>
  <si>
    <t>=NF($B45,"No. referencia transporte")</t>
  </si>
  <si>
    <t>=NF($B45,"No. expedición transporte")</t>
  </si>
  <si>
    <t>=NF($B45,"Nombre punto entrega")</t>
  </si>
  <si>
    <t>=NF($B45,"Dirección punto entrega")</t>
  </si>
  <si>
    <t>=NF($B45,"C.P. punto entrega")</t>
  </si>
  <si>
    <t>=NF($B45,"Población punto entrega")</t>
  </si>
  <si>
    <t>=NF($B45,"Provincia punto entrega")</t>
  </si>
  <si>
    <t>=NF($B45,"País punto entrega")</t>
  </si>
  <si>
    <t>=NF($B45,"Observaciones SGA")</t>
  </si>
  <si>
    <t>=IF($T45="Anulado","",TEXT(NF($B45,"Fecha envío al SGA"),"dd/mm/aaaa"))</t>
  </si>
  <si>
    <t>=IF($T45="Preparado","",TEXT(NF($B45,"Fecha completado SGA"),"dd/mm/aaaa"))</t>
  </si>
  <si>
    <t>=NF($E45,"Estado documento")</t>
  </si>
  <si>
    <t>=NF($B45,"Fecha última situación")</t>
  </si>
  <si>
    <t>=IF($F45="","",NL("Primero","Situaciones Dispatching","Descripción","Cód. incidencia",$F45,"DataSource=","Navision","Empresa=","MEDIAPOST SPAIN"))</t>
  </si>
  <si>
    <t>=NF($B45,"Cód. transportista")</t>
  </si>
  <si>
    <t>=NF($B45,"Cód. servicio solicitado")</t>
  </si>
  <si>
    <t>=IF(NF($B45,"Link imagen")&lt;&gt;"",HYPERLINK(NF($B45,"Link imagen")),"")</t>
  </si>
  <si>
    <t>=NL("Primero","Cab. Expedición","Localizador","No. referencia transporte",NF($B45,"No. referencia transporte"),"Conexión=","Navision","Empresa=","MEDIAPOST SPAIN")</t>
  </si>
  <si>
    <t>="""Navision"",""MEDIAPOST SPAIN"",""7098016"",""14"",""64425001595"",""51"",""1200709273"",""50"",""64425001595"",""60"",""Irene Maria Jurado Navarro"",""61"",""BLUESPACE, Ram. Guipúzcoa 157, Box 4206"",""62"",""08020"",""63"",""Barcelona"",""64"",""BARCELONA"",""65"",""ES"",""102"",""10/09/2025"",""50"&amp;"208"",""11/09/2025"",""50007"",""Entregado"",""50006"",""Enviado"",""50319"",""12/09/2025"",""40"",""TIPSA"",""41"",""STD"",""238"",""https://www.tip-sa.com/cliente/datos.php?id=028001093946442500159508020"",""1"",""Pedido"",""2"",""PD250155453"",""50318"",""00002"",""50045"","""""</t>
  </si>
  <si>
    <t>=NF($B46,"No.")</t>
  </si>
  <si>
    <t>=NL("Filas","SQL=select max(t.[Nº movimiento]) movimiento "&amp;
"    from [dbo].[MEDIAPOST SPAIN$Tracking Documento] t "&amp;
"  where t.[Nº Albarán] =  '"&amp;$C46&amp;"'  "&amp;
"       and t.[Estado Documento] &lt;&gt; '' ",{"movimiento"},"Datasource=","SQL-NAVISION")</t>
  </si>
  <si>
    <t>=NL("Primero","Tracking Documento",{"Estado Documento";"Cód. Incidencia"},"Nº movimiento",NF($D46,"movimiento"),"DataSource=","Navision","Empresa=","MEDIAPOST SPAIN")</t>
  </si>
  <si>
    <t>=NF($E46,"Cód. Incidencia")</t>
  </si>
  <si>
    <t>=IF($F46="","",NL("Primero","Situaciones Dispatching","Descripción","Cód. incidencia",$F46,"Notificar cliente","Sí","DataSource=","Navision","Empresa=","MEDIAPOST SPAIN"))</t>
  </si>
  <si>
    <t>=NF($B46,"No. Documento cliente")</t>
  </si>
  <si>
    <t>=NF($B46,"No. referencia transporte")</t>
  </si>
  <si>
    <t>=NF($B46,"No. expedición transporte")</t>
  </si>
  <si>
    <t>=NF($B46,"Nombre punto entrega")</t>
  </si>
  <si>
    <t>=NF($B46,"Dirección punto entrega")</t>
  </si>
  <si>
    <t>=NF($B46,"C.P. punto entrega")</t>
  </si>
  <si>
    <t>=NF($B46,"Población punto entrega")</t>
  </si>
  <si>
    <t>=NF($B46,"Provincia punto entrega")</t>
  </si>
  <si>
    <t>=NF($B46,"País punto entrega")</t>
  </si>
  <si>
    <t>=NF($B46,"Observaciones SGA")</t>
  </si>
  <si>
    <t>=IF($T46="Anulado","",TEXT(NF($B46,"Fecha envío al SGA"),"dd/mm/aaaa"))</t>
  </si>
  <si>
    <t>=IF($T46="Preparado","",TEXT(NF($B46,"Fecha completado SGA"),"dd/mm/aaaa"))</t>
  </si>
  <si>
    <t>=NF($E46,"Estado documento")</t>
  </si>
  <si>
    <t>=NF($B46,"Fecha última situación")</t>
  </si>
  <si>
    <t>=IF($F46="","",NL("Primero","Situaciones Dispatching","Descripción","Cód. incidencia",$F46,"DataSource=","Navision","Empresa=","MEDIAPOST SPAIN"))</t>
  </si>
  <si>
    <t>=NF($B46,"Cód. transportista")</t>
  </si>
  <si>
    <t>=NF($B46,"Cód. servicio solicitado")</t>
  </si>
  <si>
    <t>=IF(NF($B46,"Link imagen")&lt;&gt;"",HYPERLINK(NF($B46,"Link imagen")),"")</t>
  </si>
  <si>
    <t>=NL("Primero","Cab. Expedición","Localizador","No. referencia transporte",NF($B46,"No. referencia transporte"),"Conexión=","Navision","Empresa=","MEDIAPOST SPAIN")</t>
  </si>
  <si>
    <t>="""Navision"",""MEDIAPOST SPAIN"",""7098016"",""14"",""64425001596"",""51"",""1200709275"",""50"",""64425001596"",""60"",""Susana Carasa Rivero"",""61"",""BLUESPACE, Ram. Guipúzcoa 157, Box 4206"",""62"",""08020"",""63"",""Barcelona"",""64"",""BARCELONA"",""65"",""ES"",""102"",""10/09/2025"",""50208"","""&amp;"11/09/2025"",""50007"",""Entregado"",""50006"",""Enviado"",""50319"",""12/09/2025"",""40"",""TIPSA"",""41"",""STD"",""238"",""https://www.tip-sa.com/cliente/datos.php?id=028001093946442500159608020"",""1"",""Pedido"",""2"",""PD250155454"",""50318"",""00002"",""50045"","""""</t>
  </si>
  <si>
    <t>=NF($B47,"No.")</t>
  </si>
  <si>
    <t>=NL("Filas","SQL=select max(t.[Nº movimiento]) movimiento "&amp;
"    from [dbo].[MEDIAPOST SPAIN$Tracking Documento] t "&amp;
"  where t.[Nº Albarán] =  '"&amp;$C47&amp;"'  "&amp;
"       and t.[Estado Documento] &lt;&gt; '' ",{"movimiento"},"Datasource=","SQL-NAVISION")</t>
  </si>
  <si>
    <t>=NL("Primero","Tracking Documento",{"Estado Documento";"Cód. Incidencia"},"Nº movimiento",NF($D47,"movimiento"),"DataSource=","Navision","Empresa=","MEDIAPOST SPAIN")</t>
  </si>
  <si>
    <t>=NF($E47,"Cód. Incidencia")</t>
  </si>
  <si>
    <t>=IF($F47="","",NL("Primero","Situaciones Dispatching","Descripción","Cód. incidencia",$F47,"Notificar cliente","Sí","DataSource=","Navision","Empresa=","MEDIAPOST SPAIN"))</t>
  </si>
  <si>
    <t>=NF($B47,"No. Documento cliente")</t>
  </si>
  <si>
    <t>=NF($B47,"No. referencia transporte")</t>
  </si>
  <si>
    <t>=NF($B47,"No. expedición transporte")</t>
  </si>
  <si>
    <t>=NF($B47,"Nombre punto entrega")</t>
  </si>
  <si>
    <t>=NF($B47,"Dirección punto entrega")</t>
  </si>
  <si>
    <t>=NF($B47,"C.P. punto entrega")</t>
  </si>
  <si>
    <t>=NF($B47,"Población punto entrega")</t>
  </si>
  <si>
    <t>=NF($B47,"Provincia punto entrega")</t>
  </si>
  <si>
    <t>=NF($B47,"País punto entrega")</t>
  </si>
  <si>
    <t>=NF($B47,"Observaciones SGA")</t>
  </si>
  <si>
    <t>=IF($T47="Anulado","",TEXT(NF($B47,"Fecha envío al SGA"),"dd/mm/aaaa"))</t>
  </si>
  <si>
    <t>=IF($T47="Preparado","",TEXT(NF($B47,"Fecha completado SGA"),"dd/mm/aaaa"))</t>
  </si>
  <si>
    <t>=NF($E47,"Estado documento")</t>
  </si>
  <si>
    <t>=NF($B47,"Fecha última situación")</t>
  </si>
  <si>
    <t>=IF($F47="","",NL("Primero","Situaciones Dispatching","Descripción","Cód. incidencia",$F47,"DataSource=","Navision","Empresa=","MEDIAPOST SPAIN"))</t>
  </si>
  <si>
    <t>=NF($B47,"Cód. transportista")</t>
  </si>
  <si>
    <t>=NF($B47,"Cód. servicio solicitado")</t>
  </si>
  <si>
    <t>=IF(NF($B47,"Link imagen")&lt;&gt;"",HYPERLINK(NF($B47,"Link imagen")),"")</t>
  </si>
  <si>
    <t>=NL("Primero","Cab. Expedición","Localizador","No. referencia transporte",NF($B47,"No. referencia transporte"),"Conexión=","Navision","Empresa=","MEDIAPOST SPAIN")</t>
  </si>
  <si>
    <t>="""Navision"",""MEDIAPOST SPAIN"",""7098016"",""14"",""64425001597"",""51"",""1200709277"",""50"",""64425001597"",""60"",""Susana Albert Nebot"",""61"",""BLUESPACE, Ram. Guipúzcoa 157, Box 4206"",""62"",""08020"",""63"",""BARCELONA"",""64"",""BARCELONA"",""65"",""ES"",""102"",""10/09/2025"",""50208"",""1"&amp;"1/09/2025"",""50007"",""Entregado"",""50006"",""Enviado"",""50319"",""12/09/2025"",""40"",""TIPSA"",""41"",""STD"",""238"",""https://www.tip-sa.com/cliente/datos.php?id=028001093946442500159708020"",""1"",""Pedido"",""2"",""PD250155455"",""50318"",""00002"",""50045"","""""</t>
  </si>
  <si>
    <t>=NF($B48,"No.")</t>
  </si>
  <si>
    <t>=NL("Filas","SQL=select max(t.[Nº movimiento]) movimiento "&amp;
"    from [dbo].[MEDIAPOST SPAIN$Tracking Documento] t "&amp;
"  where t.[Nº Albarán] =  '"&amp;$C48&amp;"'  "&amp;
"       and t.[Estado Documento] &lt;&gt; '' ",{"movimiento"},"Datasource=","SQL-NAVISION")</t>
  </si>
  <si>
    <t>=NL("Primero","Tracking Documento",{"Estado Documento";"Cód. Incidencia"},"Nº movimiento",NF($D48,"movimiento"),"DataSource=","Navision","Empresa=","MEDIAPOST SPAIN")</t>
  </si>
  <si>
    <t>=NF($E48,"Cód. Incidencia")</t>
  </si>
  <si>
    <t>=IF($F48="","",NL("Primero","Situaciones Dispatching","Descripción","Cód. incidencia",$F48,"Notificar cliente","Sí","DataSource=","Navision","Empresa=","MEDIAPOST SPAIN"))</t>
  </si>
  <si>
    <t>=NF($B48,"No. Documento cliente")</t>
  </si>
  <si>
    <t>=NF($B48,"No. referencia transporte")</t>
  </si>
  <si>
    <t>=NF($B48,"No. expedición transporte")</t>
  </si>
  <si>
    <t>=NF($B48,"Nombre punto entrega")</t>
  </si>
  <si>
    <t>=NF($B48,"Dirección punto entrega")</t>
  </si>
  <si>
    <t>=NF($B48,"C.P. punto entrega")</t>
  </si>
  <si>
    <t>=NF($B48,"Población punto entrega")</t>
  </si>
  <si>
    <t>=NF($B48,"Provincia punto entrega")</t>
  </si>
  <si>
    <t>=NF($B48,"País punto entrega")</t>
  </si>
  <si>
    <t>=NF($B48,"Observaciones SGA")</t>
  </si>
  <si>
    <t>=IF($T48="Anulado","",TEXT(NF($B48,"Fecha envío al SGA"),"dd/mm/aaaa"))</t>
  </si>
  <si>
    <t>=IF($T48="Preparado","",TEXT(NF($B48,"Fecha completado SGA"),"dd/mm/aaaa"))</t>
  </si>
  <si>
    <t>=NF($E48,"Estado documento")</t>
  </si>
  <si>
    <t>=NF($B48,"Fecha última situación")</t>
  </si>
  <si>
    <t>=IF($F48="","",NL("Primero","Situaciones Dispatching","Descripción","Cód. incidencia",$F48,"DataSource=","Navision","Empresa=","MEDIAPOST SPAIN"))</t>
  </si>
  <si>
    <t>=NF($B48,"Cód. transportista")</t>
  </si>
  <si>
    <t>=NF($B48,"Cód. servicio solicitado")</t>
  </si>
  <si>
    <t>=IF(NF($B48,"Link imagen")&lt;&gt;"",HYPERLINK(NF($B48,"Link imagen")),"")</t>
  </si>
  <si>
    <t>=NL("Primero","Cab. Expedición","Localizador","No. referencia transporte",NF($B48,"No. referencia transporte"),"Conexión=","Navision","Empresa=","MEDIAPOST SPAIN")</t>
  </si>
  <si>
    <t>="""Navision"",""MEDIAPOST SPAIN"",""7098016"",""14"",""64425001598"",""51"",""1200709279"",""50"",""64425001598"",""60"",""Sergio Wolf Kieckebusch"",""61"",""BLUESPACE, Ram. Guipúzcoa 157, Box 4206"",""62"",""08020"",""63"",""Barcelona"",""64"",""BARCELONA"",""65"",""ES"",""102"",""10/09/2025"",""50208"&amp;""",""11/09/2025"",""50007"",""Entregado"",""50006"",""Enviado"",""50319"",""12/09/2025"",""40"",""TIPSA"",""41"",""STD"",""238"",""https://www.tip-sa.com/cliente/datos.php?id=028001093946442500159808020"",""1"",""Pedido"",""2"",""PD250155456"",""50318"",""00002"",""50045"","""""</t>
  </si>
  <si>
    <t>=NF($B49,"No.")</t>
  </si>
  <si>
    <t>=NL("Filas","SQL=select max(t.[Nº movimiento]) movimiento "&amp;
"    from [dbo].[MEDIAPOST SPAIN$Tracking Documento] t "&amp;
"  where t.[Nº Albarán] =  '"&amp;$C49&amp;"'  "&amp;
"       and t.[Estado Documento] &lt;&gt; '' ",{"movimiento"},"Datasource=","SQL-NAVISION")</t>
  </si>
  <si>
    <t>=NL("Primero","Tracking Documento",{"Estado Documento";"Cód. Incidencia"},"Nº movimiento",NF($D49,"movimiento"),"DataSource=","Navision","Empresa=","MEDIAPOST SPAIN")</t>
  </si>
  <si>
    <t>=NF($E49,"Cód. Incidencia")</t>
  </si>
  <si>
    <t>=IF($F49="","",NL("Primero","Situaciones Dispatching","Descripción","Cód. incidencia",$F49,"Notificar cliente","Sí","DataSource=","Navision","Empresa=","MEDIAPOST SPAIN"))</t>
  </si>
  <si>
    <t>=NF($B49,"No. Documento cliente")</t>
  </si>
  <si>
    <t>=NF($B49,"No. referencia transporte")</t>
  </si>
  <si>
    <t>=NF($B49,"No. expedición transporte")</t>
  </si>
  <si>
    <t>=NF($B49,"Nombre punto entrega")</t>
  </si>
  <si>
    <t>=NF($B49,"Dirección punto entrega")</t>
  </si>
  <si>
    <t>=NF($B49,"C.P. punto entrega")</t>
  </si>
  <si>
    <t>=NF($B49,"Población punto entrega")</t>
  </si>
  <si>
    <t>=NF($B49,"Provincia punto entrega")</t>
  </si>
  <si>
    <t>=NF($B49,"País punto entrega")</t>
  </si>
  <si>
    <t>=NF($B49,"Observaciones SGA")</t>
  </si>
  <si>
    <t>=IF($T49="Anulado","",TEXT(NF($B49,"Fecha envío al SGA"),"dd/mm/aaaa"))</t>
  </si>
  <si>
    <t>=IF($T49="Preparado","",TEXT(NF($B49,"Fecha completado SGA"),"dd/mm/aaaa"))</t>
  </si>
  <si>
    <t>=NF($E49,"Estado documento")</t>
  </si>
  <si>
    <t>=NF($B49,"Fecha última situación")</t>
  </si>
  <si>
    <t>=IF($F49="","",NL("Primero","Situaciones Dispatching","Descripción","Cód. incidencia",$F49,"DataSource=","Navision","Empresa=","MEDIAPOST SPAIN"))</t>
  </si>
  <si>
    <t>=NF($B49,"Cód. transportista")</t>
  </si>
  <si>
    <t>=NF($B49,"Cód. servicio solicitado")</t>
  </si>
  <si>
    <t>=IF(NF($B49,"Link imagen")&lt;&gt;"",HYPERLINK(NF($B49,"Link imagen")),"")</t>
  </si>
  <si>
    <t>=NL("Primero","Cab. Expedición","Localizador","No. referencia transporte",NF($B49,"No. referencia transporte"),"Conexión=","Navision","Empresa=","MEDIAPOST SPAIN")</t>
  </si>
  <si>
    <t>="""Navision"",""MEDIAPOST SPAIN"",""7098016"",""14"",""64425001599"",""51"",""1200709281"",""50"",""64425001599"",""60"",""María del carmen Serrano de la Cruz"",""61"",""C/ Joana Raspall 14, 1ºA"",""62"",""25002"",""63"",""Lleida"",""64"",""LLEIDA"",""65"",""ES"",""102"",""10/09/2025"",""50208"",""11/09/"&amp;"2025"",""50007"",""Entregado"",""50006"",""Enviado"",""50319"",""15/09/2025"",""40"",""TIPSA"",""41"",""STD"",""238"",""https://www.tip-sa.com/cliente/datos.php?id=028001093946442500159925002"",""1"",""Pedido"",""2"",""PD250155457"",""50318"",""00002"",""50045"","""""</t>
  </si>
  <si>
    <t>=NF($B50,"No.")</t>
  </si>
  <si>
    <t>=NL("Filas","SQL=select max(t.[Nº movimiento]) movimiento "&amp;
"    from [dbo].[MEDIAPOST SPAIN$Tracking Documento] t "&amp;
"  where t.[Nº Albarán] =  '"&amp;$C50&amp;"'  "&amp;
"       and t.[Estado Documento] &lt;&gt; '' ",{"movimiento"},"Datasource=","SQL-NAVISION")</t>
  </si>
  <si>
    <t>=NL("Primero","Tracking Documento",{"Estado Documento";"Cód. Incidencia"},"Nº movimiento",NF($D50,"movimiento"),"DataSource=","Navision","Empresa=","MEDIAPOST SPAIN")</t>
  </si>
  <si>
    <t>=NF($E50,"Cód. Incidencia")</t>
  </si>
  <si>
    <t>=IF($F50="","",NL("Primero","Situaciones Dispatching","Descripción","Cód. incidencia",$F50,"Notificar cliente","Sí","DataSource=","Navision","Empresa=","MEDIAPOST SPAIN"))</t>
  </si>
  <si>
    <t>=NF($B50,"No. Documento cliente")</t>
  </si>
  <si>
    <t>=NF($B50,"No. referencia transporte")</t>
  </si>
  <si>
    <t>=NF($B50,"No. expedición transporte")</t>
  </si>
  <si>
    <t>=NF($B50,"Nombre punto entrega")</t>
  </si>
  <si>
    <t>=NF($B50,"Dirección punto entrega")</t>
  </si>
  <si>
    <t>=NF($B50,"C.P. punto entrega")</t>
  </si>
  <si>
    <t>=NF($B50,"Población punto entrega")</t>
  </si>
  <si>
    <t>=NF($B50,"Provincia punto entrega")</t>
  </si>
  <si>
    <t>=NF($B50,"País punto entrega")</t>
  </si>
  <si>
    <t>=NF($B50,"Observaciones SGA")</t>
  </si>
  <si>
    <t>=IF($T50="Anulado","",TEXT(NF($B50,"Fecha envío al SGA"),"dd/mm/aaaa"))</t>
  </si>
  <si>
    <t>=IF($T50="Preparado","",TEXT(NF($B50,"Fecha completado SGA"),"dd/mm/aaaa"))</t>
  </si>
  <si>
    <t>=NF($E50,"Estado documento")</t>
  </si>
  <si>
    <t>=NF($B50,"Fecha última situación")</t>
  </si>
  <si>
    <t>=IF($F50="","",NL("Primero","Situaciones Dispatching","Descripción","Cód. incidencia",$F50,"DataSource=","Navision","Empresa=","MEDIAPOST SPAIN"))</t>
  </si>
  <si>
    <t>=NF($B50,"Cód. transportista")</t>
  </si>
  <si>
    <t>=NF($B50,"Cód. servicio solicitado")</t>
  </si>
  <si>
    <t>=IF(NF($B50,"Link imagen")&lt;&gt;"",HYPERLINK(NF($B50,"Link imagen")),"")</t>
  </si>
  <si>
    <t>=NL("Primero","Cab. Expedición","Localizador","No. referencia transporte",NF($B50,"No. referencia transporte"),"Conexión=","Navision","Empresa=","MEDIAPOST SPAIN")</t>
  </si>
  <si>
    <t>="""Navision"",""MEDIAPOST SPAIN"",""7098016"",""14"",""64425001600"",""51"",""1200709283"",""50"",""64425001600"",""60"",""Noelia Stefani Vidas Almohalla"",""61"",""Calle Miquel de Roncalí, 41 1-3"",""62"",""08940"",""63"",""CORNELLA DE LLOBREGAT"",""64"",""BARCELONA"",""65"",""ES"",""102"",""10/09/2"&amp;"025"",""50208"",""11/09/2025"",""50007"",""Entregado"",""50006"",""Enviado"",""50319"",""12/09/2025"",""40"",""TIPSA"",""41"",""STD"",""238"",""https://www.tip-sa.com/cliente/datos.php?id=028001093946442500160008940"",""1"",""Pedido"",""2"",""PD250155458"",""50318"",""00002"",""50045"","""""</t>
  </si>
  <si>
    <t>=NF($B51,"No.")</t>
  </si>
  <si>
    <t>=NL("Filas","SQL=select max(t.[Nº movimiento]) movimiento "&amp;
"    from [dbo].[MEDIAPOST SPAIN$Tracking Documento] t "&amp;
"  where t.[Nº Albarán] =  '"&amp;$C51&amp;"'  "&amp;
"       and t.[Estado Documento] &lt;&gt; '' ",{"movimiento"},"Datasource=","SQL-NAVISION")</t>
  </si>
  <si>
    <t>=NL("Primero","Tracking Documento",{"Estado Documento";"Cód. Incidencia"},"Nº movimiento",NF($D51,"movimiento"),"DataSource=","Navision","Empresa=","MEDIAPOST SPAIN")</t>
  </si>
  <si>
    <t>=NF($E51,"Cód. Incidencia")</t>
  </si>
  <si>
    <t>=IF($F51="","",NL("Primero","Situaciones Dispatching","Descripción","Cód. incidencia",$F51,"Notificar cliente","Sí","DataSource=","Navision","Empresa=","MEDIAPOST SPAIN"))</t>
  </si>
  <si>
    <t>=NF($B51,"No. Documento cliente")</t>
  </si>
  <si>
    <t>=NF($B51,"No. referencia transporte")</t>
  </si>
  <si>
    <t>=NF($B51,"No. expedición transporte")</t>
  </si>
  <si>
    <t>=NF($B51,"Nombre punto entrega")</t>
  </si>
  <si>
    <t>=NF($B51,"Dirección punto entrega")</t>
  </si>
  <si>
    <t>=NF($B51,"C.P. punto entrega")</t>
  </si>
  <si>
    <t>=NF($B51,"Población punto entrega")</t>
  </si>
  <si>
    <t>=NF($B51,"Provincia punto entrega")</t>
  </si>
  <si>
    <t>=NF($B51,"País punto entrega")</t>
  </si>
  <si>
    <t>=NF($B51,"Observaciones SGA")</t>
  </si>
  <si>
    <t>=IF($T51="Anulado","",TEXT(NF($B51,"Fecha envío al SGA"),"dd/mm/aaaa"))</t>
  </si>
  <si>
    <t>=IF($T51="Preparado","",TEXT(NF($B51,"Fecha completado SGA"),"dd/mm/aaaa"))</t>
  </si>
  <si>
    <t>=NF($E51,"Estado documento")</t>
  </si>
  <si>
    <t>=NF($B51,"Fecha última situación")</t>
  </si>
  <si>
    <t>=IF($F51="","",NL("Primero","Situaciones Dispatching","Descripción","Cód. incidencia",$F51,"DataSource=","Navision","Empresa=","MEDIAPOST SPAIN"))</t>
  </si>
  <si>
    <t>=NF($B51,"Cód. transportista")</t>
  </si>
  <si>
    <t>=NF($B51,"Cód. servicio solicitado")</t>
  </si>
  <si>
    <t>=IF(NF($B51,"Link imagen")&lt;&gt;"",HYPERLINK(NF($B51,"Link imagen")),"")</t>
  </si>
  <si>
    <t>=NL("Primero","Cab. Expedición","Localizador","No. referencia transporte",NF($B51,"No. referencia transporte"),"Conexión=","Navision","Empresa=","MEDIAPOST SPAIN")</t>
  </si>
  <si>
    <t>="""Navision"",""MEDIAPOST SPAIN"",""7098016"",""14"",""64425001601"",""51"",""1200709285"",""50"",""64425001601"",""60"",""BLUESPACE Mario González Jiménez"",""61"",""Ram. Guipúzcoa 157, Box 4206"",""62"",""08020"",""63"",""BARCELONA"",""64"",""BARCELONA"",""65"",""ES"",""102"",""10/09/2025"",""50208"","&amp;"""11/09/2025"",""50007"",""Entregado"",""50006"",""Enviado"",""50319"",""12/09/2025"",""40"",""TIPSA"",""41"",""STD"",""238"",""https://www.tip-sa.com/cliente/datos.php?id=028001093946442500160108020"",""1"",""Pedido"",""2"",""PD250155459"",""50318"",""00002"",""50045"","""""</t>
  </si>
  <si>
    <t>=NF($B52,"No.")</t>
  </si>
  <si>
    <t>=NL("Filas","SQL=select max(t.[Nº movimiento]) movimiento "&amp;
"    from [dbo].[MEDIAPOST SPAIN$Tracking Documento] t "&amp;
"  where t.[Nº Albarán] =  '"&amp;$C52&amp;"'  "&amp;
"       and t.[Estado Documento] &lt;&gt; '' ",{"movimiento"},"Datasource=","SQL-NAVISION")</t>
  </si>
  <si>
    <t>=NL("Primero","Tracking Documento",{"Estado Documento";"Cód. Incidencia"},"Nº movimiento",NF($D52,"movimiento"),"DataSource=","Navision","Empresa=","MEDIAPOST SPAIN")</t>
  </si>
  <si>
    <t>=NF($E52,"Cód. Incidencia")</t>
  </si>
  <si>
    <t>=IF($F52="","",NL("Primero","Situaciones Dispatching","Descripción","Cód. incidencia",$F52,"Notificar cliente","Sí","DataSource=","Navision","Empresa=","MEDIAPOST SPAIN"))</t>
  </si>
  <si>
    <t>=NF($B52,"No. Documento cliente")</t>
  </si>
  <si>
    <t>=NF($B52,"No. referencia transporte")</t>
  </si>
  <si>
    <t>=NF($B52,"No. expedición transporte")</t>
  </si>
  <si>
    <t>=NF($B52,"Nombre punto entrega")</t>
  </si>
  <si>
    <t>=NF($B52,"Dirección punto entrega")</t>
  </si>
  <si>
    <t>=NF($B52,"C.P. punto entrega")</t>
  </si>
  <si>
    <t>=NF($B52,"Población punto entrega")</t>
  </si>
  <si>
    <t>=NF($B52,"Provincia punto entrega")</t>
  </si>
  <si>
    <t>=NF($B52,"País punto entrega")</t>
  </si>
  <si>
    <t>=NF($B52,"Observaciones SGA")</t>
  </si>
  <si>
    <t>=IF($T52="Anulado","",TEXT(NF($B52,"Fecha envío al SGA"),"dd/mm/aaaa"))</t>
  </si>
  <si>
    <t>=IF($T52="Preparado","",TEXT(NF($B52,"Fecha completado SGA"),"dd/mm/aaaa"))</t>
  </si>
  <si>
    <t>=NF($E52,"Estado documento")</t>
  </si>
  <si>
    <t>=NF($B52,"Fecha última situación")</t>
  </si>
  <si>
    <t>=IF($F52="","",NL("Primero","Situaciones Dispatching","Descripción","Cód. incidencia",$F52,"DataSource=","Navision","Empresa=","MEDIAPOST SPAIN"))</t>
  </si>
  <si>
    <t>=NF($B52,"Cód. transportista")</t>
  </si>
  <si>
    <t>=NF($B52,"Cód. servicio solicitado")</t>
  </si>
  <si>
    <t>=IF(NF($B52,"Link imagen")&lt;&gt;"",HYPERLINK(NF($B52,"Link imagen")),"")</t>
  </si>
  <si>
    <t>=NL("Primero","Cab. Expedición","Localizador","No. referencia transporte",NF($B52,"No. referencia transporte"),"Conexión=","Navision","Empresa=","MEDIAPOST SPAIN")</t>
  </si>
  <si>
    <t>="""Navision"",""MEDIAPOST SPAIN"",""7098016"",""14"",""64425001602"",""51"",""1200709287"",""50"",""64425001602"",""60"",""Sofía Cots Alcayde"",""61"",""C/Quart Nº2 Piso 1º Puerta 3"",""62"",""46001"",""63"",""VALENCIA"",""64"",""VALENCIA"",""65"",""ES"",""102"",""10/09/2025"",""50208"",""11/09/2025"",""50"&amp;"007"",""Entregado"",""50006"",""Enviado"",""50319"",""12/09/2025"",""40"",""TIPSA"",""41"",""STD"",""238"",""https://www.tip-sa.com/cliente/datos.php?id=028001093946442500160246001"",""1"",""Pedido"",""2"",""PD250155460"",""50318"",""00002"",""50045"","""""</t>
  </si>
  <si>
    <t>=NF($B53,"No.")</t>
  </si>
  <si>
    <t>=NL("Filas","SQL=select max(t.[Nº movimiento]) movimiento "&amp;
"    from [dbo].[MEDIAPOST SPAIN$Tracking Documento] t "&amp;
"  where t.[Nº Albarán] =  '"&amp;$C53&amp;"'  "&amp;
"       and t.[Estado Documento] &lt;&gt; '' ",{"movimiento"},"Datasource=","SQL-NAVISION")</t>
  </si>
  <si>
    <t>=NL("Primero","Tracking Documento",{"Estado Documento";"Cód. Incidencia"},"Nº movimiento",NF($D53,"movimiento"),"DataSource=","Navision","Empresa=","MEDIAPOST SPAIN")</t>
  </si>
  <si>
    <t>=NF($E53,"Cód. Incidencia")</t>
  </si>
  <si>
    <t>=IF($F53="","",NL("Primero","Situaciones Dispatching","Descripción","Cód. incidencia",$F53,"Notificar cliente","Sí","DataSource=","Navision","Empresa=","MEDIAPOST SPAIN"))</t>
  </si>
  <si>
    <t>=NF($B53,"No. Documento cliente")</t>
  </si>
  <si>
    <t>=NF($B53,"No. referencia transporte")</t>
  </si>
  <si>
    <t>=NF($B53,"No. expedición transporte")</t>
  </si>
  <si>
    <t>=NF($B53,"Nombre punto entrega")</t>
  </si>
  <si>
    <t>=NF($B53,"Dirección punto entrega")</t>
  </si>
  <si>
    <t>=NF($B53,"C.P. punto entrega")</t>
  </si>
  <si>
    <t>=NF($B53,"Población punto entrega")</t>
  </si>
  <si>
    <t>=NF($B53,"Provincia punto entrega")</t>
  </si>
  <si>
    <t>=NF($B53,"País punto entrega")</t>
  </si>
  <si>
    <t>=NF($B53,"Observaciones SGA")</t>
  </si>
  <si>
    <t>=IF($T53="Anulado","",TEXT(NF($B53,"Fecha envío al SGA"),"dd/mm/aaaa"))</t>
  </si>
  <si>
    <t>=IF($T53="Preparado","",TEXT(NF($B53,"Fecha completado SGA"),"dd/mm/aaaa"))</t>
  </si>
  <si>
    <t>=NF($E53,"Estado documento")</t>
  </si>
  <si>
    <t>=NF($B53,"Fecha última situación")</t>
  </si>
  <si>
    <t>=IF($F53="","",NL("Primero","Situaciones Dispatching","Descripción","Cód. incidencia",$F53,"DataSource=","Navision","Empresa=","MEDIAPOST SPAIN"))</t>
  </si>
  <si>
    <t>=NF($B53,"Cód. transportista")</t>
  </si>
  <si>
    <t>=NF($B53,"Cód. servicio solicitado")</t>
  </si>
  <si>
    <t>=IF(NF($B53,"Link imagen")&lt;&gt;"",HYPERLINK(NF($B53,"Link imagen")),"")</t>
  </si>
  <si>
    <t>=NL("Primero","Cab. Expedición","Localizador","No. referencia transporte",NF($B53,"No. referencia transporte"),"Conexión=","Navision","Empresa=","MEDIAPOST SPAIN")</t>
  </si>
  <si>
    <t>="""Navision"",""MEDIAPOST SPAIN"",""7098016"",""14"",""64425001603"",""51"",""1200709289"",""50"",""64425001603"",""60"",""Juan Cuerda Puerto"",""61"",""Calle Conde Salvatierra 27, pta 6"",""62"",""46004"",""63"",""VALENCIA"",""64"",""VALENCIA"",""65"",""ES"",""102"",""10/09/2025"",""50208"",""11/09/2025"&amp;""",""50007"",""Entregado"",""50006"",""Enviado"",""50319"",""12/09/2025"",""40"",""TIPSA"",""41"",""STD"",""238"",""https://www.tip-sa.com/cliente/datos.php?id=028001093946442500160346004"",""1"",""Pedido"",""2"",""PD250155461"",""50318"",""00002"",""50045"","""""</t>
  </si>
  <si>
    <t>=NF($B54,"No.")</t>
  </si>
  <si>
    <t>=NL("Filas","SQL=select max(t.[Nº movimiento]) movimiento "&amp;
"    from [dbo].[MEDIAPOST SPAIN$Tracking Documento] t "&amp;
"  where t.[Nº Albarán] =  '"&amp;$C54&amp;"'  "&amp;
"       and t.[Estado Documento] &lt;&gt; '' ",{"movimiento"},"Datasource=","SQL-NAVISION")</t>
  </si>
  <si>
    <t>=NL("Primero","Tracking Documento",{"Estado Documento";"Cód. Incidencia"},"Nº movimiento",NF($D54,"movimiento"),"DataSource=","Navision","Empresa=","MEDIAPOST SPAIN")</t>
  </si>
  <si>
    <t>=NF($E54,"Cód. Incidencia")</t>
  </si>
  <si>
    <t>=IF($F54="","",NL("Primero","Situaciones Dispatching","Descripción","Cód. incidencia",$F54,"Notificar cliente","Sí","DataSource=","Navision","Empresa=","MEDIAPOST SPAIN"))</t>
  </si>
  <si>
    <t>=NF($B54,"No. Documento cliente")</t>
  </si>
  <si>
    <t>=NF($B54,"No. referencia transporte")</t>
  </si>
  <si>
    <t>=NF($B54,"No. expedición transporte")</t>
  </si>
  <si>
    <t>=NF($B54,"Nombre punto entrega")</t>
  </si>
  <si>
    <t>=NF($B54,"Dirección punto entrega")</t>
  </si>
  <si>
    <t>=NF($B54,"C.P. punto entrega")</t>
  </si>
  <si>
    <t>=NF($B54,"Población punto entrega")</t>
  </si>
  <si>
    <t>=NF($B54,"Provincia punto entrega")</t>
  </si>
  <si>
    <t>=NF($B54,"País punto entrega")</t>
  </si>
  <si>
    <t>=NF($B54,"Observaciones SGA")</t>
  </si>
  <si>
    <t>=IF($T54="Anulado","",TEXT(NF($B54,"Fecha envío al SGA"),"dd/mm/aaaa"))</t>
  </si>
  <si>
    <t>=IF($T54="Preparado","",TEXT(NF($B54,"Fecha completado SGA"),"dd/mm/aaaa"))</t>
  </si>
  <si>
    <t>=NF($E54,"Estado documento")</t>
  </si>
  <si>
    <t>=NF($B54,"Fecha última situación")</t>
  </si>
  <si>
    <t>=IF($F54="","",NL("Primero","Situaciones Dispatching","Descripción","Cód. incidencia",$F54,"DataSource=","Navision","Empresa=","MEDIAPOST SPAIN"))</t>
  </si>
  <si>
    <t>=NF($B54,"Cód. transportista")</t>
  </si>
  <si>
    <t>=NF($B54,"Cód. servicio solicitado")</t>
  </si>
  <si>
    <t>=IF(NF($B54,"Link imagen")&lt;&gt;"",HYPERLINK(NF($B54,"Link imagen")),"")</t>
  </si>
  <si>
    <t>=NL("Primero","Cab. Expedición","Localizador","No. referencia transporte",NF($B54,"No. referencia transporte"),"Conexión=","Navision","Empresa=","MEDIAPOST SPAIN")</t>
  </si>
  <si>
    <t>="""Navision"",""MEDIAPOST SPAIN"",""7098016"",""14"",""64425001604"",""51"",""1200709291"",""50"",""64425001604"",""60"",""Silvia Garcia Rueda"",""61"",""C/ Antonio Colomer 4"",""62"",""46111"",""63"",""ROCAFORT"",""64"",""VALENCIA"",""65"",""ES"",""102"",""10/09/2025"",""50208"",""11/09/2025"",""50007"",""E"&amp;"ntregado"",""50006"",""Enviado"",""50319"",""12/09/2025"",""40"",""TIPSA"",""41"",""STD"",""238"",""https://www.tip-sa.com/cliente/datos.php?id=028001093946442500160446111"",""1"",""Pedido"",""2"",""PD250155462"",""50318"",""00002"",""50045"","""""</t>
  </si>
  <si>
    <t>=NF($B55,"No.")</t>
  </si>
  <si>
    <t>=NL("Filas","SQL=select max(t.[Nº movimiento]) movimiento "&amp;
"    from [dbo].[MEDIAPOST SPAIN$Tracking Documento] t "&amp;
"  where t.[Nº Albarán] =  '"&amp;$C55&amp;"'  "&amp;
"       and t.[Estado Documento] &lt;&gt; '' ",{"movimiento"},"Datasource=","SQL-NAVISION")</t>
  </si>
  <si>
    <t>=NL("Primero","Tracking Documento",{"Estado Documento";"Cód. Incidencia"},"Nº movimiento",NF($D55,"movimiento"),"DataSource=","Navision","Empresa=","MEDIAPOST SPAIN")</t>
  </si>
  <si>
    <t>=NF($E55,"Cód. Incidencia")</t>
  </si>
  <si>
    <t>=IF($F55="","",NL("Primero","Situaciones Dispatching","Descripción","Cód. incidencia",$F55,"Notificar cliente","Sí","DataSource=","Navision","Empresa=","MEDIAPOST SPAIN"))</t>
  </si>
  <si>
    <t>=NF($B55,"No. Documento cliente")</t>
  </si>
  <si>
    <t>=NF($B55,"No. referencia transporte")</t>
  </si>
  <si>
    <t>=NF($B55,"No. expedición transporte")</t>
  </si>
  <si>
    <t>=NF($B55,"Nombre punto entrega")</t>
  </si>
  <si>
    <t>=NF($B55,"Dirección punto entrega")</t>
  </si>
  <si>
    <t>=NF($B55,"C.P. punto entrega")</t>
  </si>
  <si>
    <t>=NF($B55,"Población punto entrega")</t>
  </si>
  <si>
    <t>=NF($B55,"Provincia punto entrega")</t>
  </si>
  <si>
    <t>=NF($B55,"País punto entrega")</t>
  </si>
  <si>
    <t>=NF($B55,"Observaciones SGA")</t>
  </si>
  <si>
    <t>=IF($T55="Anulado","",TEXT(NF($B55,"Fecha envío al SGA"),"dd/mm/aaaa"))</t>
  </si>
  <si>
    <t>=IF($T55="Preparado","",TEXT(NF($B55,"Fecha completado SGA"),"dd/mm/aaaa"))</t>
  </si>
  <si>
    <t>=NF($E55,"Estado documento")</t>
  </si>
  <si>
    <t>=NF($B55,"Fecha última situación")</t>
  </si>
  <si>
    <t>=IF($F55="","",NL("Primero","Situaciones Dispatching","Descripción","Cód. incidencia",$F55,"DataSource=","Navision","Empresa=","MEDIAPOST SPAIN"))</t>
  </si>
  <si>
    <t>=NF($B55,"Cód. transportista")</t>
  </si>
  <si>
    <t>=NF($B55,"Cód. servicio solicitado")</t>
  </si>
  <si>
    <t>=IF(NF($B55,"Link imagen")&lt;&gt;"",HYPERLINK(NF($B55,"Link imagen")),"")</t>
  </si>
  <si>
    <t>=NL("Primero","Cab. Expedición","Localizador","No. referencia transporte",NF($B55,"No. referencia transporte"),"Conexión=","Navision","Empresa=","MEDIAPOST SPAIN")</t>
  </si>
  <si>
    <t>="""Navision"",""MEDIAPOST SPAIN"",""7098016"",""14"",""64425001605"",""51"",""1200709293"",""50"",""64425001605"",""60"",""Hugo Gadea Vacas"",""61"",""C/ Pobla de Farnals 2, Puerta 6"",""62"",""46130"",""63"",""MASSAMAGRELL"",""64"",""VALENCIA"",""65"",""ES"",""102"",""10/09/2025"",""50208"",""11/09/2025"&amp;""",""50007"",""Entregado"",""50006"",""Enviado"",""50319"",""12/09/2025"",""40"",""TIPSA"",""41"",""STD"",""238"",""https://www.tip-sa.com/cliente/datos.php?id=028001093946442500160546130"",""1"",""Pedido"",""2"",""PD250155463"",""50318"",""00002"",""50045"","""""</t>
  </si>
  <si>
    <t>=NF($B56,"No.")</t>
  </si>
  <si>
    <t>=NL("Filas","SQL=select max(t.[Nº movimiento]) movimiento "&amp;
"    from [dbo].[MEDIAPOST SPAIN$Tracking Documento] t "&amp;
"  where t.[Nº Albarán] =  '"&amp;$C56&amp;"'  "&amp;
"       and t.[Estado Documento] &lt;&gt; '' ",{"movimiento"},"Datasource=","SQL-NAVISION")</t>
  </si>
  <si>
    <t>=NL("Primero","Tracking Documento",{"Estado Documento";"Cód. Incidencia"},"Nº movimiento",NF($D56,"movimiento"),"DataSource=","Navision","Empresa=","MEDIAPOST SPAIN")</t>
  </si>
  <si>
    <t>=NF($E56,"Cód. Incidencia")</t>
  </si>
  <si>
    <t>=IF($F56="","",NL("Primero","Situaciones Dispatching","Descripción","Cód. incidencia",$F56,"Notificar cliente","Sí","DataSource=","Navision","Empresa=","MEDIAPOST SPAIN"))</t>
  </si>
  <si>
    <t>=NF($B56,"No. Documento cliente")</t>
  </si>
  <si>
    <t>=NF($B56,"No. referencia transporte")</t>
  </si>
  <si>
    <t>=NF($B56,"No. expedición transporte")</t>
  </si>
  <si>
    <t>=NF($B56,"Nombre punto entrega")</t>
  </si>
  <si>
    <t>=NF($B56,"Dirección punto entrega")</t>
  </si>
  <si>
    <t>=NF($B56,"C.P. punto entrega")</t>
  </si>
  <si>
    <t>=NF($B56,"Población punto entrega")</t>
  </si>
  <si>
    <t>=NF($B56,"Provincia punto entrega")</t>
  </si>
  <si>
    <t>=NF($B56,"País punto entrega")</t>
  </si>
  <si>
    <t>=NF($B56,"Observaciones SGA")</t>
  </si>
  <si>
    <t>=IF($T56="Anulado","",TEXT(NF($B56,"Fecha envío al SGA"),"dd/mm/aaaa"))</t>
  </si>
  <si>
    <t>=IF($T56="Preparado","",TEXT(NF($B56,"Fecha completado SGA"),"dd/mm/aaaa"))</t>
  </si>
  <si>
    <t>=NF($E56,"Estado documento")</t>
  </si>
  <si>
    <t>=NF($B56,"Fecha última situación")</t>
  </si>
  <si>
    <t>=IF($F56="","",NL("Primero","Situaciones Dispatching","Descripción","Cód. incidencia",$F56,"DataSource=","Navision","Empresa=","MEDIAPOST SPAIN"))</t>
  </si>
  <si>
    <t>=NF($B56,"Cód. transportista")</t>
  </si>
  <si>
    <t>=NF($B56,"Cód. servicio solicitado")</t>
  </si>
  <si>
    <t>=IF(NF($B56,"Link imagen")&lt;&gt;"",HYPERLINK(NF($B56,"Link imagen")),"")</t>
  </si>
  <si>
    <t>=NL("Primero","Cab. Expedición","Localizador","No. referencia transporte",NF($B56,"No. referencia transporte"),"Conexión=","Navision","Empresa=","MEDIAPOST SPAIN")</t>
  </si>
  <si>
    <t>="""Navision"",""MEDIAPOST SPAIN"",""7098016"",""14"",""64425001606"",""51"",""222392800032175"",""50"",""64425001606"",""60"",""Gema Torres Vallejo"",""61"",""Calle Sec N-16A,"",""62"",""07013"",""63"",""Palma de Mallorca"",""64"",""BALEARES"",""65"",""ES"",""102"",""10/09/2025"",""50208"",""11/09/2025"","&amp;"""50007"",""Entregado"",""50006"",""Enviado"",""50319"",""15/09/2025"",""40"",""ELOG"",""41"",""STD"",""238"",""https://e-log.es/seguimiento-envios/?cod=222392800032175&amp;cp=07013"",""1"",""Pedido"",""2"",""PD250155464"",""50318"",""00002"",""50045"","""""</t>
  </si>
  <si>
    <t>=NF($B57,"No.")</t>
  </si>
  <si>
    <t>=NL("Filas","SQL=select max(t.[Nº movimiento]) movimiento "&amp;
"    from [dbo].[MEDIAPOST SPAIN$Tracking Documento] t "&amp;
"  where t.[Nº Albarán] =  '"&amp;$C57&amp;"'  "&amp;
"       and t.[Estado Documento] &lt;&gt; '' ",{"movimiento"},"Datasource=","SQL-NAVISION")</t>
  </si>
  <si>
    <t>=NL("Primero","Tracking Documento",{"Estado Documento";"Cód. Incidencia"},"Nº movimiento",NF($D57,"movimiento"),"DataSource=","Navision","Empresa=","MEDIAPOST SPAIN")</t>
  </si>
  <si>
    <t>=NF($E57,"Cód. Incidencia")</t>
  </si>
  <si>
    <t>=IF($F57="","",NL("Primero","Situaciones Dispatching","Descripción","Cód. incidencia",$F57,"Notificar cliente","Sí","DataSource=","Navision","Empresa=","MEDIAPOST SPAIN"))</t>
  </si>
  <si>
    <t>=NF($B57,"No. Documento cliente")</t>
  </si>
  <si>
    <t>=NF($B57,"No. referencia transporte")</t>
  </si>
  <si>
    <t>=NF($B57,"No. expedición transporte")</t>
  </si>
  <si>
    <t>=NF($B57,"Nombre punto entrega")</t>
  </si>
  <si>
    <t>=NF($B57,"Dirección punto entrega")</t>
  </si>
  <si>
    <t>=NF($B57,"C.P. punto entrega")</t>
  </si>
  <si>
    <t>=NF($B57,"Población punto entrega")</t>
  </si>
  <si>
    <t>=NF($B57,"Provincia punto entrega")</t>
  </si>
  <si>
    <t>=NF($B57,"País punto entrega")</t>
  </si>
  <si>
    <t>=NF($B57,"Observaciones SGA")</t>
  </si>
  <si>
    <t>=IF($T57="Anulado","",TEXT(NF($B57,"Fecha envío al SGA"),"dd/mm/aaaa"))</t>
  </si>
  <si>
    <t>=IF($T57="Preparado","",TEXT(NF($B57,"Fecha completado SGA"),"dd/mm/aaaa"))</t>
  </si>
  <si>
    <t>=NF($E57,"Estado documento")</t>
  </si>
  <si>
    <t>=NF($B57,"Fecha última situación")</t>
  </si>
  <si>
    <t>=IF($F57="","",NL("Primero","Situaciones Dispatching","Descripción","Cód. incidencia",$F57,"DataSource=","Navision","Empresa=","MEDIAPOST SPAIN"))</t>
  </si>
  <si>
    <t>=NF($B57,"Cód. transportista")</t>
  </si>
  <si>
    <t>=NF($B57,"Cód. servicio solicitado")</t>
  </si>
  <si>
    <t>=IF(NF($B57,"Link imagen")&lt;&gt;"",HYPERLINK(NF($B57,"Link imagen")),"")</t>
  </si>
  <si>
    <t>=NL("Primero","Cab. Expedición","Localizador","No. referencia transporte",NF($B57,"No. referencia transporte"),"Conexión=","Navision","Empresa=","MEDIAPOST SPAIN")</t>
  </si>
  <si>
    <t>="""Navision"",""MEDIAPOST SPAIN"",""7098016"",""14"",""64425001607"",""51"",""1200709295"",""50"",""64425001607"",""60"",""Noemi Vazquez Lliri"",""61"",""C/ EL PALLETER 10-4"",""62"",""46470"",""63"",""Massanassa"",""64"",""VALENCIA"",""65"",""ES"",""102"",""10/09/2025"",""50208"",""11/09/2025"",""50007"","""&amp;"Entregado"",""50006"",""Enviado"",""50319"",""15/09/2025"",""40"",""TIPSA"",""41"",""STD"",""238"",""https://www.tip-sa.com/cliente/datos.php?id=028001093946442500160746470"",""1"",""Pedido"",""2"",""PD250155465"",""50318"",""00002"",""50045"","""""</t>
  </si>
  <si>
    <t>=NF($B58,"No.")</t>
  </si>
  <si>
    <t>=NL("Filas","SQL=select max(t.[Nº movimiento]) movimiento "&amp;
"    from [dbo].[MEDIAPOST SPAIN$Tracking Documento] t "&amp;
"  where t.[Nº Albarán] =  '"&amp;$C58&amp;"'  "&amp;
"       and t.[Estado Documento] &lt;&gt; '' ",{"movimiento"},"Datasource=","SQL-NAVISION")</t>
  </si>
  <si>
    <t>=NL("Primero","Tracking Documento",{"Estado Documento";"Cód. Incidencia"},"Nº movimiento",NF($D58,"movimiento"),"DataSource=","Navision","Empresa=","MEDIAPOST SPAIN")</t>
  </si>
  <si>
    <t>=NF($E58,"Cód. Incidencia")</t>
  </si>
  <si>
    <t>=IF($F58="","",NL("Primero","Situaciones Dispatching","Descripción","Cód. incidencia",$F58,"Notificar cliente","Sí","DataSource=","Navision","Empresa=","MEDIAPOST SPAIN"))</t>
  </si>
  <si>
    <t>=NF($B58,"No. Documento cliente")</t>
  </si>
  <si>
    <t>=NF($B58,"No. referencia transporte")</t>
  </si>
  <si>
    <t>=NF($B58,"No. expedición transporte")</t>
  </si>
  <si>
    <t>=NF($B58,"Nombre punto entrega")</t>
  </si>
  <si>
    <t>=NF($B58,"Dirección punto entrega")</t>
  </si>
  <si>
    <t>=NF($B58,"C.P. punto entrega")</t>
  </si>
  <si>
    <t>=NF($B58,"Población punto entrega")</t>
  </si>
  <si>
    <t>=NF($B58,"Provincia punto entrega")</t>
  </si>
  <si>
    <t>=NF($B58,"País punto entrega")</t>
  </si>
  <si>
    <t>=NF($B58,"Observaciones SGA")</t>
  </si>
  <si>
    <t>=IF($T58="Anulado","",TEXT(NF($B58,"Fecha envío al SGA"),"dd/mm/aaaa"))</t>
  </si>
  <si>
    <t>=IF($T58="Preparado","",TEXT(NF($B58,"Fecha completado SGA"),"dd/mm/aaaa"))</t>
  </si>
  <si>
    <t>=NF($E58,"Estado documento")</t>
  </si>
  <si>
    <t>=NF($B58,"Fecha última situación")</t>
  </si>
  <si>
    <t>=IF($F58="","",NL("Primero","Situaciones Dispatching","Descripción","Cód. incidencia",$F58,"DataSource=","Navision","Empresa=","MEDIAPOST SPAIN"))</t>
  </si>
  <si>
    <t>=NF($B58,"Cód. transportista")</t>
  </si>
  <si>
    <t>=NF($B58,"Cód. servicio solicitado")</t>
  </si>
  <si>
    <t>=IF(NF($B58,"Link imagen")&lt;&gt;"",HYPERLINK(NF($B58,"Link imagen")),"")</t>
  </si>
  <si>
    <t>=NL("Primero","Cab. Expedición","Localizador","No. referencia transporte",NF($B58,"No. referencia transporte"),"Conexión=","Navision","Empresa=","MEDIAPOST SPAIN")</t>
  </si>
  <si>
    <t>="""Navision"",""MEDIAPOST SPAIN"",""7098016"",""14"",""64425001608"",""51"",""222392800032176"",""50"",""64425001608"",""60"",""Mª Luz Fernandez Montoro"",""61"",""C/ Cala nº 30, 1ºB"",""62"",""07007"",""63"",""Palma de Mallorca"",""64"",""BALEARES"",""65"",""ES"",""102"",""10/09/2025"",""50208"",""11/09"&amp;"/2025"",""50007"",""Entregado"",""50006"",""Enviado"",""50319"",""15/09/2025"",""40"",""ELOG"",""41"",""STD"",""238"",""https://e-log.es/seguimiento-envios/?cod=222392800032176&amp;cp=07007"",""1"",""Pedido"",""2"",""PD250155466"",""50318"",""00002"",""50045"","""""</t>
  </si>
  <si>
    <t>=NF($B59,"No.")</t>
  </si>
  <si>
    <t>=NL("Filas","SQL=select max(t.[Nº movimiento]) movimiento "&amp;
"    from [dbo].[MEDIAPOST SPAIN$Tracking Documento] t "&amp;
"  where t.[Nº Albarán] =  '"&amp;$C59&amp;"'  "&amp;
"       and t.[Estado Documento] &lt;&gt; '' ",{"movimiento"},"Datasource=","SQL-NAVISION")</t>
  </si>
  <si>
    <t>=NL("Primero","Tracking Documento",{"Estado Documento";"Cód. Incidencia"},"Nº movimiento",NF($D59,"movimiento"),"DataSource=","Navision","Empresa=","MEDIAPOST SPAIN")</t>
  </si>
  <si>
    <t>=NF($E59,"Cód. Incidencia")</t>
  </si>
  <si>
    <t>=IF($F59="","",NL("Primero","Situaciones Dispatching","Descripción","Cód. incidencia",$F59,"Notificar cliente","Sí","DataSource=","Navision","Empresa=","MEDIAPOST SPAIN"))</t>
  </si>
  <si>
    <t>=NF($B59,"No. Documento cliente")</t>
  </si>
  <si>
    <t>=NF($B59,"No. referencia transporte")</t>
  </si>
  <si>
    <t>=NF($B59,"No. expedición transporte")</t>
  </si>
  <si>
    <t>=NF($B59,"Nombre punto entrega")</t>
  </si>
  <si>
    <t>=NF($B59,"Dirección punto entrega")</t>
  </si>
  <si>
    <t>=NF($B59,"C.P. punto entrega")</t>
  </si>
  <si>
    <t>=NF($B59,"Población punto entrega")</t>
  </si>
  <si>
    <t>=NF($B59,"Provincia punto entrega")</t>
  </si>
  <si>
    <t>=NF($B59,"País punto entrega")</t>
  </si>
  <si>
    <t>=NF($B59,"Observaciones SGA")</t>
  </si>
  <si>
    <t>=IF($T59="Anulado","",TEXT(NF($B59,"Fecha envío al SGA"),"dd/mm/aaaa"))</t>
  </si>
  <si>
    <t>=IF($T59="Preparado","",TEXT(NF($B59,"Fecha completado SGA"),"dd/mm/aaaa"))</t>
  </si>
  <si>
    <t>=NF($E59,"Estado documento")</t>
  </si>
  <si>
    <t>=NF($B59,"Fecha última situación")</t>
  </si>
  <si>
    <t>=IF($F59="","",NL("Primero","Situaciones Dispatching","Descripción","Cód. incidencia",$F59,"DataSource=","Navision","Empresa=","MEDIAPOST SPAIN"))</t>
  </si>
  <si>
    <t>=NF($B59,"Cód. transportista")</t>
  </si>
  <si>
    <t>=NF($B59,"Cód. servicio solicitado")</t>
  </si>
  <si>
    <t>=IF(NF($B59,"Link imagen")&lt;&gt;"",HYPERLINK(NF($B59,"Link imagen")),"")</t>
  </si>
  <si>
    <t>=NL("Primero","Cab. Expedición","Localizador","No. referencia transporte",NF($B59,"No. referencia transporte"),"Conexión=","Navision","Empresa=","MEDIAPOST SPAIN")</t>
  </si>
  <si>
    <t>="""Navision"",""MEDIAPOST SPAIN"",""7098016"",""14"",""64425001609"",""51"",""0457667"",""50"",""64425001609"",""60"",""Ferran Marzá Valiente"",""61"",""Avinguda Dhijar Nave 9-A"",""62"",""12550"",""63"",""ALMASSORA/ALMAZORA"",""64"",""CASTELLON"",""65"",""ES"",""102"",""10/09/2025"",""50208"",""11/09/20"&amp;"25"",""50007"",""Entregado"",""50006"",""Enviado"",""50319"",""16/09/2025"",""40"",""ASM"",""41"",""STD"",""238"",""https://pods.gls-spain.es/Extranet/public/AlbaranDesdeFirma.aspx?codplaza_org=280&amp;codexp=1172618253&amp;uid=DE4E509B-2927-418E-BD5D-41DF666770B5"",""1"",""Pedido"",""2"",""PD2"&amp;"50155467"",""50318"",""00002"",""50045"","""""</t>
  </si>
  <si>
    <t>=NF($B60,"No.")</t>
  </si>
  <si>
    <t>=NL("Filas","SQL=select max(t.[Nº movimiento]) movimiento "&amp;
"    from [dbo].[MEDIAPOST SPAIN$Tracking Documento] t "&amp;
"  where t.[Nº Albarán] =  '"&amp;$C60&amp;"'  "&amp;
"       and t.[Estado Documento] &lt;&gt; '' ",{"movimiento"},"Datasource=","SQL-NAVISION")</t>
  </si>
  <si>
    <t>=NL("Primero","Tracking Documento",{"Estado Documento";"Cód. Incidencia"},"Nº movimiento",NF($D60,"movimiento"),"DataSource=","Navision","Empresa=","MEDIAPOST SPAIN")</t>
  </si>
  <si>
    <t>=NF($E60,"Cód. Incidencia")</t>
  </si>
  <si>
    <t>=IF($F60="","",NL("Primero","Situaciones Dispatching","Descripción","Cód. incidencia",$F60,"Notificar cliente","Sí","DataSource=","Navision","Empresa=","MEDIAPOST SPAIN"))</t>
  </si>
  <si>
    <t>=NF($B60,"No. Documento cliente")</t>
  </si>
  <si>
    <t>=NF($B60,"No. referencia transporte")</t>
  </si>
  <si>
    <t>=NF($B60,"No. expedición transporte")</t>
  </si>
  <si>
    <t>=NF($B60,"Nombre punto entrega")</t>
  </si>
  <si>
    <t>=NF($B60,"Dirección punto entrega")</t>
  </si>
  <si>
    <t>=NF($B60,"C.P. punto entrega")</t>
  </si>
  <si>
    <t>=NF($B60,"Población punto entrega")</t>
  </si>
  <si>
    <t>=NF($B60,"Provincia punto entrega")</t>
  </si>
  <si>
    <t>=NF($B60,"País punto entrega")</t>
  </si>
  <si>
    <t>=NF($B60,"Observaciones SGA")</t>
  </si>
  <si>
    <t>=IF($T60="Anulado","",TEXT(NF($B60,"Fecha envío al SGA"),"dd/mm/aaaa"))</t>
  </si>
  <si>
    <t>=IF($T60="Preparado","",TEXT(NF($B60,"Fecha completado SGA"),"dd/mm/aaaa"))</t>
  </si>
  <si>
    <t>=NF($E60,"Estado documento")</t>
  </si>
  <si>
    <t>=NF($B60,"Fecha última situación")</t>
  </si>
  <si>
    <t>=IF($F60="","",NL("Primero","Situaciones Dispatching","Descripción","Cód. incidencia",$F60,"DataSource=","Navision","Empresa=","MEDIAPOST SPAIN"))</t>
  </si>
  <si>
    <t>=NF($B60,"Cód. transportista")</t>
  </si>
  <si>
    <t>=NF($B60,"Cód. servicio solicitado")</t>
  </si>
  <si>
    <t>=IF(NF($B60,"Link imagen")&lt;&gt;"",HYPERLINK(NF($B60,"Link imagen")),"")</t>
  </si>
  <si>
    <t>=NL("Primero","Cab. Expedición","Localizador","No. referencia transporte",NF($B60,"No. referencia transporte"),"Conexión=","Navision","Empresa=","MEDIAPOST SPAIN")</t>
  </si>
  <si>
    <t>="""Navision"",""MEDIAPOST SPAIN"",""7098016"",""14"",""64425001610"",""51"",""1200709297"",""50"",""64425001610"",""60"",""Diego Robledo Navarro"",""61"",""Calle Pintor Sorolla 1, 2ªA"",""62"",""46702"",""63"",""GANDIA"",""64"",""VALENCIA"",""65"",""ES"",""102"",""10/09/2025"",""50208"",""11/09/2025"",""50"&amp;"007"",""Entregado"",""50006"",""Enviado"",""50319"",""16/09/2025"",""40"",""TIPSA"",""41"",""STD"",""238"",""https://www.tip-sa.com/cliente/datos.php?id=028001093946442500161046702"",""1"",""Pedido"",""2"",""PD250155468"",""50318"",""00002"",""50045"","""""</t>
  </si>
  <si>
    <t>=NF($B61,"No.")</t>
  </si>
  <si>
    <t>=NL("Filas","SQL=select max(t.[Nº movimiento]) movimiento "&amp;
"    from [dbo].[MEDIAPOST SPAIN$Tracking Documento] t "&amp;
"  where t.[Nº Albarán] =  '"&amp;$C61&amp;"'  "&amp;
"       and t.[Estado Documento] &lt;&gt; '' ",{"movimiento"},"Datasource=","SQL-NAVISION")</t>
  </si>
  <si>
    <t>=NL("Primero","Tracking Documento",{"Estado Documento";"Cód. Incidencia"},"Nº movimiento",NF($D61,"movimiento"),"DataSource=","Navision","Empresa=","MEDIAPOST SPAIN")</t>
  </si>
  <si>
    <t>=NF($E61,"Cód. Incidencia")</t>
  </si>
  <si>
    <t>=IF($F61="","",NL("Primero","Situaciones Dispatching","Descripción","Cód. incidencia",$F61,"Notificar cliente","Sí","DataSource=","Navision","Empresa=","MEDIAPOST SPAIN"))</t>
  </si>
  <si>
    <t>=NF($B61,"No. Documento cliente")</t>
  </si>
  <si>
    <t>=NF($B61,"No. referencia transporte")</t>
  </si>
  <si>
    <t>=NF($B61,"No. expedición transporte")</t>
  </si>
  <si>
    <t>=NF($B61,"Nombre punto entrega")</t>
  </si>
  <si>
    <t>=NF($B61,"Dirección punto entrega")</t>
  </si>
  <si>
    <t>=NF($B61,"C.P. punto entrega")</t>
  </si>
  <si>
    <t>=NF($B61,"Población punto entrega")</t>
  </si>
  <si>
    <t>=NF($B61,"Provincia punto entrega")</t>
  </si>
  <si>
    <t>=NF($B61,"País punto entrega")</t>
  </si>
  <si>
    <t>=NF($B61,"Observaciones SGA")</t>
  </si>
  <si>
    <t>=IF($T61="Anulado","",TEXT(NF($B61,"Fecha envío al SGA"),"dd/mm/aaaa"))</t>
  </si>
  <si>
    <t>=IF($T61="Preparado","",TEXT(NF($B61,"Fecha completado SGA"),"dd/mm/aaaa"))</t>
  </si>
  <si>
    <t>=NF($E61,"Estado documento")</t>
  </si>
  <si>
    <t>=NF($B61,"Fecha última situación")</t>
  </si>
  <si>
    <t>=IF($F61="","",NL("Primero","Situaciones Dispatching","Descripción","Cód. incidencia",$F61,"DataSource=","Navision","Empresa=","MEDIAPOST SPAIN"))</t>
  </si>
  <si>
    <t>=NF($B61,"Cód. transportista")</t>
  </si>
  <si>
    <t>=NF($B61,"Cód. servicio solicitado")</t>
  </si>
  <si>
    <t>=IF(NF($B61,"Link imagen")&lt;&gt;"",HYPERLINK(NF($B61,"Link imagen")),"")</t>
  </si>
  <si>
    <t>=NL("Primero","Cab. Expedición","Localizador","No. referencia transporte",NF($B61,"No. referencia transporte"),"Conexión=","Navision","Empresa=","MEDIAPOST SPAIN")</t>
  </si>
  <si>
    <t>="""Navision"",""MEDIAPOST SPAIN"",""7098016"",""14"",""64425001611"",""51"",""1200709299"",""50"",""64425001611"",""60"",""Nicolas Ballester Hernandez"",""61"",""Sierra del Burete, 14 , buzón 65 - Urb. Montepinar"",""62"",""30163"",""63"",""EL ESPARRAGAL"",""64"",""MURCIA"",""65"",""ES"",""102"",""10"&amp;"/09/2025"",""50208"",""11/09/2025"",""50007"",""Entregado"",""50006"",""Enviado"",""50319"",""15/09/2025"",""40"",""TIPSA"",""41"",""STD"",""238"",""https://www.tip-sa.com/cliente/datos.php?id=028001093946442500161130163"",""1"",""Pedido"",""2"",""PD250155469"",""50318"",""00002"",""50045"","""""</t>
  </si>
  <si>
    <t>=NF($B62,"No.")</t>
  </si>
  <si>
    <t>=NL("Filas","SQL=select max(t.[Nº movimiento]) movimiento "&amp;
"    from [dbo].[MEDIAPOST SPAIN$Tracking Documento] t "&amp;
"  where t.[Nº Albarán] =  '"&amp;$C62&amp;"'  "&amp;
"       and t.[Estado Documento] &lt;&gt; '' ",{"movimiento"},"Datasource=","SQL-NAVISION")</t>
  </si>
  <si>
    <t>=NL("Primero","Tracking Documento",{"Estado Documento";"Cód. Incidencia"},"Nº movimiento",NF($D62,"movimiento"),"DataSource=","Navision","Empresa=","MEDIAPOST SPAIN")</t>
  </si>
  <si>
    <t>=NF($E62,"Cód. Incidencia")</t>
  </si>
  <si>
    <t>=IF($F62="","",NL("Primero","Situaciones Dispatching","Descripción","Cód. incidencia",$F62,"Notificar cliente","Sí","DataSource=","Navision","Empresa=","MEDIAPOST SPAIN"))</t>
  </si>
  <si>
    <t>=NF($B62,"No. Documento cliente")</t>
  </si>
  <si>
    <t>=NF($B62,"No. referencia transporte")</t>
  </si>
  <si>
    <t>=NF($B62,"No. expedición transporte")</t>
  </si>
  <si>
    <t>=NF($B62,"Nombre punto entrega")</t>
  </si>
  <si>
    <t>=NF($B62,"Dirección punto entrega")</t>
  </si>
  <si>
    <t>=NF($B62,"C.P. punto entrega")</t>
  </si>
  <si>
    <t>=NF($B62,"Población punto entrega")</t>
  </si>
  <si>
    <t>=NF($B62,"Provincia punto entrega")</t>
  </si>
  <si>
    <t>=NF($B62,"País punto entrega")</t>
  </si>
  <si>
    <t>=NF($B62,"Observaciones SGA")</t>
  </si>
  <si>
    <t>=IF($T62="Anulado","",TEXT(NF($B62,"Fecha envío al SGA"),"dd/mm/aaaa"))</t>
  </si>
  <si>
    <t>=IF($T62="Preparado","",TEXT(NF($B62,"Fecha completado SGA"),"dd/mm/aaaa"))</t>
  </si>
  <si>
    <t>=NF($E62,"Estado documento")</t>
  </si>
  <si>
    <t>=NF($B62,"Fecha última situación")</t>
  </si>
  <si>
    <t>=IF($F62="","",NL("Primero","Situaciones Dispatching","Descripción","Cód. incidencia",$F62,"DataSource=","Navision","Empresa=","MEDIAPOST SPAIN"))</t>
  </si>
  <si>
    <t>=NF($B62,"Cód. transportista")</t>
  </si>
  <si>
    <t>=NF($B62,"Cód. servicio solicitado")</t>
  </si>
  <si>
    <t>=IF(NF($B62,"Link imagen")&lt;&gt;"",HYPERLINK(NF($B62,"Link imagen")),"")</t>
  </si>
  <si>
    <t>=NL("Primero","Cab. Expedición","Localizador","No. referencia transporte",NF($B62,"No. referencia transporte"),"Conexión=","Navision","Empresa=","MEDIAPOST SPAIN")</t>
  </si>
  <si>
    <t>="""Navision"",""MEDIAPOST SPAIN"",""7098016"",""14"",""64425001612"",""51"",""1200709301"",""50"",""64425001612"",""60"",""Cristina Ferrer Martinez"",""61"",""Buenavista, 1"",""62"",""03008"",""63"",""ALICANTE"",""64"",""ALICANTE"",""65"",""ES"",""102"",""10/09/2025"",""50208"",""11/09/2025"",""50007"",""Ent"&amp;"regado"",""50006"",""Enviado"",""50319"",""15/09/2025"",""40"",""TIPSA"",""41"",""STD"",""238"",""https://www.tip-sa.com/cliente/datos.php?id=028001093946442500161203008"",""1"",""Pedido"",""2"",""PD250155470"",""50318"",""00002"",""50045"","""""</t>
  </si>
  <si>
    <t>=NF($B63,"No.")</t>
  </si>
  <si>
    <t>=NL("Filas","SQL=select max(t.[Nº movimiento]) movimiento "&amp;
"    from [dbo].[MEDIAPOST SPAIN$Tracking Documento] t "&amp;
"  where t.[Nº Albarán] =  '"&amp;$C63&amp;"'  "&amp;
"       and t.[Estado Documento] &lt;&gt; '' ",{"movimiento"},"Datasource=","SQL-NAVISION")</t>
  </si>
  <si>
    <t>=NL("Primero","Tracking Documento",{"Estado Documento";"Cód. Incidencia"},"Nº movimiento",NF($D63,"movimiento"),"DataSource=","Navision","Empresa=","MEDIAPOST SPAIN")</t>
  </si>
  <si>
    <t>=NF($E63,"Cód. Incidencia")</t>
  </si>
  <si>
    <t>=IF($F63="","",NL("Primero","Situaciones Dispatching","Descripción","Cód. incidencia",$F63,"Notificar cliente","Sí","DataSource=","Navision","Empresa=","MEDIAPOST SPAIN"))</t>
  </si>
  <si>
    <t>=NF($B63,"No. Documento cliente")</t>
  </si>
  <si>
    <t>=NF($B63,"No. referencia transporte")</t>
  </si>
  <si>
    <t>=NF($B63,"No. expedición transporte")</t>
  </si>
  <si>
    <t>=NF($B63,"Nombre punto entrega")</t>
  </si>
  <si>
    <t>=NF($B63,"Dirección punto entrega")</t>
  </si>
  <si>
    <t>=NF($B63,"C.P. punto entrega")</t>
  </si>
  <si>
    <t>=NF($B63,"Población punto entrega")</t>
  </si>
  <si>
    <t>=NF($B63,"Provincia punto entrega")</t>
  </si>
  <si>
    <t>=NF($B63,"País punto entrega")</t>
  </si>
  <si>
    <t>=NF($B63,"Observaciones SGA")</t>
  </si>
  <si>
    <t>=IF($T63="Anulado","",TEXT(NF($B63,"Fecha envío al SGA"),"dd/mm/aaaa"))</t>
  </si>
  <si>
    <t>=IF($T63="Preparado","",TEXT(NF($B63,"Fecha completado SGA"),"dd/mm/aaaa"))</t>
  </si>
  <si>
    <t>=NF($E63,"Estado documento")</t>
  </si>
  <si>
    <t>=NF($B63,"Fecha última situación")</t>
  </si>
  <si>
    <t>=IF($F63="","",NL("Primero","Situaciones Dispatching","Descripción","Cód. incidencia",$F63,"DataSource=","Navision","Empresa=","MEDIAPOST SPAIN"))</t>
  </si>
  <si>
    <t>=NF($B63,"Cód. transportista")</t>
  </si>
  <si>
    <t>=NF($B63,"Cód. servicio solicitado")</t>
  </si>
  <si>
    <t>=IF(NF($B63,"Link imagen")&lt;&gt;"",HYPERLINK(NF($B63,"Link imagen")),"")</t>
  </si>
  <si>
    <t>=NL("Primero","Cab. Expedición","Localizador","No. referencia transporte",NF($B63,"No. referencia transporte"),"Conexión=","Navision","Empresa=","MEDIAPOST SPAIN")</t>
  </si>
  <si>
    <t>="""Navision"",""MEDIAPOST SPAIN"",""7098016"",""14"",""64425001613"",""51"",""1200709303"",""50"",""64425001613"",""60"",""Pascual Gonzalez Lopez"",""61"",""C/ San Antonio, 33"",""62"",""30820"",""63"",""ALCANTARILLA"",""64"",""MURCIA"",""65"",""ES"",""102"",""10/09/2025"",""50208"",""11/09/2025"",""50007"""&amp;",""Entregado"",""50006"",""Enviado"",""50319"",""19/09/2025"",""40"",""TIPSA"",""41"",""STD"",""238"",""https://www.tip-sa.com/cliente/datos.php?id=028001093946442500161330820"",""1"",""Pedido"",""2"",""PD250155471"",""50318"",""00002"",""50045"","""""</t>
  </si>
  <si>
    <t>=NF($B64,"No.")</t>
  </si>
  <si>
    <t>=NL("Filas","SQL=select max(t.[Nº movimiento]) movimiento "&amp;
"    from [dbo].[MEDIAPOST SPAIN$Tracking Documento] t "&amp;
"  where t.[Nº Albarán] =  '"&amp;$C64&amp;"'  "&amp;
"       and t.[Estado Documento] &lt;&gt; '' ",{"movimiento"},"Datasource=","SQL-NAVISION")</t>
  </si>
  <si>
    <t>=NL("Primero","Tracking Documento",{"Estado Documento";"Cód. Incidencia"},"Nº movimiento",NF($D64,"movimiento"),"DataSource=","Navision","Empresa=","MEDIAPOST SPAIN")</t>
  </si>
  <si>
    <t>=NF($E64,"Cód. Incidencia")</t>
  </si>
  <si>
    <t>=IF($F64="","",NL("Primero","Situaciones Dispatching","Descripción","Cód. incidencia",$F64,"Notificar cliente","Sí","DataSource=","Navision","Empresa=","MEDIAPOST SPAIN"))</t>
  </si>
  <si>
    <t>=NF($B64,"No. Documento cliente")</t>
  </si>
  <si>
    <t>=NF($B64,"No. referencia transporte")</t>
  </si>
  <si>
    <t>=NF($B64,"No. expedición transporte")</t>
  </si>
  <si>
    <t>=NF($B64,"Nombre punto entrega")</t>
  </si>
  <si>
    <t>=NF($B64,"Dirección punto entrega")</t>
  </si>
  <si>
    <t>=NF($B64,"C.P. punto entrega")</t>
  </si>
  <si>
    <t>=NF($B64,"Población punto entrega")</t>
  </si>
  <si>
    <t>=NF($B64,"Provincia punto entrega")</t>
  </si>
  <si>
    <t>=NF($B64,"País punto entrega")</t>
  </si>
  <si>
    <t>=NF($B64,"Observaciones SGA")</t>
  </si>
  <si>
    <t>=IF($T64="Anulado","",TEXT(NF($B64,"Fecha envío al SGA"),"dd/mm/aaaa"))</t>
  </si>
  <si>
    <t>=IF($T64="Preparado","",TEXT(NF($B64,"Fecha completado SGA"),"dd/mm/aaaa"))</t>
  </si>
  <si>
    <t>=NF($E64,"Estado documento")</t>
  </si>
  <si>
    <t>=NF($B64,"Fecha última situación")</t>
  </si>
  <si>
    <t>=IF($F64="","",NL("Primero","Situaciones Dispatching","Descripción","Cód. incidencia",$F64,"DataSource=","Navision","Empresa=","MEDIAPOST SPAIN"))</t>
  </si>
  <si>
    <t>=NF($B64,"Cód. transportista")</t>
  </si>
  <si>
    <t>=NF($B64,"Cód. servicio solicitado")</t>
  </si>
  <si>
    <t>=IF(NF($B64,"Link imagen")&lt;&gt;"",HYPERLINK(NF($B64,"Link imagen")),"")</t>
  </si>
  <si>
    <t>=NL("Primero","Cab. Expedición","Localizador","No. referencia transporte",NF($B64,"No. referencia transporte"),"Conexión=","Navision","Empresa=","MEDIAPOST SPAIN")</t>
  </si>
  <si>
    <t>="""Navision"",""MEDIAPOST SPAIN"",""7098016"",""14"",""64425001614"",""51"",""1200709305"",""50"",""64425001614"",""60"",""Juan Antonio Navalon Cuerda"",""61"",""Buenavista, 1"",""62"",""03008"",""63"",""Alicante"",""64"",""ALICANTE"",""65"",""ES"",""102"",""10/09/2025"",""50208"",""11/09/2025"",""50007"","""&amp;"Entregado"",""50006"",""Enviado"",""50319"",""15/09/2025"",""40"",""TIPSA"",""41"",""STD"",""238"",""https://www.tip-sa.com/cliente/datos.php?id=028001093946442500161403008"",""1"",""Pedido"",""2"",""PD250155472"",""50318"",""00002"",""50045"","""""</t>
  </si>
  <si>
    <t>=NF($B65,"No.")</t>
  </si>
  <si>
    <t>=NL("Filas","SQL=select max(t.[Nº movimiento]) movimiento "&amp;
"    from [dbo].[MEDIAPOST SPAIN$Tracking Documento] t "&amp;
"  where t.[Nº Albarán] =  '"&amp;$C65&amp;"'  "&amp;
"       and t.[Estado Documento] &lt;&gt; '' ",{"movimiento"},"Datasource=","SQL-NAVISION")</t>
  </si>
  <si>
    <t>=NL("Primero","Tracking Documento",{"Estado Documento";"Cód. Incidencia"},"Nº movimiento",NF($D65,"movimiento"),"DataSource=","Navision","Empresa=","MEDIAPOST SPAIN")</t>
  </si>
  <si>
    <t>=NF($E65,"Cód. Incidencia")</t>
  </si>
  <si>
    <t>=IF($F65="","",NL("Primero","Situaciones Dispatching","Descripción","Cód. incidencia",$F65,"Notificar cliente","Sí","DataSource=","Navision","Empresa=","MEDIAPOST SPAIN"))</t>
  </si>
  <si>
    <t>=NF($B65,"No. Documento cliente")</t>
  </si>
  <si>
    <t>=NF($B65,"No. referencia transporte")</t>
  </si>
  <si>
    <t>=NF($B65,"No. expedición transporte")</t>
  </si>
  <si>
    <t>=NF($B65,"Nombre punto entrega")</t>
  </si>
  <si>
    <t>=NF($B65,"Dirección punto entrega")</t>
  </si>
  <si>
    <t>=NF($B65,"C.P. punto entrega")</t>
  </si>
  <si>
    <t>=NF($B65,"Población punto entrega")</t>
  </si>
  <si>
    <t>=NF($B65,"Provincia punto entrega")</t>
  </si>
  <si>
    <t>=NF($B65,"País punto entrega")</t>
  </si>
  <si>
    <t>=NF($B65,"Observaciones SGA")</t>
  </si>
  <si>
    <t>=IF($T65="Anulado","",TEXT(NF($B65,"Fecha envío al SGA"),"dd/mm/aaaa"))</t>
  </si>
  <si>
    <t>=IF($T65="Preparado","",TEXT(NF($B65,"Fecha completado SGA"),"dd/mm/aaaa"))</t>
  </si>
  <si>
    <t>=NF($E65,"Estado documento")</t>
  </si>
  <si>
    <t>=NF($B65,"Fecha última situación")</t>
  </si>
  <si>
    <t>=IF($F65="","",NL("Primero","Situaciones Dispatching","Descripción","Cód. incidencia",$F65,"DataSource=","Navision","Empresa=","MEDIAPOST SPAIN"))</t>
  </si>
  <si>
    <t>=NF($B65,"Cód. transportista")</t>
  </si>
  <si>
    <t>=NF($B65,"Cód. servicio solicitado")</t>
  </si>
  <si>
    <t>=IF(NF($B65,"Link imagen")&lt;&gt;"",HYPERLINK(NF($B65,"Link imagen")),"")</t>
  </si>
  <si>
    <t>=NL("Primero","Cab. Expedición","Localizador","No. referencia transporte",NF($B65,"No. referencia transporte"),"Conexión=","Navision","Empresa=","MEDIAPOST SPAIN")</t>
  </si>
  <si>
    <t>="""Navision"",""MEDIAPOST SPAIN"",""7098016"",""14"",""64425001615"",""51"",""1200709307"",""50"",""64425001615"",""60"",""Francisco Parodi Rico"",""61"",""Buenavista, 1"",""62"",""03008"",""63"",""Alicante"",""64"",""ALICANTE"",""65"",""ES"",""102"",""10/09/2025"",""50208"",""11/09/2025"",""50007"",""Entreg"&amp;"ado"",""50006"",""Enviado"",""50319"",""15/09/2025"",""40"",""TIPSA"",""41"",""STD"",""238"",""https://www.tip-sa.com/cliente/datos.php?id=028001093946442500161503008"",""1"",""Pedido"",""2"",""PD250155473"",""50318"",""00002"",""50045"","""""</t>
  </si>
  <si>
    <t>=NF($B66,"No.")</t>
  </si>
  <si>
    <t>=NL("Filas","SQL=select max(t.[Nº movimiento]) movimiento "&amp;
"    from [dbo].[MEDIAPOST SPAIN$Tracking Documento] t "&amp;
"  where t.[Nº Albarán] =  '"&amp;$C66&amp;"'  "&amp;
"       and t.[Estado Documento] &lt;&gt; '' ",{"movimiento"},"Datasource=","SQL-NAVISION")</t>
  </si>
  <si>
    <t>=NL("Primero","Tracking Documento",{"Estado Documento";"Cód. Incidencia"},"Nº movimiento",NF($D66,"movimiento"),"DataSource=","Navision","Empresa=","MEDIAPOST SPAIN")</t>
  </si>
  <si>
    <t>=NF($E66,"Cód. Incidencia")</t>
  </si>
  <si>
    <t>=IF($F66="","",NL("Primero","Situaciones Dispatching","Descripción","Cód. incidencia",$F66,"Notificar cliente","Sí","DataSource=","Navision","Empresa=","MEDIAPOST SPAIN"))</t>
  </si>
  <si>
    <t>=NF($B66,"No. Documento cliente")</t>
  </si>
  <si>
    <t>=NF($B66,"No. referencia transporte")</t>
  </si>
  <si>
    <t>=NF($B66,"No. expedición transporte")</t>
  </si>
  <si>
    <t>=NF($B66,"Nombre punto entrega")</t>
  </si>
  <si>
    <t>=NF($B66,"Dirección punto entrega")</t>
  </si>
  <si>
    <t>=NF($B66,"C.P. punto entrega")</t>
  </si>
  <si>
    <t>=NF($B66,"Población punto entrega")</t>
  </si>
  <si>
    <t>=NF($B66,"Provincia punto entrega")</t>
  </si>
  <si>
    <t>=NF($B66,"País punto entrega")</t>
  </si>
  <si>
    <t>=NF($B66,"Observaciones SGA")</t>
  </si>
  <si>
    <t>=IF($T66="Anulado","",TEXT(NF($B66,"Fecha envío al SGA"),"dd/mm/aaaa"))</t>
  </si>
  <si>
    <t>=IF($T66="Preparado","",TEXT(NF($B66,"Fecha completado SGA"),"dd/mm/aaaa"))</t>
  </si>
  <si>
    <t>=NF($E66,"Estado documento")</t>
  </si>
  <si>
    <t>=NF($B66,"Fecha última situación")</t>
  </si>
  <si>
    <t>=IF($F66="","",NL("Primero","Situaciones Dispatching","Descripción","Cód. incidencia",$F66,"DataSource=","Navision","Empresa=","MEDIAPOST SPAIN"))</t>
  </si>
  <si>
    <t>=NF($B66,"Cód. transportista")</t>
  </si>
  <si>
    <t>=NF($B66,"Cód. servicio solicitado")</t>
  </si>
  <si>
    <t>=IF(NF($B66,"Link imagen")&lt;&gt;"",HYPERLINK(NF($B66,"Link imagen")),"")</t>
  </si>
  <si>
    <t>=NL("Primero","Cab. Expedición","Localizador","No. referencia transporte",NF($B66,"No. referencia transporte"),"Conexión=","Navision","Empresa=","MEDIAPOST SPAIN")</t>
  </si>
  <si>
    <t>="""Navision"",""MEDIAPOST SPAIN"",""7098016"",""14"",""64425001616"",""51"",""1200709309"",""50"",""64425001616"",""60"",""Jorge Manuel Sanchez Pelaez"",""61"",""Buenavista, 1"",""62"",""03008"",""63"",""Alicante"",""64"",""ALICANTE"",""65"",""ES"",""102"",""10/09/2025"",""50208"",""11/09/2025"",""50007"","""&amp;"Entregado"",""50006"",""Enviado"",""50319"",""15/09/2025"",""40"",""TIPSA"",""41"",""STD"",""238"",""https://www.tip-sa.com/cliente/datos.php?id=028001093946442500161603008"",""1"",""Pedido"",""2"",""PD250155474"",""50318"",""00002"",""50045"","""""</t>
  </si>
  <si>
    <t>=NF($B67,"No.")</t>
  </si>
  <si>
    <t>=NL("Filas","SQL=select max(t.[Nº movimiento]) movimiento "&amp;
"    from [dbo].[MEDIAPOST SPAIN$Tracking Documento] t "&amp;
"  where t.[Nº Albarán] =  '"&amp;$C67&amp;"'  "&amp;
"       and t.[Estado Documento] &lt;&gt; '' ",{"movimiento"},"Datasource=","SQL-NAVISION")</t>
  </si>
  <si>
    <t>=NL("Primero","Tracking Documento",{"Estado Documento";"Cód. Incidencia"},"Nº movimiento",NF($D67,"movimiento"),"DataSource=","Navision","Empresa=","MEDIAPOST SPAIN")</t>
  </si>
  <si>
    <t>=NF($E67,"Cód. Incidencia")</t>
  </si>
  <si>
    <t>=IF($F67="","",NL("Primero","Situaciones Dispatching","Descripción","Cód. incidencia",$F67,"Notificar cliente","Sí","DataSource=","Navision","Empresa=","MEDIAPOST SPAIN"))</t>
  </si>
  <si>
    <t>=NF($B67,"No. Documento cliente")</t>
  </si>
  <si>
    <t>=NF($B67,"No. referencia transporte")</t>
  </si>
  <si>
    <t>=NF($B67,"No. expedición transporte")</t>
  </si>
  <si>
    <t>=NF($B67,"Nombre punto entrega")</t>
  </si>
  <si>
    <t>=NF($B67,"Dirección punto entrega")</t>
  </si>
  <si>
    <t>=NF($B67,"C.P. punto entrega")</t>
  </si>
  <si>
    <t>=NF($B67,"Población punto entrega")</t>
  </si>
  <si>
    <t>=NF($B67,"Provincia punto entrega")</t>
  </si>
  <si>
    <t>=NF($B67,"País punto entrega")</t>
  </si>
  <si>
    <t>=NF($B67,"Observaciones SGA")</t>
  </si>
  <si>
    <t>=IF($T67="Anulado","",TEXT(NF($B67,"Fecha envío al SGA"),"dd/mm/aaaa"))</t>
  </si>
  <si>
    <t>=IF($T67="Preparado","",TEXT(NF($B67,"Fecha completado SGA"),"dd/mm/aaaa"))</t>
  </si>
  <si>
    <t>=NF($E67,"Estado documento")</t>
  </si>
  <si>
    <t>=NF($B67,"Fecha última situación")</t>
  </si>
  <si>
    <t>=IF($F67="","",NL("Primero","Situaciones Dispatching","Descripción","Cód. incidencia",$F67,"DataSource=","Navision","Empresa=","MEDIAPOST SPAIN"))</t>
  </si>
  <si>
    <t>=NF($B67,"Cód. transportista")</t>
  </si>
  <si>
    <t>=NF($B67,"Cód. servicio solicitado")</t>
  </si>
  <si>
    <t>=IF(NF($B67,"Link imagen")&lt;&gt;"",HYPERLINK(NF($B67,"Link imagen")),"")</t>
  </si>
  <si>
    <t>=NL("Primero","Cab. Expedición","Localizador","No. referencia transporte",NF($B67,"No. referencia transporte"),"Conexión=","Navision","Empresa=","MEDIAPOST SPAIN")</t>
  </si>
  <si>
    <t>="""Navision"",""MEDIAPOST SPAIN"",""7098016"",""14"",""64425001617"",""51"",""1200709311"",""50"",""64425001617"",""60"",""Maria Olimpia Martin Guilabert"",""61"",""Buenavista, 1"",""62"",""03008"",""63"",""Alicante"",""64"",""ALICANTE"",""65"",""ES"",""102"",""10/09/2025"",""50208"",""11/09/2025"",""50007"&amp;""",""Entregado"",""50006"",""Enviado"",""50319"",""15/09/2025"",""40"",""TIPSA"",""41"",""STD"",""238"",""https://www.tip-sa.com/cliente/datos.php?id=028001093946442500161703008"",""1"",""Pedido"",""2"",""PD250155475"",""50318"",""00002"",""50045"","""""</t>
  </si>
  <si>
    <t>=NF($B68,"No.")</t>
  </si>
  <si>
    <t>=NL("Filas","SQL=select max(t.[Nº movimiento]) movimiento "&amp;
"    from [dbo].[MEDIAPOST SPAIN$Tracking Documento] t "&amp;
"  where t.[Nº Albarán] =  '"&amp;$C68&amp;"'  "&amp;
"       and t.[Estado Documento] &lt;&gt; '' ",{"movimiento"},"Datasource=","SQL-NAVISION")</t>
  </si>
  <si>
    <t>=NL("Primero","Tracking Documento",{"Estado Documento";"Cód. Incidencia"},"Nº movimiento",NF($D68,"movimiento"),"DataSource=","Navision","Empresa=","MEDIAPOST SPAIN")</t>
  </si>
  <si>
    <t>=NF($E68,"Cód. Incidencia")</t>
  </si>
  <si>
    <t>=IF($F68="","",NL("Primero","Situaciones Dispatching","Descripción","Cód. incidencia",$F68,"Notificar cliente","Sí","DataSource=","Navision","Empresa=","MEDIAPOST SPAIN"))</t>
  </si>
  <si>
    <t>=NF($B68,"No. Documento cliente")</t>
  </si>
  <si>
    <t>=NF($B68,"No. referencia transporte")</t>
  </si>
  <si>
    <t>=NF($B68,"No. expedición transporte")</t>
  </si>
  <si>
    <t>=NF($B68,"Nombre punto entrega")</t>
  </si>
  <si>
    <t>=NF($B68,"Dirección punto entrega")</t>
  </si>
  <si>
    <t>=NF($B68,"C.P. punto entrega")</t>
  </si>
  <si>
    <t>=NF($B68,"Población punto entrega")</t>
  </si>
  <si>
    <t>=NF($B68,"Provincia punto entrega")</t>
  </si>
  <si>
    <t>=NF($B68,"País punto entrega")</t>
  </si>
  <si>
    <t>=NF($B68,"Observaciones SGA")</t>
  </si>
  <si>
    <t>=IF($T68="Anulado","",TEXT(NF($B68,"Fecha envío al SGA"),"dd/mm/aaaa"))</t>
  </si>
  <si>
    <t>=IF($T68="Preparado","",TEXT(NF($B68,"Fecha completado SGA"),"dd/mm/aaaa"))</t>
  </si>
  <si>
    <t>=NF($E68,"Estado documento")</t>
  </si>
  <si>
    <t>=NF($B68,"Fecha última situación")</t>
  </si>
  <si>
    <t>=IF($F68="","",NL("Primero","Situaciones Dispatching","Descripción","Cód. incidencia",$F68,"DataSource=","Navision","Empresa=","MEDIAPOST SPAIN"))</t>
  </si>
  <si>
    <t>=NF($B68,"Cód. transportista")</t>
  </si>
  <si>
    <t>=NF($B68,"Cód. servicio solicitado")</t>
  </si>
  <si>
    <t>=IF(NF($B68,"Link imagen")&lt;&gt;"",HYPERLINK(NF($B68,"Link imagen")),"")</t>
  </si>
  <si>
    <t>=NL("Primero","Cab. Expedición","Localizador","No. referencia transporte",NF($B68,"No. referencia transporte"),"Conexión=","Navision","Empresa=","MEDIAPOST SPAIN")</t>
  </si>
  <si>
    <t>="""Navision"",""MEDIAPOST SPAIN"",""7098016"",""14"",""64425001618"",""51"",""1200709313"",""50"",""64425001618"",""60"",""Jose Antonio Carmona Luque"",""61"",""Tablerón, 21 2º Izda."",""62"",""23001"",""63"",""JAEN"",""64"",""JAEN"",""65"",""ES"",""102"",""10/09/2025"",""50208"",""11/09/2025"",""50007"",""E"&amp;"ntregado"",""50006"",""Enviado"",""50319"",""12/09/2025"",""40"",""TIPSA"",""41"",""STD"",""238"",""https://www.tip-sa.com/cliente/datos.php?id=028001093946442500161823001"",""1"",""Pedido"",""2"",""PD250155476"",""50318"",""00002"",""50045"","""""</t>
  </si>
  <si>
    <t>=NF($B69,"No.")</t>
  </si>
  <si>
    <t>=NL("Filas","SQL=select max(t.[Nº movimiento]) movimiento "&amp;
"    from [dbo].[MEDIAPOST SPAIN$Tracking Documento] t "&amp;
"  where t.[Nº Albarán] =  '"&amp;$C69&amp;"'  "&amp;
"       and t.[Estado Documento] &lt;&gt; '' ",{"movimiento"},"Datasource=","SQL-NAVISION")</t>
  </si>
  <si>
    <t>=NL("Primero","Tracking Documento",{"Estado Documento";"Cód. Incidencia"},"Nº movimiento",NF($D69,"movimiento"),"DataSource=","Navision","Empresa=","MEDIAPOST SPAIN")</t>
  </si>
  <si>
    <t>=NF($E69,"Cód. Incidencia")</t>
  </si>
  <si>
    <t>=IF($F69="","",NL("Primero","Situaciones Dispatching","Descripción","Cód. incidencia",$F69,"Notificar cliente","Sí","DataSource=","Navision","Empresa=","MEDIAPOST SPAIN"))</t>
  </si>
  <si>
    <t>=NF($B69,"No. Documento cliente")</t>
  </si>
  <si>
    <t>=NF($B69,"No. referencia transporte")</t>
  </si>
  <si>
    <t>=NF($B69,"No. expedición transporte")</t>
  </si>
  <si>
    <t>=NF($B69,"Nombre punto entrega")</t>
  </si>
  <si>
    <t>=NF($B69,"Dirección punto entrega")</t>
  </si>
  <si>
    <t>=NF($B69,"C.P. punto entrega")</t>
  </si>
  <si>
    <t>=NF($B69,"Población punto entrega")</t>
  </si>
  <si>
    <t>=NF($B69,"Provincia punto entrega")</t>
  </si>
  <si>
    <t>=NF($B69,"País punto entrega")</t>
  </si>
  <si>
    <t>=NF($B69,"Observaciones SGA")</t>
  </si>
  <si>
    <t>=IF($T69="Anulado","",TEXT(NF($B69,"Fecha envío al SGA"),"dd/mm/aaaa"))</t>
  </si>
  <si>
    <t>=IF($T69="Preparado","",TEXT(NF($B69,"Fecha completado SGA"),"dd/mm/aaaa"))</t>
  </si>
  <si>
    <t>=NF($E69,"Estado documento")</t>
  </si>
  <si>
    <t>=NF($B69,"Fecha última situación")</t>
  </si>
  <si>
    <t>=IF($F69="","",NL("Primero","Situaciones Dispatching","Descripción","Cód. incidencia",$F69,"DataSource=","Navision","Empresa=","MEDIAPOST SPAIN"))</t>
  </si>
  <si>
    <t>=NF($B69,"Cód. transportista")</t>
  </si>
  <si>
    <t>=NF($B69,"Cód. servicio solicitado")</t>
  </si>
  <si>
    <t>=IF(NF($B69,"Link imagen")&lt;&gt;"",HYPERLINK(NF($B69,"Link imagen")),"")</t>
  </si>
  <si>
    <t>=NL("Primero","Cab. Expedición","Localizador","No. referencia transporte",NF($B69,"No. referencia transporte"),"Conexión=","Navision","Empresa=","MEDIAPOST SPAIN")</t>
  </si>
  <si>
    <t>="""Navision"",""MEDIAPOST SPAIN"",""7098016"",""14"",""64425001619"",""51"",""1200709315"",""50"",""64425001619"",""60"",""Antonio Delgado Montenegro"",""61"",""C/ DIVINA PASTORA, Nº 7 – Bloque 8 – 4ºC"",""62"",""18012"",""63"",""GRANADA"",""64"",""GRANADA"",""65"",""ES"",""102"",""10/09/2025"",""50208"&amp;""",""11/09/2025"",""50007"",""Entregado"",""50006"",""Enviado"",""50319"",""12/09/2025"",""40"",""TIPSA"",""41"",""STD"",""238"",""https://www.tip-sa.com/cliente/datos.php?id=028001093946442500161918012"",""1"",""Pedido"",""2"",""PD250155477"",""50318"",""00002"",""50045"","""""</t>
  </si>
  <si>
    <t>=NF($B70,"No.")</t>
  </si>
  <si>
    <t>=NL("Filas","SQL=select max(t.[Nº movimiento]) movimiento "&amp;
"    from [dbo].[MEDIAPOST SPAIN$Tracking Documento] t "&amp;
"  where t.[Nº Albarán] =  '"&amp;$C70&amp;"'  "&amp;
"       and t.[Estado Documento] &lt;&gt; '' ",{"movimiento"},"Datasource=","SQL-NAVISION")</t>
  </si>
  <si>
    <t>=NL("Primero","Tracking Documento",{"Estado Documento";"Cód. Incidencia"},"Nº movimiento",NF($D70,"movimiento"),"DataSource=","Navision","Empresa=","MEDIAPOST SPAIN")</t>
  </si>
  <si>
    <t>=NF($E70,"Cód. Incidencia")</t>
  </si>
  <si>
    <t>=IF($F70="","",NL("Primero","Situaciones Dispatching","Descripción","Cód. incidencia",$F70,"Notificar cliente","Sí","DataSource=","Navision","Empresa=","MEDIAPOST SPAIN"))</t>
  </si>
  <si>
    <t>=NF($B70,"No. Documento cliente")</t>
  </si>
  <si>
    <t>=NF($B70,"No. referencia transporte")</t>
  </si>
  <si>
    <t>=NF($B70,"No. expedición transporte")</t>
  </si>
  <si>
    <t>=NF($B70,"Nombre punto entrega")</t>
  </si>
  <si>
    <t>=NF($B70,"Dirección punto entrega")</t>
  </si>
  <si>
    <t>=NF($B70,"C.P. punto entrega")</t>
  </si>
  <si>
    <t>=NF($B70,"Población punto entrega")</t>
  </si>
  <si>
    <t>=NF($B70,"Provincia punto entrega")</t>
  </si>
  <si>
    <t>=NF($B70,"País punto entrega")</t>
  </si>
  <si>
    <t>=NF($B70,"Observaciones SGA")</t>
  </si>
  <si>
    <t>=IF($T70="Anulado","",TEXT(NF($B70,"Fecha envío al SGA"),"dd/mm/aaaa"))</t>
  </si>
  <si>
    <t>=IF($T70="Preparado","",TEXT(NF($B70,"Fecha completado SGA"),"dd/mm/aaaa"))</t>
  </si>
  <si>
    <t>=NF($E70,"Estado documento")</t>
  </si>
  <si>
    <t>=NF($B70,"Fecha última situación")</t>
  </si>
  <si>
    <t>=IF($F70="","",NL("Primero","Situaciones Dispatching","Descripción","Cód. incidencia",$F70,"DataSource=","Navision","Empresa=","MEDIAPOST SPAIN"))</t>
  </si>
  <si>
    <t>=NF($B70,"Cód. transportista")</t>
  </si>
  <si>
    <t>=NF($B70,"Cód. servicio solicitado")</t>
  </si>
  <si>
    <t>=IF(NF($B70,"Link imagen")&lt;&gt;"",HYPERLINK(NF($B70,"Link imagen")),"")</t>
  </si>
  <si>
    <t>=NL("Primero","Cab. Expedición","Localizador","No. referencia transporte",NF($B70,"No. referencia transporte"),"Conexión=","Navision","Empresa=","MEDIAPOST SPAIN")</t>
  </si>
  <si>
    <t>="""Navision"",""MEDIAPOST SPAIN"",""7098016"",""14"",""64425001620"",""51"",""1200709317"",""50"",""64425001620"",""60"",""Jose Antonio Hernandez Alvarez"",""61"",""Dolores Rodriguez Sopeña, 1 piso 9 puerta 1º A"",""62"",""04004"",""63"",""Almería"",""64"",""ALMERIA"",""65"",""ES"",""102"",""10/09/20"&amp;"25"",""50208"",""11/09/2025"",""50007"",""Entregado"",""50006"",""Enviado"",""50319"",""12/09/2025"",""40"",""TIPSA"",""41"",""STD"",""238"",""https://www.tip-sa.com/cliente/datos.php?id=028001093946442500162004004"",""1"",""Pedido"",""2"",""PD250155478"",""50318"",""00002"",""50045"","""""</t>
  </si>
  <si>
    <t>=NF($B71,"No.")</t>
  </si>
  <si>
    <t>=NL("Filas","SQL=select max(t.[Nº movimiento]) movimiento "&amp;
"    from [dbo].[MEDIAPOST SPAIN$Tracking Documento] t "&amp;
"  where t.[Nº Albarán] =  '"&amp;$C71&amp;"'  "&amp;
"       and t.[Estado Documento] &lt;&gt; '' ",{"movimiento"},"Datasource=","SQL-NAVISION")</t>
  </si>
  <si>
    <t>=NL("Primero","Tracking Documento",{"Estado Documento";"Cód. Incidencia"},"Nº movimiento",NF($D71,"movimiento"),"DataSource=","Navision","Empresa=","MEDIAPOST SPAIN")</t>
  </si>
  <si>
    <t>=NF($E71,"Cód. Incidencia")</t>
  </si>
  <si>
    <t>=IF($F71="","",NL("Primero","Situaciones Dispatching","Descripción","Cód. incidencia",$F71,"Notificar cliente","Sí","DataSource=","Navision","Empresa=","MEDIAPOST SPAIN"))</t>
  </si>
  <si>
    <t>=NF($B71,"No. Documento cliente")</t>
  </si>
  <si>
    <t>=NF($B71,"No. referencia transporte")</t>
  </si>
  <si>
    <t>=NF($B71,"No. expedición transporte")</t>
  </si>
  <si>
    <t>=NF($B71,"Nombre punto entrega")</t>
  </si>
  <si>
    <t>=NF($B71,"Dirección punto entrega")</t>
  </si>
  <si>
    <t>=NF($B71,"C.P. punto entrega")</t>
  </si>
  <si>
    <t>=NF($B71,"Población punto entrega")</t>
  </si>
  <si>
    <t>=NF($B71,"Provincia punto entrega")</t>
  </si>
  <si>
    <t>=NF($B71,"País punto entrega")</t>
  </si>
  <si>
    <t>=NF($B71,"Observaciones SGA")</t>
  </si>
  <si>
    <t>=IF($T71="Anulado","",TEXT(NF($B71,"Fecha envío al SGA"),"dd/mm/aaaa"))</t>
  </si>
  <si>
    <t>=IF($T71="Preparado","",TEXT(NF($B71,"Fecha completado SGA"),"dd/mm/aaaa"))</t>
  </si>
  <si>
    <t>=NF($E71,"Estado documento")</t>
  </si>
  <si>
    <t>=NF($B71,"Fecha última situación")</t>
  </si>
  <si>
    <t>=IF($F71="","",NL("Primero","Situaciones Dispatching","Descripción","Cód. incidencia",$F71,"DataSource=","Navision","Empresa=","MEDIAPOST SPAIN"))</t>
  </si>
  <si>
    <t>=NF($B71,"Cód. transportista")</t>
  </si>
  <si>
    <t>=NF($B71,"Cód. servicio solicitado")</t>
  </si>
  <si>
    <t>=IF(NF($B71,"Link imagen")&lt;&gt;"",HYPERLINK(NF($B71,"Link imagen")),"")</t>
  </si>
  <si>
    <t>=NL("Primero","Cab. Expedición","Localizador","No. referencia transporte",NF($B71,"No. referencia transporte"),"Conexión=","Navision","Empresa=","MEDIAPOST SPAIN")</t>
  </si>
  <si>
    <t>="""Navision"",""MEDIAPOST SPAIN"",""7098016"",""14"",""64425001621"",""51"",""1200709319"",""50"",""64425001621"",""60"",""Fco. Javier Lapresta Fernandez"",""61"",""""""Residencial Nevada""""    C/ Hipocrates, nº122"",""62"",""18100"",""63"",""ARMILLA"",""64"",""GRANADA"",""65"",""ES"",""102"",""10/09/20"&amp;"25"",""50208"",""11/09/2025"",""50007"",""Entregado"",""50006"",""Enviado"",""50319"",""12/09/2025"",""40"",""TIPSA"",""41"",""STD"",""238"",""https://www.tip-sa.com/cliente/datos.php?id=028001093946442500162118100"",""1"",""Pedido"",""2"",""PD250155479"",""50318"",""00002"",""50045"","""""</t>
  </si>
  <si>
    <t>=NF($B72,"No.")</t>
  </si>
  <si>
    <t>=NL("Filas","SQL=select max(t.[Nº movimiento]) movimiento "&amp;
"    from [dbo].[MEDIAPOST SPAIN$Tracking Documento] t "&amp;
"  where t.[Nº Albarán] =  '"&amp;$C72&amp;"'  "&amp;
"       and t.[Estado Documento] &lt;&gt; '' ",{"movimiento"},"Datasource=","SQL-NAVISION")</t>
  </si>
  <si>
    <t>=NL("Primero","Tracking Documento",{"Estado Documento";"Cód. Incidencia"},"Nº movimiento",NF($D72,"movimiento"),"DataSource=","Navision","Empresa=","MEDIAPOST SPAIN")</t>
  </si>
  <si>
    <t>=NF($E72,"Cód. Incidencia")</t>
  </si>
  <si>
    <t>=IF($F72="","",NL("Primero","Situaciones Dispatching","Descripción","Cód. incidencia",$F72,"Notificar cliente","Sí","DataSource=","Navision","Empresa=","MEDIAPOST SPAIN"))</t>
  </si>
  <si>
    <t>=NF($B72,"No. Documento cliente")</t>
  </si>
  <si>
    <t>=NF($B72,"No. referencia transporte")</t>
  </si>
  <si>
    <t>=NF($B72,"No. expedición transporte")</t>
  </si>
  <si>
    <t>=NF($B72,"Nombre punto entrega")</t>
  </si>
  <si>
    <t>=NF($B72,"Dirección punto entrega")</t>
  </si>
  <si>
    <t>=NF($B72,"C.P. punto entrega")</t>
  </si>
  <si>
    <t>=NF($B72,"Población punto entrega")</t>
  </si>
  <si>
    <t>=NF($B72,"Provincia punto entrega")</t>
  </si>
  <si>
    <t>=NF($B72,"País punto entrega")</t>
  </si>
  <si>
    <t>=NF($B72,"Observaciones SGA")</t>
  </si>
  <si>
    <t>=IF($T72="Anulado","",TEXT(NF($B72,"Fecha envío al SGA"),"dd/mm/aaaa"))</t>
  </si>
  <si>
    <t>=IF($T72="Preparado","",TEXT(NF($B72,"Fecha completado SGA"),"dd/mm/aaaa"))</t>
  </si>
  <si>
    <t>=NF($E72,"Estado documento")</t>
  </si>
  <si>
    <t>=NF($B72,"Fecha última situación")</t>
  </si>
  <si>
    <t>=IF($F72="","",NL("Primero","Situaciones Dispatching","Descripción","Cód. incidencia",$F72,"DataSource=","Navision","Empresa=","MEDIAPOST SPAIN"))</t>
  </si>
  <si>
    <t>=NF($B72,"Cód. transportista")</t>
  </si>
  <si>
    <t>=NF($B72,"Cód. servicio solicitado")</t>
  </si>
  <si>
    <t>=IF(NF($B72,"Link imagen")&lt;&gt;"",HYPERLINK(NF($B72,"Link imagen")),"")</t>
  </si>
  <si>
    <t>=NL("Primero","Cab. Expedición","Localizador","No. referencia transporte",NF($B72,"No. referencia transporte"),"Conexión=","Navision","Empresa=","MEDIAPOST SPAIN")</t>
  </si>
  <si>
    <t>="""Navision"",""MEDIAPOST SPAIN"",""7098016"",""14"",""64425001622"",""51"",""1200709321"",""50"",""64425001622"",""60"",""Elena Villalva Calvo"",""61"",""Paseo de la Sierra 21"",""62"",""29018"",""63"",""MALAGA"",""64"",""MALAGA"",""65"",""ES"",""102"",""10/09/2025"",""50208"",""11/09/2025"",""50007"",""Ent"&amp;"regado"",""50006"",""Enviado"",""50319"",""12/09/2025"",""40"",""TIPSA"",""41"",""STD"",""238"",""https://www.tip-sa.com/cliente/datos.php?id=028001093946442500162229018"",""1"",""Pedido"",""2"",""PD250155480"",""50318"",""00002"",""50045"","""""</t>
  </si>
  <si>
    <t>=NF($B73,"No.")</t>
  </si>
  <si>
    <t>=NL("Filas","SQL=select max(t.[Nº movimiento]) movimiento "&amp;
"    from [dbo].[MEDIAPOST SPAIN$Tracking Documento] t "&amp;
"  where t.[Nº Albarán] =  '"&amp;$C73&amp;"'  "&amp;
"       and t.[Estado Documento] &lt;&gt; '' ",{"movimiento"},"Datasource=","SQL-NAVISION")</t>
  </si>
  <si>
    <t>=NL("Primero","Tracking Documento",{"Estado Documento";"Cód. Incidencia"},"Nº movimiento",NF($D73,"movimiento"),"DataSource=","Navision","Empresa=","MEDIAPOST SPAIN")</t>
  </si>
  <si>
    <t>=NF($E73,"Cód. Incidencia")</t>
  </si>
  <si>
    <t>=IF($F73="","",NL("Primero","Situaciones Dispatching","Descripción","Cód. incidencia",$F73,"Notificar cliente","Sí","DataSource=","Navision","Empresa=","MEDIAPOST SPAIN"))</t>
  </si>
  <si>
    <t>=NF($B73,"No. Documento cliente")</t>
  </si>
  <si>
    <t>=NF($B73,"No. referencia transporte")</t>
  </si>
  <si>
    <t>=NF($B73,"No. expedición transporte")</t>
  </si>
  <si>
    <t>=NF($B73,"Nombre punto entrega")</t>
  </si>
  <si>
    <t>=NF($B73,"Dirección punto entrega")</t>
  </si>
  <si>
    <t>=NF($B73,"C.P. punto entrega")</t>
  </si>
  <si>
    <t>=NF($B73,"Población punto entrega")</t>
  </si>
  <si>
    <t>=NF($B73,"Provincia punto entrega")</t>
  </si>
  <si>
    <t>=NF($B73,"País punto entrega")</t>
  </si>
  <si>
    <t>=NF($B73,"Observaciones SGA")</t>
  </si>
  <si>
    <t>=IF($T73="Anulado","",TEXT(NF($B73,"Fecha envío al SGA"),"dd/mm/aaaa"))</t>
  </si>
  <si>
    <t>=IF($T73="Preparado","",TEXT(NF($B73,"Fecha completado SGA"),"dd/mm/aaaa"))</t>
  </si>
  <si>
    <t>=NF($E73,"Estado documento")</t>
  </si>
  <si>
    <t>=NF($B73,"Fecha última situación")</t>
  </si>
  <si>
    <t>=IF($F73="","",NL("Primero","Situaciones Dispatching","Descripción","Cód. incidencia",$F73,"DataSource=","Navision","Empresa=","MEDIAPOST SPAIN"))</t>
  </si>
  <si>
    <t>=NF($B73,"Cód. transportista")</t>
  </si>
  <si>
    <t>=NF($B73,"Cód. servicio solicitado")</t>
  </si>
  <si>
    <t>=IF(NF($B73,"Link imagen")&lt;&gt;"",HYPERLINK(NF($B73,"Link imagen")),"")</t>
  </si>
  <si>
    <t>=NL("Primero","Cab. Expedición","Localizador","No. referencia transporte",NF($B73,"No. referencia transporte"),"Conexión=","Navision","Empresa=","MEDIAPOST SPAIN")</t>
  </si>
  <si>
    <t>="""Navision"",""MEDIAPOST SPAIN"",""7098016"",""14"",""64425001623"",""51"",""1200709323"",""50"",""64425001623"",""60"",""Josefa Reche Ortega"",""61"",""Urb Altos Del Higueron-Av. Retamar 73, Bq B, 3º P"",""62"",""29639"",""63"",""Benalmadena Pueblo"",""64"",""MALAGA"",""65"",""ES"",""102"",""10/09/"&amp;"2025"",""50208"",""11/09/2025"",""50007"",""Entregado"",""50006"",""Enviado"",""50319"",""12/09/2025"",""40"",""TIPSA"",""41"",""STD"",""238"",""https://www.tip-sa.com/cliente/datos.php?id=028001093946442500162329639"",""1"",""Pedido"",""2"",""PD250155481"",""50318"",""00002"",""50045"","""""</t>
  </si>
  <si>
    <t>=NF($B74,"No.")</t>
  </si>
  <si>
    <t>=NL("Filas","SQL=select max(t.[Nº movimiento]) movimiento "&amp;
"    from [dbo].[MEDIAPOST SPAIN$Tracking Documento] t "&amp;
"  where t.[Nº Albarán] =  '"&amp;$C74&amp;"'  "&amp;
"       and t.[Estado Documento] &lt;&gt; '' ",{"movimiento"},"Datasource=","SQL-NAVISION")</t>
  </si>
  <si>
    <t>=NL("Primero","Tracking Documento",{"Estado Documento";"Cód. Incidencia"},"Nº movimiento",NF($D74,"movimiento"),"DataSource=","Navision","Empresa=","MEDIAPOST SPAIN")</t>
  </si>
  <si>
    <t>=NF($E74,"Cód. Incidencia")</t>
  </si>
  <si>
    <t>=IF($F74="","",NL("Primero","Situaciones Dispatching","Descripción","Cód. incidencia",$F74,"Notificar cliente","Sí","DataSource=","Navision","Empresa=","MEDIAPOST SPAIN"))</t>
  </si>
  <si>
    <t>=NF($B74,"No. Documento cliente")</t>
  </si>
  <si>
    <t>=NF($B74,"No. referencia transporte")</t>
  </si>
  <si>
    <t>=NF($B74,"No. expedición transporte")</t>
  </si>
  <si>
    <t>=NF($B74,"Nombre punto entrega")</t>
  </si>
  <si>
    <t>=NF($B74,"Dirección punto entrega")</t>
  </si>
  <si>
    <t>=NF($B74,"C.P. punto entrega")</t>
  </si>
  <si>
    <t>=NF($B74,"Población punto entrega")</t>
  </si>
  <si>
    <t>=NF($B74,"Provincia punto entrega")</t>
  </si>
  <si>
    <t>=NF($B74,"País punto entrega")</t>
  </si>
  <si>
    <t>=NF($B74,"Observaciones SGA")</t>
  </si>
  <si>
    <t>=IF($T74="Anulado","",TEXT(NF($B74,"Fecha envío al SGA"),"dd/mm/aaaa"))</t>
  </si>
  <si>
    <t>=IF($T74="Preparado","",TEXT(NF($B74,"Fecha completado SGA"),"dd/mm/aaaa"))</t>
  </si>
  <si>
    <t>=NF($E74,"Estado documento")</t>
  </si>
  <si>
    <t>=NF($B74,"Fecha última situación")</t>
  </si>
  <si>
    <t>=IF($F74="","",NL("Primero","Situaciones Dispatching","Descripción","Cód. incidencia",$F74,"DataSource=","Navision","Empresa=","MEDIAPOST SPAIN"))</t>
  </si>
  <si>
    <t>=NF($B74,"Cód. transportista")</t>
  </si>
  <si>
    <t>=NF($B74,"Cód. servicio solicitado")</t>
  </si>
  <si>
    <t>=IF(NF($B74,"Link imagen")&lt;&gt;"",HYPERLINK(NF($B74,"Link imagen")),"")</t>
  </si>
  <si>
    <t>=NL("Primero","Cab. Expedición","Localizador","No. referencia transporte",NF($B74,"No. referencia transporte"),"Conexión=","Navision","Empresa=","MEDIAPOST SPAIN")</t>
  </si>
  <si>
    <t>="""Navision"",""MEDIAPOST SPAIN"",""7098016"",""14"",""64425001624"",""51"",""1200709325"",""50"",""64425001624"",""60"",""Cecilia Soler Gonzalez"",""61"",""C/ Avenida del Higuerón 56-1*B, Buzón 453"",""62"",""29640"",""63"",""Fuengirola"",""64"",""MALAGA"",""65"",""ES"",""102"",""10/09/2025"",""50208"""&amp;",""11/09/2025"",""50007"",""Entregado"",""50006"",""Enviado"",""50319"",""12/09/2025"",""40"",""TIPSA"",""41"",""STD"",""238"",""https://www.tip-sa.com/cliente/datos.php?id=028001093946442500162429640"",""1"",""Pedido"",""2"",""PD250155482"",""50318"",""00002"",""50045"","""""</t>
  </si>
  <si>
    <t>=NF($B75,"No.")</t>
  </si>
  <si>
    <t>=NL("Filas","SQL=select max(t.[Nº movimiento]) movimiento "&amp;
"    from [dbo].[MEDIAPOST SPAIN$Tracking Documento] t "&amp;
"  where t.[Nº Albarán] =  '"&amp;$C75&amp;"'  "&amp;
"       and t.[Estado Documento] &lt;&gt; '' ",{"movimiento"},"Datasource=","SQL-NAVISION")</t>
  </si>
  <si>
    <t>=NL("Primero","Tracking Documento",{"Estado Documento";"Cód. Incidencia"},"Nº movimiento",NF($D75,"movimiento"),"DataSource=","Navision","Empresa=","MEDIAPOST SPAIN")</t>
  </si>
  <si>
    <t>=NF($E75,"Cód. Incidencia")</t>
  </si>
  <si>
    <t>=IF($F75="","",NL("Primero","Situaciones Dispatching","Descripción","Cód. incidencia",$F75,"Notificar cliente","Sí","DataSource=","Navision","Empresa=","MEDIAPOST SPAIN"))</t>
  </si>
  <si>
    <t>=NF($B75,"No. Documento cliente")</t>
  </si>
  <si>
    <t>=NF($B75,"No. referencia transporte")</t>
  </si>
  <si>
    <t>=NF($B75,"No. expedición transporte")</t>
  </si>
  <si>
    <t>=NF($B75,"Nombre punto entrega")</t>
  </si>
  <si>
    <t>=NF($B75,"Dirección punto entrega")</t>
  </si>
  <si>
    <t>=NF($B75,"C.P. punto entrega")</t>
  </si>
  <si>
    <t>=NF($B75,"Población punto entrega")</t>
  </si>
  <si>
    <t>=NF($B75,"Provincia punto entrega")</t>
  </si>
  <si>
    <t>=NF($B75,"País punto entrega")</t>
  </si>
  <si>
    <t>=NF($B75,"Observaciones SGA")</t>
  </si>
  <si>
    <t>=IF($T75="Anulado","",TEXT(NF($B75,"Fecha envío al SGA"),"dd/mm/aaaa"))</t>
  </si>
  <si>
    <t>=IF($T75="Preparado","",TEXT(NF($B75,"Fecha completado SGA"),"dd/mm/aaaa"))</t>
  </si>
  <si>
    <t>=NF($E75,"Estado documento")</t>
  </si>
  <si>
    <t>=NF($B75,"Fecha última situación")</t>
  </si>
  <si>
    <t>=IF($F75="","",NL("Primero","Situaciones Dispatching","Descripción","Cód. incidencia",$F75,"DataSource=","Navision","Empresa=","MEDIAPOST SPAIN"))</t>
  </si>
  <si>
    <t>=NF($B75,"Cód. transportista")</t>
  </si>
  <si>
    <t>=NF($B75,"Cód. servicio solicitado")</t>
  </si>
  <si>
    <t>=IF(NF($B75,"Link imagen")&lt;&gt;"",HYPERLINK(NF($B75,"Link imagen")),"")</t>
  </si>
  <si>
    <t>=NL("Primero","Cab. Expedición","Localizador","No. referencia transporte",NF($B75,"No. referencia transporte"),"Conexión=","Navision","Empresa=","MEDIAPOST SPAIN")</t>
  </si>
  <si>
    <t>="""Navision"",""MEDIAPOST SPAIN"",""7098016"",""14"",""64425001625"",""51"",""1200709327"",""50"",""64425001625"",""60"",""Manuel Zapata Huesa"",""61"",""Comunidad Moliteja, C/ Siete, casa 2"",""62"",""23196"",""63"",""Puente de Jontoya"",""64"",""JAEN"",""65"",""ES"",""102"",""10/09/2025"",""50208"",""1"&amp;"1/09/2025"",""50007"",""Entregado"",""50006"",""Enviado"",""50319"",""12/09/2025"",""40"",""TIPSA"",""41"",""STD"",""238"",""https://www.tip-sa.com/cliente/datos.php?id=028001093946442500162523196"",""1"",""Pedido"",""2"",""PD250155483"",""50318"",""00002"",""50045"","""""</t>
  </si>
  <si>
    <t>=NF($B76,"No.")</t>
  </si>
  <si>
    <t>=NL("Filas","SQL=select max(t.[Nº movimiento]) movimiento "&amp;
"    from [dbo].[MEDIAPOST SPAIN$Tracking Documento] t "&amp;
"  where t.[Nº Albarán] =  '"&amp;$C76&amp;"'  "&amp;
"       and t.[Estado Documento] &lt;&gt; '' ",{"movimiento"},"Datasource=","SQL-NAVISION")</t>
  </si>
  <si>
    <t>=NL("Primero","Tracking Documento",{"Estado Documento";"Cód. Incidencia"},"Nº movimiento",NF($D76,"movimiento"),"DataSource=","Navision","Empresa=","MEDIAPOST SPAIN")</t>
  </si>
  <si>
    <t>=NF($E76,"Cód. Incidencia")</t>
  </si>
  <si>
    <t>=IF($F76="","",NL("Primero","Situaciones Dispatching","Descripción","Cód. incidencia",$F76,"Notificar cliente","Sí","DataSource=","Navision","Empresa=","MEDIAPOST SPAIN"))</t>
  </si>
  <si>
    <t>=NF($B76,"No. Documento cliente")</t>
  </si>
  <si>
    <t>=NF($B76,"No. referencia transporte")</t>
  </si>
  <si>
    <t>=NF($B76,"No. expedición transporte")</t>
  </si>
  <si>
    <t>=NF($B76,"Nombre punto entrega")</t>
  </si>
  <si>
    <t>=NF($B76,"Dirección punto entrega")</t>
  </si>
  <si>
    <t>=NF($B76,"C.P. punto entrega")</t>
  </si>
  <si>
    <t>=NF($B76,"Población punto entrega")</t>
  </si>
  <si>
    <t>=NF($B76,"Provincia punto entrega")</t>
  </si>
  <si>
    <t>=NF($B76,"País punto entrega")</t>
  </si>
  <si>
    <t>=NF($B76,"Observaciones SGA")</t>
  </si>
  <si>
    <t>=IF($T76="Anulado","",TEXT(NF($B76,"Fecha envío al SGA"),"dd/mm/aaaa"))</t>
  </si>
  <si>
    <t>=IF($T76="Preparado","",TEXT(NF($B76,"Fecha completado SGA"),"dd/mm/aaaa"))</t>
  </si>
  <si>
    <t>=NF($E76,"Estado documento")</t>
  </si>
  <si>
    <t>=NF($B76,"Fecha última situación")</t>
  </si>
  <si>
    <t>=IF($F76="","",NL("Primero","Situaciones Dispatching","Descripción","Cód. incidencia",$F76,"DataSource=","Navision","Empresa=","MEDIAPOST SPAIN"))</t>
  </si>
  <si>
    <t>=NF($B76,"Cód. transportista")</t>
  </si>
  <si>
    <t>=NF($B76,"Cód. servicio solicitado")</t>
  </si>
  <si>
    <t>=IF(NF($B76,"Link imagen")&lt;&gt;"",HYPERLINK(NF($B76,"Link imagen")),"")</t>
  </si>
  <si>
    <t>=NL("Primero","Cab. Expedición","Localizador","No. referencia transporte",NF($B76,"No. referencia transporte"),"Conexión=","Navision","Empresa=","MEDIAPOST SPAIN")</t>
  </si>
  <si>
    <t>="""Navision"",""MEDIAPOST SPAIN"",""7098016"",""14"",""64425001626"",""51"",""1200709329"",""50"",""64425001626"",""60"",""Juan Antonio Gonzalez Ruiz"",""61"",""C/ Cantabrico,2 portal F - 4º C"",""62"",""14011"",""63"",""Cordoba"",""64"",""CORDOBA"",""65"",""ES"",""102"",""10/09/2025"",""50208"",""11/09/"&amp;"2025"",""50007"",""Entregado"",""50006"",""Enviado"",""50319"",""12/09/2025"",""40"",""TIPSA"",""41"",""STD"",""238"",""https://www.tip-sa.com/cliente/datos.php?id=028001093946442500162614011"",""1"",""Pedido"",""2"",""PD250155484"",""50318"",""00002"",""50045"","""""</t>
  </si>
  <si>
    <t>=NF($B77,"No.")</t>
  </si>
  <si>
    <t>=NL("Filas","SQL=select max(t.[Nº movimiento]) movimiento "&amp;
"    from [dbo].[MEDIAPOST SPAIN$Tracking Documento] t "&amp;
"  where t.[Nº Albarán] =  '"&amp;$C77&amp;"'  "&amp;
"       and t.[Estado Documento] &lt;&gt; '' ",{"movimiento"},"Datasource=","SQL-NAVISION")</t>
  </si>
  <si>
    <t>=NL("Primero","Tracking Documento",{"Estado Documento";"Cód. Incidencia"},"Nº movimiento",NF($D77,"movimiento"),"DataSource=","Navision","Empresa=","MEDIAPOST SPAIN")</t>
  </si>
  <si>
    <t>=NF($E77,"Cód. Incidencia")</t>
  </si>
  <si>
    <t>=IF($F77="","",NL("Primero","Situaciones Dispatching","Descripción","Cód. incidencia",$F77,"Notificar cliente","Sí","DataSource=","Navision","Empresa=","MEDIAPOST SPAIN"))</t>
  </si>
  <si>
    <t>=NF($B77,"No. Documento cliente")</t>
  </si>
  <si>
    <t>=NF($B77,"No. referencia transporte")</t>
  </si>
  <si>
    <t>=NF($B77,"No. expedición transporte")</t>
  </si>
  <si>
    <t>=NF($B77,"Nombre punto entrega")</t>
  </si>
  <si>
    <t>=NF($B77,"Dirección punto entrega")</t>
  </si>
  <si>
    <t>=NF($B77,"C.P. punto entrega")</t>
  </si>
  <si>
    <t>=NF($B77,"Población punto entrega")</t>
  </si>
  <si>
    <t>=NF($B77,"Provincia punto entrega")</t>
  </si>
  <si>
    <t>=NF($B77,"País punto entrega")</t>
  </si>
  <si>
    <t>=NF($B77,"Observaciones SGA")</t>
  </si>
  <si>
    <t>=IF($T77="Anulado","",TEXT(NF($B77,"Fecha envío al SGA"),"dd/mm/aaaa"))</t>
  </si>
  <si>
    <t>=IF($T77="Preparado","",TEXT(NF($B77,"Fecha completado SGA"),"dd/mm/aaaa"))</t>
  </si>
  <si>
    <t>=NF($E77,"Estado documento")</t>
  </si>
  <si>
    <t>=NF($B77,"Fecha última situación")</t>
  </si>
  <si>
    <t>=IF($F77="","",NL("Primero","Situaciones Dispatching","Descripción","Cód. incidencia",$F77,"DataSource=","Navision","Empresa=","MEDIAPOST SPAIN"))</t>
  </si>
  <si>
    <t>=NF($B77,"Cód. transportista")</t>
  </si>
  <si>
    <t>=NF($B77,"Cód. servicio solicitado")</t>
  </si>
  <si>
    <t>=IF(NF($B77,"Link imagen")&lt;&gt;"",HYPERLINK(NF($B77,"Link imagen")),"")</t>
  </si>
  <si>
    <t>=NL("Primero","Cab. Expedición","Localizador","No. referencia transporte",NF($B77,"No. referencia transporte"),"Conexión=","Navision","Empresa=","MEDIAPOST SPAIN")</t>
  </si>
  <si>
    <t>="""Navision"",""MEDIAPOST SPAIN"",""7098016"",""14"",""64425001627"",""51"",""1200709331"",""50"",""64425001627"",""60"",""Fernando Iriso Diaz"",""61"",""Avda. De la Ciencia 1, bloque 2, 1ro D"",""62"",""41020"",""63"",""SEVILLA"",""64"",""SEVILLA"",""65"",""ES"",""102"",""10/09/2025"",""50208"",""11/09/"&amp;"2025"",""50007"",""Entregado"",""50006"",""Enviado"",""50319"",""12/09/2025"",""40"",""TIPSA"",""41"",""STD"",""238"",""https://www.tip-sa.com/cliente/datos.php?id=028001093946442500162741020"",""1"",""Pedido"",""2"",""PD250155485"",""50318"",""00002"",""50045"","""""</t>
  </si>
  <si>
    <t>=NF($B78,"No.")</t>
  </si>
  <si>
    <t>=NL("Filas","SQL=select max(t.[Nº movimiento]) movimiento "&amp;
"    from [dbo].[MEDIAPOST SPAIN$Tracking Documento] t "&amp;
"  where t.[Nº Albarán] =  '"&amp;$C78&amp;"'  "&amp;
"       and t.[Estado Documento] &lt;&gt; '' ",{"movimiento"},"Datasource=","SQL-NAVISION")</t>
  </si>
  <si>
    <t>=NL("Primero","Tracking Documento",{"Estado Documento";"Cód. Incidencia"},"Nº movimiento",NF($D78,"movimiento"),"DataSource=","Navision","Empresa=","MEDIAPOST SPAIN")</t>
  </si>
  <si>
    <t>=NF($E78,"Cód. Incidencia")</t>
  </si>
  <si>
    <t>=IF($F78="","",NL("Primero","Situaciones Dispatching","Descripción","Cód. incidencia",$F78,"Notificar cliente","Sí","DataSource=","Navision","Empresa=","MEDIAPOST SPAIN"))</t>
  </si>
  <si>
    <t>=NF($B78,"No. Documento cliente")</t>
  </si>
  <si>
    <t>=NF($B78,"No. referencia transporte")</t>
  </si>
  <si>
    <t>=NF($B78,"No. expedición transporte")</t>
  </si>
  <si>
    <t>=NF($B78,"Nombre punto entrega")</t>
  </si>
  <si>
    <t>=NF($B78,"Dirección punto entrega")</t>
  </si>
  <si>
    <t>=NF($B78,"C.P. punto entrega")</t>
  </si>
  <si>
    <t>=NF($B78,"Población punto entrega")</t>
  </si>
  <si>
    <t>=NF($B78,"Provincia punto entrega")</t>
  </si>
  <si>
    <t>=NF($B78,"País punto entrega")</t>
  </si>
  <si>
    <t>=NF($B78,"Observaciones SGA")</t>
  </si>
  <si>
    <t>=IF($T78="Anulado","",TEXT(NF($B78,"Fecha envío al SGA"),"dd/mm/aaaa"))</t>
  </si>
  <si>
    <t>=IF($T78="Preparado","",TEXT(NF($B78,"Fecha completado SGA"),"dd/mm/aaaa"))</t>
  </si>
  <si>
    <t>=NF($E78,"Estado documento")</t>
  </si>
  <si>
    <t>=NF($B78,"Fecha última situación")</t>
  </si>
  <si>
    <t>=IF($F78="","",NL("Primero","Situaciones Dispatching","Descripción","Cód. incidencia",$F78,"DataSource=","Navision","Empresa=","MEDIAPOST SPAIN"))</t>
  </si>
  <si>
    <t>=NF($B78,"Cód. transportista")</t>
  </si>
  <si>
    <t>=NF($B78,"Cód. servicio solicitado")</t>
  </si>
  <si>
    <t>=IF(NF($B78,"Link imagen")&lt;&gt;"",HYPERLINK(NF($B78,"Link imagen")),"")</t>
  </si>
  <si>
    <t>=NL("Primero","Cab. Expedición","Localizador","No. referencia transporte",NF($B78,"No. referencia transporte"),"Conexión=","Navision","Empresa=","MEDIAPOST SPAIN")</t>
  </si>
  <si>
    <t>="""Navision"",""MEDIAPOST SPAIN"",""7098016"",""14"",""64425001628"",""51"",""1200709333"",""50"",""64425001628"",""60"",""Reyes Juarez Hernandez"",""61"",""Avda. de Andalucía, 75 - 10º"",""62"",""11008"",""63"",""CADIZ"",""64"",""CADIZ"",""65"",""ES"",""102"",""10/09/2025"",""50208"",""11/09/2025"",""5000"&amp;"7"",""Entregado"",""50006"",""Enviado"",""50319"",""30/09/2025"",""40"",""TIPSA"",""41"",""STD"",""238"",""https://www.tip-sa.com/cliente/datos.php?id=028001093946442500162811008"",""1"",""Pedido"",""2"",""PD250155486"",""50318"",""00002"",""50045"","""""</t>
  </si>
  <si>
    <t>=NF($B79,"No.")</t>
  </si>
  <si>
    <t>=NL("Filas","SQL=select max(t.[Nº movimiento]) movimiento "&amp;
"    from [dbo].[MEDIAPOST SPAIN$Tracking Documento] t "&amp;
"  where t.[Nº Albarán] =  '"&amp;$C79&amp;"'  "&amp;
"       and t.[Estado Documento] &lt;&gt; '' ",{"movimiento"},"Datasource=","SQL-NAVISION")</t>
  </si>
  <si>
    <t>=NL("Primero","Tracking Documento",{"Estado Documento";"Cód. Incidencia"},"Nº movimiento",NF($D79,"movimiento"),"DataSource=","Navision","Empresa=","MEDIAPOST SPAIN")</t>
  </si>
  <si>
    <t>=NF($E79,"Cód. Incidencia")</t>
  </si>
  <si>
    <t>=IF($F79="","",NL("Primero","Situaciones Dispatching","Descripción","Cód. incidencia",$F79,"Notificar cliente","Sí","DataSource=","Navision","Empresa=","MEDIAPOST SPAIN"))</t>
  </si>
  <si>
    <t>=NF($B79,"No. Documento cliente")</t>
  </si>
  <si>
    <t>=NF($B79,"No. referencia transporte")</t>
  </si>
  <si>
    <t>=NF($B79,"No. expedición transporte")</t>
  </si>
  <si>
    <t>=NF($B79,"Nombre punto entrega")</t>
  </si>
  <si>
    <t>=NF($B79,"Dirección punto entrega")</t>
  </si>
  <si>
    <t>=NF($B79,"C.P. punto entrega")</t>
  </si>
  <si>
    <t>=NF($B79,"Población punto entrega")</t>
  </si>
  <si>
    <t>=NF($B79,"Provincia punto entrega")</t>
  </si>
  <si>
    <t>=NF($B79,"País punto entrega")</t>
  </si>
  <si>
    <t>=NF($B79,"Observaciones SGA")</t>
  </si>
  <si>
    <t>=IF($T79="Anulado","",TEXT(NF($B79,"Fecha envío al SGA"),"dd/mm/aaaa"))</t>
  </si>
  <si>
    <t>=IF($T79="Preparado","",TEXT(NF($B79,"Fecha completado SGA"),"dd/mm/aaaa"))</t>
  </si>
  <si>
    <t>=NF($E79,"Estado documento")</t>
  </si>
  <si>
    <t>=NF($B79,"Fecha última situación")</t>
  </si>
  <si>
    <t>=IF($F79="","",NL("Primero","Situaciones Dispatching","Descripción","Cód. incidencia",$F79,"DataSource=","Navision","Empresa=","MEDIAPOST SPAIN"))</t>
  </si>
  <si>
    <t>=NF($B79,"Cód. transportista")</t>
  </si>
  <si>
    <t>=NF($B79,"Cód. servicio solicitado")</t>
  </si>
  <si>
    <t>=IF(NF($B79,"Link imagen")&lt;&gt;"",HYPERLINK(NF($B79,"Link imagen")),"")</t>
  </si>
  <si>
    <t>=NL("Primero","Cab. Expedición","Localizador","No. referencia transporte",NF($B79,"No. referencia transporte"),"Conexión=","Navision","Empresa=","MEDIAPOST SPAIN")</t>
  </si>
  <si>
    <t>="""Navision"",""MEDIAPOST SPAIN"",""7098016"",""14"",""64425001629"",""51"",""1200709335"",""50"",""64425001629"",""60"",""Fco. Javier Monroy Muñoz"",""61"",""C/Sevilla 41-43 edificio Alameda 3*B"",""62"",""11402"",""63"",""JEREZ DE LA FRONTERA"",""64"",""CADIZ"",""65"",""ES"",""102"",""10/09/2025"","""&amp;"50208"",""11/09/2025"",""50007"",""Entregado"",""50006"",""Enviado"",""50319"",""12/09/2025"",""40"",""TIPSA"",""41"",""STD"",""238"",""https://www.tip-sa.com/cliente/datos.php?id=028001093946442500162911402"",""1"",""Pedido"",""2"",""PD250155487"",""50318"",""00002"",""50045"","""""</t>
  </si>
  <si>
    <t>=NF($B80,"No.")</t>
  </si>
  <si>
    <t>=NL("Filas","SQL=select max(t.[Nº movimiento]) movimiento "&amp;
"    from [dbo].[MEDIAPOST SPAIN$Tracking Documento] t "&amp;
"  where t.[Nº Albarán] =  '"&amp;$C80&amp;"'  "&amp;
"       and t.[Estado Documento] &lt;&gt; '' ",{"movimiento"},"Datasource=","SQL-NAVISION")</t>
  </si>
  <si>
    <t>=NL("Primero","Tracking Documento",{"Estado Documento";"Cód. Incidencia"},"Nº movimiento",NF($D80,"movimiento"),"DataSource=","Navision","Empresa=","MEDIAPOST SPAIN")</t>
  </si>
  <si>
    <t>=NF($E80,"Cód. Incidencia")</t>
  </si>
  <si>
    <t>=IF($F80="","",NL("Primero","Situaciones Dispatching","Descripción","Cód. incidencia",$F80,"Notificar cliente","Sí","DataSource=","Navision","Empresa=","MEDIAPOST SPAIN"))</t>
  </si>
  <si>
    <t>=NF($B80,"No. Documento cliente")</t>
  </si>
  <si>
    <t>=NF($B80,"No. referencia transporte")</t>
  </si>
  <si>
    <t>=NF($B80,"No. expedición transporte")</t>
  </si>
  <si>
    <t>=NF($B80,"Nombre punto entrega")</t>
  </si>
  <si>
    <t>=NF($B80,"Dirección punto entrega")</t>
  </si>
  <si>
    <t>=NF($B80,"C.P. punto entrega")</t>
  </si>
  <si>
    <t>=NF($B80,"Población punto entrega")</t>
  </si>
  <si>
    <t>=NF($B80,"Provincia punto entrega")</t>
  </si>
  <si>
    <t>=NF($B80,"País punto entrega")</t>
  </si>
  <si>
    <t>=NF($B80,"Observaciones SGA")</t>
  </si>
  <si>
    <t>=IF($T80="Anulado","",TEXT(NF($B80,"Fecha envío al SGA"),"dd/mm/aaaa"))</t>
  </si>
  <si>
    <t>=IF($T80="Preparado","",TEXT(NF($B80,"Fecha completado SGA"),"dd/mm/aaaa"))</t>
  </si>
  <si>
    <t>=NF($E80,"Estado documento")</t>
  </si>
  <si>
    <t>=NF($B80,"Fecha última situación")</t>
  </si>
  <si>
    <t>=IF($F80="","",NL("Primero","Situaciones Dispatching","Descripción","Cód. incidencia",$F80,"DataSource=","Navision","Empresa=","MEDIAPOST SPAIN"))</t>
  </si>
  <si>
    <t>=NF($B80,"Cód. transportista")</t>
  </si>
  <si>
    <t>=NF($B80,"Cód. servicio solicitado")</t>
  </si>
  <si>
    <t>=IF(NF($B80,"Link imagen")&lt;&gt;"",HYPERLINK(NF($B80,"Link imagen")),"")</t>
  </si>
  <si>
    <t>=NL("Primero","Cab. Expedición","Localizador","No. referencia transporte",NF($B80,"No. referencia transporte"),"Conexión=","Navision","Empresa=","MEDIAPOST SPAIN")</t>
  </si>
  <si>
    <t>="""Navision"",""MEDIAPOST SPAIN"",""7098016"",""14"",""64425001630"",""51"",""1200709337"",""50"",""64425001630"",""60"",""Miguel Angel Reina Perez"",""61"",""Cumbres de los Milanos, 20"",""62"",""21120"",""63"",""CORRALES"",""64"",""HUELVA"",""65"",""ES"",""102"",""10/09/2025"",""50208"",""11/09/2025"","""&amp;"50007"",""Entregado"",""50006"",""Enviado"",""50319"",""15/09/2025"",""40"",""TIPSA"",""41"",""STD"",""238"",""https://www.tip-sa.com/cliente/datos.php?id=028001093946442500163021120"",""1"",""Pedido"",""2"",""PD250155488"",""50318"",""00002"",""50045"","""""</t>
  </si>
  <si>
    <t>=NF($B81,"No.")</t>
  </si>
  <si>
    <t>=NL("Filas","SQL=select max(t.[Nº movimiento]) movimiento "&amp;
"    from [dbo].[MEDIAPOST SPAIN$Tracking Documento] t "&amp;
"  where t.[Nº Albarán] =  '"&amp;$C81&amp;"'  "&amp;
"       and t.[Estado Documento] &lt;&gt; '' ",{"movimiento"},"Datasource=","SQL-NAVISION")</t>
  </si>
  <si>
    <t>=NL("Primero","Tracking Documento",{"Estado Documento";"Cód. Incidencia"},"Nº movimiento",NF($D81,"movimiento"),"DataSource=","Navision","Empresa=","MEDIAPOST SPAIN")</t>
  </si>
  <si>
    <t>=NF($E81,"Cód. Incidencia")</t>
  </si>
  <si>
    <t>=IF($F81="","",NL("Primero","Situaciones Dispatching","Descripción","Cód. incidencia",$F81,"Notificar cliente","Sí","DataSource=","Navision","Empresa=","MEDIAPOST SPAIN"))</t>
  </si>
  <si>
    <t>=NF($B81,"No. Documento cliente")</t>
  </si>
  <si>
    <t>=NF($B81,"No. referencia transporte")</t>
  </si>
  <si>
    <t>=NF($B81,"No. expedición transporte")</t>
  </si>
  <si>
    <t>=NF($B81,"Nombre punto entrega")</t>
  </si>
  <si>
    <t>=NF($B81,"Dirección punto entrega")</t>
  </si>
  <si>
    <t>=NF($B81,"C.P. punto entrega")</t>
  </si>
  <si>
    <t>=NF($B81,"Población punto entrega")</t>
  </si>
  <si>
    <t>=NF($B81,"Provincia punto entrega")</t>
  </si>
  <si>
    <t>=NF($B81,"País punto entrega")</t>
  </si>
  <si>
    <t>=NF($B81,"Observaciones SGA")</t>
  </si>
  <si>
    <t>=IF($T81="Anulado","",TEXT(NF($B81,"Fecha envío al SGA"),"dd/mm/aaaa"))</t>
  </si>
  <si>
    <t>=IF($T81="Preparado","",TEXT(NF($B81,"Fecha completado SGA"),"dd/mm/aaaa"))</t>
  </si>
  <si>
    <t>=NF($E81,"Estado documento")</t>
  </si>
  <si>
    <t>=NF($B81,"Fecha última situación")</t>
  </si>
  <si>
    <t>=IF($F81="","",NL("Primero","Situaciones Dispatching","Descripción","Cód. incidencia",$F81,"DataSource=","Navision","Empresa=","MEDIAPOST SPAIN"))</t>
  </si>
  <si>
    <t>=NF($B81,"Cód. transportista")</t>
  </si>
  <si>
    <t>=NF($B81,"Cód. servicio solicitado")</t>
  </si>
  <si>
    <t>=IF(NF($B81,"Link imagen")&lt;&gt;"",HYPERLINK(NF($B81,"Link imagen")),"")</t>
  </si>
  <si>
    <t>=NL("Primero","Cab. Expedición","Localizador","No. referencia transporte",NF($B81,"No. referencia transporte"),"Conexión=","Navision","Empresa=","MEDIAPOST SPAIN")</t>
  </si>
  <si>
    <t>="""Navision"",""MEDIAPOST SPAIN"",""7098016"",""14"",""64425001631"",""51"",""1200709339"",""50"",""64425001631"",""60"",""Vicente Ricca Ribelles"",""61"",""C/ VIRGEN DE LA ANTIGUA, Nº 20 – 6 – C"",""62"",""41011"",""63"",""SEVILLA"",""64"",""SEVILLA"",""65"",""ES"",""102"",""10/09/2025"",""50208"",""11/"&amp;"09/2025"",""50007"",""Entregado"",""50006"",""Enviado"",""50319"",""19/09/2025"",""40"",""TIPSA"",""41"",""STD"",""238"",""https://www.tip-sa.com/cliente/datos.php?id=028001093946442500163141011"",""1"",""Pedido"",""2"",""PD250155489"",""50318"",""00002"",""50045"","""""</t>
  </si>
  <si>
    <t>=NF($B82,"No.")</t>
  </si>
  <si>
    <t>=NL("Filas","SQL=select max(t.[Nº movimiento]) movimiento "&amp;
"    from [dbo].[MEDIAPOST SPAIN$Tracking Documento] t "&amp;
"  where t.[Nº Albarán] =  '"&amp;$C82&amp;"'  "&amp;
"       and t.[Estado Documento] &lt;&gt; '' ",{"movimiento"},"Datasource=","SQL-NAVISION")</t>
  </si>
  <si>
    <t>=NL("Primero","Tracking Documento",{"Estado Documento";"Cód. Incidencia"},"Nº movimiento",NF($D82,"movimiento"),"DataSource=","Navision","Empresa=","MEDIAPOST SPAIN")</t>
  </si>
  <si>
    <t>=NF($E82,"Cód. Incidencia")</t>
  </si>
  <si>
    <t>=IF($F82="","",NL("Primero","Situaciones Dispatching","Descripción","Cód. incidencia",$F82,"Notificar cliente","Sí","DataSource=","Navision","Empresa=","MEDIAPOST SPAIN"))</t>
  </si>
  <si>
    <t>=NF($B82,"No. Documento cliente")</t>
  </si>
  <si>
    <t>=NF($B82,"No. referencia transporte")</t>
  </si>
  <si>
    <t>=NF($B82,"No. expedición transporte")</t>
  </si>
  <si>
    <t>=NF($B82,"Nombre punto entrega")</t>
  </si>
  <si>
    <t>=NF($B82,"Dirección punto entrega")</t>
  </si>
  <si>
    <t>=NF($B82,"C.P. punto entrega")</t>
  </si>
  <si>
    <t>=NF($B82,"Población punto entrega")</t>
  </si>
  <si>
    <t>=NF($B82,"Provincia punto entrega")</t>
  </si>
  <si>
    <t>=NF($B82,"País punto entrega")</t>
  </si>
  <si>
    <t>=NF($B82,"Observaciones SGA")</t>
  </si>
  <si>
    <t>=IF($T82="Anulado","",TEXT(NF($B82,"Fecha envío al SGA"),"dd/mm/aaaa"))</t>
  </si>
  <si>
    <t>=IF($T82="Preparado","",TEXT(NF($B82,"Fecha completado SGA"),"dd/mm/aaaa"))</t>
  </si>
  <si>
    <t>=NF($E82,"Estado documento")</t>
  </si>
  <si>
    <t>=NF($B82,"Fecha última situación")</t>
  </si>
  <si>
    <t>=IF($F82="","",NL("Primero","Situaciones Dispatching","Descripción","Cód. incidencia",$F82,"DataSource=","Navision","Empresa=","MEDIAPOST SPAIN"))</t>
  </si>
  <si>
    <t>=NF($B82,"Cód. transportista")</t>
  </si>
  <si>
    <t>=NF($B82,"Cód. servicio solicitado")</t>
  </si>
  <si>
    <t>=IF(NF($B82,"Link imagen")&lt;&gt;"",HYPERLINK(NF($B82,"Link imagen")),"")</t>
  </si>
  <si>
    <t>=NL("Primero","Cab. Expedición","Localizador","No. referencia transporte",NF($B82,"No. referencia transporte"),"Conexión=","Navision","Empresa=","MEDIAPOST SPAIN")</t>
  </si>
  <si>
    <t>="""Navision"",""MEDIAPOST SPAIN"",""7098016"",""14"",""64425001632"",""51"",""2829398130"",""50"",""64425001632"",""60"",""Jose Antonio Pelaez Garrido"",""61"",""C/ Isabel II, nº 3, Bajo C"",""62"",""28660"",""63"",""Boadilla del Monte"",""64"",""MADRID"",""65"",""ES"",""102"",""10/09/2025"",""50208"","""&amp;"11/09/2025"",""50007"",""Entregado"",""50006"",""Enviado"",""50319"",""18/09/2025"",""40"",""DHL"",""41"",""STD"",""238"",""https://clientesparcel.dhl.es/seguimientoenvios/integra/SeguimientoDocumentos.aspx?codigo=2829398130&amp;anno=2025&amp;lang=sp&amp;zatar=q45LoBtfSS29xHGRDZ57"",""1"",""Ped"&amp;"ido"",""2"",""PD250155490"",""50318"",""00002"",""50045"","""""</t>
  </si>
  <si>
    <t>=NF($B83,"No.")</t>
  </si>
  <si>
    <t>=NL("Filas","SQL=select max(t.[Nº movimiento]) movimiento "&amp;
"    from [dbo].[MEDIAPOST SPAIN$Tracking Documento] t "&amp;
"  where t.[Nº Albarán] =  '"&amp;$C83&amp;"'  "&amp;
"       and t.[Estado Documento] &lt;&gt; '' ",{"movimiento"},"Datasource=","SQL-NAVISION")</t>
  </si>
  <si>
    <t>=NL("Primero","Tracking Documento",{"Estado Documento";"Cód. Incidencia"},"Nº movimiento",NF($D83,"movimiento"),"DataSource=","Navision","Empresa=","MEDIAPOST SPAIN")</t>
  </si>
  <si>
    <t>=NF($E83,"Cód. Incidencia")</t>
  </si>
  <si>
    <t>=IF($F83="","",NL("Primero","Situaciones Dispatching","Descripción","Cód. incidencia",$F83,"Notificar cliente","Sí","DataSource=","Navision","Empresa=","MEDIAPOST SPAIN"))</t>
  </si>
  <si>
    <t>=NF($B83,"No. Documento cliente")</t>
  </si>
  <si>
    <t>=NF($B83,"No. referencia transporte")</t>
  </si>
  <si>
    <t>=NF($B83,"No. expedición transporte")</t>
  </si>
  <si>
    <t>=NF($B83,"Nombre punto entrega")</t>
  </si>
  <si>
    <t>=NF($B83,"Dirección punto entrega")</t>
  </si>
  <si>
    <t>=NF($B83,"C.P. punto entrega")</t>
  </si>
  <si>
    <t>=NF($B83,"Población punto entrega")</t>
  </si>
  <si>
    <t>=NF($B83,"Provincia punto entrega")</t>
  </si>
  <si>
    <t>=NF($B83,"País punto entrega")</t>
  </si>
  <si>
    <t>=NF($B83,"Observaciones SGA")</t>
  </si>
  <si>
    <t>=IF($T83="Anulado","",TEXT(NF($B83,"Fecha envío al SGA"),"dd/mm/aaaa"))</t>
  </si>
  <si>
    <t>=IF($T83="Preparado","",TEXT(NF($B83,"Fecha completado SGA"),"dd/mm/aaaa"))</t>
  </si>
  <si>
    <t>=NF($E83,"Estado documento")</t>
  </si>
  <si>
    <t>=NF($B83,"Fecha última situación")</t>
  </si>
  <si>
    <t>=IF($F83="","",NL("Primero","Situaciones Dispatching","Descripción","Cód. incidencia",$F83,"DataSource=","Navision","Empresa=","MEDIAPOST SPAIN"))</t>
  </si>
  <si>
    <t>=NF($B83,"Cód. transportista")</t>
  </si>
  <si>
    <t>=NF($B83,"Cód. servicio solicitado")</t>
  </si>
  <si>
    <t>=IF(NF($B83,"Link imagen")&lt;&gt;"",HYPERLINK(NF($B83,"Link imagen")),"")</t>
  </si>
  <si>
    <t>=NL("Primero","Cab. Expedición","Localizador","No. referencia transporte",NF($B83,"No. referencia transporte"),"Conexión=","Navision","Empresa=","MEDIAPOST SPAIN")</t>
  </si>
  <si>
    <t>="""Navision"",""MEDIAPOST SPAIN"",""7098016"",""14"",""64425001633"",""51"",""2829398140"",""50"",""64425001633"",""60"",""Abilio Enrique Rubio Gonzalez"",""61"",""Mario Vargas Llosa, 8"",""62"",""28529"",""63"",""Rivas Vaciamadrid"",""64"",""MADRID"",""65"",""ES"",""102"",""10/09/2025"",""50208"",""11/0"&amp;"9/2025"",""50007"",""Entregado"",""50006"",""Enviado"",""50319"",""12/09/2025"",""40"",""DHL"",""41"",""STD"",""238"",""https://clientesparcel.dhl.es/seguimientoenvios/integra/SeguimientoDocumentos.aspx?codigo=2829398140&amp;anno=2025&amp;lang=sp&amp;zatar=q45LoBtfSS29xHGRDZ57"",""1"",""Pedido"""&amp;",""2"",""PD250155491"",""50318"",""00002"",""50045"","""""</t>
  </si>
  <si>
    <t>=NF($B84,"No.")</t>
  </si>
  <si>
    <t>=NL("Filas","SQL=select max(t.[Nº movimiento]) movimiento "&amp;
"    from [dbo].[MEDIAPOST SPAIN$Tracking Documento] t "&amp;
"  where t.[Nº Albarán] =  '"&amp;$C84&amp;"'  "&amp;
"       and t.[Estado Documento] &lt;&gt; '' ",{"movimiento"},"Datasource=","SQL-NAVISION")</t>
  </si>
  <si>
    <t>=NL("Primero","Tracking Documento",{"Estado Documento";"Cód. Incidencia"},"Nº movimiento",NF($D84,"movimiento"),"DataSource=","Navision","Empresa=","MEDIAPOST SPAIN")</t>
  </si>
  <si>
    <t>=NF($E84,"Cód. Incidencia")</t>
  </si>
  <si>
    <t>=IF($F84="","",NL("Primero","Situaciones Dispatching","Descripción","Cód. incidencia",$F84,"Notificar cliente","Sí","DataSource=","Navision","Empresa=","MEDIAPOST SPAIN"))</t>
  </si>
  <si>
    <t>=NF($B84,"No. Documento cliente")</t>
  </si>
  <si>
    <t>=NF($B84,"No. referencia transporte")</t>
  </si>
  <si>
    <t>=NF($B84,"No. expedición transporte")</t>
  </si>
  <si>
    <t>=NF($B84,"Nombre punto entrega")</t>
  </si>
  <si>
    <t>=NF($B84,"Dirección punto entrega")</t>
  </si>
  <si>
    <t>=NF($B84,"C.P. punto entrega")</t>
  </si>
  <si>
    <t>=NF($B84,"Población punto entrega")</t>
  </si>
  <si>
    <t>=NF($B84,"Provincia punto entrega")</t>
  </si>
  <si>
    <t>=NF($B84,"País punto entrega")</t>
  </si>
  <si>
    <t>=NF($B84,"Observaciones SGA")</t>
  </si>
  <si>
    <t>=IF($T84="Anulado","",TEXT(NF($B84,"Fecha envío al SGA"),"dd/mm/aaaa"))</t>
  </si>
  <si>
    <t>=IF($T84="Preparado","",TEXT(NF($B84,"Fecha completado SGA"),"dd/mm/aaaa"))</t>
  </si>
  <si>
    <t>=NF($E84,"Estado documento")</t>
  </si>
  <si>
    <t>=NF($B84,"Fecha última situación")</t>
  </si>
  <si>
    <t>=IF($F84="","",NL("Primero","Situaciones Dispatching","Descripción","Cód. incidencia",$F84,"DataSource=","Navision","Empresa=","MEDIAPOST SPAIN"))</t>
  </si>
  <si>
    <t>=NF($B84,"Cód. transportista")</t>
  </si>
  <si>
    <t>=NF($B84,"Cód. servicio solicitado")</t>
  </si>
  <si>
    <t>=IF(NF($B84,"Link imagen")&lt;&gt;"",HYPERLINK(NF($B84,"Link imagen")),"")</t>
  </si>
  <si>
    <t>=NL("Primero","Cab. Expedición","Localizador","No. referencia transporte",NF($B84,"No. referencia transporte"),"Conexión=","Navision","Empresa=","MEDIAPOST SPAIN")</t>
  </si>
  <si>
    <t>="""Navision"",""MEDIAPOST SPAIN"",""7098016"",""14"",""64425001634"",""51"",""222392800032177"",""50"",""64425001634"",""60"",""Javier Sosa Vallejo"",""61"",""ENCAJA. C/ Dr.Domínguez Pérez 28, El Sebadal"",""62"",""35008"",""63"",""Las Palmas de Gran Canaria"",""64"",""LAS PALMAS"",""65"",""ES"","""&amp;"102"",""10/09/2025"",""50208"",""11/09/2025"",""50007"",""Entregado"",""50006"",""Enviado"",""50319"",""18/09/2025"",""40"",""ELOG"",""41"",""STD"",""238"",""https://e-log.es/seguimiento-envios/?cod=222392800032177&amp;cp=35008"",""1"",""Pedido"",""2"",""PD250155658"",""50318"",""00002"",""50045"","""""</t>
  </si>
  <si>
    <t>=NF($B85,"No.")</t>
  </si>
  <si>
    <t>=NL("Filas","SQL=select max(t.[Nº movimiento]) movimiento "&amp;
"    from [dbo].[MEDIAPOST SPAIN$Tracking Documento] t "&amp;
"  where t.[Nº Albarán] =  '"&amp;$C85&amp;"'  "&amp;
"       and t.[Estado Documento] &lt;&gt; '' ",{"movimiento"},"Datasource=","SQL-NAVISION")</t>
  </si>
  <si>
    <t>=NL("Primero","Tracking Documento",{"Estado Documento";"Cód. Incidencia"},"Nº movimiento",NF($D85,"movimiento"),"DataSource=","Navision","Empresa=","MEDIAPOST SPAIN")</t>
  </si>
  <si>
    <t>=NF($E85,"Cód. Incidencia")</t>
  </si>
  <si>
    <t>=IF($F85="","",NL("Primero","Situaciones Dispatching","Descripción","Cód. incidencia",$F85,"Notificar cliente","Sí","DataSource=","Navision","Empresa=","MEDIAPOST SPAIN"))</t>
  </si>
  <si>
    <t>=NF($B85,"No. Documento cliente")</t>
  </si>
  <si>
    <t>=NF($B85,"No. referencia transporte")</t>
  </si>
  <si>
    <t>=NF($B85,"No. expedición transporte")</t>
  </si>
  <si>
    <t>=NF($B85,"Nombre punto entrega")</t>
  </si>
  <si>
    <t>=NF($B85,"Dirección punto entrega")</t>
  </si>
  <si>
    <t>=NF($B85,"C.P. punto entrega")</t>
  </si>
  <si>
    <t>=NF($B85,"Población punto entrega")</t>
  </si>
  <si>
    <t>=NF($B85,"Provincia punto entrega")</t>
  </si>
  <si>
    <t>=NF($B85,"País punto entrega")</t>
  </si>
  <si>
    <t>=NF($B85,"Observaciones SGA")</t>
  </si>
  <si>
    <t>=IF($T85="Anulado","",TEXT(NF($B85,"Fecha envío al SGA"),"dd/mm/aaaa"))</t>
  </si>
  <si>
    <t>=IF($T85="Preparado","",TEXT(NF($B85,"Fecha completado SGA"),"dd/mm/aaaa"))</t>
  </si>
  <si>
    <t>=NF($E85,"Estado documento")</t>
  </si>
  <si>
    <t>=NF($B85,"Fecha última situación")</t>
  </si>
  <si>
    <t>=IF($F85="","",NL("Primero","Situaciones Dispatching","Descripción","Cód. incidencia",$F85,"DataSource=","Navision","Empresa=","MEDIAPOST SPAIN"))</t>
  </si>
  <si>
    <t>=NF($B85,"Cód. transportista")</t>
  </si>
  <si>
    <t>=NF($B85,"Cód. servicio solicitado")</t>
  </si>
  <si>
    <t>=IF(NF($B85,"Link imagen")&lt;&gt;"",HYPERLINK(NF($B85,"Link imagen")),"")</t>
  </si>
  <si>
    <t>=NL("Primero","Cab. Expedición","Localizador","No. referencia transporte",NF($B85,"No. referencia transporte"),"Conexión=","Navision","Empresa=","MEDIAPOST SPAIN")</t>
  </si>
  <si>
    <t>="""Navision"",""MEDIAPOST SPAIN"",""7098016"",""14"",""64425001635"",""51"",""2829398150"",""50"",""64425001635"",""60"",""Jesus Pineda Peña"",""61"",""C/ Zabaleta 64, 2ºB"",""62"",""28002"",""63"",""Madrid"",""64"",""MADRID"",""65"",""ES"",""102"",""10/09/2025"",""50208"",""11/09/2025"",""50007"",""En Repar"&amp;"to"",""50006"",""Enviado"",""50319"",""03/10/2025"",""40"",""DHL"",""41"",""STD"",""238"",""https://clientesparcel.dhl.es/seguimientoenvios/integra/SeguimientoDocumentos.aspx?codigo=2939815&amp;anno=2025&amp;lang=sp&amp;zatar=q45LoBtfSS29xHGRDZ57"",""1"",""Pedido"",""2"",""PD250155492"",""50318"","&amp;"""00094"",""50045"","""""</t>
  </si>
  <si>
    <t>=NF($B86,"No.")</t>
  </si>
  <si>
    <t>=NL("Filas","SQL=select max(t.[Nº movimiento]) movimiento "&amp;
"    from [dbo].[MEDIAPOST SPAIN$Tracking Documento] t "&amp;
"  where t.[Nº Albarán] =  '"&amp;$C86&amp;"'  "&amp;
"       and t.[Estado Documento] &lt;&gt; '' ",{"movimiento"},"Datasource=","SQL-NAVISION")</t>
  </si>
  <si>
    <t>=NL("Primero","Tracking Documento",{"Estado Documento";"Cód. Incidencia"},"Nº movimiento",NF($D86,"movimiento"),"DataSource=","Navision","Empresa=","MEDIAPOST SPAIN")</t>
  </si>
  <si>
    <t>=NF($E86,"Cód. Incidencia")</t>
  </si>
  <si>
    <t>=IF($F86="","",NL("Primero","Situaciones Dispatching","Descripción","Cód. incidencia",$F86,"Notificar cliente","Sí","DataSource=","Navision","Empresa=","MEDIAPOST SPAIN"))</t>
  </si>
  <si>
    <t>=NF($B86,"No. Documento cliente")</t>
  </si>
  <si>
    <t>=NF($B86,"No. referencia transporte")</t>
  </si>
  <si>
    <t>=NF($B86,"No. expedición transporte")</t>
  </si>
  <si>
    <t>=NF($B86,"Nombre punto entrega")</t>
  </si>
  <si>
    <t>=NF($B86,"Dirección punto entrega")</t>
  </si>
  <si>
    <t>=NF($B86,"C.P. punto entrega")</t>
  </si>
  <si>
    <t>=NF($B86,"Población punto entrega")</t>
  </si>
  <si>
    <t>=NF($B86,"Provincia punto entrega")</t>
  </si>
  <si>
    <t>=NF($B86,"País punto entrega")</t>
  </si>
  <si>
    <t>=NF($B86,"Observaciones SGA")</t>
  </si>
  <si>
    <t>=IF($T86="Anulado","",TEXT(NF($B86,"Fecha envío al SGA"),"dd/mm/aaaa"))</t>
  </si>
  <si>
    <t>=IF($T86="Preparado","",TEXT(NF($B86,"Fecha completado SGA"),"dd/mm/aaaa"))</t>
  </si>
  <si>
    <t>=NF($E86,"Estado documento")</t>
  </si>
  <si>
    <t>=NF($B86,"Fecha última situación")</t>
  </si>
  <si>
    <t>=IF($F86="","",NL("Primero","Situaciones Dispatching","Descripción","Cód. incidencia",$F86,"DataSource=","Navision","Empresa=","MEDIAPOST SPAIN"))</t>
  </si>
  <si>
    <t>=NF($B86,"Cód. transportista")</t>
  </si>
  <si>
    <t>=NF($B86,"Cód. servicio solicitado")</t>
  </si>
  <si>
    <t>=IF(NF($B86,"Link imagen")&lt;&gt;"",HYPERLINK(NF($B86,"Link imagen")),"")</t>
  </si>
  <si>
    <t>=NL("Primero","Cab. Expedición","Localizador","No. referencia transporte",NF($B86,"No. referencia transporte"),"Conexión=","Navision","Empresa=","MEDIAPOST SPAIN")</t>
  </si>
  <si>
    <t>="""Navision"",""MEDIAPOST SPAIN"",""7098016"",""14"",""64425001636"",""51"",""2829398160"",""50"",""64425001636"",""60"",""Argia Igone Alba Trueba"",""61"",""Paseo Club Deportivo,1- Edif.14, Bajo Izda"",""62"",""28223"",""63"",""Pozuelo de Alarcón"",""64"",""MADRID"",""65"",""ES"",""102"",""10/09/202"&amp;"5"",""50208"",""11/09/2025"",""50007"",""Entregado"",""50006"",""Enviado"",""50319"",""12/09/2025"",""40"",""DHL"",""41"",""STD"",""238"",""https://clientesparcel.dhl.es/seguimientoenvios/integra/SeguimientoDocumentos.aspx?codigo=2829398160&amp;anno=2025&amp;lang=sp&amp;zatar=q45LoBtfSS29xHGRDZ"&amp;"57"",""1"",""Pedido"",""2"",""PD250155493"",""50318"",""00002"",""50045"","""""</t>
  </si>
  <si>
    <t>=NF($B87,"No.")</t>
  </si>
  <si>
    <t>=NL("Filas","SQL=select max(t.[Nº movimiento]) movimiento "&amp;
"    from [dbo].[MEDIAPOST SPAIN$Tracking Documento] t "&amp;
"  where t.[Nº Albarán] =  '"&amp;$C87&amp;"'  "&amp;
"       and t.[Estado Documento] &lt;&gt; '' ",{"movimiento"},"Datasource=","SQL-NAVISION")</t>
  </si>
  <si>
    <t>=NL("Primero","Tracking Documento",{"Estado Documento";"Cód. Incidencia"},"Nº movimiento",NF($D87,"movimiento"),"DataSource=","Navision","Empresa=","MEDIAPOST SPAIN")</t>
  </si>
  <si>
    <t>=NF($E87,"Cód. Incidencia")</t>
  </si>
  <si>
    <t>=IF($F87="","",NL("Primero","Situaciones Dispatching","Descripción","Cód. incidencia",$F87,"Notificar cliente","Sí","DataSource=","Navision","Empresa=","MEDIAPOST SPAIN"))</t>
  </si>
  <si>
    <t>=NF($B87,"No. Documento cliente")</t>
  </si>
  <si>
    <t>=NF($B87,"No. referencia transporte")</t>
  </si>
  <si>
    <t>=NF($B87,"No. expedición transporte")</t>
  </si>
  <si>
    <t>=NF($B87,"Nombre punto entrega")</t>
  </si>
  <si>
    <t>=NF($B87,"Dirección punto entrega")</t>
  </si>
  <si>
    <t>=NF($B87,"C.P. punto entrega")</t>
  </si>
  <si>
    <t>=NF($B87,"Población punto entrega")</t>
  </si>
  <si>
    <t>=NF($B87,"Provincia punto entrega")</t>
  </si>
  <si>
    <t>=NF($B87,"País punto entrega")</t>
  </si>
  <si>
    <t>=NF($B87,"Observaciones SGA")</t>
  </si>
  <si>
    <t>=IF($T87="Anulado","",TEXT(NF($B87,"Fecha envío al SGA"),"dd/mm/aaaa"))</t>
  </si>
  <si>
    <t>=IF($T87="Preparado","",TEXT(NF($B87,"Fecha completado SGA"),"dd/mm/aaaa"))</t>
  </si>
  <si>
    <t>=NF($E87,"Estado documento")</t>
  </si>
  <si>
    <t>=NF($B87,"Fecha última situación")</t>
  </si>
  <si>
    <t>=IF($F87="","",NL("Primero","Situaciones Dispatching","Descripción","Cód. incidencia",$F87,"DataSource=","Navision","Empresa=","MEDIAPOST SPAIN"))</t>
  </si>
  <si>
    <t>=NF($B87,"Cód. transportista")</t>
  </si>
  <si>
    <t>=NF($B87,"Cód. servicio solicitado")</t>
  </si>
  <si>
    <t>=IF(NF($B87,"Link imagen")&lt;&gt;"",HYPERLINK(NF($B87,"Link imagen")),"")</t>
  </si>
  <si>
    <t>=NL("Primero","Cab. Expedición","Localizador","No. referencia transporte",NF($B87,"No. referencia transporte"),"Conexión=","Navision","Empresa=","MEDIAPOST SPAIN")</t>
  </si>
  <si>
    <t>="""Navision"",""MEDIAPOST SPAIN"",""7098016"",""14"",""64425001637"",""51"",""222392800032178"",""50"",""64425001637"",""60"",""Cristina Expósito Cabrera"",""61"",""C/ Rubens Marichal López 41 - Vivienda 12"",""62"",""38004"",""63"",""Santa Cruz de Tenerife"",""64"",""TENERIFE"",""65"",""ES"",""102"&amp;""",""10/09/2025"",""50208"",""11/09/2025"",""50007"",""Entregado"",""50006"",""Enviado"",""50319"",""17/09/2025"",""40"",""ELOG"",""41"",""STD"",""238"",""https://e-log.es/seguimiento-envios/?cod=222392800032178&amp;cp=38004"",""1"",""Pedido"",""2"",""PD250155659"",""50318"",""00002"",""50045"","""""</t>
  </si>
  <si>
    <t>=NF($B88,"No.")</t>
  </si>
  <si>
    <t>=NL("Filas","SQL=select max(t.[Nº movimiento]) movimiento "&amp;
"    from [dbo].[MEDIAPOST SPAIN$Tracking Documento] t "&amp;
"  where t.[Nº Albarán] =  '"&amp;$C88&amp;"'  "&amp;
"       and t.[Estado Documento] &lt;&gt; '' ",{"movimiento"},"Datasource=","SQL-NAVISION")</t>
  </si>
  <si>
    <t>=NL("Primero","Tracking Documento",{"Estado Documento";"Cód. Incidencia"},"Nº movimiento",NF($D88,"movimiento"),"DataSource=","Navision","Empresa=","MEDIAPOST SPAIN")</t>
  </si>
  <si>
    <t>=NF($E88,"Cód. Incidencia")</t>
  </si>
  <si>
    <t>=IF($F88="","",NL("Primero","Situaciones Dispatching","Descripción","Cód. incidencia",$F88,"Notificar cliente","Sí","DataSource=","Navision","Empresa=","MEDIAPOST SPAIN"))</t>
  </si>
  <si>
    <t>=NF($B88,"No. Documento cliente")</t>
  </si>
  <si>
    <t>=NF($B88,"No. referencia transporte")</t>
  </si>
  <si>
    <t>=NF($B88,"No. expedición transporte")</t>
  </si>
  <si>
    <t>=NF($B88,"Nombre punto entrega")</t>
  </si>
  <si>
    <t>=NF($B88,"Dirección punto entrega")</t>
  </si>
  <si>
    <t>=NF($B88,"C.P. punto entrega")</t>
  </si>
  <si>
    <t>=NF($B88,"Población punto entrega")</t>
  </si>
  <si>
    <t>=NF($B88,"Provincia punto entrega")</t>
  </si>
  <si>
    <t>=NF($B88,"País punto entrega")</t>
  </si>
  <si>
    <t>=NF($B88,"Observaciones SGA")</t>
  </si>
  <si>
    <t>=IF($T88="Anulado","",TEXT(NF($B88,"Fecha envío al SGA"),"dd/mm/aaaa"))</t>
  </si>
  <si>
    <t>=IF($T88="Preparado","",TEXT(NF($B88,"Fecha completado SGA"),"dd/mm/aaaa"))</t>
  </si>
  <si>
    <t>=NF($E88,"Estado documento")</t>
  </si>
  <si>
    <t>=NF($B88,"Fecha última situación")</t>
  </si>
  <si>
    <t>=IF($F88="","",NL("Primero","Situaciones Dispatching","Descripción","Cód. incidencia",$F88,"DataSource=","Navision","Empresa=","MEDIAPOST SPAIN"))</t>
  </si>
  <si>
    <t>=NF($B88,"Cód. transportista")</t>
  </si>
  <si>
    <t>=NF($B88,"Cód. servicio solicitado")</t>
  </si>
  <si>
    <t>=IF(NF($B88,"Link imagen")&lt;&gt;"",HYPERLINK(NF($B88,"Link imagen")),"")</t>
  </si>
  <si>
    <t>=NL("Primero","Cab. Expedición","Localizador","No. referencia transporte",NF($B88,"No. referencia transporte"),"Conexión=","Navision","Empresa=","MEDIAPOST SPAIN")</t>
  </si>
  <si>
    <t>="""Navision"",""MEDIAPOST SPAIN"",""7098016"",""14"",""64425001638"",""51"",""2829398170"",""50"",""64425001638"",""60"",""Carlos García Gomez"",""61"",""C/ Bahía de Málaga 12 A, Bajo D"",""62"",""28042"",""63"",""Madrid"",""64"",""MADRID"",""65"",""ES"",""102"",""10/09/2025"",""50208"",""11/09/2025"",""50"&amp;"007"",""Entregado"",""50006"",""Enviado"",""50319"",""12/09/2025"",""40"",""DHL"",""41"",""STD"",""238"",""https://clientesparcel.dhl.es/seguimientoenvios/integra/SeguimientoDocumentos.aspx?codigo=2829398170&amp;anno=2025&amp;lang=sp&amp;zatar=q45LoBtfSS29xHGRDZ57"",""1"",""Pedido"",""2"",""PD250"&amp;"155494"",""50318"",""00002"",""50045"","""""</t>
  </si>
  <si>
    <t>=NF($B89,"No.")</t>
  </si>
  <si>
    <t>=NL("Filas","SQL=select max(t.[Nº movimiento]) movimiento "&amp;
"    from [dbo].[MEDIAPOST SPAIN$Tracking Documento] t "&amp;
"  where t.[Nº Albarán] =  '"&amp;$C89&amp;"'  "&amp;
"       and t.[Estado Documento] &lt;&gt; '' ",{"movimiento"},"Datasource=","SQL-NAVISION")</t>
  </si>
  <si>
    <t>=NL("Primero","Tracking Documento",{"Estado Documento";"Cód. Incidencia"},"Nº movimiento",NF($D89,"movimiento"),"DataSource=","Navision","Empresa=","MEDIAPOST SPAIN")</t>
  </si>
  <si>
    <t>=NF($E89,"Cód. Incidencia")</t>
  </si>
  <si>
    <t>=IF($F89="","",NL("Primero","Situaciones Dispatching","Descripción","Cód. incidencia",$F89,"Notificar cliente","Sí","DataSource=","Navision","Empresa=","MEDIAPOST SPAIN"))</t>
  </si>
  <si>
    <t>=NF($B89,"No. Documento cliente")</t>
  </si>
  <si>
    <t>=NF($B89,"No. referencia transporte")</t>
  </si>
  <si>
    <t>=NF($B89,"No. expedición transporte")</t>
  </si>
  <si>
    <t>=NF($B89,"Nombre punto entrega")</t>
  </si>
  <si>
    <t>=NF($B89,"Dirección punto entrega")</t>
  </si>
  <si>
    <t>=NF($B89,"C.P. punto entrega")</t>
  </si>
  <si>
    <t>=NF($B89,"Población punto entrega")</t>
  </si>
  <si>
    <t>=NF($B89,"Provincia punto entrega")</t>
  </si>
  <si>
    <t>=NF($B89,"País punto entrega")</t>
  </si>
  <si>
    <t>=NF($B89,"Observaciones SGA")</t>
  </si>
  <si>
    <t>=IF($T89="Anulado","",TEXT(NF($B89,"Fecha envío al SGA"),"dd/mm/aaaa"))</t>
  </si>
  <si>
    <t>=IF($T89="Preparado","",TEXT(NF($B89,"Fecha completado SGA"),"dd/mm/aaaa"))</t>
  </si>
  <si>
    <t>=NF($E89,"Estado documento")</t>
  </si>
  <si>
    <t>=NF($B89,"Fecha última situación")</t>
  </si>
  <si>
    <t>=IF($F89="","",NL("Primero","Situaciones Dispatching","Descripción","Cód. incidencia",$F89,"DataSource=","Navision","Empresa=","MEDIAPOST SPAIN"))</t>
  </si>
  <si>
    <t>=NF($B89,"Cód. transportista")</t>
  </si>
  <si>
    <t>=NF($B89,"Cód. servicio solicitado")</t>
  </si>
  <si>
    <t>=IF(NF($B89,"Link imagen")&lt;&gt;"",HYPERLINK(NF($B89,"Link imagen")),"")</t>
  </si>
  <si>
    <t>=NL("Primero","Cab. Expedición","Localizador","No. referencia transporte",NF($B89,"No. referencia transporte"),"Conexión=","Navision","Empresa=","MEDIAPOST SPAIN")</t>
  </si>
  <si>
    <t>="""Navision"",""MEDIAPOST SPAIN"",""7098016"",""14"",""64425001639"",""51"",""222392800032179"",""50"",""64425001639"",""60"",""ENCAJA - Paula Perez Portero"",""61"",""C/ Dr. Juan Dominguez Perez 28, P.I. El Sebadal"",""62"",""35008"",""63"",""PALMAS DE GRAN CANARIA, LAS"",""64"",""LAS PALMAS"&amp;""",""65"",""ES"",""102"",""10/09/2025"",""50208"",""11/09/2025"",""50007"",""Entregado"",""50006"",""Enviado"",""50319"",""18/09/2025"",""40"",""ELOG"",""41"",""STD"",""238"",""https://e-log.es/seguimiento-envios/?cod=222392800032179&amp;cp=35008"",""1"",""Pedido"",""2"",""PD250155660"",""50318"",""00002"","&amp;"""50045"","""""</t>
  </si>
  <si>
    <t>=NF($B90,"No.")</t>
  </si>
  <si>
    <t>=NL("Filas","SQL=select max(t.[Nº movimiento]) movimiento "&amp;
"    from [dbo].[MEDIAPOST SPAIN$Tracking Documento] t "&amp;
"  where t.[Nº Albarán] =  '"&amp;$C90&amp;"'  "&amp;
"       and t.[Estado Documento] &lt;&gt; '' ",{"movimiento"},"Datasource=","SQL-NAVISION")</t>
  </si>
  <si>
    <t>=NL("Primero","Tracking Documento",{"Estado Documento";"Cód. Incidencia"},"Nº movimiento",NF($D90,"movimiento"),"DataSource=","Navision","Empresa=","MEDIAPOST SPAIN")</t>
  </si>
  <si>
    <t>=NF($E90,"Cód. Incidencia")</t>
  </si>
  <si>
    <t>=IF($F90="","",NL("Primero","Situaciones Dispatching","Descripción","Cód. incidencia",$F90,"Notificar cliente","Sí","DataSource=","Navision","Empresa=","MEDIAPOST SPAIN"))</t>
  </si>
  <si>
    <t>=NF($B90,"No. Documento cliente")</t>
  </si>
  <si>
    <t>=NF($B90,"No. referencia transporte")</t>
  </si>
  <si>
    <t>=NF($B90,"No. expedición transporte")</t>
  </si>
  <si>
    <t>=NF($B90,"Nombre punto entrega")</t>
  </si>
  <si>
    <t>=NF($B90,"Dirección punto entrega")</t>
  </si>
  <si>
    <t>=NF($B90,"C.P. punto entrega")</t>
  </si>
  <si>
    <t>=NF($B90,"Población punto entrega")</t>
  </si>
  <si>
    <t>=NF($B90,"Provincia punto entrega")</t>
  </si>
  <si>
    <t>=NF($B90,"País punto entrega")</t>
  </si>
  <si>
    <t>=NF($B90,"Observaciones SGA")</t>
  </si>
  <si>
    <t>=IF($T90="Anulado","",TEXT(NF($B90,"Fecha envío al SGA"),"dd/mm/aaaa"))</t>
  </si>
  <si>
    <t>=IF($T90="Preparado","",TEXT(NF($B90,"Fecha completado SGA"),"dd/mm/aaaa"))</t>
  </si>
  <si>
    <t>=NF($E90,"Estado documento")</t>
  </si>
  <si>
    <t>=NF($B90,"Fecha última situación")</t>
  </si>
  <si>
    <t>=IF($F90="","",NL("Primero","Situaciones Dispatching","Descripción","Cód. incidencia",$F90,"DataSource=","Navision","Empresa=","MEDIAPOST SPAIN"))</t>
  </si>
  <si>
    <t>=NF($B90,"Cód. transportista")</t>
  </si>
  <si>
    <t>=NF($B90,"Cód. servicio solicitado")</t>
  </si>
  <si>
    <t>=IF(NF($B90,"Link imagen")&lt;&gt;"",HYPERLINK(NF($B90,"Link imagen")),"")</t>
  </si>
  <si>
    <t>=NL("Primero","Cab. Expedición","Localizador","No. referencia transporte",NF($B90,"No. referencia transporte"),"Conexión=","Navision","Empresa=","MEDIAPOST SPAIN")</t>
  </si>
  <si>
    <t>="""Navision"",""MEDIAPOST SPAIN"",""7098016"",""14"",""64425001640"",""51"",""222392800032180"",""50"",""64425001640"",""60"",""Antonio Alonso Dominguez"",""61"",""C/ Virgen de Balén 6"",""62"",""38296"",""63"",""San Miguel de Geneto"",""64"",""TENERIFE"",""65"",""ES"",""102"",""10/09/2025"",""50208"","""&amp;"11/09/2025"",""50007"",""Entregado"",""50006"",""Enviado"",""50319"",""16/09/2025"",""40"",""ELOG"",""41"",""STD"",""238"",""https://e-log.es/seguimiento-envios/?cod=222392800032180&amp;cp=38296"",""1"",""Pedido"",""2"",""PD250155661"",""50318"",""00002"",""50045"","""""</t>
  </si>
  <si>
    <t>=NF($B91,"No.")</t>
  </si>
  <si>
    <t>=NL("Filas","SQL=select max(t.[Nº movimiento]) movimiento "&amp;
"    from [dbo].[MEDIAPOST SPAIN$Tracking Documento] t "&amp;
"  where t.[Nº Albarán] =  '"&amp;$C91&amp;"'  "&amp;
"       and t.[Estado Documento] &lt;&gt; '' ",{"movimiento"},"Datasource=","SQL-NAVISION")</t>
  </si>
  <si>
    <t>=NL("Primero","Tracking Documento",{"Estado Documento";"Cód. Incidencia"},"Nº movimiento",NF($D91,"movimiento"),"DataSource=","Navision","Empresa=","MEDIAPOST SPAIN")</t>
  </si>
  <si>
    <t>=NF($E91,"Cód. Incidencia")</t>
  </si>
  <si>
    <t>=IF($F91="","",NL("Primero","Situaciones Dispatching","Descripción","Cód. incidencia",$F91,"Notificar cliente","Sí","DataSource=","Navision","Empresa=","MEDIAPOST SPAIN"))</t>
  </si>
  <si>
    <t>=NF($B91,"No. Documento cliente")</t>
  </si>
  <si>
    <t>=NF($B91,"No. referencia transporte")</t>
  </si>
  <si>
    <t>=NF($B91,"No. expedición transporte")</t>
  </si>
  <si>
    <t>=NF($B91,"Nombre punto entrega")</t>
  </si>
  <si>
    <t>=NF($B91,"Dirección punto entrega")</t>
  </si>
  <si>
    <t>=NF($B91,"C.P. punto entrega")</t>
  </si>
  <si>
    <t>=NF($B91,"Población punto entrega")</t>
  </si>
  <si>
    <t>=NF($B91,"Provincia punto entrega")</t>
  </si>
  <si>
    <t>=NF($B91,"País punto entrega")</t>
  </si>
  <si>
    <t>=NF($B91,"Observaciones SGA")</t>
  </si>
  <si>
    <t>=IF($T91="Anulado","",TEXT(NF($B91,"Fecha envío al SGA"),"dd/mm/aaaa"))</t>
  </si>
  <si>
    <t>=IF($T91="Preparado","",TEXT(NF($B91,"Fecha completado SGA"),"dd/mm/aaaa"))</t>
  </si>
  <si>
    <t>=NF($E91,"Estado documento")</t>
  </si>
  <si>
    <t>=NF($B91,"Fecha última situación")</t>
  </si>
  <si>
    <t>=IF($F91="","",NL("Primero","Situaciones Dispatching","Descripción","Cód. incidencia",$F91,"DataSource=","Navision","Empresa=","MEDIAPOST SPAIN"))</t>
  </si>
  <si>
    <t>=NF($B91,"Cód. transportista")</t>
  </si>
  <si>
    <t>=NF($B91,"Cód. servicio solicitado")</t>
  </si>
  <si>
    <t>=IF(NF($B91,"Link imagen")&lt;&gt;"",HYPERLINK(NF($B91,"Link imagen")),"")</t>
  </si>
  <si>
    <t>=NL("Primero","Cab. Expedición","Localizador","No. referencia transporte",NF($B91,"No. referencia transporte"),"Conexión=","Navision","Empresa=","MEDIAPOST SPAIN")</t>
  </si>
  <si>
    <t>="""Navision"",""MEDIAPOST SPAIN"",""7098016"",""14"",""64425001641"",""51"",""2829398180"",""50"",""64425001641"",""60"",""Ruben Vazquez Cuenca"",""61"",""Cl de Juan Sanchez 13 1ºC dejar en Porteria)"",""62"",""28035"",""63"",""Madrid"",""64"",""MADRID"",""65"",""ES"",""102"",""10/09/2025"",""50208"",""1"&amp;"1/09/2025"",""50007"",""Entregado"",""50006"",""Enviado"",""50319"",""12/09/2025"",""40"",""DHL"",""41"",""STD"",""238"",""https://clientesparcel.dhl.es/seguimientoenvios/integra/SeguimientoDocumentos.aspx?codigo=2829398180&amp;anno=2025&amp;lang=sp&amp;zatar=q45LoBtfSS29xHGRDZ57"",""1"",""Pedi"&amp;"do"",""2"",""PD250155495"",""50318"",""00002"",""50045"","""""</t>
  </si>
  <si>
    <t>=NF($B92,"No.")</t>
  </si>
  <si>
    <t>=NL("Filas","SQL=select max(t.[Nº movimiento]) movimiento "&amp;
"    from [dbo].[MEDIAPOST SPAIN$Tracking Documento] t "&amp;
"  where t.[Nº Albarán] =  '"&amp;$C92&amp;"'  "&amp;
"       and t.[Estado Documento] &lt;&gt; '' ",{"movimiento"},"Datasource=","SQL-NAVISION")</t>
  </si>
  <si>
    <t>=NL("Primero","Tracking Documento",{"Estado Documento";"Cód. Incidencia"},"Nº movimiento",NF($D92,"movimiento"),"DataSource=","Navision","Empresa=","MEDIAPOST SPAIN")</t>
  </si>
  <si>
    <t>=NF($E92,"Cód. Incidencia")</t>
  </si>
  <si>
    <t>=IF($F92="","",NL("Primero","Situaciones Dispatching","Descripción","Cód. incidencia",$F92,"Notificar cliente","Sí","DataSource=","Navision","Empresa=","MEDIAPOST SPAIN"))</t>
  </si>
  <si>
    <t>=NF($B92,"No. Documento cliente")</t>
  </si>
  <si>
    <t>=NF($B92,"No. referencia transporte")</t>
  </si>
  <si>
    <t>=NF($B92,"No. expedición transporte")</t>
  </si>
  <si>
    <t>=NF($B92,"Nombre punto entrega")</t>
  </si>
  <si>
    <t>=NF($B92,"Dirección punto entrega")</t>
  </si>
  <si>
    <t>=NF($B92,"C.P. punto entrega")</t>
  </si>
  <si>
    <t>=NF($B92,"Población punto entrega")</t>
  </si>
  <si>
    <t>=NF($B92,"Provincia punto entrega")</t>
  </si>
  <si>
    <t>=NF($B92,"País punto entrega")</t>
  </si>
  <si>
    <t>=NF($B92,"Observaciones SGA")</t>
  </si>
  <si>
    <t>=IF($T92="Anulado","",TEXT(NF($B92,"Fecha envío al SGA"),"dd/mm/aaaa"))</t>
  </si>
  <si>
    <t>=IF($T92="Preparado","",TEXT(NF($B92,"Fecha completado SGA"),"dd/mm/aaaa"))</t>
  </si>
  <si>
    <t>=NF($E92,"Estado documento")</t>
  </si>
  <si>
    <t>=NF($B92,"Fecha última situación")</t>
  </si>
  <si>
    <t>=IF($F92="","",NL("Primero","Situaciones Dispatching","Descripción","Cód. incidencia",$F92,"DataSource=","Navision","Empresa=","MEDIAPOST SPAIN"))</t>
  </si>
  <si>
    <t>=NF($B92,"Cód. transportista")</t>
  </si>
  <si>
    <t>=NF($B92,"Cód. servicio solicitado")</t>
  </si>
  <si>
    <t>=IF(NF($B92,"Link imagen")&lt;&gt;"",HYPERLINK(NF($B92,"Link imagen")),"")</t>
  </si>
  <si>
    <t>=NL("Primero","Cab. Expedición","Localizador","No. referencia transporte",NF($B92,"No. referencia transporte"),"Conexión=","Navision","Empresa=","MEDIAPOST SPAIN")</t>
  </si>
  <si>
    <t>="""Navision"",""MEDIAPOST SPAIN"",""7098016"",""14"",""64425001642"",""51"",""2829398190"",""50"",""64425001642"",""60"",""Sonia Amigo Trigo"",""61"",""Avenida Mesa del Monte 13"",""62"",""28860"",""63"",""PARACUELLOS DE JARAMA"",""64"",""MADRID"",""65"",""ES"",""102"",""10/09/2025"",""50208"",""11/09/20"&amp;"25"",""50007"",""Entregado"",""50006"",""Enviado"",""50319"",""12/09/2025"",""40"",""DHL"",""41"",""STD"",""238"",""https://clientesparcel.dhl.es/seguimientoenvios/integra/SeguimientoDocumentos.aspx?codigo=2829398190&amp;anno=2025&amp;lang=sp&amp;zatar=q45LoBtfSS29xHGRDZ57"",""1"",""Pedido"",""2"""&amp;",""PD250155496"",""50318"",""00002"",""50045"","""""</t>
  </si>
  <si>
    <t>=NF($B93,"No.")</t>
  </si>
  <si>
    <t>=NL("Filas","SQL=select max(t.[Nº movimiento]) movimiento "&amp;
"    from [dbo].[MEDIAPOST SPAIN$Tracking Documento] t "&amp;
"  where t.[Nº Albarán] =  '"&amp;$C93&amp;"'  "&amp;
"       and t.[Estado Documento] &lt;&gt; '' ",{"movimiento"},"Datasource=","SQL-NAVISION")</t>
  </si>
  <si>
    <t>=NL("Primero","Tracking Documento",{"Estado Documento";"Cód. Incidencia"},"Nº movimiento",NF($D93,"movimiento"),"DataSource=","Navision","Empresa=","MEDIAPOST SPAIN")</t>
  </si>
  <si>
    <t>=NF($E93,"Cód. Incidencia")</t>
  </si>
  <si>
    <t>=IF($F93="","",NL("Primero","Situaciones Dispatching","Descripción","Cód. incidencia",$F93,"Notificar cliente","Sí","DataSource=","Navision","Empresa=","MEDIAPOST SPAIN"))</t>
  </si>
  <si>
    <t>=NF($B93,"No. Documento cliente")</t>
  </si>
  <si>
    <t>=NF($B93,"No. referencia transporte")</t>
  </si>
  <si>
    <t>=NF($B93,"No. expedición transporte")</t>
  </si>
  <si>
    <t>=NF($B93,"Nombre punto entrega")</t>
  </si>
  <si>
    <t>=NF($B93,"Dirección punto entrega")</t>
  </si>
  <si>
    <t>=NF($B93,"C.P. punto entrega")</t>
  </si>
  <si>
    <t>=NF($B93,"Población punto entrega")</t>
  </si>
  <si>
    <t>=NF($B93,"Provincia punto entrega")</t>
  </si>
  <si>
    <t>=NF($B93,"País punto entrega")</t>
  </si>
  <si>
    <t>=NF($B93,"Observaciones SGA")</t>
  </si>
  <si>
    <t>=IF($T93="Anulado","",TEXT(NF($B93,"Fecha envío al SGA"),"dd/mm/aaaa"))</t>
  </si>
  <si>
    <t>=IF($T93="Preparado","",TEXT(NF($B93,"Fecha completado SGA"),"dd/mm/aaaa"))</t>
  </si>
  <si>
    <t>=NF($E93,"Estado documento")</t>
  </si>
  <si>
    <t>=NF($B93,"Fecha última situación")</t>
  </si>
  <si>
    <t>=IF($F93="","",NL("Primero","Situaciones Dispatching","Descripción","Cód. incidencia",$F93,"DataSource=","Navision","Empresa=","MEDIAPOST SPAIN"))</t>
  </si>
  <si>
    <t>=NF($B93,"Cód. transportista")</t>
  </si>
  <si>
    <t>=NF($B93,"Cód. servicio solicitado")</t>
  </si>
  <si>
    <t>=IF(NF($B93,"Link imagen")&lt;&gt;"",HYPERLINK(NF($B93,"Link imagen")),"")</t>
  </si>
  <si>
    <t>=NL("Primero","Cab. Expedición","Localizador","No. referencia transporte",NF($B93,"No. referencia transporte"),"Conexión=","Navision","Empresa=","MEDIAPOST SPAIN")</t>
  </si>
  <si>
    <t>="""Navision"",""MEDIAPOST SPAIN"",""7098016"",""14"",""64425001643"",""51"",""1200709341"",""50"",""64425001643"",""60"",""Alfonso Bautista Lujan"",""61"",""Primeras Matemáticas, 18"",""62"",""02006"",""63"",""ALBACETE"",""64"",""ALBACETE"",""65"",""ES"",""102"",""10/09/2025"",""50208"",""11/09/2025"",""50"&amp;"007"",""Entregado"",""50006"",""Enviado"",""50319"",""12/09/2025"",""40"",""TIPSA"",""41"",""STD"",""238"",""https://www.tip-sa.com/cliente/datos.php?id=028001093946442500164302006"",""1"",""Pedido"",""2"",""PD250155497"",""50318"",""00002"",""50045"","""""</t>
  </si>
  <si>
    <t>=NF($B94,"No.")</t>
  </si>
  <si>
    <t>=NL("Filas","SQL=select max(t.[Nº movimiento]) movimiento "&amp;
"    from [dbo].[MEDIAPOST SPAIN$Tracking Documento] t "&amp;
"  where t.[Nº Albarán] =  '"&amp;$C94&amp;"'  "&amp;
"       and t.[Estado Documento] &lt;&gt; '' ",{"movimiento"},"Datasource=","SQL-NAVISION")</t>
  </si>
  <si>
    <t>=NL("Primero","Tracking Documento",{"Estado Documento";"Cód. Incidencia"},"Nº movimiento",NF($D94,"movimiento"),"DataSource=","Navision","Empresa=","MEDIAPOST SPAIN")</t>
  </si>
  <si>
    <t>=NF($E94,"Cód. Incidencia")</t>
  </si>
  <si>
    <t>=IF($F94="","",NL("Primero","Situaciones Dispatching","Descripción","Cód. incidencia",$F94,"Notificar cliente","Sí","DataSource=","Navision","Empresa=","MEDIAPOST SPAIN"))</t>
  </si>
  <si>
    <t>=NF($B94,"No. Documento cliente")</t>
  </si>
  <si>
    <t>=NF($B94,"No. referencia transporte")</t>
  </si>
  <si>
    <t>=NF($B94,"No. expedición transporte")</t>
  </si>
  <si>
    <t>=NF($B94,"Nombre punto entrega")</t>
  </si>
  <si>
    <t>=NF($B94,"Dirección punto entrega")</t>
  </si>
  <si>
    <t>=NF($B94,"C.P. punto entrega")</t>
  </si>
  <si>
    <t>=NF($B94,"Población punto entrega")</t>
  </si>
  <si>
    <t>=NF($B94,"Provincia punto entrega")</t>
  </si>
  <si>
    <t>=NF($B94,"País punto entrega")</t>
  </si>
  <si>
    <t>=NF($B94,"Observaciones SGA")</t>
  </si>
  <si>
    <t>=IF($T94="Anulado","",TEXT(NF($B94,"Fecha envío al SGA"),"dd/mm/aaaa"))</t>
  </si>
  <si>
    <t>=IF($T94="Preparado","",TEXT(NF($B94,"Fecha completado SGA"),"dd/mm/aaaa"))</t>
  </si>
  <si>
    <t>=NF($E94,"Estado documento")</t>
  </si>
  <si>
    <t>=NF($B94,"Fecha última situación")</t>
  </si>
  <si>
    <t>=IF($F94="","",NL("Primero","Situaciones Dispatching","Descripción","Cód. incidencia",$F94,"DataSource=","Navision","Empresa=","MEDIAPOST SPAIN"))</t>
  </si>
  <si>
    <t>=NF($B94,"Cód. transportista")</t>
  </si>
  <si>
    <t>=NF($B94,"Cód. servicio solicitado")</t>
  </si>
  <si>
    <t>=IF(NF($B94,"Link imagen")&lt;&gt;"",HYPERLINK(NF($B94,"Link imagen")),"")</t>
  </si>
  <si>
    <t>=NL("Primero","Cab. Expedición","Localizador","No. referencia transporte",NF($B94,"No. referencia transporte"),"Conexión=","Navision","Empresa=","MEDIAPOST SPAIN")</t>
  </si>
  <si>
    <t>="""Navision"",""MEDIAPOST SPAIN"",""7098016"",""14"",""64425001644"",""51"",""2829398200"",""50"",""64425001644"",""60"",""Rafael Carlos Cardenas Martinez"",""61"",""Calle Libra Nº10"",""62"",""28983"",""63"",""PARLA"",""64"",""MADRID"",""65"",""ES"",""102"",""10/09/2025"",""50208"",""11/09/2025"",""50007"""&amp;",""Entregado"",""50006"",""Enviado"",""50319"",""15/09/2025"",""40"",""DHL"",""41"",""STD"",""238"",""https://clientesparcel.dhl.es/seguimientoenvios/integra/SeguimientoDocumentos.aspx?codigo=2829398200&amp;anno=2025&amp;lang=sp&amp;zatar=q45LoBtfSS29xHGRDZ57"",""1"",""Pedido"",""2"",""PD2501554"&amp;"98"",""50318"",""00002"",""50045"","""""</t>
  </si>
  <si>
    <t>=NF($B95,"No.")</t>
  </si>
  <si>
    <t>=NL("Filas","SQL=select max(t.[Nº movimiento]) movimiento "&amp;
"    from [dbo].[MEDIAPOST SPAIN$Tracking Documento] t "&amp;
"  where t.[Nº Albarán] =  '"&amp;$C95&amp;"'  "&amp;
"       and t.[Estado Documento] &lt;&gt; '' ",{"movimiento"},"Datasource=","SQL-NAVISION")</t>
  </si>
  <si>
    <t>=NL("Primero","Tracking Documento",{"Estado Documento";"Cód. Incidencia"},"Nº movimiento",NF($D95,"movimiento"),"DataSource=","Navision","Empresa=","MEDIAPOST SPAIN")</t>
  </si>
  <si>
    <t>=NF($E95,"Cód. Incidencia")</t>
  </si>
  <si>
    <t>=IF($F95="","",NL("Primero","Situaciones Dispatching","Descripción","Cód. incidencia",$F95,"Notificar cliente","Sí","DataSource=","Navision","Empresa=","MEDIAPOST SPAIN"))</t>
  </si>
  <si>
    <t>=NF($B95,"No. Documento cliente")</t>
  </si>
  <si>
    <t>=NF($B95,"No. referencia transporte")</t>
  </si>
  <si>
    <t>=NF($B95,"No. expedición transporte")</t>
  </si>
  <si>
    <t>=NF($B95,"Nombre punto entrega")</t>
  </si>
  <si>
    <t>=NF($B95,"Dirección punto entrega")</t>
  </si>
  <si>
    <t>=NF($B95,"C.P. punto entrega")</t>
  </si>
  <si>
    <t>=NF($B95,"Población punto entrega")</t>
  </si>
  <si>
    <t>=NF($B95,"Provincia punto entrega")</t>
  </si>
  <si>
    <t>=NF($B95,"País punto entrega")</t>
  </si>
  <si>
    <t>=NF($B95,"Observaciones SGA")</t>
  </si>
  <si>
    <t>=IF($T95="Anulado","",TEXT(NF($B95,"Fecha envío al SGA"),"dd/mm/aaaa"))</t>
  </si>
  <si>
    <t>=IF($T95="Preparado","",TEXT(NF($B95,"Fecha completado SGA"),"dd/mm/aaaa"))</t>
  </si>
  <si>
    <t>=NF($E95,"Estado documento")</t>
  </si>
  <si>
    <t>=NF($B95,"Fecha última situación")</t>
  </si>
  <si>
    <t>=IF($F95="","",NL("Primero","Situaciones Dispatching","Descripción","Cód. incidencia",$F95,"DataSource=","Navision","Empresa=","MEDIAPOST SPAIN"))</t>
  </si>
  <si>
    <t>=NF($B95,"Cód. transportista")</t>
  </si>
  <si>
    <t>=NF($B95,"Cód. servicio solicitado")</t>
  </si>
  <si>
    <t>=IF(NF($B95,"Link imagen")&lt;&gt;"",HYPERLINK(NF($B95,"Link imagen")),"")</t>
  </si>
  <si>
    <t>=NL("Primero","Cab. Expedición","Localizador","No. referencia transporte",NF($B95,"No. referencia transporte"),"Conexión=","Navision","Empresa=","MEDIAPOST SPAIN")</t>
  </si>
  <si>
    <t>="""Navision"",""MEDIAPOST SPAIN"",""7098016"",""14"",""64425001645"",""51"",""2829398210"",""50"",""64425001645"",""60"",""Ildefonso Garcia-Blanco"",""61"",""C/ BLASCO DE GARAY 41. 3~A"",""62"",""28015"",""63"",""MADRID"",""64"",""MADRID"",""65"",""ES"",""102"",""10/09/2025"",""50208"",""11/09/2025"",""500"&amp;"07"",""Entregado"",""50006"",""Enviado"",""50319"",""12/09/2025"",""40"",""DHL"",""41"",""STD"",""238"",""https://clientesparcel.dhl.es/seguimientoenvios/integra/SeguimientoDocumentos.aspx?codigo=2829398210&amp;anno=2025&amp;lang=sp&amp;zatar=q45LoBtfSS29xHGRDZ57"",""1"",""Pedido"",""2"",""PD2501"&amp;"55499"",""50318"",""00002"",""50045"","""""</t>
  </si>
  <si>
    <t>=NF($B96,"No.")</t>
  </si>
  <si>
    <t>=NL("Filas","SQL=select max(t.[Nº movimiento]) movimiento "&amp;
"    from [dbo].[MEDIAPOST SPAIN$Tracking Documento] t "&amp;
"  where t.[Nº Albarán] =  '"&amp;$C96&amp;"'  "&amp;
"       and t.[Estado Documento] &lt;&gt; '' ",{"movimiento"},"Datasource=","SQL-NAVISION")</t>
  </si>
  <si>
    <t>=NL("Primero","Tracking Documento",{"Estado Documento";"Cód. Incidencia"},"Nº movimiento",NF($D96,"movimiento"),"DataSource=","Navision","Empresa=","MEDIAPOST SPAIN")</t>
  </si>
  <si>
    <t>=NF($E96,"Cód. Incidencia")</t>
  </si>
  <si>
    <t>=IF($F96="","",NL("Primero","Situaciones Dispatching","Descripción","Cód. incidencia",$F96,"Notificar cliente","Sí","DataSource=","Navision","Empresa=","MEDIAPOST SPAIN"))</t>
  </si>
  <si>
    <t>=NF($B96,"No. Documento cliente")</t>
  </si>
  <si>
    <t>=NF($B96,"No. referencia transporte")</t>
  </si>
  <si>
    <t>=NF($B96,"No. expedición transporte")</t>
  </si>
  <si>
    <t>=NF($B96,"Nombre punto entrega")</t>
  </si>
  <si>
    <t>=NF($B96,"Dirección punto entrega")</t>
  </si>
  <si>
    <t>=NF($B96,"C.P. punto entrega")</t>
  </si>
  <si>
    <t>=NF($B96,"Población punto entrega")</t>
  </si>
  <si>
    <t>=NF($B96,"Provincia punto entrega")</t>
  </si>
  <si>
    <t>=NF($B96,"País punto entrega")</t>
  </si>
  <si>
    <t>=NF($B96,"Observaciones SGA")</t>
  </si>
  <si>
    <t>=IF($T96="Anulado","",TEXT(NF($B96,"Fecha envío al SGA"),"dd/mm/aaaa"))</t>
  </si>
  <si>
    <t>=IF($T96="Preparado","",TEXT(NF($B96,"Fecha completado SGA"),"dd/mm/aaaa"))</t>
  </si>
  <si>
    <t>=NF($E96,"Estado documento")</t>
  </si>
  <si>
    <t>=NF($B96,"Fecha última situación")</t>
  </si>
  <si>
    <t>=IF($F96="","",NL("Primero","Situaciones Dispatching","Descripción","Cód. incidencia",$F96,"DataSource=","Navision","Empresa=","MEDIAPOST SPAIN"))</t>
  </si>
  <si>
    <t>=NF($B96,"Cód. transportista")</t>
  </si>
  <si>
    <t>=NF($B96,"Cód. servicio solicitado")</t>
  </si>
  <si>
    <t>=IF(NF($B96,"Link imagen")&lt;&gt;"",HYPERLINK(NF($B96,"Link imagen")),"")</t>
  </si>
  <si>
    <t>=NL("Primero","Cab. Expedición","Localizador","No. referencia transporte",NF($B96,"No. referencia transporte"),"Conexión=","Navision","Empresa=","MEDIAPOST SPAIN")</t>
  </si>
  <si>
    <t>="""Navision"",""MEDIAPOST SPAIN"",""7098016"",""14"",""64425001646"",""51"",""2829398220"",""50"",""64425001646"",""60"",""Julian Garcia Gil"",""61"",""C/ Valdeciprian - 58"",""62"",""28814"",""63"",""Daganzo de Arriba"",""64"",""MADRID"",""65"",""ES"",""102"",""10/09/2025"",""50208"",""11/09/2025"",""5000"&amp;"7"",""Entregado"",""50006"",""Enviado"",""50319"",""12/09/2025"",""40"",""DHL"",""41"",""STD"",""238"",""https://clientesparcel.dhl.es/seguimientoenvios/integra/SeguimientoDocumentos.aspx?codigo=2829398220&amp;anno=2025&amp;lang=sp&amp;zatar=q45LoBtfSS29xHGRDZ57"",""1"",""Pedido"",""2"",""PD25015"&amp;"5500"",""50318"",""00002"",""50045"","""""</t>
  </si>
  <si>
    <t>=NF($B97,"No.")</t>
  </si>
  <si>
    <t>=NL("Filas","SQL=select max(t.[Nº movimiento]) movimiento "&amp;
"    from [dbo].[MEDIAPOST SPAIN$Tracking Documento] t "&amp;
"  where t.[Nº Albarán] =  '"&amp;$C97&amp;"'  "&amp;
"       and t.[Estado Documento] &lt;&gt; '' ",{"movimiento"},"Datasource=","SQL-NAVISION")</t>
  </si>
  <si>
    <t>=NL("Primero","Tracking Documento",{"Estado Documento";"Cód. Incidencia"},"Nº movimiento",NF($D97,"movimiento"),"DataSource=","Navision","Empresa=","MEDIAPOST SPAIN")</t>
  </si>
  <si>
    <t>=NF($E97,"Cód. Incidencia")</t>
  </si>
  <si>
    <t>=IF($F97="","",NL("Primero","Situaciones Dispatching","Descripción","Cód. incidencia",$F97,"Notificar cliente","Sí","DataSource=","Navision","Empresa=","MEDIAPOST SPAIN"))</t>
  </si>
  <si>
    <t>=NF($B97,"No. Documento cliente")</t>
  </si>
  <si>
    <t>=NF($B97,"No. referencia transporte")</t>
  </si>
  <si>
    <t>=NF($B97,"No. expedición transporte")</t>
  </si>
  <si>
    <t>=NF($B97,"Nombre punto entrega")</t>
  </si>
  <si>
    <t>=NF($B97,"Dirección punto entrega")</t>
  </si>
  <si>
    <t>=NF($B97,"C.P. punto entrega")</t>
  </si>
  <si>
    <t>=NF($B97,"Población punto entrega")</t>
  </si>
  <si>
    <t>=NF($B97,"Provincia punto entrega")</t>
  </si>
  <si>
    <t>=NF($B97,"País punto entrega")</t>
  </si>
  <si>
    <t>=NF($B97,"Observaciones SGA")</t>
  </si>
  <si>
    <t>=IF($T97="Anulado","",TEXT(NF($B97,"Fecha envío al SGA"),"dd/mm/aaaa"))</t>
  </si>
  <si>
    <t>=IF($T97="Preparado","",TEXT(NF($B97,"Fecha completado SGA"),"dd/mm/aaaa"))</t>
  </si>
  <si>
    <t>=NF($E97,"Estado documento")</t>
  </si>
  <si>
    <t>=NF($B97,"Fecha última situación")</t>
  </si>
  <si>
    <t>=IF($F97="","",NL("Primero","Situaciones Dispatching","Descripción","Cód. incidencia",$F97,"DataSource=","Navision","Empresa=","MEDIAPOST SPAIN"))</t>
  </si>
  <si>
    <t>=NF($B97,"Cód. transportista")</t>
  </si>
  <si>
    <t>=NF($B97,"Cód. servicio solicitado")</t>
  </si>
  <si>
    <t>=IF(NF($B97,"Link imagen")&lt;&gt;"",HYPERLINK(NF($B97,"Link imagen")),"")</t>
  </si>
  <si>
    <t>=NL("Primero","Cab. Expedición","Localizador","No. referencia transporte",NF($B97,"No. referencia transporte"),"Conexión=","Navision","Empresa=","MEDIAPOST SPAIN")</t>
  </si>
  <si>
    <t>="""Navision"",""MEDIAPOST SPAIN"",""7098016"",""14"",""64425001647"",""51"",""1200709343"",""50"",""64425001647"",""60"",""Jose Miguel Prieto Motilla"",""61"",""González Rubio, 18 - 1º B"",""62"",""02006"",""63"",""ALBACETE"",""64"",""ALBACETE"",""65"",""ES"",""102"",""10/09/2025"",""50208"",""11/09/2025"&amp;""",""50007"",""Entregado"",""50006"",""Enviado"",""50319"",""12/09/2025"",""40"",""TIPSA"",""41"",""STD"",""238"",""https://www.tip-sa.com/cliente/datos.php?id=028001093946442500164702006"",""1"",""Pedido"",""2"",""PD250155501"",""50318"",""00002"",""50045"","""""</t>
  </si>
  <si>
    <t>=NF($B98,"No.")</t>
  </si>
  <si>
    <t>=NL("Filas","SQL=select max(t.[Nº movimiento]) movimiento "&amp;
"    from [dbo].[MEDIAPOST SPAIN$Tracking Documento] t "&amp;
"  where t.[Nº Albarán] =  '"&amp;$C98&amp;"'  "&amp;
"       and t.[Estado Documento] &lt;&gt; '' ",{"movimiento"},"Datasource=","SQL-NAVISION")</t>
  </si>
  <si>
    <t>=NL("Primero","Tracking Documento",{"Estado Documento";"Cód. Incidencia"},"Nº movimiento",NF($D98,"movimiento"),"DataSource=","Navision","Empresa=","MEDIAPOST SPAIN")</t>
  </si>
  <si>
    <t>=NF($E98,"Cód. Incidencia")</t>
  </si>
  <si>
    <t>=IF($F98="","",NL("Primero","Situaciones Dispatching","Descripción","Cód. incidencia",$F98,"Notificar cliente","Sí","DataSource=","Navision","Empresa=","MEDIAPOST SPAIN"))</t>
  </si>
  <si>
    <t>=NF($B98,"No. Documento cliente")</t>
  </si>
  <si>
    <t>=NF($B98,"No. referencia transporte")</t>
  </si>
  <si>
    <t>=NF($B98,"No. expedición transporte")</t>
  </si>
  <si>
    <t>=NF($B98,"Nombre punto entrega")</t>
  </si>
  <si>
    <t>=NF($B98,"Dirección punto entrega")</t>
  </si>
  <si>
    <t>=NF($B98,"C.P. punto entrega")</t>
  </si>
  <si>
    <t>=NF($B98,"Población punto entrega")</t>
  </si>
  <si>
    <t>=NF($B98,"Provincia punto entrega")</t>
  </si>
  <si>
    <t>=NF($B98,"País punto entrega")</t>
  </si>
  <si>
    <t>=NF($B98,"Observaciones SGA")</t>
  </si>
  <si>
    <t>=IF($T98="Anulado","",TEXT(NF($B98,"Fecha envío al SGA"),"dd/mm/aaaa"))</t>
  </si>
  <si>
    <t>=IF($T98="Preparado","",TEXT(NF($B98,"Fecha completado SGA"),"dd/mm/aaaa"))</t>
  </si>
  <si>
    <t>=NF($E98,"Estado documento")</t>
  </si>
  <si>
    <t>=NF($B98,"Fecha última situación")</t>
  </si>
  <si>
    <t>=IF($F98="","",NL("Primero","Situaciones Dispatching","Descripción","Cód. incidencia",$F98,"DataSource=","Navision","Empresa=","MEDIAPOST SPAIN"))</t>
  </si>
  <si>
    <t>=NF($B98,"Cód. transportista")</t>
  </si>
  <si>
    <t>=NF($B98,"Cód. servicio solicitado")</t>
  </si>
  <si>
    <t>=IF(NF($B98,"Link imagen")&lt;&gt;"",HYPERLINK(NF($B98,"Link imagen")),"")</t>
  </si>
  <si>
    <t>=NL("Primero","Cab. Expedición","Localizador","No. referencia transporte",NF($B98,"No. referencia transporte"),"Conexión=","Navision","Empresa=","MEDIAPOST SPAIN")</t>
  </si>
  <si>
    <t>="""Navision"",""MEDIAPOST SPAIN"",""7098016"",""14"",""64425001648"",""51"",""1200709345"",""50"",""64425001648"",""60"",""Eugenio Magan Jimenez"",""61"",""Brasil, 42"",""62"",""45122"",""63"",""Argés"",""64"",""TOLEDO"",""65"",""ES"",""102"",""10/09/2025"",""50208"",""11/09/2025"",""50007"",""Entregado"",""50"&amp;"006"",""Enviado"",""50319"",""16/09/2025"",""40"",""TIPSA"",""41"",""STD"",""238"",""https://www.tip-sa.com/cliente/datos.php?id=028001093946442500164845122"",""1"",""Pedido"",""2"",""PD250155502"",""50318"",""00002"",""50045"","""""</t>
  </si>
  <si>
    <t>=NF($B99,"No.")</t>
  </si>
  <si>
    <t>=NL("Filas","SQL=select max(t.[Nº movimiento]) movimiento "&amp;
"    from [dbo].[MEDIAPOST SPAIN$Tracking Documento] t "&amp;
"  where t.[Nº Albarán] =  '"&amp;$C99&amp;"'  "&amp;
"       and t.[Estado Documento] &lt;&gt; '' ",{"movimiento"},"Datasource=","SQL-NAVISION")</t>
  </si>
  <si>
    <t>=NL("Primero","Tracking Documento",{"Estado Documento";"Cód. Incidencia"},"Nº movimiento",NF($D99,"movimiento"),"DataSource=","Navision","Empresa=","MEDIAPOST SPAIN")</t>
  </si>
  <si>
    <t>=NF($E99,"Cód. Incidencia")</t>
  </si>
  <si>
    <t>=IF($F99="","",NL("Primero","Situaciones Dispatching","Descripción","Cód. incidencia",$F99,"Notificar cliente","Sí","DataSource=","Navision","Empresa=","MEDIAPOST SPAIN"))</t>
  </si>
  <si>
    <t>=NF($B99,"No. Documento cliente")</t>
  </si>
  <si>
    <t>=NF($B99,"No. referencia transporte")</t>
  </si>
  <si>
    <t>=NF($B99,"No. expedición transporte")</t>
  </si>
  <si>
    <t>=NF($B99,"Nombre punto entrega")</t>
  </si>
  <si>
    <t>=NF($B99,"Dirección punto entrega")</t>
  </si>
  <si>
    <t>=NF($B99,"C.P. punto entrega")</t>
  </si>
  <si>
    <t>=NF($B99,"Población punto entrega")</t>
  </si>
  <si>
    <t>=NF($B99,"Provincia punto entrega")</t>
  </si>
  <si>
    <t>=NF($B99,"País punto entrega")</t>
  </si>
  <si>
    <t>=NF($B99,"Observaciones SGA")</t>
  </si>
  <si>
    <t>=IF($T99="Anulado","",TEXT(NF($B99,"Fecha envío al SGA"),"dd/mm/aaaa"))</t>
  </si>
  <si>
    <t>=IF($T99="Preparado","",TEXT(NF($B99,"Fecha completado SGA"),"dd/mm/aaaa"))</t>
  </si>
  <si>
    <t>=NF($E99,"Estado documento")</t>
  </si>
  <si>
    <t>=NF($B99,"Fecha última situación")</t>
  </si>
  <si>
    <t>=IF($F99="","",NL("Primero","Situaciones Dispatching","Descripción","Cód. incidencia",$F99,"DataSource=","Navision","Empresa=","MEDIAPOST SPAIN"))</t>
  </si>
  <si>
    <t>=NF($B99,"Cód. transportista")</t>
  </si>
  <si>
    <t>=NF($B99,"Cód. servicio solicitado")</t>
  </si>
  <si>
    <t>=IF(NF($B99,"Link imagen")&lt;&gt;"",HYPERLINK(NF($B99,"Link imagen")),"")</t>
  </si>
  <si>
    <t>=NL("Primero","Cab. Expedición","Localizador","No. referencia transporte",NF($B99,"No. referencia transporte"),"Conexión=","Navision","Empresa=","MEDIAPOST SPAIN")</t>
  </si>
  <si>
    <t>="""Navision"",""MEDIAPOST SPAIN"",""7098016"",""14"",""64425001649"",""51"",""2829398230"",""50"",""64425001649"",""60"",""Miriam Zorzo Benito"",""61"",""C/ Zipe y Zape, 7 (casa)"",""62"",""28521"",""63"",""RIVAS VACIAMADRID"",""64"",""MADRID"",""65"",""ES"",""102"",""10/09/2025"",""50208"",""11/09/2025"""&amp;",""50007"",""Entregado"",""50006"",""Enviado"",""50319"",""12/09/2025"",""40"",""DHL"",""41"",""STD"",""238"",""https://clientesparcel.dhl.es/seguimientoenvios/integra/SeguimientoDocumentos.aspx?codigo=2829398230&amp;anno=2025&amp;lang=sp&amp;zatar=q45LoBtfSS29xHGRDZ57"",""1"",""Pedido"",""2"",""P"&amp;"D250155503"",""50318"",""00002"",""50045"","""""</t>
  </si>
  <si>
    <t>=NF($B100,"No.")</t>
  </si>
  <si>
    <t>=NL("Filas","SQL=select max(t.[Nº movimiento]) movimiento "&amp;
"    from [dbo].[MEDIAPOST SPAIN$Tracking Documento] t "&amp;
"  where t.[Nº Albarán] =  '"&amp;$C100&amp;"'  "&amp;
"       and t.[Estado Documento] &lt;&gt; '' ",{"movimiento"},"Datasource=","SQL-NAVISION")</t>
  </si>
  <si>
    <t>=NL("Primero","Tracking Documento",{"Estado Documento";"Cód. Incidencia"},"Nº movimiento",NF($D100,"movimiento"),"DataSource=","Navision","Empresa=","MEDIAPOST SPAIN")</t>
  </si>
  <si>
    <t>=NF($E100,"Cód. Incidencia")</t>
  </si>
  <si>
    <t>=IF($F100="","",NL("Primero","Situaciones Dispatching","Descripción","Cód. incidencia",$F100,"Notificar cliente","Sí","DataSource=","Navision","Empresa=","MEDIAPOST SPAIN"))</t>
  </si>
  <si>
    <t>=NF($B100,"No. Documento cliente")</t>
  </si>
  <si>
    <t>=NF($B100,"No. referencia transporte")</t>
  </si>
  <si>
    <t>=NF($B100,"No. expedición transporte")</t>
  </si>
  <si>
    <t>=NF($B100,"Nombre punto entrega")</t>
  </si>
  <si>
    <t>=NF($B100,"Dirección punto entrega")</t>
  </si>
  <si>
    <t>=NF($B100,"C.P. punto entrega")</t>
  </si>
  <si>
    <t>=NF($B100,"Población punto entrega")</t>
  </si>
  <si>
    <t>=NF($B100,"Provincia punto entrega")</t>
  </si>
  <si>
    <t>=NF($B100,"País punto entrega")</t>
  </si>
  <si>
    <t>=NF($B100,"Observaciones SGA")</t>
  </si>
  <si>
    <t>=IF($T100="Anulado","",TEXT(NF($B100,"Fecha envío al SGA"),"dd/mm/aaaa"))</t>
  </si>
  <si>
    <t>=IF($T100="Preparado","",TEXT(NF($B100,"Fecha completado SGA"),"dd/mm/aaaa"))</t>
  </si>
  <si>
    <t>=NF($E100,"Estado documento")</t>
  </si>
  <si>
    <t>=NF($B100,"Fecha última situación")</t>
  </si>
  <si>
    <t>=IF($F100="","",NL("Primero","Situaciones Dispatching","Descripción","Cód. incidencia",$F100,"DataSource=","Navision","Empresa=","MEDIAPOST SPAIN"))</t>
  </si>
  <si>
    <t>=NF($B100,"Cód. transportista")</t>
  </si>
  <si>
    <t>=NF($B100,"Cód. servicio solicitado")</t>
  </si>
  <si>
    <t>=IF(NF($B100,"Link imagen")&lt;&gt;"",HYPERLINK(NF($B100,"Link imagen")),"")</t>
  </si>
  <si>
    <t>=NL("Primero","Cab. Expedición","Localizador","No. referencia transporte",NF($B100,"No. referencia transporte"),"Conexión=","Navision","Empresa=","MEDIAPOST SPAIN")</t>
  </si>
  <si>
    <t>="""Navision"",""MEDIAPOST SPAIN"",""7098016"",""14"",""64425001651"",""51"",""2829398240"",""50"",""64425001651"",""60"",""Alba Garcia Lorente"",""61"",""C/ PRÍNCIPE DE VERGARA 253, 4ª A"",""62"",""28016"",""63"",""MADRID"",""64"",""MADRID"",""65"",""ES"",""102"",""10/09/2025"",""50208"",""11/09/2025"",""5"&amp;"0007"",""Entregado"",""50006"",""Enviado"",""50319"",""12/09/2025"",""40"",""DHL"",""41"",""STD"",""238"",""https://clientesparcel.dhl.es/seguimientoenvios/integra/SeguimientoDocumentos.aspx?codigo=2829398240&amp;anno=2025&amp;lang=sp&amp;zatar=q45LoBtfSS29xHGRDZ57"",""1"",""Pedido"",""2"",""PD25"&amp;"0155504"",""50318"",""00002"",""50045"","""""</t>
  </si>
  <si>
    <t>=NF($B101,"No.")</t>
  </si>
  <si>
    <t>=NL("Filas","SQL=select max(t.[Nº movimiento]) movimiento "&amp;
"    from [dbo].[MEDIAPOST SPAIN$Tracking Documento] t "&amp;
"  where t.[Nº Albarán] =  '"&amp;$C101&amp;"'  "&amp;
"       and t.[Estado Documento] &lt;&gt; '' ",{"movimiento"},"Datasource=","SQL-NAVISION")</t>
  </si>
  <si>
    <t>=NL("Primero","Tracking Documento",{"Estado Documento";"Cód. Incidencia"},"Nº movimiento",NF($D101,"movimiento"),"DataSource=","Navision","Empresa=","MEDIAPOST SPAIN")</t>
  </si>
  <si>
    <t>=NF($E101,"Cód. Incidencia")</t>
  </si>
  <si>
    <t>=IF($F101="","",NL("Primero","Situaciones Dispatching","Descripción","Cód. incidencia",$F101,"Notificar cliente","Sí","DataSource=","Navision","Empresa=","MEDIAPOST SPAIN"))</t>
  </si>
  <si>
    <t>=NF($B101,"No. Documento cliente")</t>
  </si>
  <si>
    <t>=NF($B101,"No. referencia transporte")</t>
  </si>
  <si>
    <t>=NF($B101,"No. expedición transporte")</t>
  </si>
  <si>
    <t>=NF($B101,"Nombre punto entrega")</t>
  </si>
  <si>
    <t>=NF($B101,"Dirección punto entrega")</t>
  </si>
  <si>
    <t>=NF($B101,"C.P. punto entrega")</t>
  </si>
  <si>
    <t>=NF($B101,"Población punto entrega")</t>
  </si>
  <si>
    <t>=NF($B101,"Provincia punto entrega")</t>
  </si>
  <si>
    <t>=NF($B101,"País punto entrega")</t>
  </si>
  <si>
    <t>=NF($B101,"Observaciones SGA")</t>
  </si>
  <si>
    <t>=IF($T101="Anulado","",TEXT(NF($B101,"Fecha envío al SGA"),"dd/mm/aaaa"))</t>
  </si>
  <si>
    <t>=IF($T101="Preparado","",TEXT(NF($B101,"Fecha completado SGA"),"dd/mm/aaaa"))</t>
  </si>
  <si>
    <t>=NF($E101,"Estado documento")</t>
  </si>
  <si>
    <t>=NF($B101,"Fecha última situación")</t>
  </si>
  <si>
    <t>=IF($F101="","",NL("Primero","Situaciones Dispatching","Descripción","Cód. incidencia",$F101,"DataSource=","Navision","Empresa=","MEDIAPOST SPAIN"))</t>
  </si>
  <si>
    <t>=NF($B101,"Cód. transportista")</t>
  </si>
  <si>
    <t>=NF($B101,"Cód. servicio solicitado")</t>
  </si>
  <si>
    <t>=IF(NF($B101,"Link imagen")&lt;&gt;"",HYPERLINK(NF($B101,"Link imagen")),"")</t>
  </si>
  <si>
    <t>=NL("Primero","Cab. Expedición","Localizador","No. referencia transporte",NF($B101,"No. referencia transporte"),"Conexión=","Navision","Empresa=","MEDIAPOST SPAIN")</t>
  </si>
  <si>
    <t>="""Navision"",""MEDIAPOST SPAIN"",""7098016"",""14"",""64425001652"",""51"",""2829398250"",""50"",""64425001652"",""60"",""Laura Trellez Vargas"",""61"",""Cl del Cerro de Valdecahonde, 22, 3B"",""62"",""28023"",""63"",""MADRID"",""64"",""MADRID"",""65"",""ES"",""102"",""10/09/2025"",""50208"",""11/09/202"&amp;"5"",""50007"",""Entregado"",""50006"",""Enviado"",""50319"",""17/09/2025"",""40"",""DHL"",""41"",""STD"",""238"",""https://clientesparcel.dhl.es/seguimientoenvios/integra/SeguimientoDocumentos.aspx?codigo=2829398250&amp;anno=2025&amp;lang=sp&amp;zatar=q45LoBtfSS29xHGRDZ57"",""1"",""Pedido"",""2"","&amp;"""PD250155505"",""50318"",""00002"",""50045"","""""</t>
  </si>
  <si>
    <t>=NF($B102,"No.")</t>
  </si>
  <si>
    <t>=NL("Filas","SQL=select max(t.[Nº movimiento]) movimiento "&amp;
"    from [dbo].[MEDIAPOST SPAIN$Tracking Documento] t "&amp;
"  where t.[Nº Albarán] =  '"&amp;$C102&amp;"'  "&amp;
"       and t.[Estado Documento] &lt;&gt; '' ",{"movimiento"},"Datasource=","SQL-NAVISION")</t>
  </si>
  <si>
    <t>=NL("Primero","Tracking Documento",{"Estado Documento";"Cód. Incidencia"},"Nº movimiento",NF($D102,"movimiento"),"DataSource=","Navision","Empresa=","MEDIAPOST SPAIN")</t>
  </si>
  <si>
    <t>=NF($E102,"Cód. Incidencia")</t>
  </si>
  <si>
    <t>=IF($F102="","",NL("Primero","Situaciones Dispatching","Descripción","Cód. incidencia",$F102,"Notificar cliente","Sí","DataSource=","Navision","Empresa=","MEDIAPOST SPAIN"))</t>
  </si>
  <si>
    <t>=NF($B102,"No. Documento cliente")</t>
  </si>
  <si>
    <t>=NF($B102,"No. referencia transporte")</t>
  </si>
  <si>
    <t>=NF($B102,"No. expedición transporte")</t>
  </si>
  <si>
    <t>=NF($B102,"Nombre punto entrega")</t>
  </si>
  <si>
    <t>=NF($B102,"Dirección punto entrega")</t>
  </si>
  <si>
    <t>=NF($B102,"C.P. punto entrega")</t>
  </si>
  <si>
    <t>=NF($B102,"Población punto entrega")</t>
  </si>
  <si>
    <t>=NF($B102,"Provincia punto entrega")</t>
  </si>
  <si>
    <t>=NF($B102,"País punto entrega")</t>
  </si>
  <si>
    <t>=NF($B102,"Observaciones SGA")</t>
  </si>
  <si>
    <t>=IF($T102="Anulado","",TEXT(NF($B102,"Fecha envío al SGA"),"dd/mm/aaaa"))</t>
  </si>
  <si>
    <t>=IF($T102="Preparado","",TEXT(NF($B102,"Fecha completado SGA"),"dd/mm/aaaa"))</t>
  </si>
  <si>
    <t>=NF($E102,"Estado documento")</t>
  </si>
  <si>
    <t>=NF($B102,"Fecha última situación")</t>
  </si>
  <si>
    <t>=IF($F102="","",NL("Primero","Situaciones Dispatching","Descripción","Cód. incidencia",$F102,"DataSource=","Navision","Empresa=","MEDIAPOST SPAIN"))</t>
  </si>
  <si>
    <t>=NF($B102,"Cód. transportista")</t>
  </si>
  <si>
    <t>=NF($B102,"Cód. servicio solicitado")</t>
  </si>
  <si>
    <t>=IF(NF($B102,"Link imagen")&lt;&gt;"",HYPERLINK(NF($B102,"Link imagen")),"")</t>
  </si>
  <si>
    <t>=NL("Primero","Cab. Expedición","Localizador","No. referencia transporte",NF($B102,"No. referencia transporte"),"Conexión=","Navision","Empresa=","MEDIAPOST SPAIN")</t>
  </si>
  <si>
    <t>="""Navision"",""MEDIAPOST SPAIN"",""7098016"",""14"",""64425001654"",""51"",""1200709017"",""50"",""64425001654"",""60"",""Isabel Guillen González"",""61"",""Navarro Ledesma 182, bloque 3 portal 2 piso 1B"",""62"",""29010"",""63"",""MALAGA"",""64"",""MALAGA"",""65"",""ES"",""102"",""10/09/2025"",""5020"&amp;"8"",""11/09/2025"",""50007"",""Entregado"",""50006"",""Enviado"",""50319"",""12/09/2025"",""40"",""TIPSA"",""41"",""STD"",""238"",""https://www.tip-sa.com/cliente/datos.php?id=028001093946442500165429010"",""1"",""Pedido"",""2"",""PD250155507"",""50318"",""00002"",""50045"","""""</t>
  </si>
  <si>
    <t>=NF($B103,"No.")</t>
  </si>
  <si>
    <t>=NL("Filas","SQL=select max(t.[Nº movimiento]) movimiento "&amp;
"    from [dbo].[MEDIAPOST SPAIN$Tracking Documento] t "&amp;
"  where t.[Nº Albarán] =  '"&amp;$C103&amp;"'  "&amp;
"       and t.[Estado Documento] &lt;&gt; '' ",{"movimiento"},"Datasource=","SQL-NAVISION")</t>
  </si>
  <si>
    <t>=NL("Primero","Tracking Documento",{"Estado Documento";"Cód. Incidencia"},"Nº movimiento",NF($D103,"movimiento"),"DataSource=","Navision","Empresa=","MEDIAPOST SPAIN")</t>
  </si>
  <si>
    <t>=NF($E103,"Cód. Incidencia")</t>
  </si>
  <si>
    <t>=IF($F103="","",NL("Primero","Situaciones Dispatching","Descripción","Cód. incidencia",$F103,"Notificar cliente","Sí","DataSource=","Navision","Empresa=","MEDIAPOST SPAIN"))</t>
  </si>
  <si>
    <t>=NF($B103,"No. Documento cliente")</t>
  </si>
  <si>
    <t>=NF($B103,"No. referencia transporte")</t>
  </si>
  <si>
    <t>=NF($B103,"No. expedición transporte")</t>
  </si>
  <si>
    <t>=NF($B103,"Nombre punto entrega")</t>
  </si>
  <si>
    <t>=NF($B103,"Dirección punto entrega")</t>
  </si>
  <si>
    <t>=NF($B103,"C.P. punto entrega")</t>
  </si>
  <si>
    <t>=NF($B103,"Población punto entrega")</t>
  </si>
  <si>
    <t>=NF($B103,"Provincia punto entrega")</t>
  </si>
  <si>
    <t>=NF($B103,"País punto entrega")</t>
  </si>
  <si>
    <t>=NF($B103,"Observaciones SGA")</t>
  </si>
  <si>
    <t>=IF($T103="Anulado","",TEXT(NF($B103,"Fecha envío al SGA"),"dd/mm/aaaa"))</t>
  </si>
  <si>
    <t>=IF($T103="Preparado","",TEXT(NF($B103,"Fecha completado SGA"),"dd/mm/aaaa"))</t>
  </si>
  <si>
    <t>=NF($E103,"Estado documento")</t>
  </si>
  <si>
    <t>=NF($B103,"Fecha última situación")</t>
  </si>
  <si>
    <t>=IF($F103="","",NL("Primero","Situaciones Dispatching","Descripción","Cód. incidencia",$F103,"DataSource=","Navision","Empresa=","MEDIAPOST SPAIN"))</t>
  </si>
  <si>
    <t>=NF($B103,"Cód. transportista")</t>
  </si>
  <si>
    <t>=NF($B103,"Cód. servicio solicitado")</t>
  </si>
  <si>
    <t>=IF(NF($B103,"Link imagen")&lt;&gt;"",HYPERLINK(NF($B103,"Link imagen")),"")</t>
  </si>
  <si>
    <t>=NL("Primero","Cab. Expedición","Localizador","No. referencia transporte",NF($B103,"No. referencia transporte"),"Conexión=","Navision","Empresa=","MEDIAPOST SPAIN")</t>
  </si>
  <si>
    <t>="""Navision"",""MEDIAPOST SPAIN"",""7098016"",""14"",""64425001655"",""51"",""1200709383"",""50"",""64425001655"",""60"",""Cecilia Soler Gonzalez"",""61"",""C/ Avenida del Higuerón 56-1*B, Buzón 453"",""62"",""29640"",""63"",""Fuengirola"",""64"",""MALAGA"",""65"",""ES"",""102"",""10/09/2025"",""50208"""&amp;",""10/09/2025"",""50007"",""Entregado"",""50006"",""Enviado"",""50319"",""11/09/2025"",""40"",""TIPSA"",""41"",""STD"",""238"",""https://www.tip-sa.com/cliente/datos.php?id=028001093946442500165529640"",""1"",""Pedido"",""2"",""PD250155567"",""50318"",""00002"",""50045"","""""</t>
  </si>
  <si>
    <t>=NF($B104,"No.")</t>
  </si>
  <si>
    <t>=NL("Filas","SQL=select max(t.[Nº movimiento]) movimiento "&amp;
"    from [dbo].[MEDIAPOST SPAIN$Tracking Documento] t "&amp;
"  where t.[Nº Albarán] =  '"&amp;$C104&amp;"'  "&amp;
"       and t.[Estado Documento] &lt;&gt; '' ",{"movimiento"},"Datasource=","SQL-NAVISION")</t>
  </si>
  <si>
    <t>=NL("Primero","Tracking Documento",{"Estado Documento";"Cód. Incidencia"},"Nº movimiento",NF($D104,"movimiento"),"DataSource=","Navision","Empresa=","MEDIAPOST SPAIN")</t>
  </si>
  <si>
    <t>=NF($E104,"Cód. Incidencia")</t>
  </si>
  <si>
    <t>=IF($F104="","",NL("Primero","Situaciones Dispatching","Descripción","Cód. incidencia",$F104,"Notificar cliente","Sí","DataSource=","Navision","Empresa=","MEDIAPOST SPAIN"))</t>
  </si>
  <si>
    <t>=NF($B104,"No. Documento cliente")</t>
  </si>
  <si>
    <t>=NF($B104,"No. referencia transporte")</t>
  </si>
  <si>
    <t>=NF($B104,"No. expedición transporte")</t>
  </si>
  <si>
    <t>=NF($B104,"Nombre punto entrega")</t>
  </si>
  <si>
    <t>=NF($B104,"Dirección punto entrega")</t>
  </si>
  <si>
    <t>=NF($B104,"C.P. punto entrega")</t>
  </si>
  <si>
    <t>=NF($B104,"Población punto entrega")</t>
  </si>
  <si>
    <t>=NF($B104,"Provincia punto entrega")</t>
  </si>
  <si>
    <t>=NF($B104,"País punto entrega")</t>
  </si>
  <si>
    <t>=NF($B104,"Observaciones SGA")</t>
  </si>
  <si>
    <t>=IF($T104="Anulado","",TEXT(NF($B104,"Fecha envío al SGA"),"dd/mm/aaaa"))</t>
  </si>
  <si>
    <t>=IF($T104="Preparado","",TEXT(NF($B104,"Fecha completado SGA"),"dd/mm/aaaa"))</t>
  </si>
  <si>
    <t>=NF($E104,"Estado documento")</t>
  </si>
  <si>
    <t>=NF($B104,"Fecha última situación")</t>
  </si>
  <si>
    <t>=IF($F104="","",NL("Primero","Situaciones Dispatching","Descripción","Cód. incidencia",$F104,"DataSource=","Navision","Empresa=","MEDIAPOST SPAIN"))</t>
  </si>
  <si>
    <t>=NF($B104,"Cód. transportista")</t>
  </si>
  <si>
    <t>=NF($B104,"Cód. servicio solicitado")</t>
  </si>
  <si>
    <t>=IF(NF($B104,"Link imagen")&lt;&gt;"",HYPERLINK(NF($B104,"Link imagen")),"")</t>
  </si>
  <si>
    <t>=NL("Primero","Cab. Expedición","Localizador","No. referencia transporte",NF($B104,"No. referencia transporte"),"Conexión=","Navision","Empresa=","MEDIAPOST SPAIN")</t>
  </si>
  <si>
    <t>="""Navision"",""MEDIAPOST SPAIN"",""7098016"",""14"",""64425001656"",""51"",""1200709385"",""50"",""64425001656"",""60"",""Mª Luz Fernandez Montoro"",""61"",""C/ Cala nº 30, 1ºB"",""62"",""07007"",""63"",""Palma de Mallorca"",""64"",""BALEARES"",""65"",""ES"",""102"",""10/09/2025"",""50208"",""10/09/2025"&amp;""",""50007"",""Entregado"",""50006"",""Enviado"",""50319"",""15/09/2025"",""40"",""TIPSA"",""41"",""STD"",""238"",""https://www.tip-sa.com/cliente/datos.php?id=028001093946442500165607007"",""1"",""Pedido"",""2"",""PD250155568"",""50318"",""00002"",""50045"","""""</t>
  </si>
  <si>
    <t>=NF($B105,"No.")</t>
  </si>
  <si>
    <t>=NL("Filas","SQL=select max(t.[Nº movimiento]) movimiento "&amp;
"    from [dbo].[MEDIAPOST SPAIN$Tracking Documento] t "&amp;
"  where t.[Nº Albarán] =  '"&amp;$C105&amp;"'  "&amp;
"       and t.[Estado Documento] &lt;&gt; '' ",{"movimiento"},"Datasource=","SQL-NAVISION")</t>
  </si>
  <si>
    <t>=NL("Primero","Tracking Documento",{"Estado Documento";"Cód. Incidencia"},"Nº movimiento",NF($D105,"movimiento"),"DataSource=","Navision","Empresa=","MEDIAPOST SPAIN")</t>
  </si>
  <si>
    <t>=NF($E105,"Cód. Incidencia")</t>
  </si>
  <si>
    <t>=IF($F105="","",NL("Primero","Situaciones Dispatching","Descripción","Cód. incidencia",$F105,"Notificar cliente","Sí","DataSource=","Navision","Empresa=","MEDIAPOST SPAIN"))</t>
  </si>
  <si>
    <t>=NF($B105,"No. Documento cliente")</t>
  </si>
  <si>
    <t>=NF($B105,"No. referencia transporte")</t>
  </si>
  <si>
    <t>=NF($B105,"No. expedición transporte")</t>
  </si>
  <si>
    <t>=NF($B105,"Nombre punto entrega")</t>
  </si>
  <si>
    <t>=NF($B105,"Dirección punto entrega")</t>
  </si>
  <si>
    <t>=NF($B105,"C.P. punto entrega")</t>
  </si>
  <si>
    <t>=NF($B105,"Población punto entrega")</t>
  </si>
  <si>
    <t>=NF($B105,"Provincia punto entrega")</t>
  </si>
  <si>
    <t>=NF($B105,"País punto entrega")</t>
  </si>
  <si>
    <t>=NF($B105,"Observaciones SGA")</t>
  </si>
  <si>
    <t>=IF($T105="Anulado","",TEXT(NF($B105,"Fecha envío al SGA"),"dd/mm/aaaa"))</t>
  </si>
  <si>
    <t>=IF($T105="Preparado","",TEXT(NF($B105,"Fecha completado SGA"),"dd/mm/aaaa"))</t>
  </si>
  <si>
    <t>=NF($E105,"Estado documento")</t>
  </si>
  <si>
    <t>=NF($B105,"Fecha última situación")</t>
  </si>
  <si>
    <t>=IF($F105="","",NL("Primero","Situaciones Dispatching","Descripción","Cód. incidencia",$F105,"DataSource=","Navision","Empresa=","MEDIAPOST SPAIN"))</t>
  </si>
  <si>
    <t>=NF($B105,"Cód. transportista")</t>
  </si>
  <si>
    <t>=NF($B105,"Cód. servicio solicitado")</t>
  </si>
  <si>
    <t>=IF(NF($B105,"Link imagen")&lt;&gt;"",HYPERLINK(NF($B105,"Link imagen")),"")</t>
  </si>
  <si>
    <t>=NL("Primero","Cab. Expedición","Localizador","No. referencia transporte",NF($B105,"No. referencia transporte"),"Conexión=","Navision","Empresa=","MEDIAPOST SPAIN")</t>
  </si>
  <si>
    <t>="""Navision"",""MEDIAPOST SPAIN"",""7098016"",""14"",""64425001657"",""51"",""000277927"",""50"",""64425001657"",""60"",""Jose Antonio Hernandez Alvarez"",""61"",""Dolores Rodriguez Sopeña, 1 piso 9 puerta 1º A"",""62"",""04004"",""63"",""Almería"",""64"",""ALMERIA"",""65"",""ES"",""102"",""10/09/202"&amp;"5"",""50208"",""10/09/2025"",""50007"",""Entregado"",""50006"",""Enviado"",""50319"",""11/09/2025"",""40"",""CEXPRESS"",""41"",""STD"",""238"",""https://www.correosexpress.com/chronoExtraNET/imagenes/mostrarImagen.seam?u=cdd394c03ac9cba88c65c265c9b9ea52&amp;e=7550109310650002779274"",""1"""&amp;",""Pedido"",""2"",""PD250155569"",""50318"",""00002"",""50045"","""""</t>
  </si>
  <si>
    <t>=NF($B106,"No.")</t>
  </si>
  <si>
    <t>=NL("Filas","SQL=select max(t.[Nº movimiento]) movimiento "&amp;
"    from [dbo].[MEDIAPOST SPAIN$Tracking Documento] t "&amp;
"  where t.[Nº Albarán] =  '"&amp;$C106&amp;"'  "&amp;
"       and t.[Estado Documento] &lt;&gt; '' ",{"movimiento"},"Datasource=","SQL-NAVISION")</t>
  </si>
  <si>
    <t>=NL("Primero","Tracking Documento",{"Estado Documento";"Cód. Incidencia"},"Nº movimiento",NF($D106,"movimiento"),"DataSource=","Navision","Empresa=","MEDIAPOST SPAIN")</t>
  </si>
  <si>
    <t>=NF($E106,"Cód. Incidencia")</t>
  </si>
  <si>
    <t>=IF($F106="","",NL("Primero","Situaciones Dispatching","Descripción","Cód. incidencia",$F106,"Notificar cliente","Sí","DataSource=","Navision","Empresa=","MEDIAPOST SPAIN"))</t>
  </si>
  <si>
    <t>=NF($B106,"No. Documento cliente")</t>
  </si>
  <si>
    <t>=NF($B106,"No. referencia transporte")</t>
  </si>
  <si>
    <t>=NF($B106,"No. expedición transporte")</t>
  </si>
  <si>
    <t>=NF($B106,"Nombre punto entrega")</t>
  </si>
  <si>
    <t>=NF($B106,"Dirección punto entrega")</t>
  </si>
  <si>
    <t>=NF($B106,"C.P. punto entrega")</t>
  </si>
  <si>
    <t>=NF($B106,"Población punto entrega")</t>
  </si>
  <si>
    <t>=NF($B106,"Provincia punto entrega")</t>
  </si>
  <si>
    <t>=NF($B106,"País punto entrega")</t>
  </si>
  <si>
    <t>=NF($B106,"Observaciones SGA")</t>
  </si>
  <si>
    <t>=IF($T106="Anulado","",TEXT(NF($B106,"Fecha envío al SGA"),"dd/mm/aaaa"))</t>
  </si>
  <si>
    <t>=IF($T106="Preparado","",TEXT(NF($B106,"Fecha completado SGA"),"dd/mm/aaaa"))</t>
  </si>
  <si>
    <t>=NF($E106,"Estado documento")</t>
  </si>
  <si>
    <t>=NF($B106,"Fecha última situación")</t>
  </si>
  <si>
    <t>=IF($F106="","",NL("Primero","Situaciones Dispatching","Descripción","Cód. incidencia",$F106,"DataSource=","Navision","Empresa=","MEDIAPOST SPAIN"))</t>
  </si>
  <si>
    <t>=NF($B106,"Cód. transportista")</t>
  </si>
  <si>
    <t>=NF($B106,"Cód. servicio solicitado")</t>
  </si>
  <si>
    <t>=IF(NF($B106,"Link imagen")&lt;&gt;"",HYPERLINK(NF($B106,"Link imagen")),"")</t>
  </si>
  <si>
    <t>=NL("Primero","Cab. Expedición","Localizador","No. referencia transporte",NF($B106,"No. referencia transporte"),"Conexión=","Navision","Empresa=","MEDIAPOST SPAIN")</t>
  </si>
  <si>
    <t>="""Navision"",""MEDIAPOST SPAIN"",""7098016"",""14"",""64425001658"",""51"",""000277926"",""50"",""64425001658"",""60"",""DELEGACION DAIICHI SANKYO ESPAÑA S.A."",""61"",""Paseo de la alameda 51, piso 2,p 3"",""62"",""46023"",""63"",""VALENCIA"",""64"",""VALENCIA"",""65"",""ES"",""102"",""10/09/2025"","&amp;"""50208"",""10/09/2025"",""50007"",""Entregado"",""50006"",""Enviado"",""50319"",""11/09/2025"",""40"",""CEXPRESS"",""41"",""STD"",""238"",""https://www.correosexpress.com/chronoExtraNET/imagenes/mostrarImagen.seam?u=cdd394c03ac9cba88c65c265c9b9ea52&amp;e=7550039310650002779267"",""1"",""P"&amp;"edido"",""2"",""PD250155570"",""50318"",""00002"",""50045"","""""</t>
  </si>
  <si>
    <t>=NF($B107,"No.")</t>
  </si>
  <si>
    <t>=NL("Filas","SQL=select max(t.[Nº movimiento]) movimiento "&amp;
"    from [dbo].[MEDIAPOST SPAIN$Tracking Documento] t "&amp;
"  where t.[Nº Albarán] =  '"&amp;$C107&amp;"'  "&amp;
"       and t.[Estado Documento] &lt;&gt; '' ",{"movimiento"},"Datasource=","SQL-NAVISION")</t>
  </si>
  <si>
    <t>=NL("Primero","Tracking Documento",{"Estado Documento";"Cód. Incidencia"},"Nº movimiento",NF($D107,"movimiento"),"DataSource=","Navision","Empresa=","MEDIAPOST SPAIN")</t>
  </si>
  <si>
    <t>=NF($E107,"Cód. Incidencia")</t>
  </si>
  <si>
    <t>=IF($F107="","",NL("Primero","Situaciones Dispatching","Descripción","Cód. incidencia",$F107,"Notificar cliente","Sí","DataSource=","Navision","Empresa=","MEDIAPOST SPAIN"))</t>
  </si>
  <si>
    <t>=NF($B107,"No. Documento cliente")</t>
  </si>
  <si>
    <t>=NF($B107,"No. referencia transporte")</t>
  </si>
  <si>
    <t>=NF($B107,"No. expedición transporte")</t>
  </si>
  <si>
    <t>=NF($B107,"Nombre punto entrega")</t>
  </si>
  <si>
    <t>=NF($B107,"Dirección punto entrega")</t>
  </si>
  <si>
    <t>=NF($B107,"C.P. punto entrega")</t>
  </si>
  <si>
    <t>=NF($B107,"Población punto entrega")</t>
  </si>
  <si>
    <t>=NF($B107,"Provincia punto entrega")</t>
  </si>
  <si>
    <t>=NF($B107,"País punto entrega")</t>
  </si>
  <si>
    <t>=NF($B107,"Observaciones SGA")</t>
  </si>
  <si>
    <t>=IF($T107="Anulado","",TEXT(NF($B107,"Fecha envío al SGA"),"dd/mm/aaaa"))</t>
  </si>
  <si>
    <t>=IF($T107="Preparado","",TEXT(NF($B107,"Fecha completado SGA"),"dd/mm/aaaa"))</t>
  </si>
  <si>
    <t>=NF($E107,"Estado documento")</t>
  </si>
  <si>
    <t>=NF($B107,"Fecha última situación")</t>
  </si>
  <si>
    <t>=IF($F107="","",NL("Primero","Situaciones Dispatching","Descripción","Cód. incidencia",$F107,"DataSource=","Navision","Empresa=","MEDIAPOST SPAIN"))</t>
  </si>
  <si>
    <t>=NF($B107,"Cód. transportista")</t>
  </si>
  <si>
    <t>=NF($B107,"Cód. servicio solicitado")</t>
  </si>
  <si>
    <t>=IF(NF($B107,"Link imagen")&lt;&gt;"",HYPERLINK(NF($B107,"Link imagen")),"")</t>
  </si>
  <si>
    <t>=NL("Primero","Cab. Expedición","Localizador","No. referencia transporte",NF($B107,"No. referencia transporte"),"Conexión=","Navision","Empresa=","MEDIAPOST SPAIN")</t>
  </si>
  <si>
    <t>="""Navision"",""MEDIAPOST SPAIN"",""7098016"",""14"",""64425001659"",""51"",""000277928"",""50"",""64425001659"",""60"",""DELEGACION DAIICHI SANKYO ESPAÑA S.A."",""61"",""Buenavista, 1"",""62"",""03008"",""63"",""ALICANTE"",""64"",""ALICANTE"",""65"",""ES"",""102"",""10/09/2025"",""50208"",""10/09/2025"","&amp;"""50007"",""Entregado"",""50006"",""Enviado"",""50319"",""12/09/2025"",""40"",""CEXPRESS"",""41"",""STD"",""238"",""https://www.correosexpress.com/chronoExtraNET/imagenes/mostrarImagen.seam?u=cdd394c03ac9cba88c65c265c9b9ea52&amp;e=521455219310650002779281"",""1"",""Pedido"",""2"",""PD25015"&amp;"5571"",""50318"",""00002"",""50045"","""""</t>
  </si>
  <si>
    <t>=NF($B108,"No.")</t>
  </si>
  <si>
    <t>=NL("Filas","SQL=select max(t.[Nº movimiento]) movimiento "&amp;
"    from [dbo].[MEDIAPOST SPAIN$Tracking Documento] t "&amp;
"  where t.[Nº Albarán] =  '"&amp;$C108&amp;"'  "&amp;
"       and t.[Estado Documento] &lt;&gt; '' ",{"movimiento"},"Datasource=","SQL-NAVISION")</t>
  </si>
  <si>
    <t>=NL("Primero","Tracking Documento",{"Estado Documento";"Cód. Incidencia"},"Nº movimiento",NF($D108,"movimiento"),"DataSource=","Navision","Empresa=","MEDIAPOST SPAIN")</t>
  </si>
  <si>
    <t>=NF($E108,"Cód. Incidencia")</t>
  </si>
  <si>
    <t>=IF($F108="","",NL("Primero","Situaciones Dispatching","Descripción","Cód. incidencia",$F108,"Notificar cliente","Sí","DataSource=","Navision","Empresa=","MEDIAPOST SPAIN"))</t>
  </si>
  <si>
    <t>=NF($B108,"No. Documento cliente")</t>
  </si>
  <si>
    <t>=NF($B108,"No. referencia transporte")</t>
  </si>
  <si>
    <t>=NF($B108,"No. expedición transporte")</t>
  </si>
  <si>
    <t>=NF($B108,"Nombre punto entrega")</t>
  </si>
  <si>
    <t>=NF($B108,"Dirección punto entrega")</t>
  </si>
  <si>
    <t>=NF($B108,"C.P. punto entrega")</t>
  </si>
  <si>
    <t>=NF($B108,"Población punto entrega")</t>
  </si>
  <si>
    <t>=NF($B108,"Provincia punto entrega")</t>
  </si>
  <si>
    <t>=NF($B108,"País punto entrega")</t>
  </si>
  <si>
    <t>=NF($B108,"Observaciones SGA")</t>
  </si>
  <si>
    <t>=IF($T108="Anulado","",TEXT(NF($B108,"Fecha envío al SGA"),"dd/mm/aaaa"))</t>
  </si>
  <si>
    <t>=IF($T108="Preparado","",TEXT(NF($B108,"Fecha completado SGA"),"dd/mm/aaaa"))</t>
  </si>
  <si>
    <t>=NF($E108,"Estado documento")</t>
  </si>
  <si>
    <t>=NF($B108,"Fecha última situación")</t>
  </si>
  <si>
    <t>=IF($F108="","",NL("Primero","Situaciones Dispatching","Descripción","Cód. incidencia",$F108,"DataSource=","Navision","Empresa=","MEDIAPOST SPAIN"))</t>
  </si>
  <si>
    <t>=NF($B108,"Cód. transportista")</t>
  </si>
  <si>
    <t>=NF($B108,"Cód. servicio solicitado")</t>
  </si>
  <si>
    <t>=IF(NF($B108,"Link imagen")&lt;&gt;"",HYPERLINK(NF($B108,"Link imagen")),"")</t>
  </si>
  <si>
    <t>=NL("Primero","Cab. Expedición","Localizador","No. referencia transporte",NF($B108,"No. referencia transporte"),"Conexión=","Navision","Empresa=","MEDIAPOST SPAIN")</t>
  </si>
  <si>
    <t>="""Navision"",""MEDIAPOST SPAIN"",""7098016"",""14"",""64425001660"",""51"",""000277924"",""50"",""64425001660"",""60"",""DELEGACION DAIICHI SANKYO ESPAÑA S.A."",""61"",""Llull, 321-329 - despachos 418/420 - Edf. CINC"",""62"",""08019"",""63"",""BARCELONA"",""64"",""BARCELONA"",""65"",""ES"",""102"""&amp;",""10/09/2025"",""50208"",""10/09/2025"",""50007"",""Entregado"",""50006"",""Enviado"",""50319"",""12/09/2025"",""40"",""CEXPRESS"",""41"",""STD"",""238"",""https://www.correosexpress.com/chronoExtraNET/imagenes/mostrarImagen.seam?u=cdd394c03ac9cba88c65c265c9b9ea52&amp;e=0698931065000277"&amp;"9243"",""1"",""Pedido"",""2"",""PD250155572"",""50318"",""00002"",""50045"","""""</t>
  </si>
  <si>
    <t>=NF($B109,"No.")</t>
  </si>
  <si>
    <t>=NL("Filas","SQL=select max(t.[Nº movimiento]) movimiento "&amp;
"    from [dbo].[MEDIAPOST SPAIN$Tracking Documento] t "&amp;
"  where t.[Nº Albarán] =  '"&amp;$C109&amp;"'  "&amp;
"       and t.[Estado Documento] &lt;&gt; '' ",{"movimiento"},"Datasource=","SQL-NAVISION")</t>
  </si>
  <si>
    <t>=NL("Primero","Tracking Documento",{"Estado Documento";"Cód. Incidencia"},"Nº movimiento",NF($D109,"movimiento"),"DataSource=","Navision","Empresa=","MEDIAPOST SPAIN")</t>
  </si>
  <si>
    <t>=NF($E109,"Cód. Incidencia")</t>
  </si>
  <si>
    <t>=IF($F109="","",NL("Primero","Situaciones Dispatching","Descripción","Cód. incidencia",$F109,"Notificar cliente","Sí","DataSource=","Navision","Empresa=","MEDIAPOST SPAIN"))</t>
  </si>
  <si>
    <t>=NF($B109,"No. Documento cliente")</t>
  </si>
  <si>
    <t>=NF($B109,"No. referencia transporte")</t>
  </si>
  <si>
    <t>=NF($B109,"No. expedición transporte")</t>
  </si>
  <si>
    <t>=NF($B109,"Nombre punto entrega")</t>
  </si>
  <si>
    <t>=NF($B109,"Dirección punto entrega")</t>
  </si>
  <si>
    <t>=NF($B109,"C.P. punto entrega")</t>
  </si>
  <si>
    <t>=NF($B109,"Población punto entrega")</t>
  </si>
  <si>
    <t>=NF($B109,"Provincia punto entrega")</t>
  </si>
  <si>
    <t>=NF($B109,"País punto entrega")</t>
  </si>
  <si>
    <t>=NF($B109,"Observaciones SGA")</t>
  </si>
  <si>
    <t>=IF($T109="Anulado","",TEXT(NF($B109,"Fecha envío al SGA"),"dd/mm/aaaa"))</t>
  </si>
  <si>
    <t>=IF($T109="Preparado","",TEXT(NF($B109,"Fecha completado SGA"),"dd/mm/aaaa"))</t>
  </si>
  <si>
    <t>=NF($E109,"Estado documento")</t>
  </si>
  <si>
    <t>=NF($B109,"Fecha última situación")</t>
  </si>
  <si>
    <t>=IF($F109="","",NL("Primero","Situaciones Dispatching","Descripción","Cód. incidencia",$F109,"DataSource=","Navision","Empresa=","MEDIAPOST SPAIN"))</t>
  </si>
  <si>
    <t>=NF($B109,"Cód. transportista")</t>
  </si>
  <si>
    <t>=NF($B109,"Cód. servicio solicitado")</t>
  </si>
  <si>
    <t>=IF(NF($B109,"Link imagen")&lt;&gt;"",HYPERLINK(NF($B109,"Link imagen")),"")</t>
  </si>
  <si>
    <t>=NL("Primero","Cab. Expedición","Localizador","No. referencia transporte",NF($B109,"No. referencia transporte"),"Conexión=","Navision","Empresa=","MEDIAPOST SPAIN")</t>
  </si>
  <si>
    <t>="""Navision"",""MEDIAPOST SPAIN"",""7098016"",""14"",""64425001661"",""51"",""000277929"",""50"",""64425001661"",""60"",""Jose Antonio Garcia Valiño"",""61"",""Carretrera de Visma a Mazaido, 11 - 2º C"",""62"",""15011"",""63"",""A CORUÑA"",""64"",""A CORUÑA"",""65"",""ES"",""102"",""10/09/2025"",""5020"&amp;"8"",""10/09/2025"",""50007"",""Entregado"",""50006"",""Enviado"",""50319"",""19/09/2025"",""40"",""CEXPRESS"",""41"",""STD"",""238"",""https://www.correosexpress.com/chronoExtraNET/imagenes/mostrarImagen.seam?u=cdd394c03ac9cba88c65c265c9b9ea52&amp;e=521455389310650002779298"",""1"",""Pedi"&amp;"do"",""2"",""PD250155573"",""50318"",""00002"",""50045"","""""</t>
  </si>
  <si>
    <t>=NF($B110,"No.")</t>
  </si>
  <si>
    <t>=NL("Filas","SQL=select max(t.[Nº movimiento]) movimiento "&amp;
"    from [dbo].[MEDIAPOST SPAIN$Tracking Documento] t "&amp;
"  where t.[Nº Albarán] =  '"&amp;$C110&amp;"'  "&amp;
"       and t.[Estado Documento] &lt;&gt; '' ",{"movimiento"},"Datasource=","SQL-NAVISION")</t>
  </si>
  <si>
    <t>=NL("Primero","Tracking Documento",{"Estado Documento";"Cód. Incidencia"},"Nº movimiento",NF($D110,"movimiento"),"DataSource=","Navision","Empresa=","MEDIAPOST SPAIN")</t>
  </si>
  <si>
    <t>=NF($E110,"Cód. Incidencia")</t>
  </si>
  <si>
    <t>=IF($F110="","",NL("Primero","Situaciones Dispatching","Descripción","Cód. incidencia",$F110,"Notificar cliente","Sí","DataSource=","Navision","Empresa=","MEDIAPOST SPAIN"))</t>
  </si>
  <si>
    <t>=NF($B110,"No. Documento cliente")</t>
  </si>
  <si>
    <t>=NF($B110,"No. referencia transporte")</t>
  </si>
  <si>
    <t>=NF($B110,"No. expedición transporte")</t>
  </si>
  <si>
    <t>=NF($B110,"Nombre punto entrega")</t>
  </si>
  <si>
    <t>=NF($B110,"Dirección punto entrega")</t>
  </si>
  <si>
    <t>=NF($B110,"C.P. punto entrega")</t>
  </si>
  <si>
    <t>=NF($B110,"Población punto entrega")</t>
  </si>
  <si>
    <t>=NF($B110,"Provincia punto entrega")</t>
  </si>
  <si>
    <t>=NF($B110,"País punto entrega")</t>
  </si>
  <si>
    <t>=NF($B110,"Observaciones SGA")</t>
  </si>
  <si>
    <t>=IF($T110="Anulado","",TEXT(NF($B110,"Fecha envío al SGA"),"dd/mm/aaaa"))</t>
  </si>
  <si>
    <t>=IF($T110="Preparado","",TEXT(NF($B110,"Fecha completado SGA"),"dd/mm/aaaa"))</t>
  </si>
  <si>
    <t>=NF($E110,"Estado documento")</t>
  </si>
  <si>
    <t>=NF($B110,"Fecha última situación")</t>
  </si>
  <si>
    <t>=IF($F110="","",NL("Primero","Situaciones Dispatching","Descripción","Cód. incidencia",$F110,"DataSource=","Navision","Empresa=","MEDIAPOST SPAIN"))</t>
  </si>
  <si>
    <t>=NF($B110,"Cód. transportista")</t>
  </si>
  <si>
    <t>=NF($B110,"Cód. servicio solicitado")</t>
  </si>
  <si>
    <t>=IF(NF($B110,"Link imagen")&lt;&gt;"",HYPERLINK(NF($B110,"Link imagen")),"")</t>
  </si>
  <si>
    <t>=NL("Primero","Cab. Expedición","Localizador","No. referencia transporte",NF($B110,"No. referencia transporte"),"Conexión=","Navision","Empresa=","MEDIAPOST SPAIN")</t>
  </si>
  <si>
    <t>="""Navision"",""MEDIAPOST SPAIN"",""7098016"",""14"",""64425001663"",""51"",""1200710575"",""50"",""64425001663"",""60"",""Ignacio Hijar Arriero"",""61"",""Barrio el Soito, 2A, puerta 15"",""62"",""39477"",""63"",""ORUÑA DE PIELAGOS"",""64"",""CANTABRIA"",""65"",""ES"",""102"",""16/09/2025"",""50208"","""&amp;"16/09/2025"",""50007"",""Entregado"",""50006"",""Enviado"",""50319"",""24/09/2025"",""40"",""TIPSA"",""41"",""STD"",""238"",""https://www.tip-sa.com/cliente/datos.php?id=028001093946442500166339477"",""1"",""Pedido"",""2"",""PD250158158"",""50318"",""00002"",""50045"","""""</t>
  </si>
  <si>
    <t>=NF($B111,"No.")</t>
  </si>
  <si>
    <t>=NL("Filas","SQL=select max(t.[Nº movimiento]) movimiento "&amp;
"    from [dbo].[MEDIAPOST SPAIN$Tracking Documento] t "&amp;
"  where t.[Nº Albarán] =  '"&amp;$C111&amp;"'  "&amp;
"       and t.[Estado Documento] &lt;&gt; '' ",{"movimiento"},"Datasource=","SQL-NAVISION")</t>
  </si>
  <si>
    <t>=NL("Primero","Tracking Documento",{"Estado Documento";"Cód. Incidencia"},"Nº movimiento",NF($D111,"movimiento"),"DataSource=","Navision","Empresa=","MEDIAPOST SPAIN")</t>
  </si>
  <si>
    <t>=NF($E111,"Cód. Incidencia")</t>
  </si>
  <si>
    <t>=IF($F111="","",NL("Primero","Situaciones Dispatching","Descripción","Cód. incidencia",$F111,"Notificar cliente","Sí","DataSource=","Navision","Empresa=","MEDIAPOST SPAIN"))</t>
  </si>
  <si>
    <t>=NF($B111,"No. Documento cliente")</t>
  </si>
  <si>
    <t>=NF($B111,"No. referencia transporte")</t>
  </si>
  <si>
    <t>=NF($B111,"No. expedición transporte")</t>
  </si>
  <si>
    <t>=NF($B111,"Nombre punto entrega")</t>
  </si>
  <si>
    <t>=NF($B111,"Dirección punto entrega")</t>
  </si>
  <si>
    <t>=NF($B111,"C.P. punto entrega")</t>
  </si>
  <si>
    <t>=NF($B111,"Población punto entrega")</t>
  </si>
  <si>
    <t>=NF($B111,"Provincia punto entrega")</t>
  </si>
  <si>
    <t>=NF($B111,"País punto entrega")</t>
  </si>
  <si>
    <t>=NF($B111,"Observaciones SGA")</t>
  </si>
  <si>
    <t>=IF($T111="Anulado","",TEXT(NF($B111,"Fecha envío al SGA"),"dd/mm/aaaa"))</t>
  </si>
  <si>
    <t>=IF($T111="Preparado","",TEXT(NF($B111,"Fecha completado SGA"),"dd/mm/aaaa"))</t>
  </si>
  <si>
    <t>=NF($E111,"Estado documento")</t>
  </si>
  <si>
    <t>=NF($B111,"Fecha última situación")</t>
  </si>
  <si>
    <t>=IF($F111="","",NL("Primero","Situaciones Dispatching","Descripción","Cód. incidencia",$F111,"DataSource=","Navision","Empresa=","MEDIAPOST SPAIN"))</t>
  </si>
  <si>
    <t>=NF($B111,"Cód. transportista")</t>
  </si>
  <si>
    <t>=NF($B111,"Cód. servicio solicitado")</t>
  </si>
  <si>
    <t>=IF(NF($B111,"Link imagen")&lt;&gt;"",HYPERLINK(NF($B111,"Link imagen")),"")</t>
  </si>
  <si>
    <t>=NL("Primero","Cab. Expedición","Localizador","No. referencia transporte",NF($B111,"No. referencia transporte"),"Conexión=","Navision","Empresa=","MEDIAPOST SPAIN")</t>
  </si>
  <si>
    <t>="""Navision"",""MEDIAPOST SPAIN"",""7098016"",""14"",""64425001666"",""51"",""000278948"",""50"",""64425001666"",""60"",""Noela Pousa Castro"",""61"",""Rúa Jose Luis Puente Domínguez, Casa 6"",""62"",""15702"",""63"",""SANTIAGO DE COMPOSTELA"",""64"",""A CORUÑA"",""65"",""ES"",""102"",""18/09/2025"","""&amp;"50208"",""19/09/2025"",""50007"",""Entregado"",""50006"",""Enviado"",""50319"",""22/09/2025"",""40"",""CEXPRESS"",""41"",""STD"",""238"",""https://www.correosexpress.com/chronoExtraNET/imagenes/mostrarImagen.seam?u=cdd394c03ac9cba88c65c265c9b9ea52&amp;e=7652249310650002789488"",""1"",""Pe"&amp;"dido"",""2"",""PD250160297"",""50318"",""00002"",""50045"","""""</t>
  </si>
  <si>
    <t>=NF($B112,"No.")</t>
  </si>
  <si>
    <t>=NL("Filas","SQL=select max(t.[Nº movimiento]) movimiento "&amp;
"    from [dbo].[MEDIAPOST SPAIN$Tracking Documento] t "&amp;
"  where t.[Nº Albarán] =  '"&amp;$C112&amp;"'  "&amp;
"       and t.[Estado Documento] &lt;&gt; '' ",{"movimiento"},"Datasource=","SQL-NAVISION")</t>
  </si>
  <si>
    <t>=NL("Primero","Tracking Documento",{"Estado Documento";"Cód. Incidencia"},"Nº movimiento",NF($D112,"movimiento"),"DataSource=","Navision","Empresa=","MEDIAPOST SPAIN")</t>
  </si>
  <si>
    <t>=NF($E112,"Cód. Incidencia")</t>
  </si>
  <si>
    <t>=IF($F112="","",NL("Primero","Situaciones Dispatching","Descripción","Cód. incidencia",$F112,"Notificar cliente","Sí","DataSource=","Navision","Empresa=","MEDIAPOST SPAIN"))</t>
  </si>
  <si>
    <t>=NF($B112,"No. Documento cliente")</t>
  </si>
  <si>
    <t>=NF($B112,"No. referencia transporte")</t>
  </si>
  <si>
    <t>=NF($B112,"No. expedición transporte")</t>
  </si>
  <si>
    <t>=NF($B112,"Nombre punto entrega")</t>
  </si>
  <si>
    <t>=NF($B112,"Dirección punto entrega")</t>
  </si>
  <si>
    <t>=NF($B112,"C.P. punto entrega")</t>
  </si>
  <si>
    <t>=NF($B112,"Población punto entrega")</t>
  </si>
  <si>
    <t>=NF($B112,"Provincia punto entrega")</t>
  </si>
  <si>
    <t>=NF($B112,"País punto entrega")</t>
  </si>
  <si>
    <t>=NF($B112,"Observaciones SGA")</t>
  </si>
  <si>
    <t>=IF($T112="Anulado","",TEXT(NF($B112,"Fecha envío al SGA"),"dd/mm/aaaa"))</t>
  </si>
  <si>
    <t>=IF($T112="Preparado","",TEXT(NF($B112,"Fecha completado SGA"),"dd/mm/aaaa"))</t>
  </si>
  <si>
    <t>=NF($E112,"Estado documento")</t>
  </si>
  <si>
    <t>=NF($B112,"Fecha última situación")</t>
  </si>
  <si>
    <t>=IF($F112="","",NL("Primero","Situaciones Dispatching","Descripción","Cód. incidencia",$F112,"DataSource=","Navision","Empresa=","MEDIAPOST SPAIN"))</t>
  </si>
  <si>
    <t>=NF($B112,"Cód. transportista")</t>
  </si>
  <si>
    <t>=NF($B112,"Cód. servicio solicitado")</t>
  </si>
  <si>
    <t>=IF(NF($B112,"Link imagen")&lt;&gt;"",HYPERLINK(NF($B112,"Link imagen")),"")</t>
  </si>
  <si>
    <t>=NL("Primero","Cab. Expedición","Localizador","No. referencia transporte",NF($B112,"No. referencia transporte"),"Conexión=","Navision","Empresa=","MEDIAPOST SPAIN")</t>
  </si>
  <si>
    <t>="""Navision"",""MEDIAPOST SPAIN"",""7098016"",""14"",""64425001668"",""51"",""000278949"",""50"",""64425001668"",""60"",""Elisenda Moncasi Sola"",""61"",""C/ Aribau, 180 Principal 1"",""62"",""08036"",""63"",""BARCELONA"",""64"",""BARCELONA"",""65"",""ES"",""102"",""18/09/2025"",""50208"",""19/09/2025"","""&amp;"50007"",""Entregado"",""50006"",""Enviado"",""50319"",""22/09/2025"",""40"",""CEXPRESS"",""41"",""STD"",""238"",""https://www.correosexpress.com/chronoExtraNET/imagenes/mostrarImagen.seam?u=cdd394c03ac9cba88c65c265c9b9ea52&amp;e=7652319310650002789495"",""1"",""Pedido"",""2"",""PD25016029"&amp;"8"",""50318"",""00002"",""50045"","""""</t>
  </si>
  <si>
    <t>=NF($B113,"No.")</t>
  </si>
  <si>
    <t>=NL("Filas","SQL=select max(t.[Nº movimiento]) movimiento "&amp;
"    from [dbo].[MEDIAPOST SPAIN$Tracking Documento] t "&amp;
"  where t.[Nº Albarán] =  '"&amp;$C113&amp;"'  "&amp;
"       and t.[Estado Documento] &lt;&gt; '' ",{"movimiento"},"Datasource=","SQL-NAVISION")</t>
  </si>
  <si>
    <t>=NL("Primero","Tracking Documento",{"Estado Documento";"Cód. Incidencia"},"Nº movimiento",NF($D113,"movimiento"),"DataSource=","Navision","Empresa=","MEDIAPOST SPAIN")</t>
  </si>
  <si>
    <t>=NF($E113,"Cód. Incidencia")</t>
  </si>
  <si>
    <t>=IF($F113="","",NL("Primero","Situaciones Dispatching","Descripción","Cód. incidencia",$F113,"Notificar cliente","Sí","DataSource=","Navision","Empresa=","MEDIAPOST SPAIN"))</t>
  </si>
  <si>
    <t>=NF($B113,"No. Documento cliente")</t>
  </si>
  <si>
    <t>=NF($B113,"No. referencia transporte")</t>
  </si>
  <si>
    <t>=NF($B113,"No. expedición transporte")</t>
  </si>
  <si>
    <t>=NF($B113,"Nombre punto entrega")</t>
  </si>
  <si>
    <t>=NF($B113,"Dirección punto entrega")</t>
  </si>
  <si>
    <t>=NF($B113,"C.P. punto entrega")</t>
  </si>
  <si>
    <t>=NF($B113,"Población punto entrega")</t>
  </si>
  <si>
    <t>=NF($B113,"Provincia punto entrega")</t>
  </si>
  <si>
    <t>=NF($B113,"País punto entrega")</t>
  </si>
  <si>
    <t>=NF($B113,"Observaciones SGA")</t>
  </si>
  <si>
    <t>=IF($T113="Anulado","",TEXT(NF($B113,"Fecha envío al SGA"),"dd/mm/aaaa"))</t>
  </si>
  <si>
    <t>=IF($T113="Preparado","",TEXT(NF($B113,"Fecha completado SGA"),"dd/mm/aaaa"))</t>
  </si>
  <si>
    <t>=NF($E113,"Estado documento")</t>
  </si>
  <si>
    <t>=NF($B113,"Fecha última situación")</t>
  </si>
  <si>
    <t>=IF($F113="","",NL("Primero","Situaciones Dispatching","Descripción","Cód. incidencia",$F113,"DataSource=","Navision","Empresa=","MEDIAPOST SPAIN"))</t>
  </si>
  <si>
    <t>=NF($B113,"Cód. transportista")</t>
  </si>
  <si>
    <t>=NF($B113,"Cód. servicio solicitado")</t>
  </si>
  <si>
    <t>=IF(NF($B113,"Link imagen")&lt;&gt;"",HYPERLINK(NF($B113,"Link imagen")),"")</t>
  </si>
  <si>
    <t>=NL("Primero","Cab. Expedición","Localizador","No. referencia transporte",NF($B113,"No. referencia transporte"),"Conexión=","Navision","Empresa=","MEDIAPOST SPAIN")</t>
  </si>
  <si>
    <t>="""Navision"",""MEDIAPOST SPAIN"",""7098016"",""14"",""64425001670"",""51"",""000278950"",""50"",""64425001670"",""60"",""Cristina Guardiola Contreras"",""61"",""o Calle 205 número 14, La Canyada, Paterna"",""62"",""46182"",""63"",""Valencia"",""64"",""Valencia"",""65"",""ES"",""102"",""18/09/2025"","""&amp;"50208"",""19/09/2025"",""50007"",""Entregado"",""50006"",""Enviado"",""50319"",""22/09/2025"",""40"",""CEXPRESS"",""41"",""STD"",""238"",""https://www.correosexpress.com/chronoExtraNET/imagenes/mostrarImagen.seam?u=cdd394c03ac9cba88c65c265c9b9ea52&amp;e=22103679310650002789501"",""1"",""P"&amp;"edido"",""2"",""PD250160299"",""50318"",""00002"",""50045"","""""</t>
  </si>
  <si>
    <t>=NF($B114,"No.")</t>
  </si>
  <si>
    <t>=NL("Filas","SQL=select max(t.[Nº movimiento]) movimiento "&amp;
"    from [dbo].[MEDIAPOST SPAIN$Tracking Documento] t "&amp;
"  where t.[Nº Albarán] =  '"&amp;$C114&amp;"'  "&amp;
"       and t.[Estado Documento] &lt;&gt; '' ",{"movimiento"},"Datasource=","SQL-NAVISION")</t>
  </si>
  <si>
    <t>=NL("Primero","Tracking Documento",{"Estado Documento";"Cód. Incidencia"},"Nº movimiento",NF($D114,"movimiento"),"DataSource=","Navision","Empresa=","MEDIAPOST SPAIN")</t>
  </si>
  <si>
    <t>=NF($E114,"Cód. Incidencia")</t>
  </si>
  <si>
    <t>=IF($F114="","",NL("Primero","Situaciones Dispatching","Descripción","Cód. incidencia",$F114,"Notificar cliente","Sí","DataSource=","Navision","Empresa=","MEDIAPOST SPAIN"))</t>
  </si>
  <si>
    <t>=NF($B114,"No. Documento cliente")</t>
  </si>
  <si>
    <t>=NF($B114,"No. referencia transporte")</t>
  </si>
  <si>
    <t>=NF($B114,"No. expedición transporte")</t>
  </si>
  <si>
    <t>=NF($B114,"Nombre punto entrega")</t>
  </si>
  <si>
    <t>=NF($B114,"Dirección punto entrega")</t>
  </si>
  <si>
    <t>=NF($B114,"C.P. punto entrega")</t>
  </si>
  <si>
    <t>=NF($B114,"Población punto entrega")</t>
  </si>
  <si>
    <t>=NF($B114,"Provincia punto entrega")</t>
  </si>
  <si>
    <t>=NF($B114,"País punto entrega")</t>
  </si>
  <si>
    <t>=NF($B114,"Observaciones SGA")</t>
  </si>
  <si>
    <t>=IF($T114="Anulado","",TEXT(NF($B114,"Fecha envío al SGA"),"dd/mm/aaaa"))</t>
  </si>
  <si>
    <t>=IF($T114="Preparado","",TEXT(NF($B114,"Fecha completado SGA"),"dd/mm/aaaa"))</t>
  </si>
  <si>
    <t>=NF($E114,"Estado documento")</t>
  </si>
  <si>
    <t>=NF($B114,"Fecha última situación")</t>
  </si>
  <si>
    <t>=IF($F114="","",NL("Primero","Situaciones Dispatching","Descripción","Cód. incidencia",$F114,"DataSource=","Navision","Empresa=","MEDIAPOST SPAIN"))</t>
  </si>
  <si>
    <t>=NF($B114,"Cód. transportista")</t>
  </si>
  <si>
    <t>=NF($B114,"Cód. servicio solicitado")</t>
  </si>
  <si>
    <t>=IF(NF($B114,"Link imagen")&lt;&gt;"",HYPERLINK(NF($B114,"Link imagen")),"")</t>
  </si>
  <si>
    <t>=NL("Primero","Cab. Expedición","Localizador","No. referencia transporte",NF($B114,"No. referencia transporte"),"Conexión=","Navision","Empresa=","MEDIAPOST SPAIN")</t>
  </si>
  <si>
    <t>="""Navision"",""MEDIAPOST SPAIN"",""7098016"",""14"",""64425001672"",""51"",""2829402290"",""50"",""64425001672"",""60"",""Eva Cruz"",""61"",""Ctra. de Boadilla, 21"",""62"",""28220"",""63"",""Majadahonda"",""64"",""Madrid"",""65"",""ES"",""102"",""18/09/2025"",""50208"",""19/09/2025"",""50007"",""Entregado"""&amp;",""50006"",""Enviado"",""50319"",""22/09/2025"",""40"",""DHL"",""41"",""STD"",""238"",""https://clientesparcel.dhl.es/seguimientoenvios/integra/SeguimientoDocumentos.aspx?codigo=2829402290&amp;anno=2025&amp;lang=sp&amp;zatar=q45LoBtfSS29xHGRDZ57"",""1"",""Pedido"",""2"",""PD250160300"",""50318"","&amp;"""00002"",""50045"","""""</t>
  </si>
  <si>
    <t>=NF($B115,"No.")</t>
  </si>
  <si>
    <t>=NL("Filas","SQL=select max(t.[Nº movimiento]) movimiento "&amp;
"    from [dbo].[MEDIAPOST SPAIN$Tracking Documento] t "&amp;
"  where t.[Nº Albarán] =  '"&amp;$C115&amp;"'  "&amp;
"       and t.[Estado Documento] &lt;&gt; '' ",{"movimiento"},"Datasource=","SQL-NAVISION")</t>
  </si>
  <si>
    <t>=NL("Primero","Tracking Documento",{"Estado Documento";"Cód. Incidencia"},"Nº movimiento",NF($D115,"movimiento"),"DataSource=","Navision","Empresa=","MEDIAPOST SPAIN")</t>
  </si>
  <si>
    <t>=NF($E115,"Cód. Incidencia")</t>
  </si>
  <si>
    <t>=IF($F115="","",NL("Primero","Situaciones Dispatching","Descripción","Cód. incidencia",$F115,"Notificar cliente","Sí","DataSource=","Navision","Empresa=","MEDIAPOST SPAIN"))</t>
  </si>
  <si>
    <t>=NF($B115,"No. Documento cliente")</t>
  </si>
  <si>
    <t>=NF($B115,"No. referencia transporte")</t>
  </si>
  <si>
    <t>=NF($B115,"No. expedición transporte")</t>
  </si>
  <si>
    <t>=NF($B115,"Nombre punto entrega")</t>
  </si>
  <si>
    <t>=NF($B115,"Dirección punto entrega")</t>
  </si>
  <si>
    <t>=NF($B115,"C.P. punto entrega")</t>
  </si>
  <si>
    <t>=NF($B115,"Población punto entrega")</t>
  </si>
  <si>
    <t>=NF($B115,"Provincia punto entrega")</t>
  </si>
  <si>
    <t>=NF($B115,"País punto entrega")</t>
  </si>
  <si>
    <t>=NF($B115,"Observaciones SGA")</t>
  </si>
  <si>
    <t>=IF($T115="Anulado","",TEXT(NF($B115,"Fecha envío al SGA"),"dd/mm/aaaa"))</t>
  </si>
  <si>
    <t>=IF($T115="Preparado","",TEXT(NF($B115,"Fecha completado SGA"),"dd/mm/aaaa"))</t>
  </si>
  <si>
    <t>=NF($E115,"Estado documento")</t>
  </si>
  <si>
    <t>=NF($B115,"Fecha última situación")</t>
  </si>
  <si>
    <t>=IF($F115="","",NL("Primero","Situaciones Dispatching","Descripción","Cód. incidencia",$F115,"DataSource=","Navision","Empresa=","MEDIAPOST SPAIN"))</t>
  </si>
  <si>
    <t>=NF($B115,"Cód. transportista")</t>
  </si>
  <si>
    <t>=NF($B115,"Cód. servicio solicitado")</t>
  </si>
  <si>
    <t>=IF(NF($B115,"Link imagen")&lt;&gt;"",HYPERLINK(NF($B115,"Link imagen")),"")</t>
  </si>
  <si>
    <t>=NL("Primero","Cab. Expedición","Localizador","No. referencia transporte",NF($B115,"No. referencia transporte"),"Conexión=","Navision","Empresa=","MEDIAPOST SPAIN")</t>
  </si>
  <si>
    <t>="""Navision"",""MEDIAPOST SPAIN"",""7098016"",""14"",""64425001674"",""51"",""64425001674-0"",""50"",""64425001674"",""60"",""Hospital Infanta Leonor"",""61"",""Avenida de la Gran Vía del Este, 80."",""62"",""28031"",""63"",""Distrito Municipal de Villa de Vallecas"",""64"",""Madrid"",""65"",""ES"&amp;""",""102"",""23/09/2025"",""50208"",""24/09/2025"",""50007"",""Entregado"",""50006"",""Enviado"",""50319"",""30/09/2025"",""40"",""HIDALFER"",""41"",""PRESUPUESTO"",""238"",""https://img.directoatusclientes.com/iris/POD/HIDALFER/64425001674.pdf"",""1"",""Pedido"",""2"",""PD250162284"",""50318"",""0"&amp;"0002"",""50045"","""""</t>
  </si>
  <si>
    <t>=NF($B116,"No.")</t>
  </si>
  <si>
    <t>=NL("Filas","SQL=select max(t.[Nº movimiento]) movimiento "&amp;
"    from [dbo].[MEDIAPOST SPAIN$Tracking Documento] t "&amp;
"  where t.[Nº Albarán] =  '"&amp;$C116&amp;"'  "&amp;
"       and t.[Estado Documento] &lt;&gt; '' ",{"movimiento"},"Datasource=","SQL-NAVISION")</t>
  </si>
  <si>
    <t>=NL("Primero","Tracking Documento",{"Estado Documento";"Cód. Incidencia"},"Nº movimiento",NF($D116,"movimiento"),"DataSource=","Navision","Empresa=","MEDIAPOST SPAIN")</t>
  </si>
  <si>
    <t>=NF($E116,"Cód. Incidencia")</t>
  </si>
  <si>
    <t>=IF($F116="","",NL("Primero","Situaciones Dispatching","Descripción","Cód. incidencia",$F116,"Notificar cliente","Sí","DataSource=","Navision","Empresa=","MEDIAPOST SPAIN"))</t>
  </si>
  <si>
    <t>=NF($B116,"No. Documento cliente")</t>
  </si>
  <si>
    <t>=NF($B116,"No. referencia transporte")</t>
  </si>
  <si>
    <t>=NF($B116,"No. expedición transporte")</t>
  </si>
  <si>
    <t>=NF($B116,"Nombre punto entrega")</t>
  </si>
  <si>
    <t>=NF($B116,"Dirección punto entrega")</t>
  </si>
  <si>
    <t>=NF($B116,"C.P. punto entrega")</t>
  </si>
  <si>
    <t>=NF($B116,"Población punto entrega")</t>
  </si>
  <si>
    <t>=NF($B116,"Provincia punto entrega")</t>
  </si>
  <si>
    <t>=NF($B116,"País punto entrega")</t>
  </si>
  <si>
    <t>=NF($B116,"Observaciones SGA")</t>
  </si>
  <si>
    <t>=IF($T116="Anulado","",TEXT(NF($B116,"Fecha envío al SGA"),"dd/mm/aaaa"))</t>
  </si>
  <si>
    <t>=IF($T116="Preparado","",TEXT(NF($B116,"Fecha completado SGA"),"dd/mm/aaaa"))</t>
  </si>
  <si>
    <t>=NF($E116,"Estado documento")</t>
  </si>
  <si>
    <t>=NF($B116,"Fecha última situación")</t>
  </si>
  <si>
    <t>=IF($F116="","",NL("Primero","Situaciones Dispatching","Descripción","Cód. incidencia",$F116,"DataSource=","Navision","Empresa=","MEDIAPOST SPAIN"))</t>
  </si>
  <si>
    <t>=NF($B116,"Cód. transportista")</t>
  </si>
  <si>
    <t>=NF($B116,"Cód. servicio solicitado")</t>
  </si>
  <si>
    <t>=IF(NF($B116,"Link imagen")&lt;&gt;"",HYPERLINK(NF($B116,"Link imagen")),"")</t>
  </si>
  <si>
    <t>=NL("Primero","Cab. Expedición","Localizador","No. referencia transporte",NF($B116,"No. referencia transporte"),"Conexión=","Navision","Empresa=","MEDIAPOST SPAIN")</t>
  </si>
  <si>
    <t>="""Navision"",""MEDIAPOST SPAIN"",""7098016"",""14"",""64425001676"",""51"",""1200712957"",""50"",""64425001676"",""60"",""Jose Antonio Carmona Luque"",""61"",""Tablerón, 21 2º Izda."",""62"",""23001"",""63"",""JAEN"",""64"",""JAEN"",""65"",""ES"",""102"",""23/09/2025"",""50208"",""24/09/2025"",""50007"",""E"&amp;"ntregado"",""50006"",""Enviado"",""50319"",""25/09/2025"",""40"",""TIPSA"",""41"",""STD"",""238"",""https://www.tip-sa.com/cliente/datos.php?id=028001093946442500167623001"",""1"",""Pedido"",""2"",""PD250162724"",""50318"",""00002"",""50045"","""""</t>
  </si>
  <si>
    <t>=NF($B117,"No.")</t>
  </si>
  <si>
    <t>=NL("Filas","SQL=select max(t.[Nº movimiento]) movimiento "&amp;
"    from [dbo].[MEDIAPOST SPAIN$Tracking Documento] t "&amp;
"  where t.[Nº Albarán] =  '"&amp;$C117&amp;"'  "&amp;
"       and t.[Estado Documento] &lt;&gt; '' ",{"movimiento"},"Datasource=","SQL-NAVISION")</t>
  </si>
  <si>
    <t>=NL("Primero","Tracking Documento",{"Estado Documento";"Cód. Incidencia"},"Nº movimiento",NF($D117,"movimiento"),"DataSource=","Navision","Empresa=","MEDIAPOST SPAIN")</t>
  </si>
  <si>
    <t>=NF($E117,"Cód. Incidencia")</t>
  </si>
  <si>
    <t>=IF($F117="","",NL("Primero","Situaciones Dispatching","Descripción","Cód. incidencia",$F117,"Notificar cliente","Sí","DataSource=","Navision","Empresa=","MEDIAPOST SPAIN"))</t>
  </si>
  <si>
    <t>=NF($B117,"No. Documento cliente")</t>
  </si>
  <si>
    <t>=NF($B117,"No. referencia transporte")</t>
  </si>
  <si>
    <t>=NF($B117,"No. expedición transporte")</t>
  </si>
  <si>
    <t>=NF($B117,"Nombre punto entrega")</t>
  </si>
  <si>
    <t>=NF($B117,"Dirección punto entrega")</t>
  </si>
  <si>
    <t>=NF($B117,"C.P. punto entrega")</t>
  </si>
  <si>
    <t>=NF($B117,"Población punto entrega")</t>
  </si>
  <si>
    <t>=NF($B117,"Provincia punto entrega")</t>
  </si>
  <si>
    <t>=NF($B117,"País punto entrega")</t>
  </si>
  <si>
    <t>=NF($B117,"Observaciones SGA")</t>
  </si>
  <si>
    <t>=IF($T117="Anulado","",TEXT(NF($B117,"Fecha envío al SGA"),"dd/mm/aaaa"))</t>
  </si>
  <si>
    <t>=IF($T117="Preparado","",TEXT(NF($B117,"Fecha completado SGA"),"dd/mm/aaaa"))</t>
  </si>
  <si>
    <t>=NF($E117,"Estado documento")</t>
  </si>
  <si>
    <t>=NF($B117,"Fecha última situación")</t>
  </si>
  <si>
    <t>=IF($F117="","",NL("Primero","Situaciones Dispatching","Descripción","Cód. incidencia",$F117,"DataSource=","Navision","Empresa=","MEDIAPOST SPAIN"))</t>
  </si>
  <si>
    <t>=NF($B117,"Cód. transportista")</t>
  </si>
  <si>
    <t>=NF($B117,"Cód. servicio solicitado")</t>
  </si>
  <si>
    <t>=IF(NF($B117,"Link imagen")&lt;&gt;"",HYPERLINK(NF($B117,"Link imagen")),"")</t>
  </si>
  <si>
    <t>=NL("Primero","Cab. Expedición","Localizador","No. referencia transporte",NF($B117,"No. referencia transporte"),"Conexión=","Navision","Empresa=","MEDIAPOST SPAIN")</t>
  </si>
  <si>
    <t>="""Navision"",""MEDIAPOST SPAIN"",""7098016"",""14"",""64425001678"",""51"",""000279828"",""50"",""64425001678"",""60"",""ELENA MIOLLI MONTENEGRO"",""61"",""CAMINO DEL MAJUELO S/N"",""62"",""41309"",""63"",""LA RINCONADA"",""64"",""SEVILLA"",""65"",""ES"",""102"",""24/09/2025"",""50208"",""25/09/2025"",""5"&amp;"0007"",""Entregado"",""50006"",""Enviado"",""50319"",""26/09/2025"",""40"",""CEXPRESS"",""41"",""STD"",""238"",""https://www.correosexpress.com/chronoExtraNET/imagenes/mostrarImagen.seam?u=cdd394c03ac9cba88c65c265c9b9ea52&amp;e=97389310650002798282"",""1"",""Pedido"",""2"",""PD250163524"","&amp;"""50318"",""00002"",""50045"","""""</t>
  </si>
  <si>
    <t>=NF($B118,"No.")</t>
  </si>
  <si>
    <t>=NL("Filas","SQL=select max(t.[Nº movimiento]) movimiento "&amp;
"    from [dbo].[MEDIAPOST SPAIN$Tracking Documento] t "&amp;
"  where t.[Nº Albarán] =  '"&amp;$C118&amp;"'  "&amp;
"       and t.[Estado Documento] &lt;&gt; '' ",{"movimiento"},"Datasource=","SQL-NAVISION")</t>
  </si>
  <si>
    <t>=NL("Primero","Tracking Documento",{"Estado Documento";"Cód. Incidencia"},"Nº movimiento",NF($D118,"movimiento"),"DataSource=","Navision","Empresa=","MEDIAPOST SPAIN")</t>
  </si>
  <si>
    <t>=NF($E118,"Cód. Incidencia")</t>
  </si>
  <si>
    <t>=IF($F118="","",NL("Primero","Situaciones Dispatching","Descripción","Cód. incidencia",$F118,"Notificar cliente","Sí","DataSource=","Navision","Empresa=","MEDIAPOST SPAIN"))</t>
  </si>
  <si>
    <t>=NF($B118,"No. Documento cliente")</t>
  </si>
  <si>
    <t>=NF($B118,"No. referencia transporte")</t>
  </si>
  <si>
    <t>=NF($B118,"No. expedición transporte")</t>
  </si>
  <si>
    <t>=NF($B118,"Nombre punto entrega")</t>
  </si>
  <si>
    <t>=NF($B118,"Dirección punto entrega")</t>
  </si>
  <si>
    <t>=NF($B118,"C.P. punto entrega")</t>
  </si>
  <si>
    <t>=NF($B118,"Población punto entrega")</t>
  </si>
  <si>
    <t>=NF($B118,"Provincia punto entrega")</t>
  </si>
  <si>
    <t>=NF($B118,"País punto entrega")</t>
  </si>
  <si>
    <t>=NF($B118,"Observaciones SGA")</t>
  </si>
  <si>
    <t>=IF($T118="Anulado","",TEXT(NF($B118,"Fecha envío al SGA"),"dd/mm/aaaa"))</t>
  </si>
  <si>
    <t>=IF($T118="Preparado","",TEXT(NF($B118,"Fecha completado SGA"),"dd/mm/aaaa"))</t>
  </si>
  <si>
    <t>=NF($E118,"Estado documento")</t>
  </si>
  <si>
    <t>=NF($B118,"Fecha última situación")</t>
  </si>
  <si>
    <t>=IF($F118="","",NL("Primero","Situaciones Dispatching","Descripción","Cód. incidencia",$F118,"DataSource=","Navision","Empresa=","MEDIAPOST SPAIN"))</t>
  </si>
  <si>
    <t>=NF($B118,"Cód. transportista")</t>
  </si>
  <si>
    <t>=NF($B118,"Cód. servicio solicitado")</t>
  </si>
  <si>
    <t>=IF(NF($B118,"Link imagen")&lt;&gt;"",HYPERLINK(NF($B118,"Link imagen")),"")</t>
  </si>
  <si>
    <t>=NL("Primero","Cab. Expedición","Localizador","No. referencia transporte",NF($B118,"No. referencia transporte"),"Conexión=","Navision","Empresa=","MEDIAPOST SPAIN")</t>
  </si>
  <si>
    <t>="""Navision"",""MEDIAPOST SPAIN"",""7098016"",""14"",""64425001680"",""51"",""2829405420"",""50"",""64425001680"",""60"",""UMUEmprende"",""61"",""Centro Social Universitario (UMUEmprende) C/ Ana Mª Matute, 2 30100 Espinardo (M"",""62"",""30100"",""63"",""Murcia"",""64"",""Murcia"",""65"",""ES"",""1"&amp;"02"",""29/09/2025"",""50208"",""30/09/2025"",""50007"",""Entregado"",""50006"",""Enviado"",""50319"",""01/10/2025"",""40"",""DHL"",""41"",""STD"",""238"",""https://clientesparcel.dhl.es/seguimientoenvios/integra/SeguimientoDocumentos.aspx?codigo=2829405420&amp;anno=2025&amp;lang=sp&amp;zatar=q45L"&amp;"oBtfSS29xHGRDZ57"",""1"",""Pedido"",""2"",""PD250165846"",""50318"",""00002"",""50045"","""""</t>
  </si>
  <si>
    <t>=NF($B119,"No.")</t>
  </si>
  <si>
    <t>=NL("Filas","SQL=select max(t.[Nº movimiento]) movimiento "&amp;
"    from [dbo].[MEDIAPOST SPAIN$Tracking Documento] t "&amp;
"  where t.[Nº Albarán] =  '"&amp;$C119&amp;"'  "&amp;
"       and t.[Estado Documento] &lt;&gt; '' ",{"movimiento"},"Datasource=","SQL-NAVISION")</t>
  </si>
  <si>
    <t>=NL("Primero","Tracking Documento",{"Estado Documento";"Cód. Incidencia"},"Nº movimiento",NF($D119,"movimiento"),"DataSource=","Navision","Empresa=","MEDIAPOST SPAIN")</t>
  </si>
  <si>
    <t>=NF($E119,"Cód. Incidencia")</t>
  </si>
  <si>
    <t>=IF($F119="","",NL("Primero","Situaciones Dispatching","Descripción","Cód. incidencia",$F119,"Notificar cliente","Sí","DataSource=","Navision","Empresa=","MEDIAPOST SPAIN"))</t>
  </si>
  <si>
    <t>=NF($B119,"No. Documento cliente")</t>
  </si>
  <si>
    <t>=NF($B119,"No. referencia transporte")</t>
  </si>
  <si>
    <t>=NF($B119,"No. expedición transporte")</t>
  </si>
  <si>
    <t>=NF($B119,"Nombre punto entrega")</t>
  </si>
  <si>
    <t>=NF($B119,"Dirección punto entrega")</t>
  </si>
  <si>
    <t>=NF($B119,"C.P. punto entrega")</t>
  </si>
  <si>
    <t>=NF($B119,"Población punto entrega")</t>
  </si>
  <si>
    <t>=NF($B119,"Provincia punto entrega")</t>
  </si>
  <si>
    <t>=NF($B119,"País punto entrega")</t>
  </si>
  <si>
    <t>=NF($B119,"Observaciones SGA")</t>
  </si>
  <si>
    <t>=IF($T119="Anulado","",TEXT(NF($B119,"Fecha envío al SGA"),"dd/mm/aaaa"))</t>
  </si>
  <si>
    <t>=IF($T119="Preparado","",TEXT(NF($B119,"Fecha completado SGA"),"dd/mm/aaaa"))</t>
  </si>
  <si>
    <t>=NF($E119,"Estado documento")</t>
  </si>
  <si>
    <t>=NF($B119,"Fecha última situación")</t>
  </si>
  <si>
    <t>=IF($F119="","",NL("Primero","Situaciones Dispatching","Descripción","Cód. incidencia",$F119,"DataSource=","Navision","Empresa=","MEDIAPOST SPAIN"))</t>
  </si>
  <si>
    <t>=NF($B119,"Cód. transportista")</t>
  </si>
  <si>
    <t>=NF($B119,"Cód. servicio solicitado")</t>
  </si>
  <si>
    <t>=IF(NF($B119,"Link imagen")&lt;&gt;"",HYPERLINK(NF($B119,"Link imagen")),"")</t>
  </si>
  <si>
    <t>=NL("Primero","Cab. Expedición","Localizador","No. referencia transporte",NF($B119,"No. referencia transporte"),"Conexión=","Navision","Empresa=","MEDIAPOST SPAIN")</t>
  </si>
  <si>
    <t>="""Navision"",""MEDIAPOST SPAIN"",""7098016"",""14"",""DPD250262846"",""51"",""2829397770"",""50"",""DPD250262846"",""60"",""MANUEL"",""61"",""CALLE 7, CASA 2 - COMUNIDAD MOLITEJA"",""62"",""23196"",""63"",""PUENTE DE LA SIERRA"",""64"",""JAEN"",""65"",""ES"",""102"",""09/09/2025"",""50208"",""09/09/2025"&amp;""",""50007"",""Entregado"",""50006"",""Enviado"",""50319"",""11/09/2025"",""40"",""DHL"",""41"",""STD"",""238"",""https://clientesparcel.dhl.es/seguimientoenvios/integra/SeguimientoDocumentos.aspx?codigo=2829397770&amp;anno=2025&amp;lang=sp&amp;zatar=q45LoBtfSS29xHGRDZ57"",""1"",""Pedido"",""2"","""&amp;"PD250153849"",""50318"",""00002"",""50045"","""""</t>
  </si>
  <si>
    <t>=NF($B120,"No.")</t>
  </si>
  <si>
    <t>=NL("Filas","SQL=select max(t.[Nº movimiento]) movimiento "&amp;
"    from [dbo].[MEDIAPOST SPAIN$Tracking Documento] t "&amp;
"  where t.[Nº Albarán] =  '"&amp;$C120&amp;"'  "&amp;
"       and t.[Estado Documento] &lt;&gt; '' ",{"movimiento"},"Datasource=","SQL-NAVISION")</t>
  </si>
  <si>
    <t>=NL("Primero","Tracking Documento",{"Estado Documento";"Cód. Incidencia"},"Nº movimiento",NF($D120,"movimiento"),"DataSource=","Navision","Empresa=","MEDIAPOST SPAIN")</t>
  </si>
  <si>
    <t>=NF($E120,"Cód. Incidencia")</t>
  </si>
  <si>
    <t>=IF($F120="","",NL("Primero","Situaciones Dispatching","Descripción","Cód. incidencia",$F120,"Notificar cliente","Sí","DataSource=","Navision","Empresa=","MEDIAPOST SPAIN"))</t>
  </si>
  <si>
    <t>=NF($B120,"No. Documento cliente")</t>
  </si>
  <si>
    <t>=NF($B120,"No. referencia transporte")</t>
  </si>
  <si>
    <t>=NF($B120,"No. expedición transporte")</t>
  </si>
  <si>
    <t>=NF($B120,"Nombre punto entrega")</t>
  </si>
  <si>
    <t>=NF($B120,"Dirección punto entrega")</t>
  </si>
  <si>
    <t>=NF($B120,"C.P. punto entrega")</t>
  </si>
  <si>
    <t>=NF($B120,"Población punto entrega")</t>
  </si>
  <si>
    <t>=NF($B120,"Provincia punto entrega")</t>
  </si>
  <si>
    <t>=NF($B120,"País punto entrega")</t>
  </si>
  <si>
    <t>=NF($B120,"Observaciones SGA")</t>
  </si>
  <si>
    <t>=IF($T120="Anulado","",TEXT(NF($B120,"Fecha envío al SGA"),"dd/mm/aaaa"))</t>
  </si>
  <si>
    <t>=IF($T120="Preparado","",TEXT(NF($B120,"Fecha completado SGA"),"dd/mm/aaaa"))</t>
  </si>
  <si>
    <t>=NF($E120,"Estado documento")</t>
  </si>
  <si>
    <t>=NF($B120,"Fecha última situación")</t>
  </si>
  <si>
    <t>=IF($F120="","",NL("Primero","Situaciones Dispatching","Descripción","Cód. incidencia",$F120,"DataSource=","Navision","Empresa=","MEDIAPOST SPAIN"))</t>
  </si>
  <si>
    <t>=NF($B120,"Cód. transportista")</t>
  </si>
  <si>
    <t>=NF($B120,"Cód. servicio solicitado")</t>
  </si>
  <si>
    <t>=IF(NF($B120,"Link imagen")&lt;&gt;"",HYPERLINK(NF($B120,"Link imagen")),"")</t>
  </si>
  <si>
    <t>=NL("Primero","Cab. Expedición","Localizador","No. referencia transporte",NF($B120,"No. referencia transporte"),"Conexión=","Navision","Empresa=","MEDIAPOST SPAIN")</t>
  </si>
  <si>
    <t>="""Navision"",""MEDIAPOST SPAIN"",""7098016"",""14"",""DPD250267405"",""51"",""000277820"",""50"",""DPD250267405"",""60"",""Gustavo Ernesto"",""61"",""Calle Dr. Ventalló 5, 1º-B"",""62"",""08221"",""63"",""TERRASSA"",""64"",""BARCELONA"",""65"",""ES"",""102"",""10/09/2025"",""50208"",""11/09/2025"",""50007"&amp;""",""Entregado"",""50006"",""Enviado"",""50319"",""16/09/2025"",""40"",""CEXPRESS"",""41"",""STD"",""238"",""https://www.correosexpress.com/chronoExtraNET/imagenes/mostrarImagen.seam?u=cdd394c03ac9cba88c65c265c9b9ea52&amp;e=521444489310650002778208"",""1"",""Pedido"",""2"",""PD250155506"","&amp;"""50318"",""00002"",""50045"","""""</t>
  </si>
  <si>
    <t>=NF($B121,"No.")</t>
  </si>
  <si>
    <t>=NL("Filas","SQL=select max(t.[Nº movimiento]) movimiento "&amp;
"    from [dbo].[MEDIAPOST SPAIN$Tracking Documento] t "&amp;
"  where t.[Nº Albarán] =  '"&amp;$C121&amp;"'  "&amp;
"       and t.[Estado Documento] &lt;&gt; '' ",{"movimiento"},"Datasource=","SQL-NAVISION")</t>
  </si>
  <si>
    <t>=NL("Primero","Tracking Documento",{"Estado Documento";"Cód. Incidencia"},"Nº movimiento",NF($D121,"movimiento"),"DataSource=","Navision","Empresa=","MEDIAPOST SPAIN")</t>
  </si>
  <si>
    <t>=NF($E121,"Cód. Incidencia")</t>
  </si>
  <si>
    <t>=IF($F121="","",NL("Primero","Situaciones Dispatching","Descripción","Cód. incidencia",$F121,"Notificar cliente","Sí","DataSource=","Navision","Empresa=","MEDIAPOST SPAIN"))</t>
  </si>
  <si>
    <t>=NF($B121,"No. Documento cliente")</t>
  </si>
  <si>
    <t>=NF($B121,"No. referencia transporte")</t>
  </si>
  <si>
    <t>=NF($B121,"No. expedición transporte")</t>
  </si>
  <si>
    <t>=NF($B121,"Nombre punto entrega")</t>
  </si>
  <si>
    <t>=NF($B121,"Dirección punto entrega")</t>
  </si>
  <si>
    <t>=NF($B121,"C.P. punto entrega")</t>
  </si>
  <si>
    <t>=NF($B121,"Población punto entrega")</t>
  </si>
  <si>
    <t>=NF($B121,"Provincia punto entrega")</t>
  </si>
  <si>
    <t>=NF($B121,"País punto entrega")</t>
  </si>
  <si>
    <t>=NF($B121,"Observaciones SGA")</t>
  </si>
  <si>
    <t>=IF($T121="Anulado","",TEXT(NF($B121,"Fecha envío al SGA"),"dd/mm/aaaa"))</t>
  </si>
  <si>
    <t>=IF($T121="Preparado","",TEXT(NF($B121,"Fecha completado SGA"),"dd/mm/aaaa"))</t>
  </si>
  <si>
    <t>=NF($E121,"Estado documento")</t>
  </si>
  <si>
    <t>=NF($B121,"Fecha última situación")</t>
  </si>
  <si>
    <t>=IF($F121="","",NL("Primero","Situaciones Dispatching","Descripción","Cód. incidencia",$F121,"DataSource=","Navision","Empresa=","MEDIAPOST SPAIN"))</t>
  </si>
  <si>
    <t>=NF($B121,"Cód. transportista")</t>
  </si>
  <si>
    <t>=NF($B121,"Cód. servicio solicitado")</t>
  </si>
  <si>
    <t>=IF(NF($B121,"Link imagen")&lt;&gt;"",HYPERLINK(NF($B121,"Link imagen")),"")</t>
  </si>
  <si>
    <t>=NL("Primero","Cab. Expedición","Localizador","No. referencia transporte",NF($B121,"No. referencia transporte"),"Conexión=","Navision","Empresa=","MEDIAPOST SPAIN")</t>
  </si>
  <si>
    <t>="""Navision"",""MEDIAPOST SPAIN"",""7098016"",""14"",""DPD250270189"",""51"",""000279127"",""50"",""DPD250270189"",""60"",""Hotel Barceló Valencia"",""61"",""Av. de França, 11, Camins al Grau"",""62"",""46023"",""63"",""VALENCIA"",""64"",""VALENCIA"",""65"",""ES"",""102"",""19/09/2025"",""50208"",""19/09"&amp;"/2025"",""50007"",""Entregado"",""50006"",""Enviado"",""50319"",""22/09/2025"",""40"",""CEXPRESS"",""41"",""STD"",""238"",""https://www.correosexpress.com/chronoExtraNET/imagenes/mostrarImagen.seam?u=cdd394c03ac9cba88c65c265c9b9ea52&amp;e=521575169310650002791276"",""1"",""Pedido"",""2"","""&amp;"PD250160566"",""50318"",""00002"",""50045"","""""</t>
  </si>
  <si>
    <t>=NF($B122,"No.")</t>
  </si>
  <si>
    <t>=NL("Filas","SQL=select max(t.[Nº movimiento]) movimiento "&amp;
"    from [dbo].[MEDIAPOST SPAIN$Tracking Documento] t "&amp;
"  where t.[Nº Albarán] =  '"&amp;$C122&amp;"'  "&amp;
"       and t.[Estado Documento] &lt;&gt; '' ",{"movimiento"},"Datasource=","SQL-NAVISION")</t>
  </si>
  <si>
    <t>=NL("Primero","Tracking Documento",{"Estado Documento";"Cód. Incidencia"},"Nº movimiento",NF($D122,"movimiento"),"DataSource=","Navision","Empresa=","MEDIAPOST SPAIN")</t>
  </si>
  <si>
    <t>=NF($E122,"Cód. Incidencia")</t>
  </si>
  <si>
    <t>=IF($F122="","",NL("Primero","Situaciones Dispatching","Descripción","Cód. incidencia",$F122,"Notificar cliente","Sí","DataSource=","Navision","Empresa=","MEDIAPOST SPAIN"))</t>
  </si>
  <si>
    <t>=NF($B122,"No. Documento cliente")</t>
  </si>
  <si>
    <t>=NF($B122,"No. referencia transporte")</t>
  </si>
  <si>
    <t>=NF($B122,"No. expedición transporte")</t>
  </si>
  <si>
    <t>=NF($B122,"Nombre punto entrega")</t>
  </si>
  <si>
    <t>=NF($B122,"Dirección punto entrega")</t>
  </si>
  <si>
    <t>=NF($B122,"C.P. punto entrega")</t>
  </si>
  <si>
    <t>=NF($B122,"Población punto entrega")</t>
  </si>
  <si>
    <t>=NF($B122,"Provincia punto entrega")</t>
  </si>
  <si>
    <t>=NF($B122,"País punto entrega")</t>
  </si>
  <si>
    <t>=NF($B122,"Observaciones SGA")</t>
  </si>
  <si>
    <t>=IF($T122="Anulado","",TEXT(NF($B122,"Fecha envío al SGA"),"dd/mm/aaaa"))</t>
  </si>
  <si>
    <t>=IF($T122="Preparado","",TEXT(NF($B122,"Fecha completado SGA"),"dd/mm/aaaa"))</t>
  </si>
  <si>
    <t>=NF($E122,"Estado documento")</t>
  </si>
  <si>
    <t>=NF($B122,"Fecha última situación")</t>
  </si>
  <si>
    <t>=IF($F122="","",NL("Primero","Situaciones Dispatching","Descripción","Cód. incidencia",$F122,"DataSource=","Navision","Empresa=","MEDIAPOST SPAIN"))</t>
  </si>
  <si>
    <t>=NF($B122,"Cód. transportista")</t>
  </si>
  <si>
    <t>=NF($B122,"Cód. servicio solicitado")</t>
  </si>
  <si>
    <t>=IF(NF($B122,"Link imagen")&lt;&gt;"",HYPERLINK(NF($B122,"Link imagen")),"")</t>
  </si>
  <si>
    <t>=NL("Primero","Cab. Expedición","Localizador","No. referencia transporte",NF($B122,"No. referencia transporte"),"Conexión=","Navision","Empresa=","MEDIAPOST SPAIN")</t>
  </si>
  <si>
    <t>="""Navision"",""MEDIAPOST SPAIN"",""7098016"",""14"",""DPD250275316"",""51"",""1200711567"",""50"",""DPD250275316"",""60"",""PALACIO DE CONGRESOS MAR DE VIGO"",""61"",""AV. BEIRAMAR, 59 ZONA TAQUILLAS"",""62"",""36202"",""63"",""VIGO"",""64"",""PONTEVEDRA"",""65"",""ES"",""102"",""17/09/2025"",""50208"""&amp;",""17/09/2025"",""50007"",""Entregado"",""50006"",""Enviado"",""50319"",""18/09/2025"",""40"",""TIPSA"",""41"",""PRESUPUESTO"",""238"",""https://www.tip-sa.com/cliente/datos.php?id=02800109394DPD25027531636202"",""1"",""Pedido"",""2"",""PD250159466"",""50318"",""00002"",""50045"","""""</t>
  </si>
  <si>
    <t>=NF($B123,"No.")</t>
  </si>
  <si>
    <t>=NL("Filas","SQL=select max(t.[Nº movimiento]) movimiento "&amp;
"    from [dbo].[MEDIAPOST SPAIN$Tracking Documento] t "&amp;
"  where t.[Nº Albarán] =  '"&amp;$C123&amp;"'  "&amp;
"       and t.[Estado Documento] &lt;&gt; '' ",{"movimiento"},"Datasource=","SQL-NAVISION")</t>
  </si>
  <si>
    <t>=NL("Primero","Tracking Documento",{"Estado Documento";"Cód. Incidencia"},"Nº movimiento",NF($D123,"movimiento"),"DataSource=","Navision","Empresa=","MEDIAPOST SPAIN")</t>
  </si>
  <si>
    <t>=NF($E123,"Cód. Incidencia")</t>
  </si>
  <si>
    <t>=IF($F123="","",NL("Primero","Situaciones Dispatching","Descripción","Cód. incidencia",$F123,"Notificar cliente","Sí","DataSource=","Navision","Empresa=","MEDIAPOST SPAIN"))</t>
  </si>
  <si>
    <t>=NF($B123,"No. Documento cliente")</t>
  </si>
  <si>
    <t>=NF($B123,"No. referencia transporte")</t>
  </si>
  <si>
    <t>=NF($B123,"No. expedición transporte")</t>
  </si>
  <si>
    <t>=NF($B123,"Nombre punto entrega")</t>
  </si>
  <si>
    <t>=NF($B123,"Dirección punto entrega")</t>
  </si>
  <si>
    <t>=NF($B123,"C.P. punto entrega")</t>
  </si>
  <si>
    <t>=NF($B123,"Población punto entrega")</t>
  </si>
  <si>
    <t>=NF($B123,"Provincia punto entrega")</t>
  </si>
  <si>
    <t>=NF($B123,"País punto entrega")</t>
  </si>
  <si>
    <t>=NF($B123,"Observaciones SGA")</t>
  </si>
  <si>
    <t>=IF($T123="Anulado","",TEXT(NF($B123,"Fecha envío al SGA"),"dd/mm/aaaa"))</t>
  </si>
  <si>
    <t>=IF($T123="Preparado","",TEXT(NF($B123,"Fecha completado SGA"),"dd/mm/aaaa"))</t>
  </si>
  <si>
    <t>=NF($E123,"Estado documento")</t>
  </si>
  <si>
    <t>=NF($B123,"Fecha última situación")</t>
  </si>
  <si>
    <t>=IF($F123="","",NL("Primero","Situaciones Dispatching","Descripción","Cód. incidencia",$F123,"DataSource=","Navision","Empresa=","MEDIAPOST SPAIN"))</t>
  </si>
  <si>
    <t>=NF($B123,"Cód. transportista")</t>
  </si>
  <si>
    <t>=NF($B123,"Cód. servicio solicitado")</t>
  </si>
  <si>
    <t>=IF(NF($B123,"Link imagen")&lt;&gt;"",HYPERLINK(NF($B123,"Link imagen")),"")</t>
  </si>
  <si>
    <t>=NL("Primero","Cab. Expedición","Localizador","No. referencia transporte",NF($B123,"No. referencia transporte"),"Conexión=","Navision","Empresa=","MEDIAPOST SPAIN")</t>
  </si>
  <si>
    <t>="""Navision"",""MEDIAPOST SPAIN"",""7098016"",""14"",""DPD250290448"",""51"",""000280836"",""50"",""DPD250290448"",""60"",""Hotel Meliá Sevilla"",""61"",""Calle Dr. Pedro de Castro, 1"",""62"",""41004"",""63"",""SEVILLA"",""64"",""SEVILLA"",""65"",""ES"",""102"",""03/10/2025"",""50208"",""03/10/2025"",""50"&amp;"007"",""En Reparto"",""50006"",""Enviado"",""50319"",""03/10/2025"",""40"",""CEXPRESS"",""41"",""STD"",""238"",""https://s.correosexpress.com/search?s=DPD250290448"",""1"",""Pedido"",""2"",""PD250168852"",""50318"",""00042"",""50045"","""""</t>
  </si>
  <si>
    <t>=NF($B124,"No.")</t>
  </si>
  <si>
    <t>=NL("Filas","SQL=select max(t.[Nº movimiento]) movimiento "&amp;
"    from [dbo].[MEDIAPOST SPAIN$Tracking Documento] t "&amp;
"  where t.[Nº Albarán] =  '"&amp;$C124&amp;"'  "&amp;
"       and t.[Estado Documento] &lt;&gt; '' ",{"movimiento"},"Datasource=","SQL-NAVISION")</t>
  </si>
  <si>
    <t>=NL("Primero","Tracking Documento",{"Estado Documento";"Cód. Incidencia"},"Nº movimiento",NF($D124,"movimiento"),"DataSource=","Navision","Empresa=","MEDIAPOST SPAIN")</t>
  </si>
  <si>
    <t>=NF($E124,"Cód. Incidencia")</t>
  </si>
  <si>
    <t>=IF($F124="","",NL("Primero","Situaciones Dispatching","Descripción","Cód. incidencia",$F124,"Notificar cliente","Sí","DataSource=","Navision","Empresa=","MEDIAPOST SPAIN"))</t>
  </si>
  <si>
    <t>=NF($B124,"No. Documento cliente")</t>
  </si>
  <si>
    <t>=NF($B124,"No. referencia transporte")</t>
  </si>
  <si>
    <t>=NF($B124,"No. expedición transporte")</t>
  </si>
  <si>
    <t>=NF($B124,"Nombre punto entrega")</t>
  </si>
  <si>
    <t>=NF($B124,"Dirección punto entrega")</t>
  </si>
  <si>
    <t>=NF($B124,"C.P. punto entrega")</t>
  </si>
  <si>
    <t>=NF($B124,"Población punto entrega")</t>
  </si>
  <si>
    <t>=NF($B124,"Provincia punto entrega")</t>
  </si>
  <si>
    <t>=NF($B124,"País punto entrega")</t>
  </si>
  <si>
    <t>=NF($B124,"Observaciones SGA")</t>
  </si>
  <si>
    <t>=IF($T124="Anulado","",TEXT(NF($B124,"Fecha envío al SGA"),"dd/mm/aaaa"))</t>
  </si>
  <si>
    <t>=IF($T124="Preparado","",TEXT(NF($B124,"Fecha completado SGA"),"dd/mm/aaaa"))</t>
  </si>
  <si>
    <t>=NF($E124,"Estado documento")</t>
  </si>
  <si>
    <t>=NF($B124,"Fecha última situación")</t>
  </si>
  <si>
    <t>=IF($F124="","",NL("Primero","Situaciones Dispatching","Descripción","Cód. incidencia",$F124,"DataSource=","Navision","Empresa=","MEDIAPOST SPAIN"))</t>
  </si>
  <si>
    <t>=NF($B124,"Cód. transportista")</t>
  </si>
  <si>
    <t>=NF($B124,"Cód. servicio solicitado")</t>
  </si>
  <si>
    <t>=IF(NF($B124,"Link imagen")&lt;&gt;"",HYPERLINK(NF($B124,"Link imagen")),"")</t>
  </si>
  <si>
    <t>=NL("Primero","Cab. Expedición","Localizador","No. referencia transporte",NF($B124,"No. referencia transporte"),"Conexión=","Navision","Empresa=","MEDIAPOST SPAIN")</t>
  </si>
  <si>
    <t>Auto+Ocultar+Formulas=Hoja4,Hoja5+FormulasOnly</t>
  </si>
  <si>
    <t>="RESUMEN DE PEDIDOS EXPEDIDOS LOS ÚLTIMOS 30 DIAS: "&amp;TEXT(Hoy,"DD/MM/AAAA")</t>
  </si>
  <si>
    <t>=NL("Primero","Cliente SGA","nombre","No.",CodCliente,"DataSource=","Navision","Empresa=","MEDIAPOST SPAIN")</t>
  </si>
  <si>
    <t>=NL("Filas","SQL="&amp;
"select DISTINCT ca.No_, ce.[No_ documento cliente], ce.[No_ referencia transporte], ce.[Nº Expedición],"&amp;
"       ca.[Nombre punto entrega], ca.[Dirección punto entrega], ca.[C_P_ punto entrega], ca.[Población punto entrega],"&amp;
"	  ca.[Provincia punto entrega], ca.[País punto entrega], ce.Estado, prep.Fecha fecha_prep, ce.[Fecha expedido],"&amp;
"	  ce.[Cód_ transportista], ce.[Cód_ servicio solicitado], ce.[Link imagen], ce.Localizador"&amp;
"  from [dbo].[MEDIAPOST SPAIN$Cab_ Expedición] ce with (nolock) join"&amp;
"       [dbo].[MEDIAPOST SPAIN$Cab_ albarán salida] ca with (nolock) ON ca.[No_ referencia transporte] = ce.[No_ referencia transporte]"&amp;
"	     and ca.[Tipo documento] = 0 join"&amp;
"	   [dbo].[MEDIAPOST SPAIN$Tracking Documento] prep with (nolock) ON ca.No_ = prep.[Nº Albarán] AND prep.Estado = 4"&amp;
"  WHERE ca.[No_ cliente SGA] = '"&amp;CodCliente&amp;"'"&amp;
"    and ce.[Cód_ Operativa] "&amp;OperativaIN &amp;
"    and ce.[Fecha expedido] between '"&amp;Fechaini&amp;"' and '"&amp;Fechafin&amp;"' "&amp;
"order by ce.[Fecha expedido]",{"No_";"No_ documento cliente";"No_ referencia transporte";"Nº Expedición";"Nombre punto entrega";"Dirección punto entrega";"C_P_ punto entrega";"Población punto entrega";"Provincia punto entrega";"País punto entrega";"Estado";"fecha_prep";"Fecha expedido";"Cód_ transportista";"Cód_ servicio solicitado";"Link imagen";"Localizador"},"Datasource=","SQL-Navision")</t>
  </si>
  <si>
    <t>=NL("Filas","SQL="&amp;
"select MAX(td.[Nº movimiento]) num_mov "&amp;
"  from [dbo].[MEDIAPOST SPAIN$Tracking Documento] td with (nolock) "&amp;
"  WHERE td.[Nº documento] = '"&amp;NF($B6,"No_ referencia transporte")&amp;"' "&amp;
"    AND td.[Cód_ incidencia] &lt;&gt; '' ",{"num_mov"},"Datasource=","SQL-Navision")</t>
  </si>
  <si>
    <t>=IF(NF($C6,"num_mov")="","",NL(,"Tracking Documento",,"Nº movimiento",NF($C6,"num_mov"),"Conexión=","Navision","Empresa=","MEDIAPOST SPAIN"))</t>
  </si>
  <si>
    <t>=NF($B6,"No_ documento cliente")</t>
  </si>
  <si>
    <t>=NF($B6,"No_ referencia transporte")</t>
  </si>
  <si>
    <t>=NF($B6,"Nº Expedición")</t>
  </si>
  <si>
    <t>=NF($B6,"C_P_ punto entrega")</t>
  </si>
  <si>
    <t>=NF($B6,"fecha_prep")</t>
  </si>
  <si>
    <t>=NF($B6,"Fecha expedido")</t>
  </si>
  <si>
    <t>=NF($B6,"Estado")</t>
  </si>
  <si>
    <t>=NF($D6,"fecha")</t>
  </si>
  <si>
    <t>=NF($D6,"Descripción incidencia")</t>
  </si>
  <si>
    <t>=NF($B6,"Cód_ transportista")</t>
  </si>
  <si>
    <t>=NF($B6,"Cód_ servicio solicitado")</t>
  </si>
  <si>
    <t>=NF($B6,"Link imagen")</t>
  </si>
  <si>
    <t>=NF($B6,"Localizador")</t>
  </si>
  <si>
    <t>="RESUMEN DE PEDIDOS EXPEDIDOS LOS ÚLTIMOS 30 DIAS: "&amp;TEXTO(Hoy;"DD/MM/AAAA")</t>
  </si>
  <si>
    <t>=NL("Filas";"SQL="&amp;
"select DISTINCT ca.No_, ce.[No_ documento cliente], ce.[No_ referencia transporte], ce.[Nº Expedición],"&amp;
"       ca.[Nombre punto entrega], ca.[Dirección punto entrega], ca.[C_P_ punto entrega], ca.[Población punto entrega],"&amp;
"	  ca.[Provincia punto entrega], ca.[País punto entrega], ce.Estado, prep.Fecha fecha_prep, ce.[Fecha expedido],"&amp;
"	  ce.[Cód_ transportista], ce.[Cód_ servicio solicitado], ce.[Link imagen], ce.Localizador"&amp;
"  from [dbo].[MEDIAPOST SPAIN$Cab_ Expedición] ce with (nolock) join"&amp;
"       [dbo].[MEDIAPOST SPAIN$Cab_ albarán salida] ca with (nolock) ON ca.[No_ referencia transporte] = ce.[No_ referencia transporte]"&amp;
"	     and ca.[Tipo documento] = 0 join"&amp;
"	   [dbo].[MEDIAPOST SPAIN$Tracking Documento] prep with (nolock) ON ca.No_ = prep.[Nº Albarán] AND prep.Estado = 4"&amp;
"  WHERE ca.[No_ cliente SGA] = '"&amp;CodCliente&amp;"'"&amp;
"    and ce.[Cód_ Operativa] "&amp;OperativaIN &amp;
"    and ce.[Fecha expedido] between '"&amp;Fechaini&amp;"' and '"&amp;Fechafin&amp;"' "&amp;
"order by ce.[Fecha expedido]";{"No_";"No_ documento cliente";"No_ referencia transporte";"Nº Expedición";"Nombre punto entrega";"Dirección punto entrega";"C_P_ punto entrega";"Población punto entrega";"Provincia punto entrega";"País punto entrega";"Estado";"fecha_prep";"Fecha expedido";"Cód_ transportista";"Cód_ servicio solicitado";"Link imagen";"Localizador"};"Datasource=";"SQL-Navision")</t>
  </si>
  <si>
    <t>=NL("Filas";"SQL="&amp;
"select MAX(td.[Nº movimiento]) num_mov "&amp;
"  from [dbo].[MEDIAPOST SPAIN$Tracking Documento] td with (nolock) "&amp;
"  WHERE td.[Nº documento] = '"&amp;NF($B6;"No_ referencia transporte")&amp;"' "&amp;
"    AND td.[Cód_ incidencia] &lt;&gt; '' ";{"num_mov"};"Datasource=";"SQL-Navision")</t>
  </si>
  <si>
    <t>=SI(NF($C6;"num_mov")="";"";NL(;"Tracking Documento";;"Nº movimiento";NF($C6;"num_mov");"Conexión=";"Navision";"Empresa=";"MEDIAPOST SPAIN"))</t>
  </si>
  <si>
    <t>=NF($B6;"No_ documento cliente")</t>
  </si>
  <si>
    <t>=NF($B6;"No_ referencia transporte")</t>
  </si>
  <si>
    <t>=NF($B6;"Nº Expedición")</t>
  </si>
  <si>
    <t>=NF($B6;"C_P_ punto entrega")</t>
  </si>
  <si>
    <t>=NF($B6;"fecha_prep")</t>
  </si>
  <si>
    <t>=NF($B6;"Fecha expedido")</t>
  </si>
  <si>
    <t>=NF($B6;"Estado")</t>
  </si>
  <si>
    <t>=NF($D6;"fecha")</t>
  </si>
  <si>
    <t>=NF($D6;"Descripción incidencia")</t>
  </si>
  <si>
    <t>=NF($B6;"Cód_ transportista")</t>
  </si>
  <si>
    <t>=NF($B6;"Cód_ servicio solicitado")</t>
  </si>
  <si>
    <t>=NF($B6;"Link imagen")</t>
  </si>
  <si>
    <t>=NF($B6;"Localizador")</t>
  </si>
  <si>
    <t>Auto+Ocultar+Formulas=Hoja6,Hoja4,Hoja5+FormulasOnly</t>
  </si>
  <si>
    <t>="""SQL-NAVISION"","""",""SQL="",""14=No_"",""PD260080239"",""14=No_ documento cliente"",""LGL060526"",""14=No_ referencia transporte"",""LGL060526"",""14=Nº Expedición"",""5602036"",""14=Nombre punto entrega"",""VIC TRASTERS_Nº BOX 906"",""14=Dirección punto entrega"",""Carrer de Fran"&amp;"cesc Santcliment, 87"",""14=C_P_ punto entrega"",""08500"",""14=Población punto entrega"",""VIC"",""14=Provincia punto entrega"",""BARCELONA"",""14=País punto entrega"",""ES"",""14=Estado"",""Entregado"",""15=fecha_prep"",""06/05/2026"",""15=Fecha expedido"",""06/05/2026"",""14=Cód_ t"&amp;"ransportista"",""ASM"",""14=Cód_ servicio solicitado"",""13:30 H"",""14=Link imagen"",""https://mygls.gls-spain.es/e/31200805602036/08500"",""14=Localizador"","""""</t>
  </si>
  <si>
    <t>=NL("Filas","SQL="&amp;
"select MAX(td.[Nº movimiento]) num_mov "&amp;
"  from [dbo].[MEDIAPOST SPAIN$Tracking Documento] td with (nolock) "&amp;
"  WHERE td.[Nº documento] = '"&amp;NF($B7,"No_ referencia transporte")&amp;"' "&amp;
"    AND td.[Cód_ incidencia] &lt;&gt; '' ",{"num_mov"},"Datasource=","SQL-Navision")</t>
  </si>
  <si>
    <t>=IF(NF($C7,"num_mov")="","",NL(,"Tracking Documento",,"Nº movimiento",NF($C7,"num_mov"),"Conexión=","Navision","Empresa=","MEDIAPOST SPAIN"))</t>
  </si>
  <si>
    <t>=NF($B7,"No_ documento cliente")</t>
  </si>
  <si>
    <t>=NF($B7,"No_ referencia transporte")</t>
  </si>
  <si>
    <t>=NF($B7,"Nº Expedición")</t>
  </si>
  <si>
    <t>=NF($B7,"C_P_ punto entrega")</t>
  </si>
  <si>
    <t>=NF($B7,"fecha_prep")</t>
  </si>
  <si>
    <t>=NF($B7,"Fecha expedido")</t>
  </si>
  <si>
    <t>=NF($B7,"Estado")</t>
  </si>
  <si>
    <t>=NF($D7,"fecha")</t>
  </si>
  <si>
    <t>=NF($D7,"Descripción incidencia")</t>
  </si>
  <si>
    <t>=NF($B7,"Cód_ transportista")</t>
  </si>
  <si>
    <t>=NF($B7,"Cód_ servicio solicitado")</t>
  </si>
  <si>
    <t>=NF($B7,"Link imagen")</t>
  </si>
  <si>
    <t>=NF($B7,"Localizador")</t>
  </si>
  <si>
    <t>="""SQL-NAVISION"","""",""SQL="",""14=No_"",""PD260078719"",""14=No_ documento cliente"",""SGC040526"",""14=No_ referencia transporte"",""SGC040526"",""14=Nº Expedición"",""103404"",""14=Nombre punto entrega"",""SAMIA GORDILLO COBOS"",""14=Dirección punto entrega"",""CARRETERA MONTE LE"&amp;"NTISCA 35 PUERTA 2"",""14=C_P_ punto entrega"",""35300"",""14=Población punto entrega"",""LAS PALMAS"",""14=Provincia punto entrega"",""LAS PALMAS"",""14=País punto entrega"",""ES"",""14=Estado"",""Entregado"",""15=fecha_prep"",""06/05/2026"",""15=Fecha expedido"",""06/05/2026"",""14="&amp;"Cód_ transportista"",""CADENALOG"",""14=Cód_ servicio solicitado"",""STD"",""14=Link imagen"","""",""14=Localizador"","""""</t>
  </si>
  <si>
    <t>=NL("Filas","SQL="&amp;
"select MAX(td.[Nº movimiento]) num_mov "&amp;
"  from [dbo].[MEDIAPOST SPAIN$Tracking Documento] td with (nolock) "&amp;
"  WHERE td.[Nº documento] = '"&amp;NF($B8,"No_ referencia transporte")&amp;"' "&amp;
"    AND td.[Cód_ incidencia] &lt;&gt; '' ",{"num_mov"},"Datasource=","SQL-Navision")</t>
  </si>
  <si>
    <t>=IF(NF($C8,"num_mov")="","",NL(,"Tracking Documento",,"Nº movimiento",NF($C8,"num_mov"),"Conexión=","Navision","Empresa=","MEDIAPOST SPAIN"))</t>
  </si>
  <si>
    <t>=NF($B8,"No_ documento cliente")</t>
  </si>
  <si>
    <t>=NF($B8,"No_ referencia transporte")</t>
  </si>
  <si>
    <t>=NF($B8,"Nº Expedición")</t>
  </si>
  <si>
    <t>=NF($B8,"C_P_ punto entrega")</t>
  </si>
  <si>
    <t>=NF($B8,"fecha_prep")</t>
  </si>
  <si>
    <t>=NF($B8,"Fecha expedido")</t>
  </si>
  <si>
    <t>=NF($B8,"Estado")</t>
  </si>
  <si>
    <t>=NF($D8,"fecha")</t>
  </si>
  <si>
    <t>=NF($D8,"Descripción incidencia")</t>
  </si>
  <si>
    <t>=NF($B8,"Cód_ transportista")</t>
  </si>
  <si>
    <t>=NF($B8,"Cód_ servicio solicitado")</t>
  </si>
  <si>
    <t>=NF($B8,"Link imagen")</t>
  </si>
  <si>
    <t>=NF($B8,"Localizador")</t>
  </si>
  <si>
    <t>="""SQL-NAVISION"","""",""SQL="",""14=No_"",""PD260079284"",""14=No_ documento cliente"",""ISD040526.3"",""14=No_ referencia transporte"",""ISD040526.3"",""14=Nº Expedición"",""0865423510"",""14=Nombre punto entrega"",""GABRIELA ARIAS LEON"",""14=Dirección punto entrega"",""CALLE BULEV"&amp;"AR DE CUARTE, Nº2 PORTAL 1, PISO 2B"",""14=C_P_ punto entrega"",""50410"",""14=Población punto entrega"",""CUARTE DE HUERVA"",""14=Provincia punto entrega"",""ZARAGOZA"",""14=País punto entrega"",""ES"",""14=Estado"",""Entregado"",""15=fecha_prep"",""06/05/2026"",""15=Fecha expedi"&amp;"do"",""06/05/2026"",""14=Cód_ transportista"",""DHL"",""14=Cód_ servicio solicitado"",""STD"",""14=Link imagen"",""https://clientesparcel.dhl.es/seguimientoenvios/integra/SeguimientoDocumentos.aspx?codigo=0865423510&amp;anno=2026&amp;lang=sp&amp;zatar=q45LoBtfSS29xHGRDZ57"",""14=Loc"&amp;"alizador"","""""</t>
  </si>
  <si>
    <t>=NL("Filas","SQL="&amp;
"select MAX(td.[Nº movimiento]) num_mov "&amp;
"  from [dbo].[MEDIAPOST SPAIN$Tracking Documento] td with (nolock) "&amp;
"  WHERE td.[Nº documento] = '"&amp;NF($B9,"No_ referencia transporte")&amp;"' "&amp;
"    AND td.[Cód_ incidencia] &lt;&gt; '' ",{"num_mov"},"Datasource=","SQL-Navision")</t>
  </si>
  <si>
    <t>=IF(NF($C9,"num_mov")="","",NL(,"Tracking Documento",,"Nº movimiento",NF($C9,"num_mov"),"Conexión=","Navision","Empresa=","MEDIAPOST SPAIN"))</t>
  </si>
  <si>
    <t>=NF($B9,"No_ documento cliente")</t>
  </si>
  <si>
    <t>=NF($B9,"No_ referencia transporte")</t>
  </si>
  <si>
    <t>=NF($B9,"Nº Expedición")</t>
  </si>
  <si>
    <t>=NF($B9,"C_P_ punto entrega")</t>
  </si>
  <si>
    <t>=NF($B9,"fecha_prep")</t>
  </si>
  <si>
    <t>=NF($B9,"Fecha expedido")</t>
  </si>
  <si>
    <t>=NF($B9,"Estado")</t>
  </si>
  <si>
    <t>=NF($D9,"fecha")</t>
  </si>
  <si>
    <t>=NF($D9,"Descripción incidencia")</t>
  </si>
  <si>
    <t>=NF($B9,"Cód_ transportista")</t>
  </si>
  <si>
    <t>=NF($B9,"Cód_ servicio solicitado")</t>
  </si>
  <si>
    <t>=NF($B9,"Link imagen")</t>
  </si>
  <si>
    <t>=NF($B9,"Localizador")</t>
  </si>
  <si>
    <t>="""SQL-NAVISION"","""",""SQL="",""14=No_"",""PD260078717"",""14=No_ documento cliente"",""MMU040526"",""14=No_ referencia transporte"",""MMU040526"",""14=Nº Expedición"",""1200791325"",""14=Nombre punto entrega"",""MARI PAZ MOLLAR USO"",""14=Dirección punto entrega"",""Calle  Poliespo"&amp;"rtiu, 6"",""14=C_P_ punto entrega"",""12539"",""14=Población punto entrega"",""Alquerias"",""14=Provincia punto entrega"",""CASTELLON"",""14=País punto entrega"",""ES"",""14=Estado"",""Entregado"",""15=fecha_prep"",""06/05/2026"",""15=Fecha expedido"",""06/05/2026"",""14=Cód_ transpor"&amp;"tista"",""TIPSA"",""14=Cód_ servicio solicitado"",""13:30 H"",""14=Link imagen"",""https://www.tip-sa.com/cliente/datos.php?id=02800109585MMU04052612539"",""14=Localizador"",""0280010280011200791325"""</t>
  </si>
  <si>
    <t>=NL("Filas","SQL="&amp;
"select MAX(td.[Nº movimiento]) num_mov "&amp;
"  from [dbo].[MEDIAPOST SPAIN$Tracking Documento] td with (nolock) "&amp;
"  WHERE td.[Nº documento] = '"&amp;NF($B10,"No_ referencia transporte")&amp;"' "&amp;
"    AND td.[Cód_ incidencia] &lt;&gt; '' ",{"num_mov"},"Datasource=","SQL-Navision")</t>
  </si>
  <si>
    <t>=IF(NF($C10,"num_mov")="","",NL(,"Tracking Documento",,"Nº movimiento",NF($C10,"num_mov"),"Conexión=","Navision","Empresa=","MEDIAPOST SPAIN"))</t>
  </si>
  <si>
    <t>=NF($B10,"No_ documento cliente")</t>
  </si>
  <si>
    <t>=NF($B10,"No_ referencia transporte")</t>
  </si>
  <si>
    <t>=NF($B10,"Nº Expedición")</t>
  </si>
  <si>
    <t>=NF($B10,"C_P_ punto entrega")</t>
  </si>
  <si>
    <t>=NF($B10,"fecha_prep")</t>
  </si>
  <si>
    <t>=NF($B10,"Fecha expedido")</t>
  </si>
  <si>
    <t>=NF($B10,"Estado")</t>
  </si>
  <si>
    <t>=NF($D10,"fecha")</t>
  </si>
  <si>
    <t>=NF($D10,"Descripción incidencia")</t>
  </si>
  <si>
    <t>=NF($B10,"Cód_ transportista")</t>
  </si>
  <si>
    <t>=NF($B10,"Cód_ servicio solicitado")</t>
  </si>
  <si>
    <t>=NF($B10,"Link imagen")</t>
  </si>
  <si>
    <t>=NF($B10,"Localizador")</t>
  </si>
  <si>
    <t>="""SQL-NAVISION"","""",""SQL="",""14=No_"",""PD260079697"",""14=No_ documento cliente"",""MAUL050526MFX"",""14=No_ referencia transporte"",""X26024721"",""14=Nº Expedición"",""0865423740"",""14=Nombre punto entrega"",""DHL CIUDAD REAL"",""14=Dirección punto entrega"",""RECOGEN EN DELE"&amp;"GACION"",""14=C_P_ punto entrega"",""13006"",""14=Población punto entrega"",""CIUDAD REAL"",""14=Provincia punto entrega"",""CIUDAD REAL"",""14=País punto entrega"",""ES"",""14=Estado"",""Entregado"",""15=fecha_prep"",""06/05/2026"",""15=Fecha expedido"",""06/05/2026"",""14=Cód_ trans"&amp;"portista"",""DHL"",""14=Cód_ servicio solicitado"",""STD"",""14=Link imagen"",""https://clientesparcel.dhl.es/seguimientoenvios/integra/SeguimientoDocumentos.aspx?codigo=0865423740&amp;anno=2026&amp;lang=sp&amp;zatar=q45LoBtfSS29xHGRDZ57"",""14=Localizador"","""""</t>
  </si>
  <si>
    <t>=NL("Filas","SQL="&amp;
"select MAX(td.[Nº movimiento]) num_mov "&amp;
"  from [dbo].[MEDIAPOST SPAIN$Tracking Documento] td with (nolock) "&amp;
"  WHERE td.[Nº documento] = '"&amp;NF($B11,"No_ referencia transporte")&amp;"' "&amp;
"    AND td.[Cód_ incidencia] &lt;&gt; '' ",{"num_mov"},"Datasource=","SQL-Navision")</t>
  </si>
  <si>
    <t>=IF(NF($C11,"num_mov")="","",NL(,"Tracking Documento",,"Nº movimiento",NF($C11,"num_mov"),"Conexión=","Navision","Empresa=","MEDIAPOST SPAIN"))</t>
  </si>
  <si>
    <t>=NF($B11,"No_ documento cliente")</t>
  </si>
  <si>
    <t>=NF($B11,"No_ referencia transporte")</t>
  </si>
  <si>
    <t>=NF($B11,"Nº Expedición")</t>
  </si>
  <si>
    <t>=NF($B11,"C_P_ punto entrega")</t>
  </si>
  <si>
    <t>=NF($B11,"fecha_prep")</t>
  </si>
  <si>
    <t>=NF($B11,"Fecha expedido")</t>
  </si>
  <si>
    <t>=NF($B11,"Estado")</t>
  </si>
  <si>
    <t>=NF($D11,"fecha")</t>
  </si>
  <si>
    <t>=NF($D11,"Descripción incidencia")</t>
  </si>
  <si>
    <t>=NF($B11,"Cód_ transportista")</t>
  </si>
  <si>
    <t>=NF($B11,"Cód_ servicio solicitado")</t>
  </si>
  <si>
    <t>=NF($B11,"Link imagen")</t>
  </si>
  <si>
    <t>=NF($B11,"Localizador")</t>
  </si>
  <si>
    <t>="""SQL-NAVISION"","""",""SQL="",""14=No_"",""PD260078722"",""14=No_ documento cliente"",""ITT040526"",""14=No_ referencia transporte"",""ITT040526"",""14=Nº Expedición"",""0865423420"",""14=Nombre punto entrega"",""DHL VALLADOLID"",""14=Dirección punto entrega"",""RECOGEN EN DELEGACIÓ"&amp;"N"",""14=C_P_ punto entrega"",""47193"",""14=Población punto entrega"",""LA CISTERNIGA"",""14=Provincia punto entrega"",""VALLADOLID"",""14=País punto entrega"",""ES"",""14=Estado"",""En Reparto"",""15=fecha_prep"",""06/05/2026"",""15=Fecha expedido"",""06/05/2026"",""14=Cód_ transpor"&amp;"tista"",""DHL"",""14=Cód_ servicio solicitado"",""STD"",""14=Link imagen"",""https://clientesparcel.dhl.es/seguimientoenvios/integra/SeguimientoDocumentos.aspx?codigo=0865423420&amp;anno=2026&amp;lang=sp&amp;zatar=q45LoBtfSS29xHGRDZ57"",""14=Localizador"","""""</t>
  </si>
  <si>
    <t>=NL("Filas","SQL="&amp;
"select MAX(td.[Nº movimiento]) num_mov "&amp;
"  from [dbo].[MEDIAPOST SPAIN$Tracking Documento] td with (nolock) "&amp;
"  WHERE td.[Nº documento] = '"&amp;NF($B12,"No_ referencia transporte")&amp;"' "&amp;
"    AND td.[Cód_ incidencia] &lt;&gt; '' ",{"num_mov"},"Datasource=","SQL-Navision")</t>
  </si>
  <si>
    <t>=IF(NF($C12,"num_mov")="","",NL(,"Tracking Documento",,"Nº movimiento",NF($C12,"num_mov"),"Conexión=","Navision","Empresa=","MEDIAPOST SPAIN"))</t>
  </si>
  <si>
    <t>=NF($B12,"No_ documento cliente")</t>
  </si>
  <si>
    <t>=NF($B12,"No_ referencia transporte")</t>
  </si>
  <si>
    <t>=NF($B12,"Nº Expedición")</t>
  </si>
  <si>
    <t>=NF($B12,"C_P_ punto entrega")</t>
  </si>
  <si>
    <t>=NF($B12,"fecha_prep")</t>
  </si>
  <si>
    <t>=NF($B12,"Fecha expedido")</t>
  </si>
  <si>
    <t>=NF($B12,"Estado")</t>
  </si>
  <si>
    <t>=NF($D12,"fecha")</t>
  </si>
  <si>
    <t>=NF($D12,"Descripción incidencia")</t>
  </si>
  <si>
    <t>=NF($B12,"Cód_ transportista")</t>
  </si>
  <si>
    <t>=NF($B12,"Cód_ servicio solicitado")</t>
  </si>
  <si>
    <t>=NF($B12,"Link imagen")</t>
  </si>
  <si>
    <t>=NF($B12,"Localizador")</t>
  </si>
  <si>
    <t>="""SQL-NAVISION"","""",""SQL="",""14=No_"",""PD260078718"",""14=No_ documento cliente"",""FAFG040526"",""14=No_ referencia transporte"",""FAFG040526"",""14=Nº Expedición"",""1200791327"",""14=Nombre punto entrega"",""FATIMA AL FICHTA EL GUENAOUI"",""14=Dirección punto entrega"",""C Mó"&amp;"naco n 2 bajo C"",""14=C_P_ punto entrega"",""40005"",""14=Población punto entrega"",""SEGOVIA"",""14=Provincia punto entrega"",""SEGOVIA"",""14=País punto entrega"",""ES"",""14=Estado"",""Entregado"",""15=fecha_prep"",""06/05/2026"",""15=Fecha expedido"",""06/05/2026"",""14=Cód_ tran"&amp;"sportista"",""TIPSA"",""14=Cód_ servicio solicitado"",""13:30 H"",""14=Link imagen"",""https://www.tip-sa.com/cliente/datos.php?id=02800109585FAFG04052640005"",""14=Localizador"",""0280010280011200791327"""</t>
  </si>
  <si>
    <t>=NL("Filas","SQL="&amp;
"select MAX(td.[Nº movimiento]) num_mov "&amp;
"  from [dbo].[MEDIAPOST SPAIN$Tracking Documento] td with (nolock) "&amp;
"  WHERE td.[Nº documento] = '"&amp;NF($B13,"No_ referencia transporte")&amp;"' "&amp;
"    AND td.[Cód_ incidencia] &lt;&gt; '' ",{"num_mov"},"Datasource=","SQL-Navision")</t>
  </si>
  <si>
    <t>=IF(NF($C13,"num_mov")="","",NL(,"Tracking Documento",,"Nº movimiento",NF($C13,"num_mov"),"Conexión=","Navision","Empresa=","MEDIAPOST SPAIN"))</t>
  </si>
  <si>
    <t>=NF($B13,"No_ documento cliente")</t>
  </si>
  <si>
    <t>=NF($B13,"No_ referencia transporte")</t>
  </si>
  <si>
    <t>=NF($B13,"Nº Expedición")</t>
  </si>
  <si>
    <t>=NF($B13,"C_P_ punto entrega")</t>
  </si>
  <si>
    <t>=NF($B13,"fecha_prep")</t>
  </si>
  <si>
    <t>=NF($B13,"Fecha expedido")</t>
  </si>
  <si>
    <t>=NF($B13,"Estado")</t>
  </si>
  <si>
    <t>=NF($D13,"fecha")</t>
  </si>
  <si>
    <t>=NF($D13,"Descripción incidencia")</t>
  </si>
  <si>
    <t>=NF($B13,"Cód_ transportista")</t>
  </si>
  <si>
    <t>=NF($B13,"Cód_ servicio solicitado")</t>
  </si>
  <si>
    <t>=NF($B13,"Link imagen")</t>
  </si>
  <si>
    <t>=NF($B13,"Localizador")</t>
  </si>
  <si>
    <t>="""SQL-NAVISION"","""",""SQL="",""14=No_"",""PD260079594"",""14=No_ documento cliente"",""ISD040526.2"",""14=No_ referencia transporte"",""ISD040526.2"",""14=Nº Expedición"",""103407"",""14=Nombre punto entrega"",""SAMIA GORDILLO"",""14=Dirección punto entrega"",""CARRETERA MONTE LENT"&amp;"ISCAL N35, PUERTA 2"",""14=C_P_ punto entrega"",""35300"",""14=Población punto entrega"",""SANTA BRÍGIDA"",""14=Provincia punto entrega"",""LAS PALMAS"",""14=País punto entrega"",""ES"",""14=Estado"",""Entregado"",""15=fecha_prep"",""07/05/2026"",""15=Fecha expedido"",""07/05/2026"","&amp;"""14=Cód_ transportista"",""CADENALOG"",""14=Cód_ servicio solicitado"",""STD"",""14=Link imagen"","""",""14=Localizador"","""""</t>
  </si>
  <si>
    <t>=NL("Filas","SQL="&amp;
"select MAX(td.[Nº movimiento]) num_mov "&amp;
"  from [dbo].[MEDIAPOST SPAIN$Tracking Documento] td with (nolock) "&amp;
"  WHERE td.[Nº documento] = '"&amp;NF($B14,"No_ referencia transporte")&amp;"' "&amp;
"    AND td.[Cód_ incidencia] &lt;&gt; '' ",{"num_mov"},"Datasource=","SQL-Navision")</t>
  </si>
  <si>
    <t>=IF(NF($C14,"num_mov")="","",NL(,"Tracking Documento",,"Nº movimiento",NF($C14,"num_mov"),"Conexión=","Navision","Empresa=","MEDIAPOST SPAIN"))</t>
  </si>
  <si>
    <t>=NF($B14,"No_ documento cliente")</t>
  </si>
  <si>
    <t>=NF($B14,"No_ referencia transporte")</t>
  </si>
  <si>
    <t>=NF($B14,"Nº Expedición")</t>
  </si>
  <si>
    <t>=NF($B14,"C_P_ punto entrega")</t>
  </si>
  <si>
    <t>=NF($B14,"fecha_prep")</t>
  </si>
  <si>
    <t>=NF($B14,"Fecha expedido")</t>
  </si>
  <si>
    <t>=NF($B14,"Estado")</t>
  </si>
  <si>
    <t>=NF($D14,"fecha")</t>
  </si>
  <si>
    <t>=NF($D14,"Descripción incidencia")</t>
  </si>
  <si>
    <t>=NF($B14,"Cód_ transportista")</t>
  </si>
  <si>
    <t>=NF($B14,"Cód_ servicio solicitado")</t>
  </si>
  <si>
    <t>=NF($B14,"Link imagen")</t>
  </si>
  <si>
    <t>=NF($B14,"Localizador")</t>
  </si>
  <si>
    <t>="""SQL-NAVISION"","""",""SQL="",""14=No_"",""PD260080261"",""14=No_ documento cliente"",""MLG060526.1"",""14=No_ referencia transporte"",""MLG060526.1"",""14=Nº Expedición"",""0865423780"",""14=Nombre punto entrega"",""MARIA LOPEZ GIL"",""14=Dirección punto entrega"",""Avenida jose ga"&amp;"rrigo farga 47 piso 1 puerta 4"",""14=C_P_ punto entrega"",""46185"",""14=Población punto entrega"",""La pobla de Vallbona"",""14=Provincia punto entrega"",""VALENCIA"",""14=País punto entrega"",""ES"",""14=Estado"",""Entregado"",""15=fecha_prep"",""07/05/2026"",""15=Fecha expedid"&amp;"o"",""07/05/2026"",""14=Cód_ transportista"",""DHL"",""14=Cód_ servicio solicitado"",""STD"",""14=Link imagen"",""https://clientesparcel.dhl.es/seguimientoenvios/integra/SeguimientoDocumentos.aspx?codigo=0865423780&amp;anno=2026&amp;lang=sp&amp;zatar=q45LoBtfSS29xHGRDZ57"",""14=Loca"&amp;"lizador"","""""</t>
  </si>
  <si>
    <t>=NL("Filas","SQL="&amp;
"select MAX(td.[Nº movimiento]) num_mov "&amp;
"  from [dbo].[MEDIAPOST SPAIN$Tracking Documento] td with (nolock) "&amp;
"  WHERE td.[Nº documento] = '"&amp;NF($B15,"No_ referencia transporte")&amp;"' "&amp;
"    AND td.[Cód_ incidencia] &lt;&gt; '' ",{"num_mov"},"Datasource=","SQL-Navision")</t>
  </si>
  <si>
    <t>=IF(NF($C15,"num_mov")="","",NL(,"Tracking Documento",,"Nº movimiento",NF($C15,"num_mov"),"Conexión=","Navision","Empresa=","MEDIAPOST SPAIN"))</t>
  </si>
  <si>
    <t>=NF($B15,"No_ documento cliente")</t>
  </si>
  <si>
    <t>=NF($B15,"No_ referencia transporte")</t>
  </si>
  <si>
    <t>=NF($B15,"Nº Expedición")</t>
  </si>
  <si>
    <t>=NF($B15,"C_P_ punto entrega")</t>
  </si>
  <si>
    <t>=NF($B15,"fecha_prep")</t>
  </si>
  <si>
    <t>=NF($B15,"Fecha expedido")</t>
  </si>
  <si>
    <t>=NF($B15,"Estado")</t>
  </si>
  <si>
    <t>=NF($D15,"fecha")</t>
  </si>
  <si>
    <t>=NF($D15,"Descripción incidencia")</t>
  </si>
  <si>
    <t>=NF($B15,"Cód_ transportista")</t>
  </si>
  <si>
    <t>=NF($B15,"Cód_ servicio solicitado")</t>
  </si>
  <si>
    <t>=NF($B15,"Link imagen")</t>
  </si>
  <si>
    <t>=NF($B15,"Localizador")</t>
  </si>
  <si>
    <t>="""SQL-NAVISION"","""",""SQL="",""14=No_"",""PD260080315"",""14=No_ documento cliente"",""IHF060526"",""14=No_ referencia transporte"",""IHF060526"",""14=Nº Expedición"",""103410"",""14=Nombre punto entrega"",""IVONNE HERNANDEZ FIGUEROA"",""14=Dirección punto entrega"",""C/ ANTONIO LO"&amp;"PEZ LOPEZ N4, BLOQUE 24, 6 PLANTA, PUERTA 6A  MIRAMAR"",""14=C_P_ punto entrega"",""38009"",""14=Población punto entrega"",""SANTA CRUZ DE TENERIFE"",""14=Provincia punto entrega"",""SANTA CRUZ DE TENERIFE"",""14=País punto entrega"",""ES"",""14=Estado"",""Entregado"",""15=fec"&amp;"ha_prep"",""07/05/2026"",""15=Fecha expedido"",""07/05/2026"",""14=Cód_ transportista"",""CADENALOG"",""14=Cód_ servicio solicitado"",""STD"",""14=Link imagen"","""",""14=Localizador"","""""</t>
  </si>
  <si>
    <t>=NL("Filas","SQL="&amp;
"select MAX(td.[Nº movimiento]) num_mov "&amp;
"  from [dbo].[MEDIAPOST SPAIN$Tracking Documento] td with (nolock) "&amp;
"  WHERE td.[Nº documento] = '"&amp;NF($B16,"No_ referencia transporte")&amp;"' "&amp;
"    AND td.[Cód_ incidencia] &lt;&gt; '' ",{"num_mov"},"Datasource=","SQL-Navision")</t>
  </si>
  <si>
    <t>=IF(NF($C16,"num_mov")="","",NL(,"Tracking Documento",,"Nº movimiento",NF($C16,"num_mov"),"Conexión=","Navision","Empresa=","MEDIAPOST SPAIN"))</t>
  </si>
  <si>
    <t>=NF($B16,"No_ documento cliente")</t>
  </si>
  <si>
    <t>=NF($B16,"No_ referencia transporte")</t>
  </si>
  <si>
    <t>=NF($B16,"Nº Expedición")</t>
  </si>
  <si>
    <t>=NF($B16,"C_P_ punto entrega")</t>
  </si>
  <si>
    <t>=NF($B16,"fecha_prep")</t>
  </si>
  <si>
    <t>=NF($B16,"Fecha expedido")</t>
  </si>
  <si>
    <t>=NF($B16,"Estado")</t>
  </si>
  <si>
    <t>=NF($D16,"fecha")</t>
  </si>
  <si>
    <t>=NF($D16,"Descripción incidencia")</t>
  </si>
  <si>
    <t>=NF($B16,"Cód_ transportista")</t>
  </si>
  <si>
    <t>=NF($B16,"Cód_ servicio solicitado")</t>
  </si>
  <si>
    <t>=NF($B16,"Link imagen")</t>
  </si>
  <si>
    <t>=NF($B16,"Localizador")</t>
  </si>
  <si>
    <t>="""SQL-NAVISION"","""",""SQL="",""14=No_"",""PD260080151"",""14=No_ documento cliente"",""DPD260133052"",""14=No_ referencia transporte"",""DPD260133052"",""14=Nº Expedición"",""DPD260133052"",""14=Nombre punto entrega"",""Team PLV"",""14=Dirección punto entrega"",""Avenida de los ofi"&amp;"cios números 17 b y 17c"",""14=C_P_ punto entrega"",""45222"",""14=Población punto entrega"",""BOROX"",""14=Provincia punto entrega"",""TOLEDO"",""14=País punto entrega"",""ES"",""14=Estado"",""Entregado"",""15=fecha_prep"",""07/05/2026"",""15=Fecha expedido"",""07/05/2026"",""14=Cód_"&amp;" transportista"",""HIDALFER"",""14=Cód_ servicio solicitado"",""PRESUPUESTO"",""14=Link imagen"",""https://img.directoatusclientes.com/iris/POD/HIDALFER/DPD260133052.pdf"",""14=Localizador"","""""</t>
  </si>
  <si>
    <t>=NL("Filas","SQL="&amp;
"select MAX(td.[Nº movimiento]) num_mov "&amp;
"  from [dbo].[MEDIAPOST SPAIN$Tracking Documento] td with (nolock) "&amp;
"  WHERE td.[Nº documento] = '"&amp;NF($B17,"No_ referencia transporte")&amp;"' "&amp;
"    AND td.[Cód_ incidencia] &lt;&gt; '' ",{"num_mov"},"Datasource=","SQL-Navision")</t>
  </si>
  <si>
    <t>=IF(NF($C17,"num_mov")="","",NL(,"Tracking Documento",,"Nº movimiento",NF($C17,"num_mov"),"Conexión=","Navision","Empresa=","MEDIAPOST SPAIN"))</t>
  </si>
  <si>
    <t>=NF($B17,"No_ documento cliente")</t>
  </si>
  <si>
    <t>=NF($B17,"No_ referencia transporte")</t>
  </si>
  <si>
    <t>=NF($B17,"Nº Expedición")</t>
  </si>
  <si>
    <t>=NF($B17,"C_P_ punto entrega")</t>
  </si>
  <si>
    <t>=NF($B17,"fecha_prep")</t>
  </si>
  <si>
    <t>=NF($B17,"Fecha expedido")</t>
  </si>
  <si>
    <t>=NF($B17,"Estado")</t>
  </si>
  <si>
    <t>=NF($D17,"fecha")</t>
  </si>
  <si>
    <t>=NF($D17,"Descripción incidencia")</t>
  </si>
  <si>
    <t>=NF($B17,"Cód_ transportista")</t>
  </si>
  <si>
    <t>=NF($B17,"Cód_ servicio solicitado")</t>
  </si>
  <si>
    <t>=NF($B17,"Link imagen")</t>
  </si>
  <si>
    <t>=NF($B17,"Localizador")</t>
  </si>
  <si>
    <t>="""SQL-NAVISION"","""",""SQL="",""14=No_"",""PD260080279"",""14=No_ documento cliente"",""FAFG050526"",""14=No_ referencia transporte"",""FAFG050526"",""14=Nº Expedición"",""325576"",""14=Nombre punto entrega"",""FATIMA AL FICHTA EL GUENAOUI"",""14=Dirección punto entrega"",""C Mónaco"&amp;" n 2 bajo C"",""14=C_P_ punto entrega"",""40005"",""14=Población punto entrega"",""SEGOVIA"",""14=Provincia punto entrega"",""SEGOVIA"",""14=País punto entrega"",""ES"",""14=Estado"",""Entregado"",""15=fecha_prep"",""07/05/2026"",""15=Fecha expedido"",""07/05/2026"",""14=Cód_ transpor"&amp;"tista"",""CEXPRESS"",""14=Cód_ servicio solicitado"",""STD"",""14=Link imagen"",""https://www.correosexpress.com/chronoExtraNET/imagenes/mostrarImagen.seam?u=cdd394c03ac9cba88c65c265c9b9ea52&amp;e=2314979310650003255760"",""14=Localizador"",""9310650003255760"""</t>
  </si>
  <si>
    <t>=NL("Filas","SQL="&amp;
"select MAX(td.[Nº movimiento]) num_mov "&amp;
"  from [dbo].[MEDIAPOST SPAIN$Tracking Documento] td with (nolock) "&amp;
"  WHERE td.[Nº documento] = '"&amp;NF($B18,"No_ referencia transporte")&amp;"' "&amp;
"    AND td.[Cód_ incidencia] &lt;&gt; '' ",{"num_mov"},"Datasource=","SQL-Navision")</t>
  </si>
  <si>
    <t>=IF(NF($C18,"num_mov")="","",NL(,"Tracking Documento",,"Nº movimiento",NF($C18,"num_mov"),"Conexión=","Navision","Empresa=","MEDIAPOST SPAIN"))</t>
  </si>
  <si>
    <t>=NF($B18,"No_ documento cliente")</t>
  </si>
  <si>
    <t>=NF($B18,"No_ referencia transporte")</t>
  </si>
  <si>
    <t>=NF($B18,"Nº Expedición")</t>
  </si>
  <si>
    <t>=NF($B18,"C_P_ punto entrega")</t>
  </si>
  <si>
    <t>=NF($B18,"fecha_prep")</t>
  </si>
  <si>
    <t>=NF($B18,"Fecha expedido")</t>
  </si>
  <si>
    <t>=NF($B18,"Estado")</t>
  </si>
  <si>
    <t>=NF($D18,"fecha")</t>
  </si>
  <si>
    <t>=NF($D18,"Descripción incidencia")</t>
  </si>
  <si>
    <t>=NF($B18,"Cód_ transportista")</t>
  </si>
  <si>
    <t>=NF($B18,"Cód_ servicio solicitado")</t>
  </si>
  <si>
    <t>=NF($B18,"Link imagen")</t>
  </si>
  <si>
    <t>=NF($B18,"Localizador")</t>
  </si>
  <si>
    <t>="""SQL-NAVISION"","""",""SQL="",""14=No_"",""PD260079593"",""14=No_ documento cliente"",""ISD040526.1"",""14=No_ referencia transporte"",""ISD040526.1"",""14=Nº Expedición"",""103406"",""14=Nombre punto entrega"",""IVONNE HERNANDEZ FIGUEROA"",""14=Dirección punto entrega"",""recoge en"&amp;" BEST LOGISTIC CANARIAS"",""14=C_P_ punto entrega"",""38180"",""14=Población punto entrega"",""SANTA CRUZ DE TENERIFE"",""14=Provincia punto entrega"",""SANTA CRUZ DE TENERIFE"",""14=País punto entrega"",""ES"",""14=Estado"",""Entregado"",""15=fecha_prep"",""07/05/2026"",""15=Fech"&amp;"a expedido"",""07/05/2026"",""14=Cód_ transportista"",""CADENALOG"",""14=Cód_ servicio solicitado"",""STD"",""14=Link imagen"","""",""14=Localizador"","""""</t>
  </si>
  <si>
    <t>=NL("Filas","SQL="&amp;
"select MAX(td.[Nº movimiento]) num_mov "&amp;
"  from [dbo].[MEDIAPOST SPAIN$Tracking Documento] td with (nolock) "&amp;
"  WHERE td.[Nº documento] = '"&amp;NF($B19,"No_ referencia transporte")&amp;"' "&amp;
"    AND td.[Cód_ incidencia] &lt;&gt; '' ",{"num_mov"},"Datasource=","SQL-Navision")</t>
  </si>
  <si>
    <t>=IF(NF($C19,"num_mov")="","",NL(,"Tracking Documento",,"Nº movimiento",NF($C19,"num_mov"),"Conexión=","Navision","Empresa=","MEDIAPOST SPAIN"))</t>
  </si>
  <si>
    <t>=NF($B19,"No_ documento cliente")</t>
  </si>
  <si>
    <t>=NF($B19,"No_ referencia transporte")</t>
  </si>
  <si>
    <t>=NF($B19,"Nº Expedición")</t>
  </si>
  <si>
    <t>=NF($B19,"C_P_ punto entrega")</t>
  </si>
  <si>
    <t>=NF($B19,"fecha_prep")</t>
  </si>
  <si>
    <t>=NF($B19,"Fecha expedido")</t>
  </si>
  <si>
    <t>=NF($B19,"Estado")</t>
  </si>
  <si>
    <t>=NF($D19,"fecha")</t>
  </si>
  <si>
    <t>=NF($D19,"Descripción incidencia")</t>
  </si>
  <si>
    <t>=NF($B19,"Cód_ transportista")</t>
  </si>
  <si>
    <t>=NF($B19,"Cód_ servicio solicitado")</t>
  </si>
  <si>
    <t>=NF($B19,"Link imagen")</t>
  </si>
  <si>
    <t>=NF($B19,"Localizador")</t>
  </si>
  <si>
    <t>="""SQL-NAVISION"","""",""SQL="",""14=No_"",""PD260080260"",""14=No_ documento cliente"",""MLG060526.1"",""14=No_ referencia transporte"",""MLG060526.1"",""14=Nº Expedición"",""0865423780"",""14=Nombre punto entrega"",""MARIA LOPEZ GIL"",""14=Dirección punto entrega"",""Avenida jose ga"&amp;"rrigo farga 47 piso 1 puerta 4"",""14=C_P_ punto entrega"",""46185"",""14=Población punto entrega"",""La pobla de Vallbona"",""14=Provincia punto entrega"",""VALENCIA"",""14=País punto entrega"",""ES"",""14=Estado"",""Entregado"",""15=fecha_prep"",""07/05/2026"",""15=Fecha expedid"&amp;"o"",""07/05/2026"",""14=Cód_ transportista"",""DHL"",""14=Cód_ servicio solicitado"",""STD"",""14=Link imagen"",""https://clientesparcel.dhl.es/seguimientoenvios/integra/SeguimientoDocumentos.aspx?codigo=0865423780&amp;anno=2026&amp;lang=sp&amp;zatar=q45LoBtfSS29xHGRDZ57"",""14=Loca"&amp;"lizador"","""""</t>
  </si>
  <si>
    <t>=NL("Filas","SQL="&amp;
"select MAX(td.[Nº movimiento]) num_mov "&amp;
"  from [dbo].[MEDIAPOST SPAIN$Tracking Documento] td with (nolock) "&amp;
"  WHERE td.[Nº documento] = '"&amp;NF($B20,"No_ referencia transporte")&amp;"' "&amp;
"    AND td.[Cód_ incidencia] &lt;&gt; '' ",{"num_mov"},"Datasource=","SQL-Navision")</t>
  </si>
  <si>
    <t>=IF(NF($C20,"num_mov")="","",NL(,"Tracking Documento",,"Nº movimiento",NF($C20,"num_mov"),"Conexión=","Navision","Empresa=","MEDIAPOST SPAIN"))</t>
  </si>
  <si>
    <t>=NF($B20,"No_ documento cliente")</t>
  </si>
  <si>
    <t>=NF($B20,"No_ referencia transporte")</t>
  </si>
  <si>
    <t>=NF($B20,"Nº Expedición")</t>
  </si>
  <si>
    <t>=NF($B20,"C_P_ punto entrega")</t>
  </si>
  <si>
    <t>=NF($B20,"fecha_prep")</t>
  </si>
  <si>
    <t>=NF($B20,"Fecha expedido")</t>
  </si>
  <si>
    <t>=NF($B20,"Estado")</t>
  </si>
  <si>
    <t>=NF($D20,"fecha")</t>
  </si>
  <si>
    <t>=NF($D20,"Descripción incidencia")</t>
  </si>
  <si>
    <t>=NF($B20,"Cód_ transportista")</t>
  </si>
  <si>
    <t>=NF($B20,"Cód_ servicio solicitado")</t>
  </si>
  <si>
    <t>=NF($B20,"Link imagen")</t>
  </si>
  <si>
    <t>=NF($B20,"Localizador")</t>
  </si>
  <si>
    <t>="""SQL-NAVISION"","""",""SQL="",""14=No_"",""PD260081554"",""14=No_ documento cliente"",""SIG070526.11"",""14=No_ referencia transporte"",""SIG070526.11"",""14=Nº Expedición"",""1200792595"",""14=Nombre punto entrega"",""TIPSA SANTANDER"",""14=Dirección punto entrega"",""recoge en la "&amp;"delegacion"",""14=C_P_ punto entrega"",""39600"",""14=Población punto entrega"",""Camargo"",""14=Provincia punto entrega"",""Cantabria"",""14=País punto entrega"",""ES"",""14=Estado"",""En Reparto"",""15=fecha_prep"",""08/05/2026"",""15=Fecha expedido"",""08/05/2026"",""14=Cód_ transp"&amp;"ortista"",""TIPSA"",""14=Cód_ servicio solicitado"",""STD"",""14=Link imagen"",""https://www.tip-sa.com/cliente/datos.php?id=02800109585SIG070526.1139600"",""14=Localizador"",""0280010280011200792595"""</t>
  </si>
  <si>
    <t>=NL("Filas","SQL="&amp;
"select MAX(td.[Nº movimiento]) num_mov "&amp;
"  from [dbo].[MEDIAPOST SPAIN$Tracking Documento] td with (nolock) "&amp;
"  WHERE td.[Nº documento] = '"&amp;NF($B21,"No_ referencia transporte")&amp;"' "&amp;
"    AND td.[Cód_ incidencia] &lt;&gt; '' ",{"num_mov"},"Datasource=","SQL-Navision")</t>
  </si>
  <si>
    <t>=IF(NF($C21,"num_mov")="","",NL(,"Tracking Documento",,"Nº movimiento",NF($C21,"num_mov"),"Conexión=","Navision","Empresa=","MEDIAPOST SPAIN"))</t>
  </si>
  <si>
    <t>=NF($B21,"No_ documento cliente")</t>
  </si>
  <si>
    <t>=NF($B21,"No_ referencia transporte")</t>
  </si>
  <si>
    <t>=NF($B21,"Nº Expedición")</t>
  </si>
  <si>
    <t>=NF($B21,"C_P_ punto entrega")</t>
  </si>
  <si>
    <t>=NF($B21,"fecha_prep")</t>
  </si>
  <si>
    <t>=NF($B21,"Fecha expedido")</t>
  </si>
  <si>
    <t>=NF($B21,"Estado")</t>
  </si>
  <si>
    <t>=NF($D21,"fecha")</t>
  </si>
  <si>
    <t>=NF($D21,"Descripción incidencia")</t>
  </si>
  <si>
    <t>=NF($B21,"Cód_ transportista")</t>
  </si>
  <si>
    <t>=NF($B21,"Cód_ servicio solicitado")</t>
  </si>
  <si>
    <t>=NF($B21,"Link imagen")</t>
  </si>
  <si>
    <t>=NF($B21,"Localizador")</t>
  </si>
  <si>
    <t>="""SQL-NAVISION"","""",""SQL="",""14=No_"",""PD260081534"",""14=No_ documento cliente"",""ACR070526.1"",""14=No_ referencia transporte"",""ACR070526.1"",""14=Nº Expedición"",""5602158"",""14=Nombre punto entrega"",""MEDIAPOST ALICANTE"",""14=Dirección punto entrega"",""C/ Mistral, 5 P"&amp;"ol. Ind. Pla de la Vallonga"",""14=C_P_ punto entrega"",""03006"",""14=Población punto entrega"",""ALICANTE"",""14=Provincia punto entrega"",""ALICANTE"",""14=País punto entrega"",""ES"",""14=Estado"",""Entregado"",""15=fecha_prep"",""08/05/2026"",""15=Fecha expedido"",""08/05/2026"""&amp;",""14=Cód_ transportista"",""ASM"",""14=Cód_ servicio solicitado"",""13:30 H"",""14=Link imagen"",""https://mygls.gls-spain.es/e/31200805602158/03006"",""14=Localizador"","""""</t>
  </si>
  <si>
    <t>=NL("Filas","SQL="&amp;
"select MAX(td.[Nº movimiento]) num_mov "&amp;
"  from [dbo].[MEDIAPOST SPAIN$Tracking Documento] td with (nolock) "&amp;
"  WHERE td.[Nº documento] = '"&amp;NF($B22,"No_ referencia transporte")&amp;"' "&amp;
"    AND td.[Cód_ incidencia] &lt;&gt; '' ",{"num_mov"},"Datasource=","SQL-Navision")</t>
  </si>
  <si>
    <t>=IF(NF($C22,"num_mov")="","",NL(,"Tracking Documento",,"Nº movimiento",NF($C22,"num_mov"),"Conexión=","Navision","Empresa=","MEDIAPOST SPAIN"))</t>
  </si>
  <si>
    <t>=NF($B22,"No_ documento cliente")</t>
  </si>
  <si>
    <t>=NF($B22,"No_ referencia transporte")</t>
  </si>
  <si>
    <t>=NF($B22,"Nº Expedición")</t>
  </si>
  <si>
    <t>=NF($B22,"C_P_ punto entrega")</t>
  </si>
  <si>
    <t>=NF($B22,"fecha_prep")</t>
  </si>
  <si>
    <t>=NF($B22,"Fecha expedido")</t>
  </si>
  <si>
    <t>=NF($B22,"Estado")</t>
  </si>
  <si>
    <t>=NF($D22,"fecha")</t>
  </si>
  <si>
    <t>=NF($D22,"Descripción incidencia")</t>
  </si>
  <si>
    <t>=NF($B22,"Cód_ transportista")</t>
  </si>
  <si>
    <t>=NF($B22,"Cód_ servicio solicitado")</t>
  </si>
  <si>
    <t>=NF($B22,"Link imagen")</t>
  </si>
  <si>
    <t>=NF($B22,"Localizador")</t>
  </si>
  <si>
    <t>="""SQL-NAVISION"","""",""SQL="",""14=No_"",""PD260081355"",""14=No_ documento cliente"",""ISD070526.2"",""14=No_ referencia transporte"",""ISD070526.2"",""14=Nº Expedición"",""5602136"",""14=Nombre punto entrega"",""SANDRA CASTAÑEDA PAVON"",""14=Dirección punto entrega"",""C/Buen Past"&amp;"or, 459"",""14=C_P_ punto entrega"",""11100"",""14=Población punto entrega"",""SAN FERNANDO"",""14=Provincia punto entrega"",""CADIZ"",""14=País punto entrega"",""ES"",""14=Estado"",""Entregado"",""15=fecha_prep"",""08/05/2026"",""15=Fecha expedido"",""08/05/2026"",""14=Cód_ transport"&amp;"ista"",""ASM"",""14=Cód_ servicio solicitado"",""STD"",""14=Link imagen"",""https://mygls.gls-spain.es/e/31200805602136/11100"",""14=Localizador"","""""</t>
  </si>
  <si>
    <t>=NL("Filas","SQL="&amp;
"select MAX(td.[Nº movimiento]) num_mov "&amp;
"  from [dbo].[MEDIAPOST SPAIN$Tracking Documento] td with (nolock) "&amp;
"  WHERE td.[Nº documento] = '"&amp;NF($B23,"No_ referencia transporte")&amp;"' "&amp;
"    AND td.[Cód_ incidencia] &lt;&gt; '' ",{"num_mov"},"Datasource=","SQL-Navision")</t>
  </si>
  <si>
    <t>=IF(NF($C23,"num_mov")="","",NL(,"Tracking Documento",,"Nº movimiento",NF($C23,"num_mov"),"Conexión=","Navision","Empresa=","MEDIAPOST SPAIN"))</t>
  </si>
  <si>
    <t>=NF($B23,"No_ documento cliente")</t>
  </si>
  <si>
    <t>=NF($B23,"No_ referencia transporte")</t>
  </si>
  <si>
    <t>=NF($B23,"Nº Expedición")</t>
  </si>
  <si>
    <t>=NF($B23,"C_P_ punto entrega")</t>
  </si>
  <si>
    <t>=NF($B23,"fecha_prep")</t>
  </si>
  <si>
    <t>=NF($B23,"Fecha expedido")</t>
  </si>
  <si>
    <t>=NF($B23,"Estado")</t>
  </si>
  <si>
    <t>=NF($D23,"fecha")</t>
  </si>
  <si>
    <t>=NF($D23,"Descripción incidencia")</t>
  </si>
  <si>
    <t>=NF($B23,"Cód_ transportista")</t>
  </si>
  <si>
    <t>=NF($B23,"Cód_ servicio solicitado")</t>
  </si>
  <si>
    <t>=NF($B23,"Link imagen")</t>
  </si>
  <si>
    <t>=NF($B23,"Localizador")</t>
  </si>
  <si>
    <t>="""SQL-NAVISION"","""",""SQL="",""14=No_"",""PD260081344"",""14=No_ documento cliente"",""63226000164"",""14=No_ referencia transporte"",""63226000164"",""14=Nº Expedición"",""0865423920"",""14=Nombre punto entrega"",""Recoger en Delegación / Miriam Perez"",""14=Dirección punto entr"&amp;"ega"",""RECOGER EN DELEGACION"",""14=C_P_ punto entrega"",""03400"",""14=Población punto entrega"",""VILLENA"",""14=Provincia punto entrega"",""ALICANTE"",""14=País punto entrega"",""ES"",""14=Estado"",""Entregado"",""15=fecha_prep"",""08/05/2026"",""15=Fecha expedido"",""08/05/2026"","&amp;"""14=Cód_ transportista"",""DHL"",""14=Cód_ servicio solicitado"",""STD"",""14=Link imagen"",""https://clientesparcel.dhl.es/seguimientoenvios/integra/SeguimientoDocumentos.aspx?codigo=0865423920&amp;anno=2026&amp;lang=sp&amp;zatar=q45LoBtfSS29xHGRDZ57"",""14=Localizador"","""""</t>
  </si>
  <si>
    <t>=NL("Filas","SQL="&amp;
"select MAX(td.[Nº movimiento]) num_mov "&amp;
"  from [dbo].[MEDIAPOST SPAIN$Tracking Documento] td with (nolock) "&amp;
"  WHERE td.[Nº documento] = '"&amp;NF($B24,"No_ referencia transporte")&amp;"' "&amp;
"    AND td.[Cód_ incidencia] &lt;&gt; '' ",{"num_mov"},"Datasource=","SQL-Navision")</t>
  </si>
  <si>
    <t>=IF(NF($C24,"num_mov")="","",NL(,"Tracking Documento",,"Nº movimiento",NF($C24,"num_mov"),"Conexión=","Navision","Empresa=","MEDIAPOST SPAIN"))</t>
  </si>
  <si>
    <t>=NF($B24,"No_ documento cliente")</t>
  </si>
  <si>
    <t>=NF($B24,"No_ referencia transporte")</t>
  </si>
  <si>
    <t>=NF($B24,"Nº Expedición")</t>
  </si>
  <si>
    <t>=NF($B24,"C_P_ punto entrega")</t>
  </si>
  <si>
    <t>=NF($B24,"fecha_prep")</t>
  </si>
  <si>
    <t>=NF($B24,"Fecha expedido")</t>
  </si>
  <si>
    <t>=NF($B24,"Estado")</t>
  </si>
  <si>
    <t>=NF($D24,"fecha")</t>
  </si>
  <si>
    <t>=NF($D24,"Descripción incidencia")</t>
  </si>
  <si>
    <t>=NF($B24,"Cód_ transportista")</t>
  </si>
  <si>
    <t>=NF($B24,"Cód_ servicio solicitado")</t>
  </si>
  <si>
    <t>=NF($B24,"Link imagen")</t>
  </si>
  <si>
    <t>=NF($B24,"Localizador")</t>
  </si>
  <si>
    <t>="""SQL-NAVISION"","""",""SQL="",""14=No_"",""PD260081536"",""14=No_ documento cliente"",""ACR070526.3"",""14=No_ referencia transporte"",""ACR070526.3"",""14=Nº Expedición"",""1200792571"",""14=Nombre punto entrega"",""MEDIAPOST ALICANTE"",""14=Dirección punto entrega"",""C/ Mistral, "&amp;"5 Pol. Ind. Pla de la Vallonga"",""14=C_P_ punto entrega"",""03006"",""14=Población punto entrega"",""ALICANTE"",""14=Provincia punto entrega"",""ALICANTE"",""14=País punto entrega"",""ES"",""14=Estado"",""Entregado"",""15=fecha_prep"",""08/05/2026"",""15=Fecha expedido"",""08/05/20"&amp;"26"",""14=Cód_ transportista"",""TIPSA"",""14=Cód_ servicio solicitado"",""13:30 H"",""14=Link imagen"",""https://www.tip-sa.com/cliente/datos.php?id=02800109585ACR070526.303006"",""14=Localizador"",""0280010280011200792571"""</t>
  </si>
  <si>
    <t>=NL("Filas","SQL="&amp;
"select MAX(td.[Nº movimiento]) num_mov "&amp;
"  from [dbo].[MEDIAPOST SPAIN$Tracking Documento] td with (nolock) "&amp;
"  WHERE td.[Nº documento] = '"&amp;NF($B25,"No_ referencia transporte")&amp;"' "&amp;
"    AND td.[Cód_ incidencia] &lt;&gt; '' ",{"num_mov"},"Datasource=","SQL-Navision")</t>
  </si>
  <si>
    <t>=IF(NF($C25,"num_mov")="","",NL(,"Tracking Documento",,"Nº movimiento",NF($C25,"num_mov"),"Conexión=","Navision","Empresa=","MEDIAPOST SPAIN"))</t>
  </si>
  <si>
    <t>=NF($B25,"No_ documento cliente")</t>
  </si>
  <si>
    <t>=NF($B25,"No_ referencia transporte")</t>
  </si>
  <si>
    <t>=NF($B25,"Nº Expedición")</t>
  </si>
  <si>
    <t>=NF($B25,"C_P_ punto entrega")</t>
  </si>
  <si>
    <t>=NF($B25,"fecha_prep")</t>
  </si>
  <si>
    <t>=NF($B25,"Fecha expedido")</t>
  </si>
  <si>
    <t>=NF($B25,"Estado")</t>
  </si>
  <si>
    <t>=NF($D25,"fecha")</t>
  </si>
  <si>
    <t>=NF($D25,"Descripción incidencia")</t>
  </si>
  <si>
    <t>=NF($B25,"Cód_ transportista")</t>
  </si>
  <si>
    <t>=NF($B25,"Cód_ servicio solicitado")</t>
  </si>
  <si>
    <t>=NF($B25,"Link imagen")</t>
  </si>
  <si>
    <t>=NF($B25,"Localizador")</t>
  </si>
  <si>
    <t>="""SQL-NAVISION"","""",""SQL="",""14=No_"",""PD260081343"",""14=No_ documento cliente"",""63226000162"",""14=No_ referencia transporte"",""63226000162"",""14=Nº Expedición"",""000016766"",""14=Nombre punto entrega"",""Estanco Irún-015"",""14=Dirección punto entrega"",""MªJUNC.LABANDIB"&amp;"AR, 5"",""14=C_P_ punto entrega"",""20305"",""14=Población punto entrega"",""Irún"",""14=Provincia punto entrega"",""Guipúzcoa"",""14=País punto entrega"",""ES"",""14=Estado"",""Entregado"",""15=fecha_prep"",""08/05/2026"",""15=Fecha expedido"",""08/05/2026"",""14=Cód_ transportista"","&amp;"""ONTIME"",""14=Cód_ servicio solicitado"",""STD"",""14=Link imagen"",""https://ontimegts.alertran.net/gts/pub/clielocserv.seam?cliente=02890149&amp;expedicion=999949864800"",""14=Localizador"",""999949864800"""</t>
  </si>
  <si>
    <t>=NL("Filas","SQL="&amp;
"select MAX(td.[Nº movimiento]) num_mov "&amp;
"  from [dbo].[MEDIAPOST SPAIN$Tracking Documento] td with (nolock) "&amp;
"  WHERE td.[Nº documento] = '"&amp;NF($B26,"No_ referencia transporte")&amp;"' "&amp;
"    AND td.[Cód_ incidencia] &lt;&gt; '' ",{"num_mov"},"Datasource=","SQL-Navision")</t>
  </si>
  <si>
    <t>=IF(NF($C26,"num_mov")="","",NL(,"Tracking Documento",,"Nº movimiento",NF($C26,"num_mov"),"Conexión=","Navision","Empresa=","MEDIAPOST SPAIN"))</t>
  </si>
  <si>
    <t>=NF($B26,"No_ documento cliente")</t>
  </si>
  <si>
    <t>=NF($B26,"No_ referencia transporte")</t>
  </si>
  <si>
    <t>=NF($B26,"Nº Expedición")</t>
  </si>
  <si>
    <t>=NF($B26,"C_P_ punto entrega")</t>
  </si>
  <si>
    <t>=NF($B26,"fecha_prep")</t>
  </si>
  <si>
    <t>=NF($B26,"Fecha expedido")</t>
  </si>
  <si>
    <t>=NF($B26,"Estado")</t>
  </si>
  <si>
    <t>=NF($D26,"fecha")</t>
  </si>
  <si>
    <t>=NF($D26,"Descripción incidencia")</t>
  </si>
  <si>
    <t>=NF($B26,"Cód_ transportista")</t>
  </si>
  <si>
    <t>=NF($B26,"Cód_ servicio solicitado")</t>
  </si>
  <si>
    <t>=NF($B26,"Link imagen")</t>
  </si>
  <si>
    <t>=NF($B26,"Localizador")</t>
  </si>
  <si>
    <t>="""SQL-NAVISION"","""",""SQL="",""14=No_"",""PD260081544"",""14=No_ documento cliente"",""SIG070526.1"",""14=No_ referencia transporte"",""SIG070526.1"",""14=Nº Expedición"",""1200792575"",""14=Nombre punto entrega"",""TIPSA LOS ANZUELOS"",""14=Dirección punto entrega"",""recoge en la"&amp;" delegacion"",""14=C_P_ punto entrega"",""46026"",""14=Población punto entrega"",""Valencia"",""14=Provincia punto entrega"",""Valencia"",""14=País punto entrega"",""ES"",""14=Estado"",""Devuelto"",""15=fecha_prep"",""08/05/2026"",""15=Fecha expedido"",""08/05/2026"",""14=Cód_ transpo"&amp;"rtista"",""TIPSA"",""14=Cód_ servicio solicitado"",""STD"",""14=Link imagen"",""https://www.tip-sa.com/cliente/datos.php?id=02800109585SIG070526.146026"",""14=Localizador"",""0280010280011200792575"""</t>
  </si>
  <si>
    <t>=NL("Filas","SQL="&amp;
"select MAX(td.[Nº movimiento]) num_mov "&amp;
"  from [dbo].[MEDIAPOST SPAIN$Tracking Documento] td with (nolock) "&amp;
"  WHERE td.[Nº documento] = '"&amp;NF($B27,"No_ referencia transporte")&amp;"' "&amp;
"    AND td.[Cód_ incidencia] &lt;&gt; '' ",{"num_mov"},"Datasource=","SQL-Navision")</t>
  </si>
  <si>
    <t>=IF(NF($C27,"num_mov")="","",NL(,"Tracking Documento",,"Nº movimiento",NF($C27,"num_mov"),"Conexión=","Navision","Empresa=","MEDIAPOST SPAIN"))</t>
  </si>
  <si>
    <t>=NF($B27,"No_ documento cliente")</t>
  </si>
  <si>
    <t>=NF($B27,"No_ referencia transporte")</t>
  </si>
  <si>
    <t>=NF($B27,"Nº Expedición")</t>
  </si>
  <si>
    <t>=NF($B27,"C_P_ punto entrega")</t>
  </si>
  <si>
    <t>=NF($B27,"fecha_prep")</t>
  </si>
  <si>
    <t>=NF($B27,"Fecha expedido")</t>
  </si>
  <si>
    <t>=NF($B27,"Estado")</t>
  </si>
  <si>
    <t>=NF($D27,"fecha")</t>
  </si>
  <si>
    <t>=NF($D27,"Descripción incidencia")</t>
  </si>
  <si>
    <t>=NF($B27,"Cód_ transportista")</t>
  </si>
  <si>
    <t>=NF($B27,"Cód_ servicio solicitado")</t>
  </si>
  <si>
    <t>=NF($B27,"Link imagen")</t>
  </si>
  <si>
    <t>=NF($B27,"Localizador")</t>
  </si>
  <si>
    <t>="""SQL-NAVISION"","""",""SQL="",""14=No_"",""PD260081358"",""14=No_ documento cliente"",""ISD070526.5"",""14=No_ referencia transporte"",""ISD070526.5"",""14=Nº Expedición"",""0865423950"",""14=Nombre punto entrega"",""MARIA ISABEL LOPEZ GOMEZ"",""14=Dirección punto entrega"",""CALLE "&amp;"LAISECA 144 - A, Nº 6"",""14=C_P_ punto entrega"",""39709"",""14=Población punto entrega"",""SAMANO"",""14=Provincia punto entrega"",""CASTRO URDIALES"",""14=País punto entrega"",""ES"",""14=Estado"",""Entregado"",""15=fecha_prep"",""08/05/2026"",""15=Fecha expedido"",""08/05/2026"","&amp;"""14=Cód_ transportista"",""DHL"",""14=Cód_ servicio solicitado"",""STD"",""14=Link imagen"",""https://clientesparcel.dhl.es/seguimientoenvios/integra/SeguimientoDocumentos.aspx?codigo=0865423950&amp;anno=2026&amp;lang=sp&amp;zatar=q45LoBtfSS29xHGRDZ57"",""14=Localizador"","""""</t>
  </si>
  <si>
    <t>=NL("Filas","SQL="&amp;
"select MAX(td.[Nº movimiento]) num_mov "&amp;
"  from [dbo].[MEDIAPOST SPAIN$Tracking Documento] td with (nolock) "&amp;
"  WHERE td.[Nº documento] = '"&amp;NF($B28,"No_ referencia transporte")&amp;"' "&amp;
"    AND td.[Cód_ incidencia] &lt;&gt; '' ",{"num_mov"},"Datasource=","SQL-Navision")</t>
  </si>
  <si>
    <t>=IF(NF($C28,"num_mov")="","",NL(,"Tracking Documento",,"Nº movimiento",NF($C28,"num_mov"),"Conexión=","Navision","Empresa=","MEDIAPOST SPAIN"))</t>
  </si>
  <si>
    <t>=NF($B28,"No_ documento cliente")</t>
  </si>
  <si>
    <t>=NF($B28,"No_ referencia transporte")</t>
  </si>
  <si>
    <t>=NF($B28,"Nº Expedición")</t>
  </si>
  <si>
    <t>=NF($B28,"C_P_ punto entrega")</t>
  </si>
  <si>
    <t>=NF($B28,"fecha_prep")</t>
  </si>
  <si>
    <t>=NF($B28,"Fecha expedido")</t>
  </si>
  <si>
    <t>=NF($B28,"Estado")</t>
  </si>
  <si>
    <t>=NF($D28,"fecha")</t>
  </si>
  <si>
    <t>=NF($D28,"Descripción incidencia")</t>
  </si>
  <si>
    <t>=NF($B28,"Cód_ transportista")</t>
  </si>
  <si>
    <t>=NF($B28,"Cód_ servicio solicitado")</t>
  </si>
  <si>
    <t>=NF($B28,"Link imagen")</t>
  </si>
  <si>
    <t>=NF($B28,"Localizador")</t>
  </si>
  <si>
    <t>="""SQL-NAVISION"","""",""SQL="",""14=No_"",""PD260081887"",""14=No_ documento cliente"",""JJFR080526"",""14=No_ referencia transporte"",""JJFR080526"",""14=Nº Expedición"",""5602165"",""14=Nombre punto entrega"",""MEDIAPOST ALICANTE"",""14=Dirección punto entrega"",""C/ Mistral, 5 Pol"&amp;". Ind. Pla de la Vallonga"",""14=C_P_ punto entrega"",""03006"",""14=Población punto entrega"",""ALICANTE"",""14=Provincia punto entrega"",""ALICANTE"",""14=País punto entrega"",""ES"",""14=Estado"",""Entregado"",""15=fecha_prep"",""08/05/2026"",""15=Fecha expedido"",""08/05/2026"","""&amp;"14=Cód_ transportista"",""ASM"",""14=Cód_ servicio solicitado"",""STD"",""14=Link imagen"",""https://mygls.gls-spain.es/e/31200805602165/03006"",""14=Localizador"","""""</t>
  </si>
  <si>
    <t>=NL("Filas","SQL="&amp;
"select MAX(td.[Nº movimiento]) num_mov "&amp;
"  from [dbo].[MEDIAPOST SPAIN$Tracking Documento] td with (nolock) "&amp;
"  WHERE td.[Nº documento] = '"&amp;NF($B29,"No_ referencia transporte")&amp;"' "&amp;
"    AND td.[Cód_ incidencia] &lt;&gt; '' ",{"num_mov"},"Datasource=","SQL-Navision")</t>
  </si>
  <si>
    <t>=IF(NF($C29,"num_mov")="","",NL(,"Tracking Documento",,"Nº movimiento",NF($C29,"num_mov"),"Conexión=","Navision","Empresa=","MEDIAPOST SPAIN"))</t>
  </si>
  <si>
    <t>=NF($B29,"No_ documento cliente")</t>
  </si>
  <si>
    <t>=NF($B29,"No_ referencia transporte")</t>
  </si>
  <si>
    <t>=NF($B29,"Nº Expedición")</t>
  </si>
  <si>
    <t>=NF($B29,"C_P_ punto entrega")</t>
  </si>
  <si>
    <t>=NF($B29,"fecha_prep")</t>
  </si>
  <si>
    <t>=NF($B29,"Fecha expedido")</t>
  </si>
  <si>
    <t>=NF($B29,"Estado")</t>
  </si>
  <si>
    <t>=NF($D29,"fecha")</t>
  </si>
  <si>
    <t>=NF($D29,"Descripción incidencia")</t>
  </si>
  <si>
    <t>=NF($B29,"Cód_ transportista")</t>
  </si>
  <si>
    <t>=NF($B29,"Cód_ servicio solicitado")</t>
  </si>
  <si>
    <t>=NF($B29,"Link imagen")</t>
  </si>
  <si>
    <t>=NF($B29,"Localizador")</t>
  </si>
  <si>
    <t>="""SQL-NAVISION"","""",""SQL="",""14=No_"",""PD260081545"",""14=No_ documento cliente"",""SIG070526.2"",""14=No_ referencia transporte"",""SIG070526.2"",""14=Nº Expedición"",""1200792577"",""14=Nombre punto entrega"",""TIPSA A CORUÑA"",""14=Dirección punto entrega"",""recoge en la del"&amp;"egacion"",""14=C_P_ punto entrega"",""15190"",""14=Población punto entrega"",""Poligono de Pocomaco"",""14=Provincia punto entrega"",""A Coruña"",""14=País punto entrega"",""ES"",""14=Estado"",""Entregado"",""15=fecha_prep"",""08/05/2026"",""15=Fecha expedido"",""08/05/2026"",""14=Cód"&amp;"_ transportista"",""TIPSA"",""14=Cód_ servicio solicitado"",""STD"",""14=Link imagen"",""https://www.tip-sa.com/cliente/datos.php?id=02800109585SIG070526.215190"",""14=Localizador"",""0280010280011200792577"""</t>
  </si>
  <si>
    <t>=NL("Filas","SQL="&amp;
"select MAX(td.[Nº movimiento]) num_mov "&amp;
"  from [dbo].[MEDIAPOST SPAIN$Tracking Documento] td with (nolock) "&amp;
"  WHERE td.[Nº documento] = '"&amp;NF($B30,"No_ referencia transporte")&amp;"' "&amp;
"    AND td.[Cód_ incidencia] &lt;&gt; '' ",{"num_mov"},"Datasource=","SQL-Navision")</t>
  </si>
  <si>
    <t>=IF(NF($C30,"num_mov")="","",NL(,"Tracking Documento",,"Nº movimiento",NF($C30,"num_mov"),"Conexión=","Navision","Empresa=","MEDIAPOST SPAIN"))</t>
  </si>
  <si>
    <t>=NF($B30,"No_ documento cliente")</t>
  </si>
  <si>
    <t>=NF($B30,"No_ referencia transporte")</t>
  </si>
  <si>
    <t>=NF($B30,"Nº Expedición")</t>
  </si>
  <si>
    <t>=NF($B30,"C_P_ punto entrega")</t>
  </si>
  <si>
    <t>=NF($B30,"fecha_prep")</t>
  </si>
  <si>
    <t>=NF($B30,"Fecha expedido")</t>
  </si>
  <si>
    <t>=NF($B30,"Estado")</t>
  </si>
  <si>
    <t>=NF($D30,"fecha")</t>
  </si>
  <si>
    <t>=NF($D30,"Descripción incidencia")</t>
  </si>
  <si>
    <t>=NF($B30,"Cód_ transportista")</t>
  </si>
  <si>
    <t>=NF($B30,"Cód_ servicio solicitado")</t>
  </si>
  <si>
    <t>=NF($B30,"Link imagen")</t>
  </si>
  <si>
    <t>=NF($B30,"Localizador")</t>
  </si>
  <si>
    <t>="""SQL-NAVISION"","""",""SQL="",""14=No_"",""PD260081537"",""14=No_ documento cliente"",""BGK070526"",""14=No_ referencia transporte"",""BGK070526"",""14=Nº Expedición"",""0865424240"",""14=Nombre punto entrega"",""BARBARA GONZALEZ KUNDICH"",""14=Dirección punto entrega"",""AV. DE HOL"&amp;"ANDA 6 6ºA"",""14=C_P_ punto entrega"",""03540"",""14=Población punto entrega"",""ALICANTE"",""14=Provincia punto entrega"",""ALICANTE"",""14=País punto entrega"",""ES"",""14=Estado"",""Entregado"",""15=fecha_prep"",""08/05/2026"",""15=Fecha expedido"",""08/05/2026"",""14=Cód_ transpo"&amp;"rtista"",""DHL"",""14=Cód_ servicio solicitado"",""STD"",""14=Link imagen"",""https://clientesparcel.dhl.es/seguimientoenvios/integra/SeguimientoDocumentos.aspx?codigo=0865424240&amp;anno=2026&amp;lang=sp&amp;zatar=q45LoBtfSS29xHGRDZ57"",""14=Localizador"","""""</t>
  </si>
  <si>
    <t>=NL("Filas","SQL="&amp;
"select MAX(td.[Nº movimiento]) num_mov "&amp;
"  from [dbo].[MEDIAPOST SPAIN$Tracking Documento] td with (nolock) "&amp;
"  WHERE td.[Nº documento] = '"&amp;NF($B31,"No_ referencia transporte")&amp;"' "&amp;
"    AND td.[Cód_ incidencia] &lt;&gt; '' ",{"num_mov"},"Datasource=","SQL-Navision")</t>
  </si>
  <si>
    <t>=IF(NF($C31,"num_mov")="","",NL(,"Tracking Documento",,"Nº movimiento",NF($C31,"num_mov"),"Conexión=","Navision","Empresa=","MEDIAPOST SPAIN"))</t>
  </si>
  <si>
    <t>=NF($B31,"No_ documento cliente")</t>
  </si>
  <si>
    <t>=NF($B31,"No_ referencia transporte")</t>
  </si>
  <si>
    <t>=NF($B31,"Nº Expedición")</t>
  </si>
  <si>
    <t>=NF($B31,"C_P_ punto entrega")</t>
  </si>
  <si>
    <t>=NF($B31,"fecha_prep")</t>
  </si>
  <si>
    <t>=NF($B31,"Fecha expedido")</t>
  </si>
  <si>
    <t>=NF($B31,"Estado")</t>
  </si>
  <si>
    <t>=NF($D31,"fecha")</t>
  </si>
  <si>
    <t>=NF($D31,"Descripción incidencia")</t>
  </si>
  <si>
    <t>=NF($B31,"Cód_ transportista")</t>
  </si>
  <si>
    <t>=NF($B31,"Cód_ servicio solicitado")</t>
  </si>
  <si>
    <t>=NF($B31,"Link imagen")</t>
  </si>
  <si>
    <t>=NF($B31,"Localizador")</t>
  </si>
  <si>
    <t>="""SQL-NAVISION"","""",""SQL="",""14=No_"",""PD260081551"",""14=No_ documento cliente"",""SIG070526.8"",""14=No_ referencia transporte"",""SIG070526.8"",""14=Nº Expedición"",""1200792589"",""14=Nombre punto entrega"",""TIPSA TORREMOLINOS"",""14=Dirección punto entrega"",""recoge en la"&amp;" delegacion"",""14=C_P_ punto entrega"",""29620"",""14=Población punto entrega"",""Torremolinos"",""14=Provincia punto entrega"",""Malaga"",""14=País punto entrega"",""ES"",""14=Estado"",""Entregado"",""15=fecha_prep"",""08/05/2026"",""15=Fecha expedido"",""08/05/2026"",""14=Cód_ tran"&amp;"sportista"",""TIPSA"",""14=Cód_ servicio solicitado"",""STD"",""14=Link imagen"",""https://www.tip-sa.com/cliente/datos.php?id=02800109585SIG070526.829620"",""14=Localizador"",""0280010280011200792589"""</t>
  </si>
  <si>
    <t>=NL("Filas","SQL="&amp;
"select MAX(td.[Nº movimiento]) num_mov "&amp;
"  from [dbo].[MEDIAPOST SPAIN$Tracking Documento] td with (nolock) "&amp;
"  WHERE td.[Nº documento] = '"&amp;NF($B32,"No_ referencia transporte")&amp;"' "&amp;
"    AND td.[Cód_ incidencia] &lt;&gt; '' ",{"num_mov"},"Datasource=","SQL-Navision")</t>
  </si>
  <si>
    <t>=IF(NF($C32,"num_mov")="","",NL(,"Tracking Documento",,"Nº movimiento",NF($C32,"num_mov"),"Conexión=","Navision","Empresa=","MEDIAPOST SPAIN"))</t>
  </si>
  <si>
    <t>=NF($B32,"No_ documento cliente")</t>
  </si>
  <si>
    <t>=NF($B32,"No_ referencia transporte")</t>
  </si>
  <si>
    <t>=NF($B32,"Nº Expedición")</t>
  </si>
  <si>
    <t>=NF($B32,"C_P_ punto entrega")</t>
  </si>
  <si>
    <t>=NF($B32,"fecha_prep")</t>
  </si>
  <si>
    <t>=NF($B32,"Fecha expedido")</t>
  </si>
  <si>
    <t>=NF($B32,"Estado")</t>
  </si>
  <si>
    <t>=NF($D32,"fecha")</t>
  </si>
  <si>
    <t>=NF($D32,"Descripción incidencia")</t>
  </si>
  <si>
    <t>=NF($B32,"Cód_ transportista")</t>
  </si>
  <si>
    <t>=NF($B32,"Cód_ servicio solicitado")</t>
  </si>
  <si>
    <t>=NF($B32,"Link imagen")</t>
  </si>
  <si>
    <t>=NF($B32,"Localizador")</t>
  </si>
  <si>
    <t>="""SQL-NAVISION"","""",""SQL="",""14=No_"",""PD260081553"",""14=No_ documento cliente"",""SIG070526.10"",""14=No_ referencia transporte"",""SIG070526.10"",""14=Nº Expedición"",""1200792593"",""14=Nombre punto entrega"",""TIPSA FUENLABRADA"",""14=Dirección punto entrega"",""recoge en l"&amp;"a delegacion"",""14=C_P_ punto entrega"",""28950"",""14=Población punto entrega"",""Moraleja de En medio"",""14=Provincia punto entrega"",""Madrid"",""14=País punto entrega"",""ES"",""14=Estado"",""Entregado"",""15=fecha_prep"",""08/05/2026"",""15=Fecha expedido"",""08/05/2026"",""14="&amp;"Cód_ transportista"",""TIPSA"",""14=Cód_ servicio solicitado"",""STD"",""14=Link imagen"",""https://www.tip-sa.com/cliente/datos.php?id=02800109585SIG070526.1028950"",""14=Localizador"",""0280010280011200792593"""</t>
  </si>
  <si>
    <t>=NL("Filas","SQL="&amp;
"select MAX(td.[Nº movimiento]) num_mov "&amp;
"  from [dbo].[MEDIAPOST SPAIN$Tracking Documento] td with (nolock) "&amp;
"  WHERE td.[Nº documento] = '"&amp;NF($B33,"No_ referencia transporte")&amp;"' "&amp;
"    AND td.[Cód_ incidencia] &lt;&gt; '' ",{"num_mov"},"Datasource=","SQL-Navision")</t>
  </si>
  <si>
    <t>=IF(NF($C33,"num_mov")="","",NL(,"Tracking Documento",,"Nº movimiento",NF($C33,"num_mov"),"Conexión=","Navision","Empresa=","MEDIAPOST SPAIN"))</t>
  </si>
  <si>
    <t>=NF($B33,"No_ documento cliente")</t>
  </si>
  <si>
    <t>=NF($B33,"No_ referencia transporte")</t>
  </si>
  <si>
    <t>=NF($B33,"Nº Expedición")</t>
  </si>
  <si>
    <t>=NF($B33,"C_P_ punto entrega")</t>
  </si>
  <si>
    <t>=NF($B33,"fecha_prep")</t>
  </si>
  <si>
    <t>=NF($B33,"Fecha expedido")</t>
  </si>
  <si>
    <t>=NF($B33,"Estado")</t>
  </si>
  <si>
    <t>=NF($D33,"fecha")</t>
  </si>
  <si>
    <t>=NF($D33,"Descripción incidencia")</t>
  </si>
  <si>
    <t>=NF($B33,"Cód_ transportista")</t>
  </si>
  <si>
    <t>=NF($B33,"Cód_ servicio solicitado")</t>
  </si>
  <si>
    <t>=NF($B33,"Link imagen")</t>
  </si>
  <si>
    <t>=NF($B33,"Localizador")</t>
  </si>
  <si>
    <t>="""SQL-NAVISION"","""",""SQL="",""14=No_"",""PD260080541"",""14=No_ documento cliente"",""VV060526"",""14=No_ referencia transporte"",""VV060526"",""14=Nº Expedición"",""5602072"",""14=Nombre punto entrega"",""OFICINAS COTY_TORRE MAPFRE. ATT: VALERIA VISPO PRAT"",""14=Dirección punt"&amp;"o entrega"",""Calle Marina 18, Planta 35"",""14=C_P_ punto entrega"",""08005"",""14=Población punto entrega"",""BARCELONA"",""14=Provincia punto entrega"",""BARCELONA"",""14=País punto entrega"",""ES"",""14=Estado"",""Entregado"",""15=fecha_prep"",""08/05/2026"",""15=Fecha expedido"""&amp;",""08/05/2026"",""14=Cód_ transportista"",""ASM"",""14=Cód_ servicio solicitado"",""STD"",""14=Link imagen"",""https://mygls.gls-spain.es/e/31200805602072/08005"",""14=Localizador"","""""</t>
  </si>
  <si>
    <t>=NL("Filas","SQL="&amp;
"select MAX(td.[Nº movimiento]) num_mov "&amp;
"  from [dbo].[MEDIAPOST SPAIN$Tracking Documento] td with (nolock) "&amp;
"  WHERE td.[Nº documento] = '"&amp;NF($B34,"No_ referencia transporte")&amp;"' "&amp;
"    AND td.[Cód_ incidencia] &lt;&gt; '' ",{"num_mov"},"Datasource=","SQL-Navision")</t>
  </si>
  <si>
    <t>=IF(NF($C34,"num_mov")="","",NL(,"Tracking Documento",,"Nº movimiento",NF($C34,"num_mov"),"Conexión=","Navision","Empresa=","MEDIAPOST SPAIN"))</t>
  </si>
  <si>
    <t>=NF($B34,"No_ documento cliente")</t>
  </si>
  <si>
    <t>=NF($B34,"No_ referencia transporte")</t>
  </si>
  <si>
    <t>=NF($B34,"Nº Expedición")</t>
  </si>
  <si>
    <t>=NF($B34,"C_P_ punto entrega")</t>
  </si>
  <si>
    <t>=NF($B34,"fecha_prep")</t>
  </si>
  <si>
    <t>=NF($B34,"Fecha expedido")</t>
  </si>
  <si>
    <t>=NF($B34,"Estado")</t>
  </si>
  <si>
    <t>=NF($D34,"fecha")</t>
  </si>
  <si>
    <t>=NF($D34,"Descripción incidencia")</t>
  </si>
  <si>
    <t>=NF($B34,"Cód_ transportista")</t>
  </si>
  <si>
    <t>=NF($B34,"Cód_ servicio solicitado")</t>
  </si>
  <si>
    <t>=NF($B34,"Link imagen")</t>
  </si>
  <si>
    <t>=NF($B34,"Localizador")</t>
  </si>
  <si>
    <t>="""SQL-NAVISION"","""",""SQL="",""14=No_"",""PD260081539"",""14=No_ documento cliente"",""MLG070526"",""14=No_ referencia transporte"",""MLG070526"",""14=Nº Expedición"",""1200792567"",""14=Nombre punto entrega"",""MARIA LOPEZ GIL"",""14=Dirección punto entrega"",""Avenida jose garrig"&amp;"o farga 47 piso 1 puerta 4"",""14=C_P_ punto entrega"",""46185"",""14=Población punto entrega"",""La pobla de Vallbona"",""14=Provincia punto entrega"",""VALENCIA"",""14=País punto entrega"",""ES"",""14=Estado"",""Entregado"",""15=fecha_prep"",""08/05/2026"",""15=Fecha expedido"","""&amp;"08/05/2026"",""14=Cód_ transportista"",""TIPSA"",""14=Cód_ servicio solicitado"",""13:30 H"",""14=Link imagen"",""https://www.tip-sa.com/cliente/datos.php?id=02800109585MLG07052646185"",""14=Localizador"",""0280010280011200792567"""</t>
  </si>
  <si>
    <t>=NL("Filas","SQL="&amp;
"select MAX(td.[Nº movimiento]) num_mov "&amp;
"  from [dbo].[MEDIAPOST SPAIN$Tracking Documento] td with (nolock) "&amp;
"  WHERE td.[Nº documento] = '"&amp;NF($B35,"No_ referencia transporte")&amp;"' "&amp;
"    AND td.[Cód_ incidencia] &lt;&gt; '' ",{"num_mov"},"Datasource=","SQL-Navision")</t>
  </si>
  <si>
    <t>=IF(NF($C35,"num_mov")="","",NL(,"Tracking Documento",,"Nº movimiento",NF($C35,"num_mov"),"Conexión=","Navision","Empresa=","MEDIAPOST SPAIN"))</t>
  </si>
  <si>
    <t>=NF($B35,"No_ documento cliente")</t>
  </si>
  <si>
    <t>=NF($B35,"No_ referencia transporte")</t>
  </si>
  <si>
    <t>=NF($B35,"Nº Expedición")</t>
  </si>
  <si>
    <t>=NF($B35,"C_P_ punto entrega")</t>
  </si>
  <si>
    <t>=NF($B35,"fecha_prep")</t>
  </si>
  <si>
    <t>=NF($B35,"Fecha expedido")</t>
  </si>
  <si>
    <t>=NF($B35,"Estado")</t>
  </si>
  <si>
    <t>=NF($D35,"fecha")</t>
  </si>
  <si>
    <t>=NF($D35,"Descripción incidencia")</t>
  </si>
  <si>
    <t>=NF($B35,"Cód_ transportista")</t>
  </si>
  <si>
    <t>=NF($B35,"Cód_ servicio solicitado")</t>
  </si>
  <si>
    <t>=NF($B35,"Link imagen")</t>
  </si>
  <si>
    <t>=NF($B35,"Localizador")</t>
  </si>
  <si>
    <t>="""SQL-NAVISION"","""",""SQL="",""14=No_"",""PD260081356"",""14=No_ documento cliente"",""ISD070526.3"",""14=No_ referencia transporte"",""ISD070526.3"",""14=Nº Expedición"",""5602138"",""14=Nombre punto entrega"",""THAIANE NASCIMENTO DACOSTA"",""14=Dirección punto entrega"",""C/ ESPA"&amp;"RRAGALEJO, 5 (CASA)"",""14=C_P_ punto entrega"",""06800"",""14=Población punto entrega"",""MERIDA"",""14=Provincia punto entrega"",""BADAJOZ"",""14=País punto entrega"",""ES"",""14=Estado"",""Entregado"",""15=fecha_prep"",""08/05/2026"",""15=Fecha expedido"",""08/05/2026"",""14=Cód_ t"&amp;"ransportista"",""ASM"",""14=Cód_ servicio solicitado"",""STD"",""14=Link imagen"",""https://mygls.gls-spain.es/e/31200805602138/06800"",""14=Localizador"","""""</t>
  </si>
  <si>
    <t>=NL("Filas","SQL="&amp;
"select MAX(td.[Nº movimiento]) num_mov "&amp;
"  from [dbo].[MEDIAPOST SPAIN$Tracking Documento] td with (nolock) "&amp;
"  WHERE td.[Nº documento] = '"&amp;NF($B36,"No_ referencia transporte")&amp;"' "&amp;
"    AND td.[Cód_ incidencia] &lt;&gt; '' ",{"num_mov"},"Datasource=","SQL-Navision")</t>
  </si>
  <si>
    <t>=IF(NF($C36,"num_mov")="","",NL(,"Tracking Documento",,"Nº movimiento",NF($C36,"num_mov"),"Conexión=","Navision","Empresa=","MEDIAPOST SPAIN"))</t>
  </si>
  <si>
    <t>=NF($B36,"No_ documento cliente")</t>
  </si>
  <si>
    <t>=NF($B36,"No_ referencia transporte")</t>
  </si>
  <si>
    <t>=NF($B36,"Nº Expedición")</t>
  </si>
  <si>
    <t>=NF($B36,"C_P_ punto entrega")</t>
  </si>
  <si>
    <t>=NF($B36,"fecha_prep")</t>
  </si>
  <si>
    <t>=NF($B36,"Fecha expedido")</t>
  </si>
  <si>
    <t>=NF($B36,"Estado")</t>
  </si>
  <si>
    <t>=NF($D36,"fecha")</t>
  </si>
  <si>
    <t>=NF($D36,"Descripción incidencia")</t>
  </si>
  <si>
    <t>=NF($B36,"Cód_ transportista")</t>
  </si>
  <si>
    <t>=NF($B36,"Cód_ servicio solicitado")</t>
  </si>
  <si>
    <t>=NF($B36,"Link imagen")</t>
  </si>
  <si>
    <t>=NF($B36,"Localizador")</t>
  </si>
  <si>
    <t>="""SQL-NAVISION"","""",""SQL="",""14=No_"",""PD260081346"",""14=No_ documento cliente"",""63226000168"",""14=No_ referencia transporte"",""63226000168"",""14=Nº Expedición"",""1200792375"",""14=Nombre punto entrega"",""ESTANCO RAGA"",""14=Dirección punto entrega"",""Almussafes, 8"",""14"&amp;"=C_P_ punto entrega"",""46450"",""14=Población punto entrega"",""Benifaió"",""14=Provincia punto entrega"",""Valencia"",""14=País punto entrega"",""ES"",""14=Estado"",""Entregado"",""15=fecha_prep"",""08/05/2026"",""15=Fecha expedido"",""08/05/2026"",""14=Cód_ transportista"",""TIPSA"""&amp;",""14=Cód_ servicio solicitado"",""STD"",""14=Link imagen"",""https://www.tip-sa.com/cliente/datos.php?id=028001095856322600016846450"",""14=Localizador"",""0280010280011200792375"""</t>
  </si>
  <si>
    <t>=NL("Filas","SQL="&amp;
"select MAX(td.[Nº movimiento]) num_mov "&amp;
"  from [dbo].[MEDIAPOST SPAIN$Tracking Documento] td with (nolock) "&amp;
"  WHERE td.[Nº documento] = '"&amp;NF($B37,"No_ referencia transporte")&amp;"' "&amp;
"    AND td.[Cód_ incidencia] &lt;&gt; '' ",{"num_mov"},"Datasource=","SQL-Navision")</t>
  </si>
  <si>
    <t>=IF(NF($C37,"num_mov")="","",NL(,"Tracking Documento",,"Nº movimiento",NF($C37,"num_mov"),"Conexión=","Navision","Empresa=","MEDIAPOST SPAIN"))</t>
  </si>
  <si>
    <t>=NF($B37,"No_ documento cliente")</t>
  </si>
  <si>
    <t>=NF($B37,"No_ referencia transporte")</t>
  </si>
  <si>
    <t>=NF($B37,"Nº Expedición")</t>
  </si>
  <si>
    <t>=NF($B37,"C_P_ punto entrega")</t>
  </si>
  <si>
    <t>=NF($B37,"fecha_prep")</t>
  </si>
  <si>
    <t>=NF($B37,"Fecha expedido")</t>
  </si>
  <si>
    <t>=NF($B37,"Estado")</t>
  </si>
  <si>
    <t>=NF($D37,"fecha")</t>
  </si>
  <si>
    <t>=NF($D37,"Descripción incidencia")</t>
  </si>
  <si>
    <t>=NF($B37,"Cód_ transportista")</t>
  </si>
  <si>
    <t>=NF($B37,"Cód_ servicio solicitado")</t>
  </si>
  <si>
    <t>=NF($B37,"Link imagen")</t>
  </si>
  <si>
    <t>=NF($B37,"Localizador")</t>
  </si>
  <si>
    <t>="""SQL-NAVISION"","""",""SQL="",""14=No_"",""PD260082214"",""14=No_ documento cliente"",""DPD260142718"",""14=No_ referencia transporte"",""DPD260142718_01"",""14=Nº Expedición"",""DPD260142718_01-0"",""14=Nombre punto entrega"",""Team PLV"",""14=Dirección punto entrega"",""Avenida de"&amp;" los oficios números 17 b y 17c"",""14=C_P_ punto entrega"",""45222"",""14=Población punto entrega"",""BOROX"",""14=Provincia punto entrega"",""TOLEDO"",""14=País punto entrega"",""ES"",""14=Estado"",""Entregado"",""15=fecha_prep"",""08/05/2026"",""15=Fecha expedido"",""08/05/2026"","&amp;"""14=Cód_ transportista"",""HIDALFER"",""14=Cód_ servicio solicitado"",""PRESUPUESTO"",""14=Link imagen"",""https://img.directoatusclientes.com/iris/POD/HIDALFER/DPD260142718_01.pdf"",""14=Localizador"","""""</t>
  </si>
  <si>
    <t>=NL("Filas","SQL="&amp;
"select MAX(td.[Nº movimiento]) num_mov "&amp;
"  from [dbo].[MEDIAPOST SPAIN$Tracking Documento] td with (nolock) "&amp;
"  WHERE td.[Nº documento] = '"&amp;NF($B38,"No_ referencia transporte")&amp;"' "&amp;
"    AND td.[Cód_ incidencia] &lt;&gt; '' ",{"num_mov"},"Datasource=","SQL-Navision")</t>
  </si>
  <si>
    <t>=IF(NF($C38,"num_mov")="","",NL(,"Tracking Documento",,"Nº movimiento",NF($C38,"num_mov"),"Conexión=","Navision","Empresa=","MEDIAPOST SPAIN"))</t>
  </si>
  <si>
    <t>=NF($B38,"No_ documento cliente")</t>
  </si>
  <si>
    <t>=NF($B38,"No_ referencia transporte")</t>
  </si>
  <si>
    <t>=NF($B38,"Nº Expedición")</t>
  </si>
  <si>
    <t>=NF($B38,"C_P_ punto entrega")</t>
  </si>
  <si>
    <t>=NF($B38,"fecha_prep")</t>
  </si>
  <si>
    <t>=NF($B38,"Fecha expedido")</t>
  </si>
  <si>
    <t>=NF($B38,"Estado")</t>
  </si>
  <si>
    <t>=NF($D38,"fecha")</t>
  </si>
  <si>
    <t>=NF($D38,"Descripción incidencia")</t>
  </si>
  <si>
    <t>=NF($B38,"Cód_ transportista")</t>
  </si>
  <si>
    <t>=NF($B38,"Cód_ servicio solicitado")</t>
  </si>
  <si>
    <t>=NF($B38,"Link imagen")</t>
  </si>
  <si>
    <t>=NF($B38,"Localizador")</t>
  </si>
  <si>
    <t>="""SQL-NAVISION"","""",""SQL="",""14=No_"",""PD260081345"",""14=No_ documento cliente"",""63226000166"",""14=No_ referencia transporte"",""63226000166"",""14=Nº Expedición"",""1200792337"",""14=Nombre punto entrega"",""KARIM DIAZ / ANGEL PEREDA"",""14=Dirección punto entrega"",""CARRE"&amp;"R ROC DE BORONAT 66, PLANTA 3"",""14=C_P_ punto entrega"",""08005"",""14=Población punto entrega"",""BARCELONA"",""14=Provincia punto entrega"",""BARCELONA"",""14=País punto entrega"",""ES"",""14=Estado"",""Entregado"",""15=fecha_prep"",""08/05/2026"",""15=Fecha expedido"",""08/05/2"&amp;"026"",""14=Cód_ transportista"",""TIPSA"",""14=Cód_ servicio solicitado"",""STD"",""14=Link imagen"",""https://www.tip-sa.com/cliente/datos.php?id=028001095856322600016608005"",""14=Localizador"",""0280010280011200792337"""</t>
  </si>
  <si>
    <t>=NL("Filas","SQL="&amp;
"select MAX(td.[Nº movimiento]) num_mov "&amp;
"  from [dbo].[MEDIAPOST SPAIN$Tracking Documento] td with (nolock) "&amp;
"  WHERE td.[Nº documento] = '"&amp;NF($B39,"No_ referencia transporte")&amp;"' "&amp;
"    AND td.[Cód_ incidencia] &lt;&gt; '' ",{"num_mov"},"Datasource=","SQL-Navision")</t>
  </si>
  <si>
    <t>=IF(NF($C39,"num_mov")="","",NL(,"Tracking Documento",,"Nº movimiento",NF($C39,"num_mov"),"Conexión=","Navision","Empresa=","MEDIAPOST SPAIN"))</t>
  </si>
  <si>
    <t>=NF($B39,"No_ documento cliente")</t>
  </si>
  <si>
    <t>=NF($B39,"No_ referencia transporte")</t>
  </si>
  <si>
    <t>=NF($B39,"Nº Expedición")</t>
  </si>
  <si>
    <t>=NF($B39,"C_P_ punto entrega")</t>
  </si>
  <si>
    <t>=NF($B39,"fecha_prep")</t>
  </si>
  <si>
    <t>=NF($B39,"Fecha expedido")</t>
  </si>
  <si>
    <t>=NF($B39,"Estado")</t>
  </si>
  <si>
    <t>=NF($D39,"fecha")</t>
  </si>
  <si>
    <t>=NF($D39,"Descripción incidencia")</t>
  </si>
  <si>
    <t>=NF($B39,"Cód_ transportista")</t>
  </si>
  <si>
    <t>=NF($B39,"Cód_ servicio solicitado")</t>
  </si>
  <si>
    <t>=NF($B39,"Link imagen")</t>
  </si>
  <si>
    <t>=NF($B39,"Localizador")</t>
  </si>
  <si>
    <t>="""SQL-NAVISION"","""",""SQL="",""14=No_"",""PD260080637"",""14=No_ documento cliente"",""63226000158"",""14=No_ referencia transporte"",""63226000158"",""14=Nº Expedición"",""1200791893"",""14=Nombre punto entrega"",""MARTA VAZQUEZ"",""14=Dirección punto entrega"",""Calle San Gines d"&amp;"e la Jara 7, Villanueva del Ariscal"",""14=C_P_ punto entrega"",""41808"",""14=Población punto entrega"",""SEVILLA"",""14=Provincia punto entrega"",""SEVILLA"",""14=País punto entrega"",""ES"",""14=Estado"",""Entregado"",""15=fecha_prep"",""08/05/2026"",""15=Fecha expedido"",""08/05"&amp;"/2026"",""14=Cód_ transportista"",""TIPSA"",""14=Cód_ servicio solicitado"",""STD"",""14=Link imagen"",""https://www.tip-sa.com/cliente/datos.php?id=028001095856322600015841808"",""14=Localizador"",""0280010280011200791893"""</t>
  </si>
  <si>
    <t>=NL("Filas","SQL="&amp;
"select MAX(td.[Nº movimiento]) num_mov "&amp;
"  from [dbo].[MEDIAPOST SPAIN$Tracking Documento] td with (nolock) "&amp;
"  WHERE td.[Nº documento] = '"&amp;NF($B40,"No_ referencia transporte")&amp;"' "&amp;
"    AND td.[Cód_ incidencia] &lt;&gt; '' ",{"num_mov"},"Datasource=","SQL-Navision")</t>
  </si>
  <si>
    <t>=IF(NF($C40,"num_mov")="","",NL(,"Tracking Documento",,"Nº movimiento",NF($C40,"num_mov"),"Conexión=","Navision","Empresa=","MEDIAPOST SPAIN"))</t>
  </si>
  <si>
    <t>=NF($B40,"No_ documento cliente")</t>
  </si>
  <si>
    <t>=NF($B40,"No_ referencia transporte")</t>
  </si>
  <si>
    <t>=NF($B40,"Nº Expedición")</t>
  </si>
  <si>
    <t>=NF($B40,"C_P_ punto entrega")</t>
  </si>
  <si>
    <t>=NF($B40,"fecha_prep")</t>
  </si>
  <si>
    <t>=NF($B40,"Fecha expedido")</t>
  </si>
  <si>
    <t>=NF($B40,"Estado")</t>
  </si>
  <si>
    <t>=NF($D40,"fecha")</t>
  </si>
  <si>
    <t>=NF($D40,"Descripción incidencia")</t>
  </si>
  <si>
    <t>=NF($B40,"Cód_ transportista")</t>
  </si>
  <si>
    <t>=NF($B40,"Cód_ servicio solicitado")</t>
  </si>
  <si>
    <t>=NF($B40,"Link imagen")</t>
  </si>
  <si>
    <t>=NF($B40,"Localizador")</t>
  </si>
  <si>
    <t>="""SQL-NAVISION"","""",""SQL="",""14=No_"",""PD260082186"",""14=No_ documento cliente"",""DPD260140587"",""14=No_ referencia transporte"",""DPD260140587"",""14=Nº Expedición"",""DPD260140587"",""14=Nombre punto entrega"",""Team PLV"",""14=Dirección punto entrega"",""Avenida de los ofi"&amp;"cios números 17 b y 17c"",""14=C_P_ punto entrega"",""45222"",""14=Población punto entrega"",""BOROX"",""14=Provincia punto entrega"",""TOLEDO"",""14=País punto entrega"",""ES"",""14=Estado"",""Entregado"",""15=fecha_prep"",""08/05/2026"",""15=Fecha expedido"",""08/05/2026"",""14=Cód_"&amp;" transportista"",""HIDALFER"",""14=Cód_ servicio solicitado"",""PRESUPUESTO"",""14=Link imagen"",""https://img.directoatusclientes.com/iris/POD/HIDALFER/DPD260140587.pdf"",""14=Localizador"","""""</t>
  </si>
  <si>
    <t>=NL("Filas","SQL="&amp;
"select MAX(td.[Nº movimiento]) num_mov "&amp;
"  from [dbo].[MEDIAPOST SPAIN$Tracking Documento] td with (nolock) "&amp;
"  WHERE td.[Nº documento] = '"&amp;NF($B41,"No_ referencia transporte")&amp;"' "&amp;
"    AND td.[Cód_ incidencia] &lt;&gt; '' ",{"num_mov"},"Datasource=","SQL-Navision")</t>
  </si>
  <si>
    <t>=IF(NF($C41,"num_mov")="","",NL(,"Tracking Documento",,"Nº movimiento",NF($C41,"num_mov"),"Conexión=","Navision","Empresa=","MEDIAPOST SPAIN"))</t>
  </si>
  <si>
    <t>=NF($B41,"No_ documento cliente")</t>
  </si>
  <si>
    <t>=NF($B41,"No_ referencia transporte")</t>
  </si>
  <si>
    <t>=NF($B41,"Nº Expedición")</t>
  </si>
  <si>
    <t>=NF($B41,"C_P_ punto entrega")</t>
  </si>
  <si>
    <t>=NF($B41,"fecha_prep")</t>
  </si>
  <si>
    <t>=NF($B41,"Fecha expedido")</t>
  </si>
  <si>
    <t>=NF($B41,"Estado")</t>
  </si>
  <si>
    <t>=NF($D41,"fecha")</t>
  </si>
  <si>
    <t>=NF($D41,"Descripción incidencia")</t>
  </si>
  <si>
    <t>=NF($B41,"Cód_ transportista")</t>
  </si>
  <si>
    <t>=NF($B41,"Cód_ servicio solicitado")</t>
  </si>
  <si>
    <t>=NF($B41,"Link imagen")</t>
  </si>
  <si>
    <t>=NF($B41,"Localizador")</t>
  </si>
  <si>
    <t>="""SQL-NAVISION"","""",""SQL="",""14=No_"",""PD260081354"",""14=No_ documento cliente"",""ISD070526.1"",""14=No_ referencia transporte"",""ISD070526.1"",""14=Nº Expedición"",""5602137"",""14=Nombre punto entrega"",""ELISA ISABEL LOPEZ POLO"",""14=Dirección punto entrega"",""Plaza Alde"&amp;"as Infantiles número 7"",""14=C_P_ punto entrega"",""04740"",""14=Población punto entrega"",""ROQUETAS DE MAR"",""14=Provincia punto entrega"",""ALMERIA"",""14=País punto entrega"",""ES"",""14=Estado"",""Entregado"",""15=fecha_prep"",""08/05/2026"",""15=Fecha expedido"",""08/05/2026"&amp;""",""14=Cód_ transportista"",""ASM"",""14=Cód_ servicio solicitado"",""STD"",""14=Link imagen"",""https://mygls.gls-spain.es/e/31200805602137/04740"",""14=Localizador"","""""</t>
  </si>
  <si>
    <t>=NL("Filas","SQL="&amp;
"select MAX(td.[Nº movimiento]) num_mov "&amp;
"  from [dbo].[MEDIAPOST SPAIN$Tracking Documento] td with (nolock) "&amp;
"  WHERE td.[Nº documento] = '"&amp;NF($B42,"No_ referencia transporte")&amp;"' "&amp;
"    AND td.[Cód_ incidencia] &lt;&gt; '' ",{"num_mov"},"Datasource=","SQL-Navision")</t>
  </si>
  <si>
    <t>=IF(NF($C42,"num_mov")="","",NL(,"Tracking Documento",,"Nº movimiento",NF($C42,"num_mov"),"Conexión=","Navision","Empresa=","MEDIAPOST SPAIN"))</t>
  </si>
  <si>
    <t>=NF($B42,"No_ documento cliente")</t>
  </si>
  <si>
    <t>=NF($B42,"No_ referencia transporte")</t>
  </si>
  <si>
    <t>=NF($B42,"Nº Expedición")</t>
  </si>
  <si>
    <t>=NF($B42,"C_P_ punto entrega")</t>
  </si>
  <si>
    <t>=NF($B42,"fecha_prep")</t>
  </si>
  <si>
    <t>=NF($B42,"Fecha expedido")</t>
  </si>
  <si>
    <t>=NF($B42,"Estado")</t>
  </si>
  <si>
    <t>=NF($D42,"fecha")</t>
  </si>
  <si>
    <t>=NF($D42,"Descripción incidencia")</t>
  </si>
  <si>
    <t>=NF($B42,"Cód_ transportista")</t>
  </si>
  <si>
    <t>=NF($B42,"Cód_ servicio solicitado")</t>
  </si>
  <si>
    <t>=NF($B42,"Link imagen")</t>
  </si>
  <si>
    <t>=NF($B42,"Localizador")</t>
  </si>
  <si>
    <t>="""SQL-NAVISION"","""",""SQL="",""14=No_"",""PD260081550"",""14=No_ documento cliente"",""SIG070526.7"",""14=No_ referencia transporte"",""SIG070526.7"",""14=Nº Expedición"",""1200792587"",""14=Nombre punto entrega"",""TIPSA ALHAURIN DE LA TORRE"",""14=Dirección punto entrega"",""reco"&amp;"ge en la delegacion"",""14=C_P_ punto entrega"",""29130"",""14=Población punto entrega"",""Alhaurín de la Torre"",""14=Provincia punto entrega"",""Malaga"",""14=País punto entrega"",""ES"",""14=Estado"",""Entregado"",""15=fecha_prep"",""08/05/2026"",""15=Fecha expedido"",""08/05/202"&amp;"6"",""14=Cód_ transportista"",""TIPSA"",""14=Cód_ servicio solicitado"",""STD"",""14=Link imagen"",""https://www.tip-sa.com/cliente/datos.php?id=02800109585SIG070526.729130"",""14=Localizador"",""0280010280011200792587"""</t>
  </si>
  <si>
    <t>=NL("Filas","SQL="&amp;
"select MAX(td.[Nº movimiento]) num_mov "&amp;
"  from [dbo].[MEDIAPOST SPAIN$Tracking Documento] td with (nolock) "&amp;
"  WHERE td.[Nº documento] = '"&amp;NF($B43,"No_ referencia transporte")&amp;"' "&amp;
"    AND td.[Cód_ incidencia] &lt;&gt; '' ",{"num_mov"},"Datasource=","SQL-Navision")</t>
  </si>
  <si>
    <t>=IF(NF($C43,"num_mov")="","",NL(,"Tracking Documento",,"Nº movimiento",NF($C43,"num_mov"),"Conexión=","Navision","Empresa=","MEDIAPOST SPAIN"))</t>
  </si>
  <si>
    <t>=NF($B43,"No_ documento cliente")</t>
  </si>
  <si>
    <t>=NF($B43,"No_ referencia transporte")</t>
  </si>
  <si>
    <t>=NF($B43,"Nº Expedición")</t>
  </si>
  <si>
    <t>=NF($B43,"C_P_ punto entrega")</t>
  </si>
  <si>
    <t>=NF($B43,"fecha_prep")</t>
  </si>
  <si>
    <t>=NF($B43,"Fecha expedido")</t>
  </si>
  <si>
    <t>=NF($B43,"Estado")</t>
  </si>
  <si>
    <t>=NF($D43,"fecha")</t>
  </si>
  <si>
    <t>=NF($D43,"Descripción incidencia")</t>
  </si>
  <si>
    <t>=NF($B43,"Cód_ transportista")</t>
  </si>
  <si>
    <t>=NF($B43,"Cód_ servicio solicitado")</t>
  </si>
  <si>
    <t>=NF($B43,"Link imagen")</t>
  </si>
  <si>
    <t>=NF($B43,"Localizador")</t>
  </si>
  <si>
    <t>="""SQL-NAVISION"","""",""SQL="",""14=No_"",""PD260081535"",""14=No_ documento cliente"",""ACR070526.2"",""14=No_ referencia transporte"",""ACR070526.2"",""14=Nº Expedición"",""1200792569"",""14=Nombre punto entrega"",""MEDIAPOST ALICANTE"",""14=Dirección punto entrega"",""C/ Mistral, "&amp;"5 Pol. Ind. Pla de la Vallonga"",""14=C_P_ punto entrega"",""03006"",""14=Población punto entrega"",""ALICANTE"",""14=Provincia punto entrega"",""ALICANTE"",""14=País punto entrega"",""ES"",""14=Estado"",""Entregado"",""15=fecha_prep"",""08/05/2026"",""15=Fecha expedido"",""08/05/20"&amp;"26"",""14=Cód_ transportista"",""TIPSA"",""14=Cód_ servicio solicitado"",""13:30 H"",""14=Link imagen"",""https://www.tip-sa.com/cliente/datos.php?id=02800109585ACR070526.203006"",""14=Localizador"",""0280010280011200792569"""</t>
  </si>
  <si>
    <t>=NL("Filas","SQL="&amp;
"select MAX(td.[Nº movimiento]) num_mov "&amp;
"  from [dbo].[MEDIAPOST SPAIN$Tracking Documento] td with (nolock) "&amp;
"  WHERE td.[Nº documento] = '"&amp;NF($B44,"No_ referencia transporte")&amp;"' "&amp;
"    AND td.[Cód_ incidencia] &lt;&gt; '' ",{"num_mov"},"Datasource=","SQL-Navision")</t>
  </si>
  <si>
    <t>=IF(NF($C44,"num_mov")="","",NL(,"Tracking Documento",,"Nº movimiento",NF($C44,"num_mov"),"Conexión=","Navision","Empresa=","MEDIAPOST SPAIN"))</t>
  </si>
  <si>
    <t>=NF($B44,"No_ documento cliente")</t>
  </si>
  <si>
    <t>=NF($B44,"No_ referencia transporte")</t>
  </si>
  <si>
    <t>=NF($B44,"Nº Expedición")</t>
  </si>
  <si>
    <t>=NF($B44,"C_P_ punto entrega")</t>
  </si>
  <si>
    <t>=NF($B44,"fecha_prep")</t>
  </si>
  <si>
    <t>=NF($B44,"Fecha expedido")</t>
  </si>
  <si>
    <t>=NF($B44,"Estado")</t>
  </si>
  <si>
    <t>=NF($D44,"fecha")</t>
  </si>
  <si>
    <t>=NF($D44,"Descripción incidencia")</t>
  </si>
  <si>
    <t>=NF($B44,"Cód_ transportista")</t>
  </si>
  <si>
    <t>=NF($B44,"Cód_ servicio solicitado")</t>
  </si>
  <si>
    <t>=NF($B44,"Link imagen")</t>
  </si>
  <si>
    <t>=NF($B44,"Localizador")</t>
  </si>
  <si>
    <t>="""SQL-NAVISION"","""",""SQL="",""14=No_"",""PD260081549"",""14=No_ documento cliente"",""SIG070526.6"",""14=No_ referencia transporte"",""SIG070526.6"",""14=Nº Expedición"",""1200792585"",""14=Nombre punto entrega"",""TIPSA LEON"",""14=Dirección punto entrega"",""recoge en la delegac"&amp;"ion"",""14=C_P_ punto entrega"",""24391"",""14=Población punto entrega"",""Santovenia de la Valdoncina"",""14=Provincia punto entrega"",""Leon"",""14=País punto entrega"",""ES"",""14=Estado"",""Entregado"",""15=fecha_prep"",""08/05/2026"",""15=Fecha expedido"",""08/05/2026"",""14=Cód_"&amp;" transportista"",""TIPSA"",""14=Cód_ servicio solicitado"",""STD"",""14=Link imagen"",""https://www.tip-sa.com/cliente/datos.php?id=02800109585SIG070526.624391"",""14=Localizador"",""0280010280011200792585"""</t>
  </si>
  <si>
    <t>=NL("Filas","SQL="&amp;
"select MAX(td.[Nº movimiento]) num_mov "&amp;
"  from [dbo].[MEDIAPOST SPAIN$Tracking Documento] td with (nolock) "&amp;
"  WHERE td.[Nº documento] = '"&amp;NF($B45,"No_ referencia transporte")&amp;"' "&amp;
"    AND td.[Cód_ incidencia] &lt;&gt; '' ",{"num_mov"},"Datasource=","SQL-Navision")</t>
  </si>
  <si>
    <t>=IF(NF($C45,"num_mov")="","",NL(,"Tracking Documento",,"Nº movimiento",NF($C45,"num_mov"),"Conexión=","Navision","Empresa=","MEDIAPOST SPAIN"))</t>
  </si>
  <si>
    <t>=NF($B45,"No_ documento cliente")</t>
  </si>
  <si>
    <t>=NF($B45,"No_ referencia transporte")</t>
  </si>
  <si>
    <t>=NF($B45,"Nº Expedición")</t>
  </si>
  <si>
    <t>=NF($B45,"C_P_ punto entrega")</t>
  </si>
  <si>
    <t>=NF($B45,"fecha_prep")</t>
  </si>
  <si>
    <t>=NF($B45,"Fecha expedido")</t>
  </si>
  <si>
    <t>=NF($B45,"Estado")</t>
  </si>
  <si>
    <t>=NF($D45,"fecha")</t>
  </si>
  <si>
    <t>=NF($D45,"Descripción incidencia")</t>
  </si>
  <si>
    <t>=NF($B45,"Cód_ transportista")</t>
  </si>
  <si>
    <t>=NF($B45,"Cód_ servicio solicitado")</t>
  </si>
  <si>
    <t>=NF($B45,"Link imagen")</t>
  </si>
  <si>
    <t>=NF($B45,"Localizador")</t>
  </si>
  <si>
    <t>="""SQL-NAVISION"","""",""SQL="",""14=No_"",""PD260081547"",""14=No_ documento cliente"",""SIG070526.4"",""14=No_ referencia transporte"",""SIG070526.4"",""14=Nº Expedición"",""1200792581"",""14=Nombre punto entrega"",""TIPSA ALICANTE OESTE"",""14=Dirección punto entrega"",""recoge en "&amp;"la delegacion"",""14=C_P_ punto entrega"",""03006"",""14=Población punto entrega"",""Alicante"",""14=Provincia punto entrega"",""Alicante"",""14=País punto entrega"",""ES"",""14=Estado"",""Devuelto"",""15=fecha_prep"",""08/05/2026"",""15=Fecha expedido"",""08/05/2026"",""14=Cód_ trans"&amp;"portista"",""TIPSA"",""14=Cód_ servicio solicitado"",""STD"",""14=Link imagen"",""https://www.tip-sa.com/cliente/datos.php?id=02800109585SIG070526.403006"",""14=Localizador"",""0280010280011200792581"""</t>
  </si>
  <si>
    <t>=NL("Filas","SQL="&amp;
"select MAX(td.[Nº movimiento]) num_mov "&amp;
"  from [dbo].[MEDIAPOST SPAIN$Tracking Documento] td with (nolock) "&amp;
"  WHERE td.[Nº documento] = '"&amp;NF($B46,"No_ referencia transporte")&amp;"' "&amp;
"    AND td.[Cód_ incidencia] &lt;&gt; '' ",{"num_mov"},"Datasource=","SQL-Navision")</t>
  </si>
  <si>
    <t>=IF(NF($C46,"num_mov")="","",NL(,"Tracking Documento",,"Nº movimiento",NF($C46,"num_mov"),"Conexión=","Navision","Empresa=","MEDIAPOST SPAIN"))</t>
  </si>
  <si>
    <t>=NF($B46,"No_ documento cliente")</t>
  </si>
  <si>
    <t>=NF($B46,"No_ referencia transporte")</t>
  </si>
  <si>
    <t>=NF($B46,"Nº Expedición")</t>
  </si>
  <si>
    <t>=NF($B46,"C_P_ punto entrega")</t>
  </si>
  <si>
    <t>=NF($B46,"fecha_prep")</t>
  </si>
  <si>
    <t>=NF($B46,"Fecha expedido")</t>
  </si>
  <si>
    <t>=NF($B46,"Estado")</t>
  </si>
  <si>
    <t>=NF($D46,"fecha")</t>
  </si>
  <si>
    <t>=NF($D46,"Descripción incidencia")</t>
  </si>
  <si>
    <t>=NF($B46,"Cód_ transportista")</t>
  </si>
  <si>
    <t>=NF($B46,"Cód_ servicio solicitado")</t>
  </si>
  <si>
    <t>=NF($B46,"Link imagen")</t>
  </si>
  <si>
    <t>=NF($B46,"Localizador")</t>
  </si>
  <si>
    <t>="""SQL-NAVISION"","""",""SQL="",""14=No_"",""PD260081538"",""14=No_ documento cliente"",""CRDC070526"",""14=No_ referencia transporte"",""CRDC070526"",""14=Nº Expedición"",""0865424250"",""14=Nombre punto entrega"",""CARMEN RODRIGUEZ DE LA CARIDAD"",""14=Dirección punto entrega"",""Av"&amp;"enida de España, 1, Portal 3 Bajo A"",""14=C_P_ punto entrega"",""05004"",""14=Población punto entrega"",""AVILA"",""14=Provincia punto entrega"",""AVILA"",""14=País punto entrega"",""ES"",""14=Estado"",""Entregado"",""15=fecha_prep"",""08/05/2026"",""15=Fecha expedido"",""08/05/202"&amp;"6"",""14=Cód_ transportista"",""DHL"",""14=Cód_ servicio solicitado"",""STD"",""14=Link imagen"",""https://clientesparcel.dhl.es/seguimientoenvios/integra/SeguimientoDocumentos.aspx?codigo=0865424250&amp;anno=2026&amp;lang=sp&amp;zatar=q45LoBtfSS29xHGRDZ57"",""14=Localizador"","""""</t>
  </si>
  <si>
    <t>=NL("Filas","SQL="&amp;
"select MAX(td.[Nº movimiento]) num_mov "&amp;
"  from [dbo].[MEDIAPOST SPAIN$Tracking Documento] td with (nolock) "&amp;
"  WHERE td.[Nº documento] = '"&amp;NF($B47,"No_ referencia transporte")&amp;"' "&amp;
"    AND td.[Cód_ incidencia] &lt;&gt; '' ",{"num_mov"},"Datasource=","SQL-Navision")</t>
  </si>
  <si>
    <t>=IF(NF($C47,"num_mov")="","",NL(,"Tracking Documento",,"Nº movimiento",NF($C47,"num_mov"),"Conexión=","Navision","Empresa=","MEDIAPOST SPAIN"))</t>
  </si>
  <si>
    <t>=NF($B47,"No_ documento cliente")</t>
  </si>
  <si>
    <t>=NF($B47,"No_ referencia transporte")</t>
  </si>
  <si>
    <t>=NF($B47,"Nº Expedición")</t>
  </si>
  <si>
    <t>=NF($B47,"C_P_ punto entrega")</t>
  </si>
  <si>
    <t>=NF($B47,"fecha_prep")</t>
  </si>
  <si>
    <t>=NF($B47,"Fecha expedido")</t>
  </si>
  <si>
    <t>=NF($B47,"Estado")</t>
  </si>
  <si>
    <t>=NF($D47,"fecha")</t>
  </si>
  <si>
    <t>=NF($D47,"Descripción incidencia")</t>
  </si>
  <si>
    <t>=NF($B47,"Cód_ transportista")</t>
  </si>
  <si>
    <t>=NF($B47,"Cód_ servicio solicitado")</t>
  </si>
  <si>
    <t>=NF($B47,"Link imagen")</t>
  </si>
  <si>
    <t>=NF($B47,"Localizador")</t>
  </si>
  <si>
    <t>="""SQL-NAVISION"","""",""SQL="",""14=No_"",""PD260081546"",""14=No_ documento cliente"",""SIG070526.3"",""14=No_ referencia transporte"",""SIG070526.3"",""14=Nº Expedición"",""1200792579"",""14=Nombre punto entrega"",""TIPSA ALJARAFE SUR"",""14=Dirección punto entrega"",""recoge en la"&amp;" delegacion"",""14=C_P_ punto entrega"",""41927"",""14=Población punto entrega"",""Mairena de Aljarafe"",""14=Provincia punto entrega"",""Sevilla"",""14=País punto entrega"",""ES"",""14=Estado"",""Entregado"",""15=fecha_prep"",""08/05/2026"",""15=Fecha expedido"",""08/05/2026"",""14=C"&amp;"ód_ transportista"",""TIPSA"",""14=Cód_ servicio solicitado"",""STD"",""14=Link imagen"",""https://www.tip-sa.com/cliente/datos.php?id=02800109585SIG070526.341927"",""14=Localizador"",""0280010280011200792579"""</t>
  </si>
  <si>
    <t>=NL("Filas","SQL="&amp;
"select MAX(td.[Nº movimiento]) num_mov "&amp;
"  from [dbo].[MEDIAPOST SPAIN$Tracking Documento] td with (nolock) "&amp;
"  WHERE td.[Nº documento] = '"&amp;NF($B48,"No_ referencia transporte")&amp;"' "&amp;
"    AND td.[Cód_ incidencia] &lt;&gt; '' ",{"num_mov"},"Datasource=","SQL-Navision")</t>
  </si>
  <si>
    <t>=IF(NF($C48,"num_mov")="","",NL(,"Tracking Documento",,"Nº movimiento",NF($C48,"num_mov"),"Conexión=","Navision","Empresa=","MEDIAPOST SPAIN"))</t>
  </si>
  <si>
    <t>=NF($B48,"No_ documento cliente")</t>
  </si>
  <si>
    <t>=NF($B48,"No_ referencia transporte")</t>
  </si>
  <si>
    <t>=NF($B48,"Nº Expedición")</t>
  </si>
  <si>
    <t>=NF($B48,"C_P_ punto entrega")</t>
  </si>
  <si>
    <t>=NF($B48,"fecha_prep")</t>
  </si>
  <si>
    <t>=NF($B48,"Fecha expedido")</t>
  </si>
  <si>
    <t>=NF($B48,"Estado")</t>
  </si>
  <si>
    <t>=NF($D48,"fecha")</t>
  </si>
  <si>
    <t>=NF($D48,"Descripción incidencia")</t>
  </si>
  <si>
    <t>=NF($B48,"Cód_ transportista")</t>
  </si>
  <si>
    <t>=NF($B48,"Cód_ servicio solicitado")</t>
  </si>
  <si>
    <t>=NF($B48,"Link imagen")</t>
  </si>
  <si>
    <t>=NF($B48,"Localizador")</t>
  </si>
  <si>
    <t>="""SQL-NAVISION"","""",""SQL="",""14=No_"",""PD260081552"",""14=No_ documento cliente"",""SIG070526.9"",""14=No_ referencia transporte"",""SIG070526.9"",""14=Nº Expedición"",""1200792591"",""14=Nombre punto entrega"",""TIPSA BADALONA"",""14=Dirección punto entrega"",""recoge en la del"&amp;"egacion"",""14=C_P_ punto entrega"",""08918"",""14=Población punto entrega"",""Badalona"",""14=Provincia punto entrega"",""Barcelona"",""14=País punto entrega"",""ES"",""14=Estado"",""Entregado"",""15=fecha_prep"",""08/05/2026"",""15=Fecha expedido"",""08/05/2026"",""14=Cód_ transport"&amp;"ista"",""TIPSA"",""14=Cód_ servicio solicitado"",""STD"",""14=Link imagen"",""https://www.tip-sa.com/cliente/datos.php?id=02800109585SIG070526.908918"",""14=Localizador"",""0280010280011200792591"""</t>
  </si>
  <si>
    <t>=NL("Filas","SQL="&amp;
"select MAX(td.[Nº movimiento]) num_mov "&amp;
"  from [dbo].[MEDIAPOST SPAIN$Tracking Documento] td with (nolock) "&amp;
"  WHERE td.[Nº documento] = '"&amp;NF($B49,"No_ referencia transporte")&amp;"' "&amp;
"    AND td.[Cód_ incidencia] &lt;&gt; '' ",{"num_mov"},"Datasource=","SQL-Navision")</t>
  </si>
  <si>
    <t>=IF(NF($C49,"num_mov")="","",NL(,"Tracking Documento",,"Nº movimiento",NF($C49,"num_mov"),"Conexión=","Navision","Empresa=","MEDIAPOST SPAIN"))</t>
  </si>
  <si>
    <t>=NF($B49,"No_ documento cliente")</t>
  </si>
  <si>
    <t>=NF($B49,"No_ referencia transporte")</t>
  </si>
  <si>
    <t>=NF($B49,"Nº Expedición")</t>
  </si>
  <si>
    <t>=NF($B49,"C_P_ punto entrega")</t>
  </si>
  <si>
    <t>=NF($B49,"fecha_prep")</t>
  </si>
  <si>
    <t>=NF($B49,"Fecha expedido")</t>
  </si>
  <si>
    <t>=NF($B49,"Estado")</t>
  </si>
  <si>
    <t>=NF($D49,"fecha")</t>
  </si>
  <si>
    <t>=NF($D49,"Descripción incidencia")</t>
  </si>
  <si>
    <t>=NF($B49,"Cód_ transportista")</t>
  </si>
  <si>
    <t>=NF($B49,"Cód_ servicio solicitado")</t>
  </si>
  <si>
    <t>=NF($B49,"Link imagen")</t>
  </si>
  <si>
    <t>=NF($B49,"Localizador")</t>
  </si>
  <si>
    <t>="""SQL-NAVISION"","""",""SQL="",""14=No_"",""PD260081555"",""14=No_ documento cliente"",""SIG070526.13"",""14=No_ referencia transporte"",""SIG070526.13"",""14=Nº Expedición"",""1200792599"",""14=Nombre punto entrega"",""TIPSA SANT BOI"",""14=Dirección punto entrega"",""recoge en la d"&amp;"elegacion"",""14=C_P_ punto entrega"",""08840"",""14=Población punto entrega"",""Viladecans"",""14=Provincia punto entrega"",""Barcelona"",""14=País punto entrega"",""ES"",""14=Estado"",""Entregado"",""15=fecha_prep"",""08/05/2026"",""15=Fecha expedido"",""08/05/2026"",""14=Cód_ trans"&amp;"portista"",""TIPSA"",""14=Cód_ servicio solicitado"",""STD"",""14=Link imagen"",""https://www.tip-sa.com/cliente/datos.php?id=02800109585SIG070526.1308840"",""14=Localizador"",""0280010280011200792599"""</t>
  </si>
  <si>
    <t>=NL("Filas","SQL="&amp;
"select MAX(td.[Nº movimiento]) num_mov "&amp;
"  from [dbo].[MEDIAPOST SPAIN$Tracking Documento] td with (nolock) "&amp;
"  WHERE td.[Nº documento] = '"&amp;NF($B50,"No_ referencia transporte")&amp;"' "&amp;
"    AND td.[Cód_ incidencia] &lt;&gt; '' ",{"num_mov"},"Datasource=","SQL-Navision")</t>
  </si>
  <si>
    <t>=IF(NF($C50,"num_mov")="","",NL(,"Tracking Documento",,"Nº movimiento",NF($C50,"num_mov"),"Conexión=","Navision","Empresa=","MEDIAPOST SPAIN"))</t>
  </si>
  <si>
    <t>=NF($B50,"No_ documento cliente")</t>
  </si>
  <si>
    <t>=NF($B50,"No_ referencia transporte")</t>
  </si>
  <si>
    <t>=NF($B50,"Nº Expedición")</t>
  </si>
  <si>
    <t>=NF($B50,"C_P_ punto entrega")</t>
  </si>
  <si>
    <t>=NF($B50,"fecha_prep")</t>
  </si>
  <si>
    <t>=NF($B50,"Fecha expedido")</t>
  </si>
  <si>
    <t>=NF($B50,"Estado")</t>
  </si>
  <si>
    <t>=NF($D50,"fecha")</t>
  </si>
  <si>
    <t>=NF($D50,"Descripción incidencia")</t>
  </si>
  <si>
    <t>=NF($B50,"Cód_ transportista")</t>
  </si>
  <si>
    <t>=NF($B50,"Cód_ servicio solicitado")</t>
  </si>
  <si>
    <t>=NF($B50,"Link imagen")</t>
  </si>
  <si>
    <t>=NF($B50,"Localizador")</t>
  </si>
  <si>
    <t>="""SQL-NAVISION"","""",""SQL="",""14=No_"",""PD260081357"",""14=No_ documento cliente"",""ISD070526.4"",""14=No_ referencia transporte"",""ISD070526.4"",""14=Nº Expedición"",""0865423960"",""14=Nombre punto entrega"",""FATIMA VARGAS ALMENDRO"",""14=Dirección punto entrega"",""SANCHO D"&amp;"E CABRERA 12"",""14=C_P_ punto entrega"",""10004"",""14=Población punto entrega"",""CACERES"",""14=Provincia punto entrega"",""CACERES"",""14=País punto entrega"",""ES"",""14=Estado"",""Entregado"",""15=fecha_prep"",""08/05/2026"",""15=Fecha expedido"",""08/05/2026"",""14=Cód_ transpo"&amp;"rtista"",""DHL"",""14=Cód_ servicio solicitado"",""STD"",""14=Link imagen"",""https://clientesparcel.dhl.es/seguimientoenvios/integra/SeguimientoDocumentos.aspx?codigo=0865423960&amp;anno=2026&amp;lang=sp&amp;zatar=q45LoBtfSS29xHGRDZ57"",""14=Localizador"","""""</t>
  </si>
  <si>
    <t>=NL("Filas","SQL="&amp;
"select MAX(td.[Nº movimiento]) num_mov "&amp;
"  from [dbo].[MEDIAPOST SPAIN$Tracking Documento] td with (nolock) "&amp;
"  WHERE td.[Nº documento] = '"&amp;NF($B51,"No_ referencia transporte")&amp;"' "&amp;
"    AND td.[Cód_ incidencia] &lt;&gt; '' ",{"num_mov"},"Datasource=","SQL-Navision")</t>
  </si>
  <si>
    <t>=IF(NF($C51,"num_mov")="","",NL(,"Tracking Documento",,"Nº movimiento",NF($C51,"num_mov"),"Conexión=","Navision","Empresa=","MEDIAPOST SPAIN"))</t>
  </si>
  <si>
    <t>=NF($B51,"No_ documento cliente")</t>
  </si>
  <si>
    <t>=NF($B51,"No_ referencia transporte")</t>
  </si>
  <si>
    <t>=NF($B51,"Nº Expedición")</t>
  </si>
  <si>
    <t>=NF($B51,"C_P_ punto entrega")</t>
  </si>
  <si>
    <t>=NF($B51,"fecha_prep")</t>
  </si>
  <si>
    <t>=NF($B51,"Fecha expedido")</t>
  </si>
  <si>
    <t>=NF($B51,"Estado")</t>
  </si>
  <si>
    <t>=NF($D51,"fecha")</t>
  </si>
  <si>
    <t>=NF($D51,"Descripción incidencia")</t>
  </si>
  <si>
    <t>=NF($B51,"Cód_ transportista")</t>
  </si>
  <si>
    <t>=NF($B51,"Cód_ servicio solicitado")</t>
  </si>
  <si>
    <t>=NF($B51,"Link imagen")</t>
  </si>
  <si>
    <t>=NF($B51,"Localizador")</t>
  </si>
  <si>
    <t>="""SQL-NAVISION"","""",""SQL="",""14=No_"",""PD260081548"",""14=No_ documento cliente"",""SIG070526.5"",""14=No_ referencia transporte"",""SIG070526.5"",""14=Nº Expedición"",""1200792583"",""14=Nombre punto entrega"",""TIPSA LA VENTANILLA"",""14=Dirección punto entrega"",""recoge en l"&amp;"a delegacion"",""14=C_P_ punto entrega"",""28029"",""14=Población punto entrega"",""Madrid"",""14=Provincia punto entrega"",""Madrid"",""14=País punto entrega"",""ES"",""14=Estado"",""Entregado"",""15=fecha_prep"",""08/05/2026"",""15=Fecha expedido"",""08/05/2026"",""14=Cód_ transport"&amp;"ista"",""TIPSA"",""14=Cód_ servicio solicitado"",""STD"",""14=Link imagen"",""https://www.tip-sa.com/cliente/datos.php?id=02800109585SIG070526.528029"",""14=Localizador"",""0280010280011200792583"""</t>
  </si>
  <si>
    <t>=NL("Filas","SQL="&amp;
"select MAX(td.[Nº movimiento]) num_mov "&amp;
"  from [dbo].[MEDIAPOST SPAIN$Tracking Documento] td with (nolock) "&amp;
"  WHERE td.[Nº documento] = '"&amp;NF($B52,"No_ referencia transporte")&amp;"' "&amp;
"    AND td.[Cód_ incidencia] &lt;&gt; '' ",{"num_mov"},"Datasource=","SQL-Navision")</t>
  </si>
  <si>
    <t>=IF(NF($C52,"num_mov")="","",NL(,"Tracking Documento",,"Nº movimiento",NF($C52,"num_mov"),"Conexión=","Navision","Empresa=","MEDIAPOST SPAIN"))</t>
  </si>
  <si>
    <t>=NF($B52,"No_ documento cliente")</t>
  </si>
  <si>
    <t>=NF($B52,"No_ referencia transporte")</t>
  </si>
  <si>
    <t>=NF($B52,"Nº Expedición")</t>
  </si>
  <si>
    <t>=NF($B52,"C_P_ punto entrega")</t>
  </si>
  <si>
    <t>=NF($B52,"fecha_prep")</t>
  </si>
  <si>
    <t>=NF($B52,"Fecha expedido")</t>
  </si>
  <si>
    <t>=NF($B52,"Estado")</t>
  </si>
  <si>
    <t>=NF($D52,"fecha")</t>
  </si>
  <si>
    <t>=NF($D52,"Descripción incidencia")</t>
  </si>
  <si>
    <t>=NF($B52,"Cód_ transportista")</t>
  </si>
  <si>
    <t>=NF($B52,"Cód_ servicio solicitado")</t>
  </si>
  <si>
    <t>=NF($B52,"Link imagen")</t>
  </si>
  <si>
    <t>=NF($B52,"Localizador")</t>
  </si>
  <si>
    <t>="""SQL-NAVISION"","""",""SQL="",""14=No_"",""PD260081718"",""14=No_ documento cliente"",""SIG070526.12"",""14=No_ referencia transporte"",""SIG070526.12"",""14=Nº Expedición"",""1200792597"",""14=Nombre punto entrega"",""TIPSA LAS PALMAS"",""14=Dirección punto entrega"",""recoge en la"&amp;" delegacion"",""14=C_P_ punto entrega"",""35010"",""14=Población punto entrega"",""Las Palmas de Gran Canaria"",""14=Provincia punto entrega"",""Las Palmas"",""14=País punto entrega"",""ES"",""14=Estado"",""Entregado"",""15=fecha_prep"",""08/05/2026"",""15=Fecha expedido"",""08/05/2"&amp;"026"",""14=Cód_ transportista"",""TIPSA"",""14=Cód_ servicio solicitado"",""STD"",""14=Link imagen"",""https://www.tip-sa.com/cliente/datos.php?id=02800109585SIG070526.1235010"",""14=Localizador"",""0280010280011200792597"""</t>
  </si>
  <si>
    <t>=NL("Filas","SQL="&amp;
"select MAX(td.[Nº movimiento]) num_mov "&amp;
"  from [dbo].[MEDIAPOST SPAIN$Tracking Documento] td with (nolock) "&amp;
"  WHERE td.[Nº documento] = '"&amp;NF($B53,"No_ referencia transporte")&amp;"' "&amp;
"    AND td.[Cód_ incidencia] &lt;&gt; '' ",{"num_mov"},"Datasource=","SQL-Navision")</t>
  </si>
  <si>
    <t>=IF(NF($C53,"num_mov")="","",NL(,"Tracking Documento",,"Nº movimiento",NF($C53,"num_mov"),"Conexión=","Navision","Empresa=","MEDIAPOST SPAIN"))</t>
  </si>
  <si>
    <t>=NF($B53,"No_ documento cliente")</t>
  </si>
  <si>
    <t>=NF($B53,"No_ referencia transporte")</t>
  </si>
  <si>
    <t>=NF($B53,"Nº Expedición")</t>
  </si>
  <si>
    <t>=NF($B53,"C_P_ punto entrega")</t>
  </si>
  <si>
    <t>=NF($B53,"fecha_prep")</t>
  </si>
  <si>
    <t>=NF($B53,"Fecha expedido")</t>
  </si>
  <si>
    <t>=NF($B53,"Estado")</t>
  </si>
  <si>
    <t>=NF($D53,"fecha")</t>
  </si>
  <si>
    <t>=NF($D53,"Descripción incidencia")</t>
  </si>
  <si>
    <t>=NF($B53,"Cód_ transportista")</t>
  </si>
  <si>
    <t>=NF($B53,"Cód_ servicio solicitado")</t>
  </si>
  <si>
    <t>=NF($B53,"Link imagen")</t>
  </si>
  <si>
    <t>=NF($B53,"Localizador")</t>
  </si>
  <si>
    <t>="""SQL-NAVISION"","""",""SQL="",""14=No_"",""PD260080638"",""14=No_ documento cliente"",""63226000160"",""14=No_ referencia transporte"",""63226000160"",""14=Nº Expedición"",""0865423750"",""14=Nombre punto entrega"",""Recoger en Delegación / Sergio Alcántara"",""14=Dirección punto "&amp;"entrega"",""RECOGER EN DELEGACION"",""14=C_P_ punto entrega"",""29130"",""14=Población punto entrega"",""ALHAURIN DE LA TORRE"",""14=Provincia punto entrega"",""Malaga"",""14=País punto entrega"",""ES"",""14=Estado"",""Entregado"",""15=fecha_prep"",""08/05/2026"",""15=Fecha expedido"&amp;""",""08/05/2026"",""14=Cód_ transportista"",""DHL"",""14=Cód_ servicio solicitado"",""STD"",""14=Link imagen"",""https://clientesparcel.dhl.es/seguimientoenvios/integra/SeguimientoDocumentos.aspx?codigo=0865423750&amp;anno=2026&amp;lang=sp&amp;zatar=q45LoBtfSS29xHGRDZ57"",""14=Local"&amp;"izador"","""""</t>
  </si>
  <si>
    <t>=NL("Filas","SQL="&amp;
"select MAX(td.[Nº movimiento]) num_mov "&amp;
"  from [dbo].[MEDIAPOST SPAIN$Tracking Documento] td with (nolock) "&amp;
"  WHERE td.[Nº documento] = '"&amp;NF($B54,"No_ referencia transporte")&amp;"' "&amp;
"    AND td.[Cód_ incidencia] &lt;&gt; '' ",{"num_mov"},"Datasource=","SQL-Navision")</t>
  </si>
  <si>
    <t>=IF(NF($C54,"num_mov")="","",NL(,"Tracking Documento",,"Nº movimiento",NF($C54,"num_mov"),"Conexión=","Navision","Empresa=","MEDIAPOST SPAIN"))</t>
  </si>
  <si>
    <t>=NF($B54,"No_ documento cliente")</t>
  </si>
  <si>
    <t>=NF($B54,"No_ referencia transporte")</t>
  </si>
  <si>
    <t>=NF($B54,"Nº Expedición")</t>
  </si>
  <si>
    <t>=NF($B54,"C_P_ punto entrega")</t>
  </si>
  <si>
    <t>=NF($B54,"fecha_prep")</t>
  </si>
  <si>
    <t>=NF($B54,"Fecha expedido")</t>
  </si>
  <si>
    <t>=NF($B54,"Estado")</t>
  </si>
  <si>
    <t>=NF($D54,"fecha")</t>
  </si>
  <si>
    <t>=NF($D54,"Descripción incidencia")</t>
  </si>
  <si>
    <t>=NF($B54,"Cód_ transportista")</t>
  </si>
  <si>
    <t>=NF($B54,"Cód_ servicio solicitado")</t>
  </si>
  <si>
    <t>=NF($B54,"Link imagen")</t>
  </si>
  <si>
    <t>=NF($B54,"Localizador")</t>
  </si>
  <si>
    <t>="""SQL-NAVISION"","""",""SQL="",""14=No_"",""PD260082200"",""14=No_ documento cliente"",""OT 3022"",""14=No_ referencia transporte"",""OT 3022"",""14=Nº Expedición"",""14812875"",""14=Nombre punto entrega"",""hacer 25 kits "",""14=Dirección punto entrega"",""ctra. sentmenat 36"",""14=C_"&amp;"P_ punto entrega"",""08213"",""14=Población punto entrega"",""POLINYÁ"",""14=Provincia punto entrega"",""BARCELONA"",""14=País punto entrega"",""ES"",""14=Estado"",""Entregado"",""15=fecha_prep"",""11/05/2026"",""15=Fecha expedido"",""11/05/2026"",""14=Cód_ transportista"",""RECOGERAN"&amp;""",""14=Cód_ servicio solicitado"",""RECOGERAN"",""14=Link imagen"",""https://img.directoatusclientes.com/iris/POD/RECOGERAN/OT 3022.pdf"",""14=Localizador"","""""</t>
  </si>
  <si>
    <t>=NL("Filas","SQL="&amp;
"select MAX(td.[Nº movimiento]) num_mov "&amp;
"  from [dbo].[MEDIAPOST SPAIN$Tracking Documento] td with (nolock) "&amp;
"  WHERE td.[Nº documento] = '"&amp;NF($B55,"No_ referencia transporte")&amp;"' "&amp;
"    AND td.[Cód_ incidencia] &lt;&gt; '' ",{"num_mov"},"Datasource=","SQL-Navision")</t>
  </si>
  <si>
    <t>=IF(NF($C55,"num_mov")="","",NL(,"Tracking Documento",,"Nº movimiento",NF($C55,"num_mov"),"Conexión=","Navision","Empresa=","MEDIAPOST SPAIN"))</t>
  </si>
  <si>
    <t>=NF($B55,"No_ documento cliente")</t>
  </si>
  <si>
    <t>=NF($B55,"No_ referencia transporte")</t>
  </si>
  <si>
    <t>=NF($B55,"Nº Expedición")</t>
  </si>
  <si>
    <t>=NF($B55,"C_P_ punto entrega")</t>
  </si>
  <si>
    <t>=NF($B55,"fecha_prep")</t>
  </si>
  <si>
    <t>=NF($B55,"Fecha expedido")</t>
  </si>
  <si>
    <t>=NF($B55,"Estado")</t>
  </si>
  <si>
    <t>=NF($D55,"fecha")</t>
  </si>
  <si>
    <t>=NF($D55,"Descripción incidencia")</t>
  </si>
  <si>
    <t>=NF($B55,"Cód_ transportista")</t>
  </si>
  <si>
    <t>=NF($B55,"Cód_ servicio solicitado")</t>
  </si>
  <si>
    <t>=NF($B55,"Link imagen")</t>
  </si>
  <si>
    <t>=NF($B55,"Localizador")</t>
  </si>
  <si>
    <t>="""SQL-NAVISION"","""",""SQL="",""14=No_"",""PD260083496"",""14=No_ documento cliente"",""GF1105"",""14=No_ referencia transporte"",""GF1105"",""14=Nº Expedición"",""26038426"",""14=Nombre punto entrega"",""GALAN FORWARDING"",""14=Dirección punto entrega"",""POL. IND. EL MOLINOT / MOB"&amp;"IR"",""14=C_P_ punto entrega"",""08471"",""14=Población punto entrega"",""VALLGORGUINA"",""14=Provincia punto entrega"",""BARCELONA"",""14=País punto entrega"",""ES"",""14=Estado"",""Entregado"",""15=fecha_prep"",""12/05/2026"",""15=Fecha expedido"",""12/05/2026"",""14=Cód_ transporti"&amp;"sta"",""SERTRANS"",""14=Cód_ servicio solicitado"",""PRESUPUESTO"",""14=Link imagen"",""https://img.directoatusclientes.com/iris/POD/SERTRANS/GF1105.pdf"",""14=Localizador"","""""</t>
  </si>
  <si>
    <t>=NL("Filas","SQL="&amp;
"select MAX(td.[Nº movimiento]) num_mov "&amp;
"  from [dbo].[MEDIAPOST SPAIN$Tracking Documento] td with (nolock) "&amp;
"  WHERE td.[Nº documento] = '"&amp;NF($B56,"No_ referencia transporte")&amp;"' "&amp;
"    AND td.[Cód_ incidencia] &lt;&gt; '' ",{"num_mov"},"Datasource=","SQL-Navision")</t>
  </si>
  <si>
    <t>=IF(NF($C56,"num_mov")="","",NL(,"Tracking Documento",,"Nº movimiento",NF($C56,"num_mov"),"Conexión=","Navision","Empresa=","MEDIAPOST SPAIN"))</t>
  </si>
  <si>
    <t>=NF($B56,"No_ documento cliente")</t>
  </si>
  <si>
    <t>=NF($B56,"No_ referencia transporte")</t>
  </si>
  <si>
    <t>=NF($B56,"Nº Expedición")</t>
  </si>
  <si>
    <t>=NF($B56,"C_P_ punto entrega")</t>
  </si>
  <si>
    <t>=NF($B56,"fecha_prep")</t>
  </si>
  <si>
    <t>=NF($B56,"Fecha expedido")</t>
  </si>
  <si>
    <t>=NF($B56,"Estado")</t>
  </si>
  <si>
    <t>=NF($D56,"fecha")</t>
  </si>
  <si>
    <t>=NF($D56,"Descripción incidencia")</t>
  </si>
  <si>
    <t>=NF($B56,"Cód_ transportista")</t>
  </si>
  <si>
    <t>=NF($B56,"Cód_ servicio solicitado")</t>
  </si>
  <si>
    <t>=NF($B56,"Link imagen")</t>
  </si>
  <si>
    <t>=NF($B56,"Localizador")</t>
  </si>
  <si>
    <t>="""SQL-NAVISION"","""",""SQL="",""14=No_"",""PD260082329"",""14=No_ documento cliente"",""63226000170"",""14=No_ referencia transporte"",""63226000170"",""14=Nº Expedición"",""1200792901"",""14=Nombre punto entrega"",""VALENTINA HERRERA"",""14=Dirección punto entrega"",""Calle Menorca"&amp;" 18, 4º,C"",""14=C_P_ punto entrega"",""28009"",""14=Población punto entrega"",""Madrid"",""14=Provincia punto entrega"",""Madrid"",""14=País punto entrega"",""ES"",""14=Estado"",""Entregado"",""15=fecha_prep"",""12/05/2026"",""15=Fecha expedido"",""12/05/2026"",""14=Cód_ transportist"&amp;"a"",""TIPSA"",""14=Cód_ servicio solicitado"",""STD"",""14=Link imagen"",""https://www.tip-sa.com/cliente/datos.php?id=028001095856322600017028009"",""14=Localizador"",""0280010280011200792901"""</t>
  </si>
  <si>
    <t>=NL("Filas","SQL="&amp;
"select MAX(td.[Nº movimiento]) num_mov "&amp;
"  from [dbo].[MEDIAPOST SPAIN$Tracking Documento] td with (nolock) "&amp;
"  WHERE td.[Nº documento] = '"&amp;NF($B57,"No_ referencia transporte")&amp;"' "&amp;
"    AND td.[Cód_ incidencia] &lt;&gt; '' ",{"num_mov"},"Datasource=","SQL-Navision")</t>
  </si>
  <si>
    <t>=IF(NF($C57,"num_mov")="","",NL(,"Tracking Documento",,"Nº movimiento",NF($C57,"num_mov"),"Conexión=","Navision","Empresa=","MEDIAPOST SPAIN"))</t>
  </si>
  <si>
    <t>=NF($B57,"No_ documento cliente")</t>
  </si>
  <si>
    <t>=NF($B57,"No_ referencia transporte")</t>
  </si>
  <si>
    <t>=NF($B57,"Nº Expedición")</t>
  </si>
  <si>
    <t>=NF($B57,"C_P_ punto entrega")</t>
  </si>
  <si>
    <t>=NF($B57,"fecha_prep")</t>
  </si>
  <si>
    <t>=NF($B57,"Fecha expedido")</t>
  </si>
  <si>
    <t>=NF($B57,"Estado")</t>
  </si>
  <si>
    <t>=NF($D57,"fecha")</t>
  </si>
  <si>
    <t>=NF($D57,"Descripción incidencia")</t>
  </si>
  <si>
    <t>=NF($B57,"Cód_ transportista")</t>
  </si>
  <si>
    <t>=NF($B57,"Cód_ servicio solicitado")</t>
  </si>
  <si>
    <t>=NF($B57,"Link imagen")</t>
  </si>
  <si>
    <t>=NF($B57,"Localizador")</t>
  </si>
  <si>
    <t>="""SQL-NAVISION"","""",""SQL="",""14=No_"",""PD260082330"",""14=No_ documento cliente"",""63226000172"",""14=No_ referencia transporte"",""63226000172"",""14=Nº Expedición"",""0865424450"",""14=Nombre punto entrega"",""Jana Gallego"",""14=Dirección punto entrega"",""C/Aguas vivas nº37"&amp;""",""14=C_P_ punto entrega"",""03009"",""14=Población punto entrega"",""Alicante"",""14=Provincia punto entrega"",""Alicante"",""14=País punto entrega"",""ES"",""14=Estado"",""En Reparto"",""15=fecha_prep"",""12/05/2026"",""15=Fecha expedido"",""12/05/2026"",""14=Cód_ transportista"","""&amp;"DHL"",""14=Cód_ servicio solicitado"",""STD"",""14=Link imagen"",""https://clientesparcel.dhl.es/seguimientoenvios/integra/SeguimientoDocumentos.aspx?codigo=0865424450&amp;anno=2026&amp;lang=sp&amp;zatar=q45LoBtfSS29xHGRDZ57"",""14=Localizador"","""""</t>
  </si>
  <si>
    <t>=NL("Filas","SQL="&amp;
"select MAX(td.[Nº movimiento]) num_mov "&amp;
"  from [dbo].[MEDIAPOST SPAIN$Tracking Documento] td with (nolock) "&amp;
"  WHERE td.[Nº documento] = '"&amp;NF($B58,"No_ referencia transporte")&amp;"' "&amp;
"    AND td.[Cód_ incidencia] &lt;&gt; '' ",{"num_mov"},"Datasource=","SQL-Navision")</t>
  </si>
  <si>
    <t>=IF(NF($C58,"num_mov")="","",NL(,"Tracking Documento",,"Nº movimiento",NF($C58,"num_mov"),"Conexión=","Navision","Empresa=","MEDIAPOST SPAIN"))</t>
  </si>
  <si>
    <t>=NF($B58,"No_ documento cliente")</t>
  </si>
  <si>
    <t>=NF($B58,"No_ referencia transporte")</t>
  </si>
  <si>
    <t>=NF($B58,"Nº Expedición")</t>
  </si>
  <si>
    <t>=NF($B58,"C_P_ punto entrega")</t>
  </si>
  <si>
    <t>=NF($B58,"fecha_prep")</t>
  </si>
  <si>
    <t>=NF($B58,"Fecha expedido")</t>
  </si>
  <si>
    <t>=NF($B58,"Estado")</t>
  </si>
  <si>
    <t>=NF($D58,"fecha")</t>
  </si>
  <si>
    <t>=NF($D58,"Descripción incidencia")</t>
  </si>
  <si>
    <t>=NF($B58,"Cód_ transportista")</t>
  </si>
  <si>
    <t>=NF($B58,"Cód_ servicio solicitado")</t>
  </si>
  <si>
    <t>=NF($B58,"Link imagen")</t>
  </si>
  <si>
    <t>=NF($B58,"Localizador")</t>
  </si>
  <si>
    <t>="""SQL-NAVISION"","""",""SQL="",""14=No_"",""PD260083585"",""14=No_ documento cliente"",""ISD120526.3"",""14=No_ referencia transporte"",""ISD120526.3"",""14=Nº Expedición"",""5602201"",""14=Nombre punto entrega"",""BEATRIZ GARRIDO BRIONES"",""14=Dirección punto entrega"",""Avenida Cl"&amp;"ub Deportivo 88 4izq"",""14=C_P_ punto entrega"",""26007"",""14=Población punto entrega"",""LOGORÑO"",""14=Provincia punto entrega"",""LA RIOJA"",""14=País punto entrega"",""ES"",""14=Estado"",""Entregado"",""15=fecha_prep"",""12/05/2026"",""15=Fecha expedido"",""12/05/2026"",""14=Cód"&amp;"_ transportista"",""ASM"",""14=Cód_ servicio solicitado"",""STD"",""14=Link imagen"",""https://mygls.gls-spain.es/e/31200805602201/26007"",""14=Localizador"","""""</t>
  </si>
  <si>
    <t>=NL("Filas","SQL="&amp;
"select MAX(td.[Nº movimiento]) num_mov "&amp;
"  from [dbo].[MEDIAPOST SPAIN$Tracking Documento] td with (nolock) "&amp;
"  WHERE td.[Nº documento] = '"&amp;NF($B59,"No_ referencia transporte")&amp;"' "&amp;
"    AND td.[Cód_ incidencia] &lt;&gt; '' ",{"num_mov"},"Datasource=","SQL-Navision")</t>
  </si>
  <si>
    <t>=IF(NF($C59,"num_mov")="","",NL(,"Tracking Documento",,"Nº movimiento",NF($C59,"num_mov"),"Conexión=","Navision","Empresa=","MEDIAPOST SPAIN"))</t>
  </si>
  <si>
    <t>=NF($B59,"No_ documento cliente")</t>
  </si>
  <si>
    <t>=NF($B59,"No_ referencia transporte")</t>
  </si>
  <si>
    <t>=NF($B59,"Nº Expedición")</t>
  </si>
  <si>
    <t>=NF($B59,"C_P_ punto entrega")</t>
  </si>
  <si>
    <t>=NF($B59,"fecha_prep")</t>
  </si>
  <si>
    <t>=NF($B59,"Fecha expedido")</t>
  </si>
  <si>
    <t>=NF($B59,"Estado")</t>
  </si>
  <si>
    <t>=NF($D59,"fecha")</t>
  </si>
  <si>
    <t>=NF($D59,"Descripción incidencia")</t>
  </si>
  <si>
    <t>=NF($B59,"Cód_ transportista")</t>
  </si>
  <si>
    <t>=NF($B59,"Cód_ servicio solicitado")</t>
  </si>
  <si>
    <t>=NF($B59,"Link imagen")</t>
  </si>
  <si>
    <t>=NF($B59,"Localizador")</t>
  </si>
  <si>
    <t>="""SQL-NAVISION"","""",""SQL="",""14=No_"",""PD260082716"",""14=No_ documento cliente"",""63226000174"",""14=No_ referencia transporte"",""63226000174"",""14=Nº Expedición"",""000016799"",""14=Nombre punto entrega"",""Estanco LA JONQUERA 001"",""14=Dirección punto entrega"",""CL MAJOR"&amp;", 94-96"",""14=C_P_ punto entrega"",""17700"",""14=Población punto entrega"",""LA JONQUERA"",""14=Provincia punto entrega"",""GIRONA"",""14=País punto entrega"",""ES"",""14=Estado"",""Entregado"",""15=fecha_prep"",""12/05/2026"",""15=Fecha expedido"",""12/05/2026"",""14=Cód_ transport"&amp;"ista"",""ONTIME"",""14=Cód_ servicio solicitado"",""STD"",""14=Link imagen"",""https://ontimegts.alertran.net/gts/pub/clielocserv.seam?cliente=02890149&amp;expedicion=999949911238"",""14=Localizador"",""999949911238"""</t>
  </si>
  <si>
    <t>=NL("Filas","SQL="&amp;
"select MAX(td.[Nº movimiento]) num_mov "&amp;
"  from [dbo].[MEDIAPOST SPAIN$Tracking Documento] td with (nolock) "&amp;
"  WHERE td.[Nº documento] = '"&amp;NF($B60,"No_ referencia transporte")&amp;"' "&amp;
"    AND td.[Cód_ incidencia] &lt;&gt; '' ",{"num_mov"},"Datasource=","SQL-Navision")</t>
  </si>
  <si>
    <t>=IF(NF($C60,"num_mov")="","",NL(,"Tracking Documento",,"Nº movimiento",NF($C60,"num_mov"),"Conexión=","Navision","Empresa=","MEDIAPOST SPAIN"))</t>
  </si>
  <si>
    <t>=NF($B60,"No_ documento cliente")</t>
  </si>
  <si>
    <t>=NF($B60,"No_ referencia transporte")</t>
  </si>
  <si>
    <t>=NF($B60,"Nº Expedición")</t>
  </si>
  <si>
    <t>=NF($B60,"C_P_ punto entrega")</t>
  </si>
  <si>
    <t>=NF($B60,"fecha_prep")</t>
  </si>
  <si>
    <t>=NF($B60,"Fecha expedido")</t>
  </si>
  <si>
    <t>=NF($B60,"Estado")</t>
  </si>
  <si>
    <t>=NF($D60,"fecha")</t>
  </si>
  <si>
    <t>=NF($D60,"Descripción incidencia")</t>
  </si>
  <si>
    <t>=NF($B60,"Cód_ transportista")</t>
  </si>
  <si>
    <t>=NF($B60,"Cód_ servicio solicitado")</t>
  </si>
  <si>
    <t>=NF($B60,"Link imagen")</t>
  </si>
  <si>
    <t>=NF($B60,"Localizador")</t>
  </si>
  <si>
    <t>="""SQL-NAVISION"","""",""SQL="",""14=No_"",""PD260083590"",""14=No_ documento cliente"",""ISD120526.8"",""14=No_ referencia transporte"",""ISD120526.8"",""14=Nº Expedición"",""5602203"",""14=Nombre punto entrega"",""PATRICIA FERNANDEZ FERNANDEZ"",""14=Dirección punto entrega"",""CALLE"&amp;" RAMÓN PÉREZ DE AYALA 30 - 3"",""14=C_P_ punto entrega"",""33600"",""14=Población punto entrega"",""MIERES"",""14=Provincia punto entrega"",""ASTURIAS"",""14=País punto entrega"",""ES"",""14=Estado"",""Entregado"",""15=fecha_prep"",""12/05/2026"",""15=Fecha expedido"",""12/05/2026"","&amp;"""14=Cód_ transportista"",""ASM"",""14=Cód_ servicio solicitado"",""STD"",""14=Link imagen"",""https://mygls.gls-spain.es/e/31200805602203/33600"",""14=Localizador"","""""</t>
  </si>
  <si>
    <t>=NL("Filas","SQL="&amp;
"select MAX(td.[Nº movimiento]) num_mov "&amp;
"  from [dbo].[MEDIAPOST SPAIN$Tracking Documento] td with (nolock) "&amp;
"  WHERE td.[Nº documento] = '"&amp;NF($B61,"No_ referencia transporte")&amp;"' "&amp;
"    AND td.[Cód_ incidencia] &lt;&gt; '' ",{"num_mov"},"Datasource=","SQL-Navision")</t>
  </si>
  <si>
    <t>=IF(NF($C61,"num_mov")="","",NL(,"Tracking Documento",,"Nº movimiento",NF($C61,"num_mov"),"Conexión=","Navision","Empresa=","MEDIAPOST SPAIN"))</t>
  </si>
  <si>
    <t>=NF($B61,"No_ documento cliente")</t>
  </si>
  <si>
    <t>=NF($B61,"No_ referencia transporte")</t>
  </si>
  <si>
    <t>=NF($B61,"Nº Expedición")</t>
  </si>
  <si>
    <t>=NF($B61,"C_P_ punto entrega")</t>
  </si>
  <si>
    <t>=NF($B61,"fecha_prep")</t>
  </si>
  <si>
    <t>=NF($B61,"Fecha expedido")</t>
  </si>
  <si>
    <t>=NF($B61,"Estado")</t>
  </si>
  <si>
    <t>=NF($D61,"fecha")</t>
  </si>
  <si>
    <t>=NF($D61,"Descripción incidencia")</t>
  </si>
  <si>
    <t>=NF($B61,"Cód_ transportista")</t>
  </si>
  <si>
    <t>=NF($B61,"Cód_ servicio solicitado")</t>
  </si>
  <si>
    <t>=NF($B61,"Link imagen")</t>
  </si>
  <si>
    <t>=NF($B61,"Localizador")</t>
  </si>
  <si>
    <t>="""SQL-NAVISION"","""",""SQL="",""14=No_"",""PD260083245"",""14=No_ documento cliente"",""JS1105"",""14=No_ referencia transporte"",""JS1105"",""14=Nº Expedición"",""1200793491"",""14=Nombre punto entrega"",""Joseba Ruiz Pereda"",""14=Dirección punto entrega"",""C/ Castaños 6. 5-A"",""1"&amp;"4=C_P_ punto entrega"",""48007"",""14=Población punto entrega"",""Bilbao"",""14=Provincia punto entrega"",""VIZCAYA"",""14=País punto entrega"",""ES"",""14=Estado"",""Entregado"",""15=fecha_prep"",""12/05/2026"",""15=Fecha expedido"",""12/05/2026"",""14=Cód_ transportista"",""TIPSA"","""&amp;"14=Cód_ servicio solicitado"",""13:30 H"",""14=Link imagen"",""https://www.tip-sa.com/cliente/datos.php?id=02800109585JS110548007"",""14=Localizador"","""""</t>
  </si>
  <si>
    <t>=NL("Filas","SQL="&amp;
"select MAX(td.[Nº movimiento]) num_mov "&amp;
"  from [dbo].[MEDIAPOST SPAIN$Tracking Documento] td with (nolock) "&amp;
"  WHERE td.[Nº documento] = '"&amp;NF($B62,"No_ referencia transporte")&amp;"' "&amp;
"    AND td.[Cód_ incidencia] &lt;&gt; '' ",{"num_mov"},"Datasource=","SQL-Navision")</t>
  </si>
  <si>
    <t>=IF(NF($C62,"num_mov")="","",NL(,"Tracking Documento",,"Nº movimiento",NF($C62,"num_mov"),"Conexión=","Navision","Empresa=","MEDIAPOST SPAIN"))</t>
  </si>
  <si>
    <t>=NF($B62,"No_ documento cliente")</t>
  </si>
  <si>
    <t>=NF($B62,"No_ referencia transporte")</t>
  </si>
  <si>
    <t>=NF($B62,"Nº Expedición")</t>
  </si>
  <si>
    <t>=NF($B62,"C_P_ punto entrega")</t>
  </si>
  <si>
    <t>=NF($B62,"fecha_prep")</t>
  </si>
  <si>
    <t>=NF($B62,"Fecha expedido")</t>
  </si>
  <si>
    <t>=NF($B62,"Estado")</t>
  </si>
  <si>
    <t>=NF($D62,"fecha")</t>
  </si>
  <si>
    <t>=NF($D62,"Descripción incidencia")</t>
  </si>
  <si>
    <t>=NF($B62,"Cód_ transportista")</t>
  </si>
  <si>
    <t>=NF($B62,"Cód_ servicio solicitado")</t>
  </si>
  <si>
    <t>=NF($B62,"Link imagen")</t>
  </si>
  <si>
    <t>=NF($B62,"Localizador")</t>
  </si>
  <si>
    <t>="""SQL-NAVISION"","""",""SQL="",""14=No_"",""PD260083584"",""14=No_ documento cliente"",""ISD120526.2"",""14=No_ referencia transporte"",""ISD120526.2"",""14=Nº Expedición"",""5602200"",""14=Nombre punto entrega"",""ALVARO SALCES MANSILLA"",""14=Dirección punto entrega"",""CALLE VITOR"&amp;"IA 194 1-D"",""14=C_P_ punto entrega"",""09007"",""14=Población punto entrega"",""BURGOS"",""14=Provincia punto entrega"",""BURGOS"",""14=País punto entrega"",""ES"",""14=Estado"",""Entregado"",""15=fecha_prep"",""12/05/2026"",""15=Fecha expedido"",""12/05/2026"",""14=Cód_ transportis"&amp;"ta"",""ASM"",""14=Cód_ servicio solicitado"",""STD"",""14=Link imagen"",""https://mygls.gls-spain.es/e/31200805602200/09007"",""14=Localizador"","""""</t>
  </si>
  <si>
    <t>=NL("Filas","SQL="&amp;
"select MAX(td.[Nº movimiento]) num_mov "&amp;
"  from [dbo].[MEDIAPOST SPAIN$Tracking Documento] td with (nolock) "&amp;
"  WHERE td.[Nº documento] = '"&amp;NF($B63,"No_ referencia transporte")&amp;"' "&amp;
"    AND td.[Cód_ incidencia] &lt;&gt; '' ",{"num_mov"},"Datasource=","SQL-Navision")</t>
  </si>
  <si>
    <t>=IF(NF($C63,"num_mov")="","",NL(,"Tracking Documento",,"Nº movimiento",NF($C63,"num_mov"),"Conexión=","Navision","Empresa=","MEDIAPOST SPAIN"))</t>
  </si>
  <si>
    <t>=NF($B63,"No_ documento cliente")</t>
  </si>
  <si>
    <t>=NF($B63,"No_ referencia transporte")</t>
  </si>
  <si>
    <t>=NF($B63,"Nº Expedición")</t>
  </si>
  <si>
    <t>=NF($B63,"C_P_ punto entrega")</t>
  </si>
  <si>
    <t>=NF($B63,"fecha_prep")</t>
  </si>
  <si>
    <t>=NF($B63,"Fecha expedido")</t>
  </si>
  <si>
    <t>=NF($B63,"Estado")</t>
  </si>
  <si>
    <t>=NF($D63,"fecha")</t>
  </si>
  <si>
    <t>=NF($D63,"Descripción incidencia")</t>
  </si>
  <si>
    <t>=NF($B63,"Cód_ transportista")</t>
  </si>
  <si>
    <t>=NF($B63,"Cód_ servicio solicitado")</t>
  </si>
  <si>
    <t>=NF($B63,"Link imagen")</t>
  </si>
  <si>
    <t>=NF($B63,"Localizador")</t>
  </si>
  <si>
    <t>="""SQL-NAVISION"","""",""SQL="",""14=No_"",""PD260083583"",""14=No_ documento cliente"",""ISD120526.1"",""14=No_ referencia transporte"",""ISD120526.1"",""14=Nº Expedición"",""5602199"",""14=Nombre punto entrega"",""JUAN VILLA ROMAN"",""14=Dirección punto entrega"",""CL/CERVANTES,19"","&amp;"""14=C_P_ punto entrega"",""14620"",""14=Población punto entrega"",""CARPIO, EL"",""14=Provincia punto entrega"",""CORDOBA"",""14=País punto entrega"",""ES"",""14=Estado"",""Entregado"",""15=fecha_prep"",""12/05/2026"",""15=Fecha expedido"",""12/05/2026"",""14=Cód_ transportista"",""AS"&amp;"M"",""14=Cód_ servicio solicitado"",""STD"",""14=Link imagen"",""https://mygls.gls-spain.es/e/31200805602199/14620"",""14=Localizador"","""""</t>
  </si>
  <si>
    <t>=NL("Filas","SQL="&amp;
"select MAX(td.[Nº movimiento]) num_mov "&amp;
"  from [dbo].[MEDIAPOST SPAIN$Tracking Documento] td with (nolock) "&amp;
"  WHERE td.[Nº documento] = '"&amp;NF($B64,"No_ referencia transporte")&amp;"' "&amp;
"    AND td.[Cód_ incidencia] &lt;&gt; '' ",{"num_mov"},"Datasource=","SQL-Navision")</t>
  </si>
  <si>
    <t>=IF(NF($C64,"num_mov")="","",NL(,"Tracking Documento",,"Nº movimiento",NF($C64,"num_mov"),"Conexión=","Navision","Empresa=","MEDIAPOST SPAIN"))</t>
  </si>
  <si>
    <t>=NF($B64,"No_ documento cliente")</t>
  </si>
  <si>
    <t>=NF($B64,"No_ referencia transporte")</t>
  </si>
  <si>
    <t>=NF($B64,"Nº Expedición")</t>
  </si>
  <si>
    <t>=NF($B64,"C_P_ punto entrega")</t>
  </si>
  <si>
    <t>=NF($B64,"fecha_prep")</t>
  </si>
  <si>
    <t>=NF($B64,"Fecha expedido")</t>
  </si>
  <si>
    <t>=NF($B64,"Estado")</t>
  </si>
  <si>
    <t>=NF($D64,"fecha")</t>
  </si>
  <si>
    <t>=NF($D64,"Descripción incidencia")</t>
  </si>
  <si>
    <t>=NF($B64,"Cód_ transportista")</t>
  </si>
  <si>
    <t>=NF($B64,"Cód_ servicio solicitado")</t>
  </si>
  <si>
    <t>=NF($B64,"Link imagen")</t>
  </si>
  <si>
    <t>=NF($B64,"Localizador")</t>
  </si>
  <si>
    <t>="""SQL-NAVISION"","""",""SQL="",""14=No_"",""PD260084229"",""14=No_ documento cliente"",""DESTRUIR 130526"",""14=No_ referencia transporte"",""DESTRUIR 130526"",""14=Nº Expedición"",""14203470"",""14=Nombre punto entrega"",""PONER CON TODO EL MATERIAL PLOOM PARA DESTRUIR"",""14=Dire"&amp;"cción punto entrega"",""CTRA. SENTMENAT  36"",""14=C_P_ punto entrega"",""08213"",""14=Población punto entrega"",""POLINYÁ"",""14=Provincia punto entrega"",""BARCELONA"",""14=País punto entrega"",""ES"",""14=Estado"",""En Reparto"",""15=fecha_prep"",""13/05/2026"",""15=Fecha expedid"&amp;"o"",""13/05/2026"",""14=Cód_ transportista"",""DESTRUIR"",""14=Cód_ servicio solicitado"",""DESTRUIR"",""14=Link imagen"",""https://img.directoatusclientes.com/iris/POD/DESTRUIR/DESTRUIR 130526.pdf"",""14=Localizador"","""""</t>
  </si>
  <si>
    <t>=NL("Filas","SQL="&amp;
"select MAX(td.[Nº movimiento]) num_mov "&amp;
"  from [dbo].[MEDIAPOST SPAIN$Tracking Documento] td with (nolock) "&amp;
"  WHERE td.[Nº documento] = '"&amp;NF($B65,"No_ referencia transporte")&amp;"' "&amp;
"    AND td.[Cód_ incidencia] &lt;&gt; '' ",{"num_mov"},"Datasource=","SQL-Navision")</t>
  </si>
  <si>
    <t>=IF(NF($C65,"num_mov")="","",NL(,"Tracking Documento",,"Nº movimiento",NF($C65,"num_mov"),"Conexión=","Navision","Empresa=","MEDIAPOST SPAIN"))</t>
  </si>
  <si>
    <t>=NF($B65,"No_ documento cliente")</t>
  </si>
  <si>
    <t>=NF($B65,"No_ referencia transporte")</t>
  </si>
  <si>
    <t>=NF($B65,"Nº Expedición")</t>
  </si>
  <si>
    <t>=NF($B65,"C_P_ punto entrega")</t>
  </si>
  <si>
    <t>=NF($B65,"fecha_prep")</t>
  </si>
  <si>
    <t>=NF($B65,"Fecha expedido")</t>
  </si>
  <si>
    <t>=NF($B65,"Estado")</t>
  </si>
  <si>
    <t>=NF($D65,"fecha")</t>
  </si>
  <si>
    <t>=NF($D65,"Descripción incidencia")</t>
  </si>
  <si>
    <t>=NF($B65,"Cód_ transportista")</t>
  </si>
  <si>
    <t>=NF($B65,"Cód_ servicio solicitado")</t>
  </si>
  <si>
    <t>=NF($B65,"Link imagen")</t>
  </si>
  <si>
    <t>=NF($B65,"Localizador")</t>
  </si>
  <si>
    <t>="""SQL-NAVISION"","""",""SQL="",""14=No_"",""PD260083958"",""14=No_ documento cliente"",""WW_PILOTAJE"",""14=No_ referencia transporte"",""WW_PILOTAJE"",""14=Nº Expedición"",""14813330"",""14=Nombre punto entrega"",""RECOGIDA EN MEDIAPOST"",""14=Dirección punto entrega"",""ctra. Sentm"&amp;"enat 36"",""14=C_P_ punto entrega"",""08213"",""14=Población punto entrega"",""polinya"",""14=Provincia punto entrega"",""barcelona"",""14=País punto entrega"",""ES"",""14=Estado"",""Entregado"",""15=fecha_prep"",""13/05/2026"",""15=Fecha expedido"",""13/05/2026"",""14=Cód_ transporti"&amp;"sta"",""RECOGERAN"",""14=Cód_ servicio solicitado"",""RECOGERAN"",""14=Link imagen"",""https://img.directoatusclientes.com/iris/POD/RECOGERAN/WW_PILOTAJE.pdf"",""14=Localizador"","""""</t>
  </si>
  <si>
    <t>=NL("Filas","SQL="&amp;
"select MAX(td.[Nº movimiento]) num_mov "&amp;
"  from [dbo].[MEDIAPOST SPAIN$Tracking Documento] td with (nolock) "&amp;
"  WHERE td.[Nº documento] = '"&amp;NF($B66,"No_ referencia transporte")&amp;"' "&amp;
"    AND td.[Cód_ incidencia] &lt;&gt; '' ",{"num_mov"},"Datasource=","SQL-Navision")</t>
  </si>
  <si>
    <t>=IF(NF($C66,"num_mov")="","",NL(,"Tracking Documento",,"Nº movimiento",NF($C66,"num_mov"),"Conexión=","Navision","Empresa=","MEDIAPOST SPAIN"))</t>
  </si>
  <si>
    <t>=NF($B66,"No_ documento cliente")</t>
  </si>
  <si>
    <t>=NF($B66,"No_ referencia transporte")</t>
  </si>
  <si>
    <t>=NF($B66,"Nº Expedición")</t>
  </si>
  <si>
    <t>=NF($B66,"C_P_ punto entrega")</t>
  </si>
  <si>
    <t>=NF($B66,"fecha_prep")</t>
  </si>
  <si>
    <t>=NF($B66,"Fecha expedido")</t>
  </si>
  <si>
    <t>=NF($B66,"Estado")</t>
  </si>
  <si>
    <t>=NF($D66,"fecha")</t>
  </si>
  <si>
    <t>=NF($D66,"Descripción incidencia")</t>
  </si>
  <si>
    <t>=NF($B66,"Cód_ transportista")</t>
  </si>
  <si>
    <t>=NF($B66,"Cód_ servicio solicitado")</t>
  </si>
  <si>
    <t>=NF($B66,"Link imagen")</t>
  </si>
  <si>
    <t>=NF($B66,"Localizador")</t>
  </si>
  <si>
    <t>="""SQL-NAVISION"","""",""SQL="",""14=No_"",""PD260083587"",""14=No_ documento cliente"",""ISD120526.5"",""14=No_ referencia transporte"",""ISD120526.5"",""14=Nº Expedición"",""5602202"",""14=Nombre punto entrega"",""GABRIELA ARIAS LEON"",""14=Dirección punto entrega"",""CALLE BULEVAR "&amp;"DE CUARTE, Nº2 PORTAL 1, PISO 2B"",""14=C_P_ punto entrega"",""50410"",""14=Población punto entrega"",""CUARTE DE HUERVA"",""14=Provincia punto entrega"",""ZARAGOZA"",""14=País punto entrega"",""ES"",""14=Estado"",""Entregado"",""15=fecha_prep"",""13/05/2026"",""15=Fecha expedido"""&amp;",""13/05/2026"",""14=Cód_ transportista"",""ASM"",""14=Cód_ servicio solicitado"",""STD"",""14=Link imagen"",""https://mygls.gls-spain.es/e/31200805602202/50410"",""14=Localizador"","""""</t>
  </si>
  <si>
    <t>=NL("Filas","SQL="&amp;
"select MAX(td.[Nº movimiento]) num_mov "&amp;
"  from [dbo].[MEDIAPOST SPAIN$Tracking Documento] td with (nolock) "&amp;
"  WHERE td.[Nº documento] = '"&amp;NF($B67,"No_ referencia transporte")&amp;"' "&amp;
"    AND td.[Cód_ incidencia] &lt;&gt; '' ",{"num_mov"},"Datasource=","SQL-Navision")</t>
  </si>
  <si>
    <t>=IF(NF($C67,"num_mov")="","",NL(,"Tracking Documento",,"Nº movimiento",NF($C67,"num_mov"),"Conexión=","Navision","Empresa=","MEDIAPOST SPAIN"))</t>
  </si>
  <si>
    <t>=NF($B67,"No_ documento cliente")</t>
  </si>
  <si>
    <t>=NF($B67,"No_ referencia transporte")</t>
  </si>
  <si>
    <t>=NF($B67,"Nº Expedición")</t>
  </si>
  <si>
    <t>=NF($B67,"C_P_ punto entrega")</t>
  </si>
  <si>
    <t>=NF($B67,"fecha_prep")</t>
  </si>
  <si>
    <t>=NF($B67,"Fecha expedido")</t>
  </si>
  <si>
    <t>=NF($B67,"Estado")</t>
  </si>
  <si>
    <t>=NF($D67,"fecha")</t>
  </si>
  <si>
    <t>=NF($D67,"Descripción incidencia")</t>
  </si>
  <si>
    <t>=NF($B67,"Cód_ transportista")</t>
  </si>
  <si>
    <t>=NF($B67,"Cód_ servicio solicitado")</t>
  </si>
  <si>
    <t>=NF($B67,"Link imagen")</t>
  </si>
  <si>
    <t>=NF($B67,"Localizador")</t>
  </si>
  <si>
    <t>="""SQL-NAVISION"","""",""SQL="",""14=No_"",""PD260084396"",""14=No_ documento cliente"",""INPOST130526.2"",""14=No_ referencia transporte"",""X26025828"",""14=Nº Expedición"",""1200793809"",""14=Nombre punto entrega"",""TIPSA SANT BOI"",""14=Dirección punto entrega"",""CARRER DE LA CI"&amp;"ENCIA, 26"",""14=C_P_ punto entrega"",""08840"",""14=Población punto entrega"",""Viladecans"",""14=Provincia punto entrega"",""Barcelona"",""14=País punto entrega"",""ES"",""14=Estado"",""Entregado"",""15=fecha_prep"",""13/05/2026"",""15=Fecha expedido"",""13/05/2026"",""14=Cód_ trans"&amp;"portista"",""TIPSA"",""14=Cód_ servicio solicitado"",""STD"",""14=Link imagen"",""https://www.tip-sa.com/cliente/datos.php?id=02800109585X2602582808840"",""14=Localizador"",""0280010280011200793809"""</t>
  </si>
  <si>
    <t>=NL("Filas","SQL="&amp;
"select MAX(td.[Nº movimiento]) num_mov "&amp;
"  from [dbo].[MEDIAPOST SPAIN$Tracking Documento] td with (nolock) "&amp;
"  WHERE td.[Nº documento] = '"&amp;NF($B68,"No_ referencia transporte")&amp;"' "&amp;
"    AND td.[Cód_ incidencia] &lt;&gt; '' ",{"num_mov"},"Datasource=","SQL-Navision")</t>
  </si>
  <si>
    <t>=IF(NF($C68,"num_mov")="","",NL(,"Tracking Documento",,"Nº movimiento",NF($C68,"num_mov"),"Conexión=","Navision","Empresa=","MEDIAPOST SPAIN"))</t>
  </si>
  <si>
    <t>=NF($B68,"No_ documento cliente")</t>
  </si>
  <si>
    <t>=NF($B68,"No_ referencia transporte")</t>
  </si>
  <si>
    <t>=NF($B68,"Nº Expedición")</t>
  </si>
  <si>
    <t>=NF($B68,"C_P_ punto entrega")</t>
  </si>
  <si>
    <t>=NF($B68,"fecha_prep")</t>
  </si>
  <si>
    <t>=NF($B68,"Fecha expedido")</t>
  </si>
  <si>
    <t>=NF($B68,"Estado")</t>
  </si>
  <si>
    <t>=NF($D68,"fecha")</t>
  </si>
  <si>
    <t>=NF($D68,"Descripción incidencia")</t>
  </si>
  <si>
    <t>=NF($B68,"Cód_ transportista")</t>
  </si>
  <si>
    <t>=NF($B68,"Cód_ servicio solicitado")</t>
  </si>
  <si>
    <t>=NF($B68,"Link imagen")</t>
  </si>
  <si>
    <t>=NF($B68,"Localizador")</t>
  </si>
  <si>
    <t>="""SQL-NAVISION"","""",""SQL="",""14=No_"",""PD260083939"",""14=No_ documento cliente"",""CRD120526"",""14=No_ referencia transporte"",""CRD120526"",""14=Nº Expedición"",""5602211"",""14=Nombre punto entrega"",""CARMEN RODRIGUEZ DE LA CARIDAD"",""14=Dirección punto entrega"",""Avenida"&amp;" de España, 1, Portal 3 Bajo A"",""14=C_P_ punto entrega"",""05004"",""14=Población punto entrega"",""AVILA"",""14=Provincia punto entrega"",""AVILA"",""14=País punto entrega"",""ES"",""14=Estado"",""Entregado"",""15=fecha_prep"",""13/05/2026"",""15=Fecha expedido"",""13/05/2026"",""1"&amp;"4=Cód_ transportista"",""ASM"",""14=Cód_ servicio solicitado"",""13:30 H"",""14=Link imagen"",""https://mygls.gls-spain.es/e/31200805602211/05004"",""14=Localizador"","""""</t>
  </si>
  <si>
    <t>=NL("Filas","SQL="&amp;
"select MAX(td.[Nº movimiento]) num_mov "&amp;
"  from [dbo].[MEDIAPOST SPAIN$Tracking Documento] td with (nolock) "&amp;
"  WHERE td.[Nº documento] = '"&amp;NF($B69,"No_ referencia transporte")&amp;"' "&amp;
"    AND td.[Cód_ incidencia] &lt;&gt; '' ",{"num_mov"},"Datasource=","SQL-Navision")</t>
  </si>
  <si>
    <t>=IF(NF($C69,"num_mov")="","",NL(,"Tracking Documento",,"Nº movimiento",NF($C69,"num_mov"),"Conexión=","Navision","Empresa=","MEDIAPOST SPAIN"))</t>
  </si>
  <si>
    <t>=NF($B69,"No_ documento cliente")</t>
  </si>
  <si>
    <t>=NF($B69,"No_ referencia transporte")</t>
  </si>
  <si>
    <t>=NF($B69,"Nº Expedición")</t>
  </si>
  <si>
    <t>=NF($B69,"C_P_ punto entrega")</t>
  </si>
  <si>
    <t>=NF($B69,"fecha_prep")</t>
  </si>
  <si>
    <t>=NF($B69,"Fecha expedido")</t>
  </si>
  <si>
    <t>=NF($B69,"Estado")</t>
  </si>
  <si>
    <t>=NF($D69,"fecha")</t>
  </si>
  <si>
    <t>=NF($D69,"Descripción incidencia")</t>
  </si>
  <si>
    <t>=NF($B69,"Cód_ transportista")</t>
  </si>
  <si>
    <t>=NF($B69,"Cód_ servicio solicitado")</t>
  </si>
  <si>
    <t>=NF($B69,"Link imagen")</t>
  </si>
  <si>
    <t>=NF($B69,"Localizador")</t>
  </si>
  <si>
    <t>="""SQL-NAVISION"","""",""SQL="",""14=No_"",""PD260083589"",""14=No_ documento cliente"",""ISD120526.7"",""14=No_ referencia transporte"",""ISD120526.7"",""14=Nº Expedición"",""0865424590"",""14=Nombre punto entrega"",""MIGUEL ANGEL UNGRIA LASIERRA"",""14=Dirección punto entrega"",""CL"&amp;" MANUEL HERRERA PIÑA 4, 3º B"",""14=C_P_ punto entrega"",""13003"",""14=Población punto entrega"",""CIUDAD REAL"",""14=Provincia punto entrega"",""CIUDAD REAL"",""14=País punto entrega"",""ES"",""14=Estado"",""Entregado"",""15=fecha_prep"",""13/05/2026"",""15=Fecha expedido"",""13/0"&amp;"5/2026"",""14=Cód_ transportista"",""DHL"",""14=Cód_ servicio solicitado"",""STD"",""14=Link imagen"",""https://clientesparcel.dhl.es/seguimientoenvios/integra/SeguimientoDocumentos.aspx?codigo=0865424590&amp;anno=2026&amp;lang=sp&amp;zatar=q45LoBtfSS29xHGRDZ57"",""14=Localizador"""&amp;","""""</t>
  </si>
  <si>
    <t>=NL("Filas","SQL="&amp;
"select MAX(td.[Nº movimiento]) num_mov "&amp;
"  from [dbo].[MEDIAPOST SPAIN$Tracking Documento] td with (nolock) "&amp;
"  WHERE td.[Nº documento] = '"&amp;NF($B70,"No_ referencia transporte")&amp;"' "&amp;
"    AND td.[Cód_ incidencia] &lt;&gt; '' ",{"num_mov"},"Datasource=","SQL-Navision")</t>
  </si>
  <si>
    <t>=IF(NF($C70,"num_mov")="","",NL(,"Tracking Documento",,"Nº movimiento",NF($C70,"num_mov"),"Conexión=","Navision","Empresa=","MEDIAPOST SPAIN"))</t>
  </si>
  <si>
    <t>=NF($B70,"No_ documento cliente")</t>
  </si>
  <si>
    <t>=NF($B70,"No_ referencia transporte")</t>
  </si>
  <si>
    <t>=NF($B70,"Nº Expedición")</t>
  </si>
  <si>
    <t>=NF($B70,"C_P_ punto entrega")</t>
  </si>
  <si>
    <t>=NF($B70,"fecha_prep")</t>
  </si>
  <si>
    <t>=NF($B70,"Fecha expedido")</t>
  </si>
  <si>
    <t>=NF($B70,"Estado")</t>
  </si>
  <si>
    <t>=NF($D70,"fecha")</t>
  </si>
  <si>
    <t>=NF($D70,"Descripción incidencia")</t>
  </si>
  <si>
    <t>=NF($B70,"Cód_ transportista")</t>
  </si>
  <si>
    <t>=NF($B70,"Cód_ servicio solicitado")</t>
  </si>
  <si>
    <t>=NF($B70,"Link imagen")</t>
  </si>
  <si>
    <t>=NF($B70,"Localizador")</t>
  </si>
  <si>
    <t>="""SQL-NAVISION"","""",""SQL="",""14=No_"",""PD260084606"",""14=No_ documento cliente"",""63226000178"",""14=No_ referencia transporte"",""63226000178"",""14=Nº Expedición"",""0865424690"",""14=Nombre punto entrega"",""Recoger en Delegación / Sergio Alcántara"",""14=Dirección punto "&amp;"entrega"",""RECOGER EN DELEGACION"",""14=C_P_ punto entrega"",""29130"",""14=Población punto entrega"",""Alhaurín de la Torre"",""14=Provincia punto entrega"",""Malaga"",""14=País punto entrega"",""ES"",""14=Estado"",""Entregado"",""15=fecha_prep"",""13/05/2026"",""15=Fecha expedido"&amp;""",""13/05/2026"",""14=Cód_ transportista"",""DHL"",""14=Cód_ servicio solicitado"",""STD"",""14=Link imagen"",""https://clientesparcel.dhl.es/seguimientoenvios/integra/SeguimientoDocumentos.aspx?codigo=0865424690&amp;anno=2026&amp;lang=sp&amp;zatar=q45LoBtfSS29xHGRDZ57"",""14=Local"&amp;"izador"","""""</t>
  </si>
  <si>
    <t>=NL("Filas","SQL="&amp;
"select MAX(td.[Nº movimiento]) num_mov "&amp;
"  from [dbo].[MEDIAPOST SPAIN$Tracking Documento] td with (nolock) "&amp;
"  WHERE td.[Nº documento] = '"&amp;NF($B71,"No_ referencia transporte")&amp;"' "&amp;
"    AND td.[Cód_ incidencia] &lt;&gt; '' ",{"num_mov"},"Datasource=","SQL-Navision")</t>
  </si>
  <si>
    <t>=IF(NF($C71,"num_mov")="","",NL(,"Tracking Documento",,"Nº movimiento",NF($C71,"num_mov"),"Conexión=","Navision","Empresa=","MEDIAPOST SPAIN"))</t>
  </si>
  <si>
    <t>=NF($B71,"No_ documento cliente")</t>
  </si>
  <si>
    <t>=NF($B71,"No_ referencia transporte")</t>
  </si>
  <si>
    <t>=NF($B71,"Nº Expedición")</t>
  </si>
  <si>
    <t>=NF($B71,"C_P_ punto entrega")</t>
  </si>
  <si>
    <t>=NF($B71,"fecha_prep")</t>
  </si>
  <si>
    <t>=NF($B71,"Fecha expedido")</t>
  </si>
  <si>
    <t>=NF($B71,"Estado")</t>
  </si>
  <si>
    <t>=NF($D71,"fecha")</t>
  </si>
  <si>
    <t>=NF($D71,"Descripción incidencia")</t>
  </si>
  <si>
    <t>=NF($B71,"Cód_ transportista")</t>
  </si>
  <si>
    <t>=NF($B71,"Cód_ servicio solicitado")</t>
  </si>
  <si>
    <t>=NF($B71,"Link imagen")</t>
  </si>
  <si>
    <t>=NF($B71,"Localizador")</t>
  </si>
  <si>
    <t>="""SQL-NAVISION"","""",""SQL="",""14=No_"",""PD260083742"",""14=No_ documento cliente"",""63226000176"",""14=No_ referencia transporte"",""63226000176"",""14=Nº Expedición"",""0865424620"",""14=Nombre punto entrega"",""Estanco Irún-015"",""14=Dirección punto entrega"",""MªJUNC.LABANDI"&amp;"BAR, 5"",""14=C_P_ punto entrega"",""20305"",""14=Población punto entrega"",""IRUN"",""14=Provincia punto entrega"",""GUIPUZKOA"",""14=País punto entrega"",""ES"",""14=Estado"",""Entregado"",""15=fecha_prep"",""13/05/2026"",""15=Fecha expedido"",""13/05/2026"",""14=Cód_ transportista"""&amp;",""DHL"",""14=Cód_ servicio solicitado"",""STD"",""14=Link imagen"",""https://clientesparcel.dhl.es/seguimientoenvios/integra/SeguimientoDocumentos.aspx?codigo=0865424620&amp;anno=2026&amp;lang=sp&amp;zatar=q45LoBtfSS29xHGRDZ57"",""14=Localizador"","""""</t>
  </si>
  <si>
    <t>=NL("Filas","SQL="&amp;
"select MAX(td.[Nº movimiento]) num_mov "&amp;
"  from [dbo].[MEDIAPOST SPAIN$Tracking Documento] td with (nolock) "&amp;
"  WHERE td.[Nº documento] = '"&amp;NF($B72,"No_ referencia transporte")&amp;"' "&amp;
"    AND td.[Cód_ incidencia] &lt;&gt; '' ",{"num_mov"},"Datasource=","SQL-Navision")</t>
  </si>
  <si>
    <t>=IF(NF($C72,"num_mov")="","",NL(,"Tracking Documento",,"Nº movimiento",NF($C72,"num_mov"),"Conexión=","Navision","Empresa=","MEDIAPOST SPAIN"))</t>
  </si>
  <si>
    <t>=NF($B72,"No_ documento cliente")</t>
  </si>
  <si>
    <t>=NF($B72,"No_ referencia transporte")</t>
  </si>
  <si>
    <t>=NF($B72,"Nº Expedición")</t>
  </si>
  <si>
    <t>=NF($B72,"C_P_ punto entrega")</t>
  </si>
  <si>
    <t>=NF($B72,"fecha_prep")</t>
  </si>
  <si>
    <t>=NF($B72,"Fecha expedido")</t>
  </si>
  <si>
    <t>=NF($B72,"Estado")</t>
  </si>
  <si>
    <t>=NF($D72,"fecha")</t>
  </si>
  <si>
    <t>=NF($D72,"Descripción incidencia")</t>
  </si>
  <si>
    <t>=NF($B72,"Cód_ transportista")</t>
  </si>
  <si>
    <t>=NF($B72,"Cód_ servicio solicitado")</t>
  </si>
  <si>
    <t>=NF($B72,"Link imagen")</t>
  </si>
  <si>
    <t>=NF($B72,"Localizador")</t>
  </si>
  <si>
    <t>="""SQL-NAVISION"","""",""SQL="",""14=No_"",""PD260084312"",""14=No_ documento cliente"",""DPD260147282"",""14=No_ referencia transporte"",""DPD260147282"",""14=Nº Expedición"",""14813344"",""14=Nombre punto entrega"",""RECOGE EL CLIENTE"",""14=Dirección punto entrega"",""CTRA. SENTMEN"&amp;"AT 36"",""14=C_P_ punto entrega"",""08213"",""14=Población punto entrega"",""POLINYÁ"",""14=Provincia punto entrega"",""BARCELONA"",""14=País punto entrega"",""ES"",""14=Estado"",""Entregado"",""15=fecha_prep"",""13/05/2026"",""15=Fecha expedido"",""13/05/2026"",""14=Cód_ transportist"&amp;"a"",""RECOGERAN"",""14=Cód_ servicio solicitado"",""RECOGERAN"",""14=Link imagen"",""https://img.directoatusclientes.com/iris/POD/RECOGERAN/DPD260147282.pdf"",""14=Localizador"","""""</t>
  </si>
  <si>
    <t>=NL("Filas","SQL="&amp;
"select MAX(td.[Nº movimiento]) num_mov "&amp;
"  from [dbo].[MEDIAPOST SPAIN$Tracking Documento] td with (nolock) "&amp;
"  WHERE td.[Nº documento] = '"&amp;NF($B73,"No_ referencia transporte")&amp;"' "&amp;
"    AND td.[Cód_ incidencia] &lt;&gt; '' ",{"num_mov"},"Datasource=","SQL-Navision")</t>
  </si>
  <si>
    <t>=IF(NF($C73,"num_mov")="","",NL(,"Tracking Documento",,"Nº movimiento",NF($C73,"num_mov"),"Conexión=","Navision","Empresa=","MEDIAPOST SPAIN"))</t>
  </si>
  <si>
    <t>=NF($B73,"No_ documento cliente")</t>
  </si>
  <si>
    <t>=NF($B73,"No_ referencia transporte")</t>
  </si>
  <si>
    <t>=NF($B73,"Nº Expedición")</t>
  </si>
  <si>
    <t>=NF($B73,"C_P_ punto entrega")</t>
  </si>
  <si>
    <t>=NF($B73,"fecha_prep")</t>
  </si>
  <si>
    <t>=NF($B73,"Fecha expedido")</t>
  </si>
  <si>
    <t>=NF($B73,"Estado")</t>
  </si>
  <si>
    <t>=NF($D73,"fecha")</t>
  </si>
  <si>
    <t>=NF($D73,"Descripción incidencia")</t>
  </si>
  <si>
    <t>=NF($B73,"Cód_ transportista")</t>
  </si>
  <si>
    <t>=NF($B73,"Cód_ servicio solicitado")</t>
  </si>
  <si>
    <t>=NF($B73,"Link imagen")</t>
  </si>
  <si>
    <t>=NF($B73,"Localizador")</t>
  </si>
  <si>
    <t>="""SQL-NAVISION"","""",""SQL="",""14=No_"",""PD260083586"",""14=No_ documento cliente"",""ISD120526.4"",""14=No_ referencia transporte"",""ISD120526.4"",""14=Nº Expedición"",""0865424580"",""14=Nombre punto entrega"",""CRISTINA SALCINES"",""14=Dirección punto entrega"",""AV/REINA VICT"&amp;"ORIA 4, 10 D"",""14=C_P_ punto entrega"",""39004"",""14=Población punto entrega"",""SANTADER"",""14=Provincia punto entrega"",""CANTABRIA"",""14=País punto entrega"",""ES"",""14=Estado"",""Entregado"",""15=fecha_prep"",""13/05/2026"",""15=Fecha expedido"",""13/05/2026"",""14=Cód_ tran"&amp;"sportista"",""DHL"",""14=Cód_ servicio solicitado"",""STD"",""14=Link imagen"",""https://clientesparcel.dhl.es/seguimientoenvios/integra/SeguimientoDocumentos.aspx?codigo=0865424580&amp;anno=2026&amp;lang=sp&amp;zatar=q45LoBtfSS29xHGRDZ57"",""14=Localizador"","""""</t>
  </si>
  <si>
    <t>=NL("Filas","SQL="&amp;
"select MAX(td.[Nº movimiento]) num_mov "&amp;
"  from [dbo].[MEDIAPOST SPAIN$Tracking Documento] td with (nolock) "&amp;
"  WHERE td.[Nº documento] = '"&amp;NF($B74,"No_ referencia transporte")&amp;"' "&amp;
"    AND td.[Cód_ incidencia] &lt;&gt; '' ",{"num_mov"},"Datasource=","SQL-Navision")</t>
  </si>
  <si>
    <t>=IF(NF($C74,"num_mov")="","",NL(,"Tracking Documento",,"Nº movimiento",NF($C74,"num_mov"),"Conexión=","Navision","Empresa=","MEDIAPOST SPAIN"))</t>
  </si>
  <si>
    <t>=NF($B74,"No_ documento cliente")</t>
  </si>
  <si>
    <t>=NF($B74,"No_ referencia transporte")</t>
  </si>
  <si>
    <t>=NF($B74,"Nº Expedición")</t>
  </si>
  <si>
    <t>=NF($B74,"C_P_ punto entrega")</t>
  </si>
  <si>
    <t>=NF($B74,"fecha_prep")</t>
  </si>
  <si>
    <t>=NF($B74,"Fecha expedido")</t>
  </si>
  <si>
    <t>=NF($B74,"Estado")</t>
  </si>
  <si>
    <t>=NF($D74,"fecha")</t>
  </si>
  <si>
    <t>=NF($D74,"Descripción incidencia")</t>
  </si>
  <si>
    <t>=NF($B74,"Cód_ transportista")</t>
  </si>
  <si>
    <t>=NF($B74,"Cód_ servicio solicitado")</t>
  </si>
  <si>
    <t>=NF($B74,"Link imagen")</t>
  </si>
  <si>
    <t>=NF($B74,"Localizador")</t>
  </si>
  <si>
    <t>="""SQL-NAVISION"","""",""SQL="",""14=No_"",""PD260082181"",""14=No_ documento cliente"",""PLOOM BARCELONA"",""14=No_ referencia transporte"",""PLOOM BARCELONA"",""14=Nº Expedición"",""000016790"",""14=Nombre punto entrega"",""MEDIAPOST YELES"",""14=Dirección punto entrega"",""CTRA. SE"&amp;"RRANILLOS 2"",""14=C_P_ punto entrega"",""45220"",""14=Población punto entrega"",""YELES"",""14=Provincia punto entrega"",""TOLEDO"",""14=País punto entrega"",""ES"",""14=Estado"",""Entregado"",""15=fecha_prep"",""13/05/2026"",""15=Fecha expedido"",""13/05/2026"",""14=Cód_ transportis"&amp;"ta"",""ONTIME"",""14=Cód_ servicio solicitado"",""STD"",""14=Link imagen"",""https://ontimegts.alertran.net/gts/pub/clielocserv.seam?cliente=02890149&amp;expedicion=999949931761"",""14=Localizador"",""999949931761"""</t>
  </si>
  <si>
    <t>=NL("Filas","SQL="&amp;
"select MAX(td.[Nº movimiento]) num_mov "&amp;
"  from [dbo].[MEDIAPOST SPAIN$Tracking Documento] td with (nolock) "&amp;
"  WHERE td.[Nº documento] = '"&amp;NF($B75,"No_ referencia transporte")&amp;"' "&amp;
"    AND td.[Cód_ incidencia] &lt;&gt; '' ",{"num_mov"},"Datasource=","SQL-Navision")</t>
  </si>
  <si>
    <t>=IF(NF($C75,"num_mov")="","",NL(,"Tracking Documento",,"Nº movimiento",NF($C75,"num_mov"),"Conexión=","Navision","Empresa=","MEDIAPOST SPAIN"))</t>
  </si>
  <si>
    <t>=NF($B75,"No_ documento cliente")</t>
  </si>
  <si>
    <t>=NF($B75,"No_ referencia transporte")</t>
  </si>
  <si>
    <t>=NF($B75,"Nº Expedición")</t>
  </si>
  <si>
    <t>=NF($B75,"C_P_ punto entrega")</t>
  </si>
  <si>
    <t>=NF($B75,"fecha_prep")</t>
  </si>
  <si>
    <t>=NF($B75,"Fecha expedido")</t>
  </si>
  <si>
    <t>=NF($B75,"Estado")</t>
  </si>
  <si>
    <t>=NF($D75,"fecha")</t>
  </si>
  <si>
    <t>=NF($D75,"Descripción incidencia")</t>
  </si>
  <si>
    <t>=NF($B75,"Cód_ transportista")</t>
  </si>
  <si>
    <t>=NF($B75,"Cód_ servicio solicitado")</t>
  </si>
  <si>
    <t>=NF($B75,"Link imagen")</t>
  </si>
  <si>
    <t>=NF($B75,"Localizador")</t>
  </si>
  <si>
    <t>="""SQL-NAVISION"","""",""SQL="",""14=No_"",""PD260083588"",""14=No_ documento cliente"",""ISD120526.6"",""14=No_ referencia transporte"",""ISD120526.6"",""14=Nº Expedición"",""000016843"",""14=Nombre punto entrega"",""MARIA ISABEL LOPEZ GOMEZ"",""14=Dirección punto entrega"",""CALLE L"&amp;"AISECA 144 - A, Nº 6"",""14=C_P_ punto entrega"",""39709"",""14=Población punto entrega"",""SAMANO"",""14=Provincia punto entrega"",""CASTRO URDIALES"",""14=País punto entrega"",""ES"",""14=Estado"",""Entregado"",""15=fecha_prep"",""13/05/2026"",""15=Fecha expedido"",""13/05/2026"","""&amp;"14=Cód_ transportista"",""ONTIME"",""14=Cód_ servicio solicitado"",""STD"",""14=Link imagen"",""https://ontimegts.alertran.net/gts/pub/clielocserv.seam?cliente=02890149&amp;expedicion=999949931762"",""14=Localizador"",""999949931762"""</t>
  </si>
  <si>
    <t>=NL("Filas","SQL="&amp;
"select MAX(td.[Nº movimiento]) num_mov "&amp;
"  from [dbo].[MEDIAPOST SPAIN$Tracking Documento] td with (nolock) "&amp;
"  WHERE td.[Nº documento] = '"&amp;NF($B76,"No_ referencia transporte")&amp;"' "&amp;
"    AND td.[Cód_ incidencia] &lt;&gt; '' ",{"num_mov"},"Datasource=","SQL-Navision")</t>
  </si>
  <si>
    <t>=IF(NF($C76,"num_mov")="","",NL(,"Tracking Documento",,"Nº movimiento",NF($C76,"num_mov"),"Conexión=","Navision","Empresa=","MEDIAPOST SPAIN"))</t>
  </si>
  <si>
    <t>=NF($B76,"No_ documento cliente")</t>
  </si>
  <si>
    <t>=NF($B76,"No_ referencia transporte")</t>
  </si>
  <si>
    <t>=NF($B76,"Nº Expedición")</t>
  </si>
  <si>
    <t>=NF($B76,"C_P_ punto entrega")</t>
  </si>
  <si>
    <t>=NF($B76,"fecha_prep")</t>
  </si>
  <si>
    <t>=NF($B76,"Fecha expedido")</t>
  </si>
  <si>
    <t>=NF($B76,"Estado")</t>
  </si>
  <si>
    <t>=NF($D76,"fecha")</t>
  </si>
  <si>
    <t>=NF($D76,"Descripción incidencia")</t>
  </si>
  <si>
    <t>=NF($B76,"Cód_ transportista")</t>
  </si>
  <si>
    <t>=NF($B76,"Cód_ servicio solicitado")</t>
  </si>
  <si>
    <t>=NF($B76,"Link imagen")</t>
  </si>
  <si>
    <t>=NF($B76,"Localizador")</t>
  </si>
  <si>
    <t>="""SQL-NAVISION"","""",""SQL="",""14=No_"",""PD260084270"",""14=No_ documento cliente"",""INPOST130526.1"",""14=No_ referencia transporte"",""X26025814"",""14=Nº Expedición"",""1200793791"",""14=Nombre punto entrega"",""TIPSA SANT BOI"",""14=Dirección punto entrega"",""CARRER DE LA CI"&amp;"ENCIA, 26"",""14=C_P_ punto entrega"",""08840"",""14=Población punto entrega"",""Viladecans"",""14=Provincia punto entrega"",""Barcelona"",""14=País punto entrega"",""ES"",""14=Estado"",""Entregado"",""15=fecha_prep"",""13/05/2026"",""15=Fecha expedido"",""13/05/2026"",""14=Cód_ trans"&amp;"portista"",""TIPSA"",""14=Cód_ servicio solicitado"",""STD"",""14=Link imagen"",""https://www.tip-sa.com/cliente/datos.php?id=02800109585X2602581408840"",""14=Localizador"",""0280010280011200793791"""</t>
  </si>
  <si>
    <t>=NL("Filas","SQL="&amp;
"select MAX(td.[Nº movimiento]) num_mov "&amp;
"  from [dbo].[MEDIAPOST SPAIN$Tracking Documento] td with (nolock) "&amp;
"  WHERE td.[Nº documento] = '"&amp;NF($B77,"No_ referencia transporte")&amp;"' "&amp;
"    AND td.[Cód_ incidencia] &lt;&gt; '' ",{"num_mov"},"Datasource=","SQL-Navision")</t>
  </si>
  <si>
    <t>=IF(NF($C77,"num_mov")="","",NL(,"Tracking Documento",,"Nº movimiento",NF($C77,"num_mov"),"Conexión=","Navision","Empresa=","MEDIAPOST SPAIN"))</t>
  </si>
  <si>
    <t>=NF($B77,"No_ documento cliente")</t>
  </si>
  <si>
    <t>=NF($B77,"No_ referencia transporte")</t>
  </si>
  <si>
    <t>=NF($B77,"Nº Expedición")</t>
  </si>
  <si>
    <t>=NF($B77,"C_P_ punto entrega")</t>
  </si>
  <si>
    <t>=NF($B77,"fecha_prep")</t>
  </si>
  <si>
    <t>=NF($B77,"Fecha expedido")</t>
  </si>
  <si>
    <t>=NF($B77,"Estado")</t>
  </si>
  <si>
    <t>=NF($D77,"fecha")</t>
  </si>
  <si>
    <t>=NF($D77,"Descripción incidencia")</t>
  </si>
  <si>
    <t>=NF($B77,"Cód_ transportista")</t>
  </si>
  <si>
    <t>=NF($B77,"Cód_ servicio solicitado")</t>
  </si>
  <si>
    <t>=NF($B77,"Link imagen")</t>
  </si>
  <si>
    <t>=NF($B77,"Localizador")</t>
  </si>
  <si>
    <t>="""SQL-NAVISION"","""",""SQL="",""14=No_"",""PD260084705"",""14=No_ documento cliente"",""MMS130526"",""14=No_ referencia transporte"",""MMS130526"",""14=Nº Expedición"",""26039117"",""14=Nombre punto entrega"",""CLIENT FIRST"",""14=Dirección punto entrega"",""C/ Solidaritat, 35  Pol."&amp;" Ind. Barrio del Cristo"",""14=C_P_ punto entrega"",""46960"",""14=Población punto entrega"",""ALDAIA"",""14=Provincia punto entrega"",""VALENCIA"",""14=País punto entrega"",""ES"",""14=Estado"",""Entregado"",""15=fecha_prep"",""14/05/2026"",""15=Fecha expedido"",""14/05/2026"",""14=C"&amp;"ód_ transportista"",""SERTRANS"",""14=Cód_ servicio solicitado"",""PRESUPUESTO"",""14=Link imagen"",""https://img.directoatusclientes.com/iris/POD/SERTRANS/MMS130526.pdf"",""14=Localizador"","""""</t>
  </si>
  <si>
    <t>=NL("Filas","SQL="&amp;
"select MAX(td.[Nº movimiento]) num_mov "&amp;
"  from [dbo].[MEDIAPOST SPAIN$Tracking Documento] td with (nolock) "&amp;
"  WHERE td.[Nº documento] = '"&amp;NF($B78,"No_ referencia transporte")&amp;"' "&amp;
"    AND td.[Cód_ incidencia] &lt;&gt; '' ",{"num_mov"},"Datasource=","SQL-Navision")</t>
  </si>
  <si>
    <t>=IF(NF($C78,"num_mov")="","",NL(,"Tracking Documento",,"Nº movimiento",NF($C78,"num_mov"),"Conexión=","Navision","Empresa=","MEDIAPOST SPAIN"))</t>
  </si>
  <si>
    <t>=NF($B78,"No_ documento cliente")</t>
  </si>
  <si>
    <t>=NF($B78,"No_ referencia transporte")</t>
  </si>
  <si>
    <t>=NF($B78,"Nº Expedición")</t>
  </si>
  <si>
    <t>=NF($B78,"C_P_ punto entrega")</t>
  </si>
  <si>
    <t>=NF($B78,"fecha_prep")</t>
  </si>
  <si>
    <t>=NF($B78,"Fecha expedido")</t>
  </si>
  <si>
    <t>=NF($B78,"Estado")</t>
  </si>
  <si>
    <t>=NF($D78,"fecha")</t>
  </si>
  <si>
    <t>=NF($D78,"Descripción incidencia")</t>
  </si>
  <si>
    <t>=NF($B78,"Cód_ transportista")</t>
  </si>
  <si>
    <t>=NF($B78,"Cód_ servicio solicitado")</t>
  </si>
  <si>
    <t>=NF($B78,"Link imagen")</t>
  </si>
  <si>
    <t>=NF($B78,"Localizador")</t>
  </si>
  <si>
    <t>="""SQL-NAVISION"","""",""SQL="",""14=No_"",""PD260085245"",""14=No_ documento cliente"",""63226000180"",""14=No_ referencia transporte"",""63226000180"",""14=Nº Expedición"",""0865425060"",""14=Nombre punto entrega"",""RECOGER EN DELEGACION / SERGIO ALCANTARA"",""14=Dirección punto "&amp;"entrega"",""RECOGER EN DELEGACION"",""14=C_P_ punto entrega"",""29130"",""14=Población punto entrega"",""ALHAURIN DE LA TORRE"",""14=Provincia punto entrega"",""MALAGA"",""14=País punto entrega"",""ES"",""14=Estado"",""Entregado"",""15=fecha_prep"",""14/05/2026"",""15=Fecha expedido"&amp;""",""14/05/2026"",""14=Cód_ transportista"",""DHL"",""14=Cód_ servicio solicitado"",""STD"",""14=Link imagen"",""https://clientesparcel.dhl.es/seguimientoenvios/integra/SeguimientoDocumentos.aspx?codigo=0865425060&amp;anno=2026&amp;lang=sp&amp;zatar=q45LoBtfSS29xHGRDZ57"",""14=Local"&amp;"izador"","""""</t>
  </si>
  <si>
    <t>=NL("Filas","SQL="&amp;
"select MAX(td.[Nº movimiento]) num_mov "&amp;
"  from [dbo].[MEDIAPOST SPAIN$Tracking Documento] td with (nolock) "&amp;
"  WHERE td.[Nº documento] = '"&amp;NF($B79,"No_ referencia transporte")&amp;"' "&amp;
"    AND td.[Cód_ incidencia] &lt;&gt; '' ",{"num_mov"},"Datasource=","SQL-Navision")</t>
  </si>
  <si>
    <t>=IF(NF($C79,"num_mov")="","",NL(,"Tracking Documento",,"Nº movimiento",NF($C79,"num_mov"),"Conexión=","Navision","Empresa=","MEDIAPOST SPAIN"))</t>
  </si>
  <si>
    <t>=NF($B79,"No_ documento cliente")</t>
  </si>
  <si>
    <t>=NF($B79,"No_ referencia transporte")</t>
  </si>
  <si>
    <t>=NF($B79,"Nº Expedición")</t>
  </si>
  <si>
    <t>=NF($B79,"C_P_ punto entrega")</t>
  </si>
  <si>
    <t>=NF($B79,"fecha_prep")</t>
  </si>
  <si>
    <t>=NF($B79,"Fecha expedido")</t>
  </si>
  <si>
    <t>=NF($B79,"Estado")</t>
  </si>
  <si>
    <t>=NF($D79,"fecha")</t>
  </si>
  <si>
    <t>=NF($D79,"Descripción incidencia")</t>
  </si>
  <si>
    <t>=NF($B79,"Cód_ transportista")</t>
  </si>
  <si>
    <t>=NF($B79,"Cód_ servicio solicitado")</t>
  </si>
  <si>
    <t>=NF($B79,"Link imagen")</t>
  </si>
  <si>
    <t>=NF($B79,"Localizador")</t>
  </si>
  <si>
    <t>="""SQL-NAVISION"","""",""SQL="",""14=No_"",""PD260084935"",""14=No_ documento cliente"",""SL140526"",""14=No_ referencia transporte"",""SL140526"",""14=Nº Expedición"",""917400040888"",""14=Nombre punto entrega"",""SIG LISBOA_ATT: Ana Sofia Oliveira"",""14=Dirección punto entrega"","""&amp;"Av. Uruguai, nº 32 B"",""14=C_P_ punto entrega"",""1500"",""14=Población punto entrega"",""614"",""14=Provincia punto entrega"",""LISBOA"",""14=País punto entrega"",""PT"",""14=Estado"",""Entregado"",""15=fecha_prep"",""14/05/2026"",""15=Fecha expedido"",""14/05/2026"",""14=Cód_ trans"&amp;"portista"",""CBL"",""14=Cód_ servicio solicitado"",""STD"",""14=Link imagen"",""http://clientes.cbl-logistica.com/public/ShowPOD.aspx?query=NmQ3MDI2ZmYtNDg4Yy05ZTE4LTU1ZGYtZGRlMmExOTdhMzI0|REF|SL140526"",""14=Localizador"",""FCFA4CBE"""</t>
  </si>
  <si>
    <t>=NL("Filas","SQL="&amp;
"select MAX(td.[Nº movimiento]) num_mov "&amp;
"  from [dbo].[MEDIAPOST SPAIN$Tracking Documento] td with (nolock) "&amp;
"  WHERE td.[Nº documento] = '"&amp;NF($B80,"No_ referencia transporte")&amp;"' "&amp;
"    AND td.[Cód_ incidencia] &lt;&gt; '' ",{"num_mov"},"Datasource=","SQL-Navision")</t>
  </si>
  <si>
    <t>=IF(NF($C80,"num_mov")="","",NL(,"Tracking Documento",,"Nº movimiento",NF($C80,"num_mov"),"Conexión=","Navision","Empresa=","MEDIAPOST SPAIN"))</t>
  </si>
  <si>
    <t>=NF($B80,"No_ documento cliente")</t>
  </si>
  <si>
    <t>=NF($B80,"No_ referencia transporte")</t>
  </si>
  <si>
    <t>=NF($B80,"Nº Expedición")</t>
  </si>
  <si>
    <t>=NF($B80,"C_P_ punto entrega")</t>
  </si>
  <si>
    <t>=NF($B80,"fecha_prep")</t>
  </si>
  <si>
    <t>=NF($B80,"Fecha expedido")</t>
  </si>
  <si>
    <t>=NF($B80,"Estado")</t>
  </si>
  <si>
    <t>=NF($D80,"fecha")</t>
  </si>
  <si>
    <t>=NF($D80,"Descripción incidencia")</t>
  </si>
  <si>
    <t>=NF($B80,"Cód_ transportista")</t>
  </si>
  <si>
    <t>=NF($B80,"Cód_ servicio solicitado")</t>
  </si>
  <si>
    <t>=NF($B80,"Link imagen")</t>
  </si>
  <si>
    <t>=NF($B80,"Localizador")</t>
  </si>
  <si>
    <t>="""SQL-NAVISION"","""",""SQL="",""14=No_"",""PD260084704"",""14=No_ documento cliente"",""ICC130526"",""14=No_ referencia transporte"",""ICC130526"",""14=Nº Expedición"",""1200794023"",""14=Nombre punto entrega"",""CLIENT FIRST"",""14=Dirección punto entrega"",""C/ Solidaritat, 35  Po"&amp;"l. Ind. Barrio del Cristo"",""14=C_P_ punto entrega"",""46960"",""14=Población punto entrega"",""ALDAIA"",""14=Provincia punto entrega"",""VALENCIA"",""14=País punto entrega"",""ES"",""14=Estado"",""Entregado"",""15=fecha_prep"",""14/05/2026"",""15=Fecha expedido"",""14/05/2026"",""14"&amp;"=Cód_ transportista"",""TIPSA"",""14=Cód_ servicio solicitado"",""13:30 H"",""14=Link imagen"",""https://www.tip-sa.com/cliente/datos.php?id=02800109585ICC13052646960"",""14=Localizador"",""0280010280011200794023"""</t>
  </si>
  <si>
    <t>=NL("Filas","SQL="&amp;
"select MAX(td.[Nº movimiento]) num_mov "&amp;
"  from [dbo].[MEDIAPOST SPAIN$Tracking Documento] td with (nolock) "&amp;
"  WHERE td.[Nº documento] = '"&amp;NF($B81,"No_ referencia transporte")&amp;"' "&amp;
"    AND td.[Cód_ incidencia] &lt;&gt; '' ",{"num_mov"},"Datasource=","SQL-Navision")</t>
  </si>
  <si>
    <t>=IF(NF($C81,"num_mov")="","",NL(,"Tracking Documento",,"Nº movimiento",NF($C81,"num_mov"),"Conexión=","Navision","Empresa=","MEDIAPOST SPAIN"))</t>
  </si>
  <si>
    <t>=NF($B81,"No_ documento cliente")</t>
  </si>
  <si>
    <t>=NF($B81,"No_ referencia transporte")</t>
  </si>
  <si>
    <t>=NF($B81,"Nº Expedición")</t>
  </si>
  <si>
    <t>=NF($B81,"C_P_ punto entrega")</t>
  </si>
  <si>
    <t>=NF($B81,"fecha_prep")</t>
  </si>
  <si>
    <t>=NF($B81,"Fecha expedido")</t>
  </si>
  <si>
    <t>=NF($B81,"Estado")</t>
  </si>
  <si>
    <t>=NF($D81,"fecha")</t>
  </si>
  <si>
    <t>=NF($D81,"Descripción incidencia")</t>
  </si>
  <si>
    <t>=NF($B81,"Cód_ transportista")</t>
  </si>
  <si>
    <t>=NF($B81,"Cód_ servicio solicitado")</t>
  </si>
  <si>
    <t>=NF($B81,"Link imagen")</t>
  </si>
  <si>
    <t>=NF($B81,"Localizador")</t>
  </si>
  <si>
    <t>="""SQL-NAVISION"","""",""SQL="",""14=No_"",""PD260085251"",""14=No_ documento cliente"",""DESTRUCCION 140526"",""14=No_ referencia transporte"",""DESTRUCCION 140526"",""14=Nº Expedición"",""14203471"",""14=Nombre punto entrega"",""DESTRUIR DYSON SIN CERTIFICADO"",""14=Dirección punt"&amp;"o entrega"",""CTRA. SENTMENAT 36"",""14=C_P_ punto entrega"",""08213"",""14=Población punto entrega"",""POLINYÁ"",""14=Provincia punto entrega"",""BARCELONA"",""14=País punto entrega"",""ES"",""14=Estado"",""En Reparto"",""15=fecha_prep"",""14/05/2026"",""15=Fecha expedido"",""14/05/2"&amp;"026"",""14=Cód_ transportista"",""DESTRUIR"",""14=Cód_ servicio solicitado"",""DESTRUIR"",""14=Link imagen"",""https://img.directoatusclientes.com/iris/POD/DESTRUIR/DESTRUCCION 140526.pdf"",""14=Localizador"","""""</t>
  </si>
  <si>
    <t>=NL("Filas","SQL="&amp;
"select MAX(td.[Nº movimiento]) num_mov "&amp;
"  from [dbo].[MEDIAPOST SPAIN$Tracking Documento] td with (nolock) "&amp;
"  WHERE td.[Nº documento] = '"&amp;NF($B82,"No_ referencia transporte")&amp;"' "&amp;
"    AND td.[Cód_ incidencia] &lt;&gt; '' ",{"num_mov"},"Datasource=","SQL-Navision")</t>
  </si>
  <si>
    <t>=IF(NF($C82,"num_mov")="","",NL(,"Tracking Documento",,"Nº movimiento",NF($C82,"num_mov"),"Conexión=","Navision","Empresa=","MEDIAPOST SPAIN"))</t>
  </si>
  <si>
    <t>=NF($B82,"No_ documento cliente")</t>
  </si>
  <si>
    <t>=NF($B82,"No_ referencia transporte")</t>
  </si>
  <si>
    <t>=NF($B82,"Nº Expedición")</t>
  </si>
  <si>
    <t>=NF($B82,"C_P_ punto entrega")</t>
  </si>
  <si>
    <t>=NF($B82,"fecha_prep")</t>
  </si>
  <si>
    <t>=NF($B82,"Fecha expedido")</t>
  </si>
  <si>
    <t>=NF($B82,"Estado")</t>
  </si>
  <si>
    <t>=NF($D82,"fecha")</t>
  </si>
  <si>
    <t>=NF($D82,"Descripción incidencia")</t>
  </si>
  <si>
    <t>=NF($B82,"Cód_ transportista")</t>
  </si>
  <si>
    <t>=NF($B82,"Cód_ servicio solicitado")</t>
  </si>
  <si>
    <t>=NF($B82,"Link imagen")</t>
  </si>
  <si>
    <t>=NF($B82,"Localizador")</t>
  </si>
  <si>
    <t>="""SQL-NAVISION"","""",""SQL="",""14=No_"",""PD260085480"",""14=No_ documento cliente"",""63226000182"",""14=No_ referencia transporte"",""63226000182"",""14=Nº Expedición"",""14813541"",""14=Nombre punto entrega"",""MEDIAPOST BARCELONA"",""14=Dirección punto entrega"",""CTRA SENTMENA"&amp;"T 36"",""14=C_P_ punto entrega"",""08213"",""14=Población punto entrega"",""POLINYÁ"",""14=Provincia punto entrega"",""BARCELONA"",""14=País punto entrega"",""ES"",""14=Estado"",""Entregado"",""15=fecha_prep"",""15/05/2026"",""15=Fecha expedido"",""15/05/2026"",""14=Cód_ transportista"&amp;""",""RECOGERAN"",""14=Cód_ servicio solicitado"",""RECOGERAN"",""14=Link imagen"",""https://img.directoatusclientes.com/iris/POD/RECOGERAN/63226000182.pdf"",""14=Localizador"","""""</t>
  </si>
  <si>
    <t>=NL("Filas","SQL="&amp;
"select MAX(td.[Nº movimiento]) num_mov "&amp;
"  from [dbo].[MEDIAPOST SPAIN$Tracking Documento] td with (nolock) "&amp;
"  WHERE td.[Nº documento] = '"&amp;NF($B83,"No_ referencia transporte")&amp;"' "&amp;
"    AND td.[Cód_ incidencia] &lt;&gt; '' ",{"num_mov"},"Datasource=","SQL-Navision")</t>
  </si>
  <si>
    <t>=IF(NF($C83,"num_mov")="","",NL(,"Tracking Documento",,"Nº movimiento",NF($C83,"num_mov"),"Conexión=","Navision","Empresa=","MEDIAPOST SPAIN"))</t>
  </si>
  <si>
    <t>=NF($B83,"No_ documento cliente")</t>
  </si>
  <si>
    <t>=NF($B83,"No_ referencia transporte")</t>
  </si>
  <si>
    <t>=NF($B83,"Nº Expedición")</t>
  </si>
  <si>
    <t>=NF($B83,"C_P_ punto entrega")</t>
  </si>
  <si>
    <t>=NF($B83,"fecha_prep")</t>
  </si>
  <si>
    <t>=NF($B83,"Fecha expedido")</t>
  </si>
  <si>
    <t>=NF($B83,"Estado")</t>
  </si>
  <si>
    <t>=NF($D83,"fecha")</t>
  </si>
  <si>
    <t>=NF($D83,"Descripción incidencia")</t>
  </si>
  <si>
    <t>=NF($B83,"Cód_ transportista")</t>
  </si>
  <si>
    <t>=NF($B83,"Cód_ servicio solicitado")</t>
  </si>
  <si>
    <t>=NF($B83,"Link imagen")</t>
  </si>
  <si>
    <t>=NF($B83,"Localizador")</t>
  </si>
  <si>
    <t>="""SQL-NAVISION"","""",""SQL="",""14=No_"",""PD260085497"",""14=No_ documento cliente"",""63226000184"",""14=No_ referencia transporte"",""63226000184"",""14=Nº Expedición"",""000016911"",""14=Nombre punto entrega"",""Karim Diaz / Javier Medina"",""14=Dirección punto entrega"",""Carre"&amp;"r Roc de Boronat 66, Planta 3."",""14=C_P_ punto entrega"",""08005"",""14=Población punto entrega"",""Barcelona"",""14=Provincia punto entrega"",""Barcelona"",""14=País punto entrega"",""ES"",""14=Estado"",""Entregado"",""15=fecha_prep"",""15/05/2026"",""15=Fecha expedido"",""15/05/"&amp;"2026"",""14=Cód_ transportista"",""ONTIME"",""14=Cód_ servicio solicitado"",""STD"",""14=Link imagen"",""https://ontimegts.alertran.net/gts/pub/clielocserv.seam?cliente=02890149&amp;expedicion=999949969617"",""14=Localizador"",""999949969617"""</t>
  </si>
  <si>
    <t>=NL("Filas","SQL="&amp;
"select MAX(td.[Nº movimiento]) num_mov "&amp;
"  from [dbo].[MEDIAPOST SPAIN$Tracking Documento] td with (nolock) "&amp;
"  WHERE td.[Nº documento] = '"&amp;NF($B84,"No_ referencia transporte")&amp;"' "&amp;
"    AND td.[Cód_ incidencia] &lt;&gt; '' ",{"num_mov"},"Datasource=","SQL-Navision")</t>
  </si>
  <si>
    <t>=IF(NF($C84,"num_mov")="","",NL(,"Tracking Documento",,"Nº movimiento",NF($C84,"num_mov"),"Conexión=","Navision","Empresa=","MEDIAPOST SPAIN"))</t>
  </si>
  <si>
    <t>=NF($B84,"No_ documento cliente")</t>
  </si>
  <si>
    <t>=NF($B84,"No_ referencia transporte")</t>
  </si>
  <si>
    <t>=NF($B84,"Nº Expedición")</t>
  </si>
  <si>
    <t>=NF($B84,"C_P_ punto entrega")</t>
  </si>
  <si>
    <t>=NF($B84,"fecha_prep")</t>
  </si>
  <si>
    <t>=NF($B84,"Fecha expedido")</t>
  </si>
  <si>
    <t>=NF($B84,"Estado")</t>
  </si>
  <si>
    <t>=NF($D84,"fecha")</t>
  </si>
  <si>
    <t>=NF($D84,"Descripción incidencia")</t>
  </si>
  <si>
    <t>=NF($B84,"Cód_ transportista")</t>
  </si>
  <si>
    <t>=NF($B84,"Cód_ servicio solicitado")</t>
  </si>
  <si>
    <t>=NF($B84,"Link imagen")</t>
  </si>
  <si>
    <t>=NF($B84,"Localizador")</t>
  </si>
  <si>
    <t>="""SQL-NAVISION"","""",""SQL="",""14=No_"",""PD260085380"",""14=No_ documento cliente"",""OT 3023"",""14=No_ referencia transporte"",""OT 3023"",""14=Nº Expedición"",""14813514"",""14=Nombre punto entrega"",""ot 3023"",""14=Dirección punto entrega"",""ctra. sentmenat 36"",""14=C_P_ punt"&amp;"o entrega"",""08213"",""14=Población punto entrega"",""POLINYÁ"",""14=Provincia punto entrega"",""BARCELONA"",""14=País punto entrega"",""ES"",""14=Estado"",""Entregado"",""15=fecha_prep"",""15/05/2026"",""15=Fecha expedido"",""15/05/2026"",""14=Cód_ transportista"",""RECOGERAN"",""14=C"&amp;"ód_ servicio solicitado"",""RECOGERAN"",""14=Link imagen"",""https://img.directoatusclientes.com/iris/POD/RECOGERAN/OT 3023.pdf"",""14=Localizador"","""""</t>
  </si>
  <si>
    <t>=NL("Filas","SQL="&amp;
"select MAX(td.[Nº movimiento]) num_mov "&amp;
"  from [dbo].[MEDIAPOST SPAIN$Tracking Documento] td with (nolock) "&amp;
"  WHERE td.[Nº documento] = '"&amp;NF($B85,"No_ referencia transporte")&amp;"' "&amp;
"    AND td.[Cód_ incidencia] &lt;&gt; '' ",{"num_mov"},"Datasource=","SQL-Navision")</t>
  </si>
  <si>
    <t>=IF(NF($C85,"num_mov")="","",NL(,"Tracking Documento",,"Nº movimiento",NF($C85,"num_mov"),"Conexión=","Navision","Empresa=","MEDIAPOST SPAIN"))</t>
  </si>
  <si>
    <t>=NF($B85,"No_ documento cliente")</t>
  </si>
  <si>
    <t>=NF($B85,"No_ referencia transporte")</t>
  </si>
  <si>
    <t>=NF($B85,"Nº Expedición")</t>
  </si>
  <si>
    <t>=NF($B85,"C_P_ punto entrega")</t>
  </si>
  <si>
    <t>=NF($B85,"fecha_prep")</t>
  </si>
  <si>
    <t>=NF($B85,"Fecha expedido")</t>
  </si>
  <si>
    <t>=NF($B85,"Estado")</t>
  </si>
  <si>
    <t>=NF($D85,"fecha")</t>
  </si>
  <si>
    <t>=NF($D85,"Descripción incidencia")</t>
  </si>
  <si>
    <t>=NF($B85,"Cód_ transportista")</t>
  </si>
  <si>
    <t>=NF($B85,"Cód_ servicio solicitado")</t>
  </si>
  <si>
    <t>=NF($B85,"Link imagen")</t>
  </si>
  <si>
    <t>=NF($B85,"Localizador")</t>
  </si>
  <si>
    <t>="""SQL-NAVISION"","""",""SQL="",""14=No_"",""PD260086184"",""14=No_ documento cliente"",""INPOST130526.4"",""14=No_ referencia transporte"",""X26026343"",""14=Nº Expedición"",""5602445"",""14=Nombre punto entrega"",""Fede Acedo Becerra"",""14=Dirección punto entrega"",""Galtzaraborda "&amp;"Hiribidea 85, piso 3, Izquierda"",""14=C_P_ punto entrega"",""20100"",""14=Población punto entrega"",""Errenteria"",""14=Provincia punto entrega"",""Gipuzkoa"",""14=País punto entrega"",""ES"",""14=Estado"",""Entregado"",""15=fecha_prep"",""18/05/2026"",""15=Fecha expedido"",""18/05"&amp;"/2026"",""14=Cód_ transportista"",""ASM"",""14=Cód_ servicio solicitado"",""STD"",""14=Link imagen"",""https://mygls.gls-spain.es/e/31200805602445/20100"",""14=Localizador"","""""</t>
  </si>
  <si>
    <t>=NL("Filas","SQL="&amp;
"select MAX(td.[Nº movimiento]) num_mov "&amp;
"  from [dbo].[MEDIAPOST SPAIN$Tracking Documento] td with (nolock) "&amp;
"  WHERE td.[Nº documento] = '"&amp;NF($B86,"No_ referencia transporte")&amp;"' "&amp;
"    AND td.[Cód_ incidencia] &lt;&gt; '' ",{"num_mov"},"Datasource=","SQL-Navision")</t>
  </si>
  <si>
    <t>=IF(NF($C86,"num_mov")="","",NL(,"Tracking Documento",,"Nº movimiento",NF($C86,"num_mov"),"Conexión=","Navision","Empresa=","MEDIAPOST SPAIN"))</t>
  </si>
  <si>
    <t>=NF($B86,"No_ documento cliente")</t>
  </si>
  <si>
    <t>=NF($B86,"No_ referencia transporte")</t>
  </si>
  <si>
    <t>=NF($B86,"Nº Expedición")</t>
  </si>
  <si>
    <t>=NF($B86,"C_P_ punto entrega")</t>
  </si>
  <si>
    <t>=NF($B86,"fecha_prep")</t>
  </si>
  <si>
    <t>=NF($B86,"Fecha expedido")</t>
  </si>
  <si>
    <t>=NF($B86,"Estado")</t>
  </si>
  <si>
    <t>=NF($D86,"fecha")</t>
  </si>
  <si>
    <t>=NF($D86,"Descripción incidencia")</t>
  </si>
  <si>
    <t>=NF($B86,"Cód_ transportista")</t>
  </si>
  <si>
    <t>=NF($B86,"Cód_ servicio solicitado")</t>
  </si>
  <si>
    <t>=NF($B86,"Link imagen")</t>
  </si>
  <si>
    <t>=NF($B86,"Localizador")</t>
  </si>
  <si>
    <t>="""SQL-NAVISION"","""",""SQL="",""14=No_"",""PD260086163"",""14=No_ documento cliente"",""SIG180526.2"",""14=No_ referencia transporte"",""SIG180526.2"",""14=Nº Expedición"",""1200794607"",""14=Nombre punto entrega"",""TIPSA LAS ROZAS"",""14=Dirección punto entrega"",""CALLE MUNICH, 2"&amp;"B"",""14=C_P_ punto entrega"",""28232"",""14=Población punto entrega"",""Las Rozas de Madrid"",""14=Provincia punto entrega"",""Madrid"",""14=País punto entrega"",""ES"",""14=Estado"",""Entregado"",""15=fecha_prep"",""18/05/2026"",""15=Fecha expedido"",""18/05/2026"",""14=Cód_ transpo"&amp;"rtista"",""TIPSA"",""14=Cód_ servicio solicitado"",""STD"",""14=Link imagen"",""https://www.tip-sa.com/cliente/datos.php?id=02800109585SIG180526.228232"",""14=Localizador"",""0280010280011200794607"""</t>
  </si>
  <si>
    <t>=NL("Filas","SQL="&amp;
"select MAX(td.[Nº movimiento]) num_mov "&amp;
"  from [dbo].[MEDIAPOST SPAIN$Tracking Documento] td with (nolock) "&amp;
"  WHERE td.[Nº documento] = '"&amp;NF($B87,"No_ referencia transporte")&amp;"' "&amp;
"    AND td.[Cód_ incidencia] &lt;&gt; '' ",{"num_mov"},"Datasource=","SQL-Navision")</t>
  </si>
  <si>
    <t>=IF(NF($C87,"num_mov")="","",NL(,"Tracking Documento",,"Nº movimiento",NF($C87,"num_mov"),"Conexión=","Navision","Empresa=","MEDIAPOST SPAIN"))</t>
  </si>
  <si>
    <t>=NF($B87,"No_ documento cliente")</t>
  </si>
  <si>
    <t>=NF($B87,"No_ referencia transporte")</t>
  </si>
  <si>
    <t>=NF($B87,"Nº Expedición")</t>
  </si>
  <si>
    <t>=NF($B87,"C_P_ punto entrega")</t>
  </si>
  <si>
    <t>=NF($B87,"fecha_prep")</t>
  </si>
  <si>
    <t>=NF($B87,"Fecha expedido")</t>
  </si>
  <si>
    <t>=NF($B87,"Estado")</t>
  </si>
  <si>
    <t>=NF($D87,"fecha")</t>
  </si>
  <si>
    <t>=NF($D87,"Descripción incidencia")</t>
  </si>
  <si>
    <t>=NF($B87,"Cód_ transportista")</t>
  </si>
  <si>
    <t>=NF($B87,"Cód_ servicio solicitado")</t>
  </si>
  <si>
    <t>=NF($B87,"Link imagen")</t>
  </si>
  <si>
    <t>=NF($B87,"Localizador")</t>
  </si>
  <si>
    <t>="""SQL-NAVISION"","""",""SQL="",""14=No_"",""PD260086164"",""14=No_ documento cliente"",""SIG180526.3"",""14=No_ referencia transporte"",""SIG180526.3"",""14=Nº Expedición"",""1200794609"",""14=Nombre punto entrega"",""TIPSA SANT BOI"",""14=Dirección punto entrega"",""CARRER DE LA CIE"&amp;"NCIA, 26"",""14=C_P_ punto entrega"",""08840"",""14=Población punto entrega"",""Viladecans"",""14=Provincia punto entrega"",""Barcelona"",""14=País punto entrega"",""ES"",""14=Estado"",""Entregado"",""15=fecha_prep"",""18/05/2026"",""15=Fecha expedido"",""18/05/2026"",""14=Cód_ transp"&amp;"ortista"",""TIPSA"",""14=Cód_ servicio solicitado"",""STD"",""14=Link imagen"",""https://www.tip-sa.com/cliente/datos.php?id=02800109585SIG180526.308840"",""14=Localizador"",""0280010280011200794609"""</t>
  </si>
  <si>
    <t>=NL("Filas","SQL="&amp;
"select MAX(td.[Nº movimiento]) num_mov "&amp;
"  from [dbo].[MEDIAPOST SPAIN$Tracking Documento] td with (nolock) "&amp;
"  WHERE td.[Nº documento] = '"&amp;NF($B88,"No_ referencia transporte")&amp;"' "&amp;
"    AND td.[Cód_ incidencia] &lt;&gt; '' ",{"num_mov"},"Datasource=","SQL-Navision")</t>
  </si>
  <si>
    <t>=IF(NF($C88,"num_mov")="","",NL(,"Tracking Documento",,"Nº movimiento",NF($C88,"num_mov"),"Conexión=","Navision","Empresa=","MEDIAPOST SPAIN"))</t>
  </si>
  <si>
    <t>=NF($B88,"No_ documento cliente")</t>
  </si>
  <si>
    <t>=NF($B88,"No_ referencia transporte")</t>
  </si>
  <si>
    <t>=NF($B88,"Nº Expedición")</t>
  </si>
  <si>
    <t>=NF($B88,"C_P_ punto entrega")</t>
  </si>
  <si>
    <t>=NF($B88,"fecha_prep")</t>
  </si>
  <si>
    <t>=NF($B88,"Fecha expedido")</t>
  </si>
  <si>
    <t>=NF($B88,"Estado")</t>
  </si>
  <si>
    <t>=NF($D88,"fecha")</t>
  </si>
  <si>
    <t>=NF($D88,"Descripción incidencia")</t>
  </si>
  <si>
    <t>=NF($B88,"Cód_ transportista")</t>
  </si>
  <si>
    <t>=NF($B88,"Cód_ servicio solicitado")</t>
  </si>
  <si>
    <t>=NF($B88,"Link imagen")</t>
  </si>
  <si>
    <t>=NF($B88,"Localizador")</t>
  </si>
  <si>
    <t>="""SQL-NAVISION"","""",""SQL="",""14=No_"",""PD260086183"",""14=No_ documento cliente"",""INPOST130526.3"",""14=No_ referencia transporte"",""X26026342"",""14=Nº Expedición"",""5602444"",""14=Nombre punto entrega"",""Joan Manuel Luque Figueras"",""14=Dirección punto entrega"",""Avingu"&amp;"da Catalunya 76-78 1-1"",""14=C_P_ punto entrega"",""08880"",""14=Población punto entrega"",""Cubelles"",""14=Provincia punto entrega"",""Barcelona"",""14=País punto entrega"",""ES"",""14=Estado"",""Entregado"",""15=fecha_prep"",""18/05/2026"",""15=Fecha expedido"",""18/05/2026"",""14"&amp;"=Cód_ transportista"",""ASM"",""14=Cód_ servicio solicitado"",""STD"",""14=Link imagen"",""https://mygls.gls-spain.es/e/31200805602444/08880"",""14=Localizador"","""""</t>
  </si>
  <si>
    <t>=NL("Filas","SQL="&amp;
"select MAX(td.[Nº movimiento]) num_mov "&amp;
"  from [dbo].[MEDIAPOST SPAIN$Tracking Documento] td with (nolock) "&amp;
"  WHERE td.[Nº documento] = '"&amp;NF($B89,"No_ referencia transporte")&amp;"' "&amp;
"    AND td.[Cód_ incidencia] &lt;&gt; '' ",{"num_mov"},"Datasource=","SQL-Navision")</t>
  </si>
  <si>
    <t>=IF(NF($C89,"num_mov")="","",NL(,"Tracking Documento",,"Nº movimiento",NF($C89,"num_mov"),"Conexión=","Navision","Empresa=","MEDIAPOST SPAIN"))</t>
  </si>
  <si>
    <t>=NF($B89,"No_ documento cliente")</t>
  </si>
  <si>
    <t>=NF($B89,"No_ referencia transporte")</t>
  </si>
  <si>
    <t>=NF($B89,"Nº Expedición")</t>
  </si>
  <si>
    <t>=NF($B89,"C_P_ punto entrega")</t>
  </si>
  <si>
    <t>=NF($B89,"fecha_prep")</t>
  </si>
  <si>
    <t>=NF($B89,"Fecha expedido")</t>
  </si>
  <si>
    <t>=NF($B89,"Estado")</t>
  </si>
  <si>
    <t>=NF($D89,"fecha")</t>
  </si>
  <si>
    <t>=NF($D89,"Descripción incidencia")</t>
  </si>
  <si>
    <t>=NF($B89,"Cód_ transportista")</t>
  </si>
  <si>
    <t>=NF($B89,"Cód_ servicio solicitado")</t>
  </si>
  <si>
    <t>=NF($B89,"Link imagen")</t>
  </si>
  <si>
    <t>=NF($B89,"Localizador")</t>
  </si>
  <si>
    <t>="""SQL-NAVISION"","""",""SQL="",""14=No_"",""PD260086162"",""14=No_ documento cliente"",""SIG180526.1"",""14=No_ referencia transporte"",""SIG180526.1"",""14=Nº Expedición"",""1200794605"",""14=Nombre punto entrega"",""TIPSA BADALONA"",""14=Dirección punto entrega"",""CARRER DE LA MAR"&amp;" JONICA, 5,LOCAL 14"",""14=C_P_ punto entrega"",""08918"",""14=Población punto entrega"",""BADALONA"",""14=Provincia punto entrega"",""Barcelona"",""14=País punto entrega"",""ES"",""14=Estado"",""Entregado"",""15=fecha_prep"",""18/05/2026"",""15=Fecha expedido"",""18/05/2026"",""14=Có"&amp;"d_ transportista"",""TIPSA"",""14=Cód_ servicio solicitado"",""STD"",""14=Link imagen"",""https://www.tip-sa.com/cliente/datos.php?id=02800109585SIG180526.108918"",""14=Localizador"",""0280010280011200794605"""</t>
  </si>
  <si>
    <t>=NL("Filas","SQL="&amp;
"select MAX(td.[Nº movimiento]) num_mov "&amp;
"  from [dbo].[MEDIAPOST SPAIN$Tracking Documento] td with (nolock) "&amp;
"  WHERE td.[Nº documento] = '"&amp;NF($B90,"No_ referencia transporte")&amp;"' "&amp;
"    AND td.[Cód_ incidencia] &lt;&gt; '' ",{"num_mov"},"Datasource=","SQL-Navision")</t>
  </si>
  <si>
    <t>=IF(NF($C90,"num_mov")="","",NL(,"Tracking Documento",,"Nº movimiento",NF($C90,"num_mov"),"Conexión=","Navision","Empresa=","MEDIAPOST SPAIN"))</t>
  </si>
  <si>
    <t>=NF($B90,"No_ documento cliente")</t>
  </si>
  <si>
    <t>=NF($B90,"No_ referencia transporte")</t>
  </si>
  <si>
    <t>=NF($B90,"Nº Expedición")</t>
  </si>
  <si>
    <t>=NF($B90,"C_P_ punto entrega")</t>
  </si>
  <si>
    <t>=NF($B90,"fecha_prep")</t>
  </si>
  <si>
    <t>=NF($B90,"Fecha expedido")</t>
  </si>
  <si>
    <t>=NF($B90,"Estado")</t>
  </si>
  <si>
    <t>=NF($D90,"fecha")</t>
  </si>
  <si>
    <t>=NF($D90,"Descripción incidencia")</t>
  </si>
  <si>
    <t>=NF($B90,"Cód_ transportista")</t>
  </si>
  <si>
    <t>=NF($B90,"Cód_ servicio solicitado")</t>
  </si>
  <si>
    <t>=NF($B90,"Link imagen")</t>
  </si>
  <si>
    <t>=NF($B90,"Localizador")</t>
  </si>
  <si>
    <t>="""SQL-NAVISION"","""",""SQL="",""14=No_"",""PD260086186"",""14=No_ documento cliente"",""INPOST130526.6"",""14=No_ referencia transporte"",""X26026345"",""14=Nº Expedición"",""5602447"",""14=Nombre punto entrega"",""Bryan Silvera Yancari"",""14=Dirección punto entrega"",""Avenida de "&amp;"Andalucía 34, Piso 3 Puerta A."",""14=C_P_ punto entrega"",""41006"",""14=Población punto entrega"",""Sevilla"",""14=Provincia punto entrega"",""Sevilla"",""14=País punto entrega"",""ES"",""14=Estado"",""Entregado"",""15=fecha_prep"",""18/05/2026"",""15=Fecha expedido"",""18/05/2026"&amp;""",""14=Cód_ transportista"",""ASM"",""14=Cód_ servicio solicitado"",""STD"",""14=Link imagen"",""https://mygls.gls-spain.es/e/31200805602447/41006"",""14=Localizador"","""""</t>
  </si>
  <si>
    <t>=NL("Filas","SQL="&amp;
"select MAX(td.[Nº movimiento]) num_mov "&amp;
"  from [dbo].[MEDIAPOST SPAIN$Tracking Documento] td with (nolock) "&amp;
"  WHERE td.[Nº documento] = '"&amp;NF($B91,"No_ referencia transporte")&amp;"' "&amp;
"    AND td.[Cód_ incidencia] &lt;&gt; '' ",{"num_mov"},"Datasource=","SQL-Navision")</t>
  </si>
  <si>
    <t>=IF(NF($C91,"num_mov")="","",NL(,"Tracking Documento",,"Nº movimiento",NF($C91,"num_mov"),"Conexión=","Navision","Empresa=","MEDIAPOST SPAIN"))</t>
  </si>
  <si>
    <t>=NF($B91,"No_ documento cliente")</t>
  </si>
  <si>
    <t>=NF($B91,"No_ referencia transporte")</t>
  </si>
  <si>
    <t>=NF($B91,"Nº Expedición")</t>
  </si>
  <si>
    <t>=NF($B91,"C_P_ punto entrega")</t>
  </si>
  <si>
    <t>=NF($B91,"fecha_prep")</t>
  </si>
  <si>
    <t>=NF($B91,"Fecha expedido")</t>
  </si>
  <si>
    <t>=NF($B91,"Estado")</t>
  </si>
  <si>
    <t>=NF($D91,"fecha")</t>
  </si>
  <si>
    <t>=NF($D91,"Descripción incidencia")</t>
  </si>
  <si>
    <t>=NF($B91,"Cód_ transportista")</t>
  </si>
  <si>
    <t>=NF($B91,"Cód_ servicio solicitado")</t>
  </si>
  <si>
    <t>=NF($B91,"Link imagen")</t>
  </si>
  <si>
    <t>=NF($B91,"Localizador")</t>
  </si>
  <si>
    <t>="""SQL-NAVISION"","""",""SQL="",""14=No_"",""PD260086185"",""14=No_ documento cliente"",""INPOST130526.5"",""14=No_ referencia transporte"",""X26026344"",""14=Nº Expedición"",""5602446"",""14=Nombre punto entrega"",""Javier Cortegoso Torres"",""14=Dirección punto entrega"",""Plaza Esp"&amp;"aña 3-4 8i"",""14=C_P_ punto entrega"",""15406"",""14=Población punto entrega"",""Ferrol"",""14=Provincia punto entrega"",""A Coruña"",""14=País punto entrega"",""ES"",""14=Estado"",""En Reparto"",""15=fecha_prep"",""18/05/2026"",""15=Fecha expedido"",""18/05/2026"",""14=Cód_ transpor"&amp;"tista"",""ASM"",""14=Cód_ servicio solicitado"",""STD"",""14=Link imagen"",""https://mygls.gls-spain.es/e/31200805602446/15406"",""14=Localizador"","""""</t>
  </si>
  <si>
    <t>=NL("Filas","SQL="&amp;
"select MAX(td.[Nº movimiento]) num_mov "&amp;
"  from [dbo].[MEDIAPOST SPAIN$Tracking Documento] td with (nolock) "&amp;
"  WHERE td.[Nº documento] = '"&amp;NF($B92,"No_ referencia transporte")&amp;"' "&amp;
"    AND td.[Cód_ incidencia] &lt;&gt; '' ",{"num_mov"},"Datasource=","SQL-Navision")</t>
  </si>
  <si>
    <t>=IF(NF($C92,"num_mov")="","",NL(,"Tracking Documento",,"Nº movimiento",NF($C92,"num_mov"),"Conexión=","Navision","Empresa=","MEDIAPOST SPAIN"))</t>
  </si>
  <si>
    <t>=NF($B92,"No_ documento cliente")</t>
  </si>
  <si>
    <t>=NF($B92,"No_ referencia transporte")</t>
  </si>
  <si>
    <t>=NF($B92,"Nº Expedición")</t>
  </si>
  <si>
    <t>=NF($B92,"C_P_ punto entrega")</t>
  </si>
  <si>
    <t>=NF($B92,"fecha_prep")</t>
  </si>
  <si>
    <t>=NF($B92,"Fecha expedido")</t>
  </si>
  <si>
    <t>=NF($B92,"Estado")</t>
  </si>
  <si>
    <t>=NF($D92,"fecha")</t>
  </si>
  <si>
    <t>=NF($D92,"Descripción incidencia")</t>
  </si>
  <si>
    <t>=NF($B92,"Cód_ transportista")</t>
  </si>
  <si>
    <t>=NF($B92,"Cód_ servicio solicitado")</t>
  </si>
  <si>
    <t>=NF($B92,"Link imagen")</t>
  </si>
  <si>
    <t>=NF($B92,"Localizador")</t>
  </si>
  <si>
    <t>="""SQL-NAVISION"","""",""SQL="",""14=No_"",""PD260086112"",""14=No_ documento cliente"",""INPOST150526.1"",""14=No_ referencia transporte"",""INPOST150526.1"",""14=Nº Expedición"",""1200794587"",""14=Nombre punto entrega"",""TIPSA LAS ROZAS"",""14=Dirección punto entrega"",""CALLE MUN"&amp;"ICH, 2B"",""14=C_P_ punto entrega"",""28232"",""14=Población punto entrega"",""Las Rozas de Madrid"",""14=Provincia punto entrega"",""Madrid"",""14=País punto entrega"",""ES"",""14=Estado"",""Entregado"",""15=fecha_prep"",""18/05/2026"",""15=Fecha expedido"",""18/05/2026"",""14=Cód_ t"&amp;"ransportista"",""TIPSA"",""14=Cód_ servicio solicitado"",""STD"",""14=Link imagen"",""https://www.tip-sa.com/cliente/datos.php?id=02800109585INPOST150526.128232"",""14=Localizador"",""0280010280011200794587"""</t>
  </si>
  <si>
    <t>=NL("Filas","SQL="&amp;
"select MAX(td.[Nº movimiento]) num_mov "&amp;
"  from [dbo].[MEDIAPOST SPAIN$Tracking Documento] td with (nolock) "&amp;
"  WHERE td.[Nº documento] = '"&amp;NF($B93,"No_ referencia transporte")&amp;"' "&amp;
"    AND td.[Cód_ incidencia] &lt;&gt; '' ",{"num_mov"},"Datasource=","SQL-Navision")</t>
  </si>
  <si>
    <t>=IF(NF($C93,"num_mov")="","",NL(,"Tracking Documento",,"Nº movimiento",NF($C93,"num_mov"),"Conexión=","Navision","Empresa=","MEDIAPOST SPAIN"))</t>
  </si>
  <si>
    <t>=NF($B93,"No_ documento cliente")</t>
  </si>
  <si>
    <t>=NF($B93,"No_ referencia transporte")</t>
  </si>
  <si>
    <t>=NF($B93,"Nº Expedición")</t>
  </si>
  <si>
    <t>=NF($B93,"C_P_ punto entrega")</t>
  </si>
  <si>
    <t>=NF($B93,"fecha_prep")</t>
  </si>
  <si>
    <t>=NF($B93,"Fecha expedido")</t>
  </si>
  <si>
    <t>=NF($B93,"Estado")</t>
  </si>
  <si>
    <t>=NF($D93,"fecha")</t>
  </si>
  <si>
    <t>=NF($D93,"Descripción incidencia")</t>
  </si>
  <si>
    <t>=NF($B93,"Cód_ transportista")</t>
  </si>
  <si>
    <t>=NF($B93,"Cód_ servicio solicitado")</t>
  </si>
  <si>
    <t>=NF($B93,"Link imagen")</t>
  </si>
  <si>
    <t>=NF($B93,"Localizador")</t>
  </si>
  <si>
    <t>="""SQL-NAVISION"","""",""SQL="",""14=No_"",""PD260086413"",""14=No_ documento cliente"",""LGL180526.1"",""14=No_ referencia transporte"",""LGL180526.1"",""14=Nº Expedición"",""917400040898"",""14=Nombre punto entrega"",""VIC TRASTERS_Nº BOX 906"",""14=Dirección punto entrega"",""Carre"&amp;"r de Francesc Santcliment, 87"",""14=C_P_ punto entrega"",""08500"",""14=Población punto entrega"",""VIC"",""14=Provincia punto entrega"",""BARCELONA"",""14=País punto entrega"",""ES"",""14=Estado"",""Entregado"",""15=fecha_prep"",""19/05/2026"",""15=Fecha expedido"",""19/05/2026"","""&amp;"14=Cód_ transportista"",""CBL"",""14=Cód_ servicio solicitado"",""STD"",""14=Link imagen"",""http://clientes.cbl-logistica.com/public/ShowPOD.aspx?query=NmQ3MDI2ZmYtNDg4Yy05ZTE4LTU1ZGYtZGRlMmExOTdhMzI0|REF|LGL180526.1"",""14=Localizador"",""89BB0FD3"""</t>
  </si>
  <si>
    <t>=NL("Filas","SQL="&amp;
"select MAX(td.[Nº movimiento]) num_mov "&amp;
"  from [dbo].[MEDIAPOST SPAIN$Tracking Documento] td with (nolock) "&amp;
"  WHERE td.[Nº documento] = '"&amp;NF($B94,"No_ referencia transporte")&amp;"' "&amp;
"    AND td.[Cód_ incidencia] &lt;&gt; '' ",{"num_mov"},"Datasource=","SQL-Navision")</t>
  </si>
  <si>
    <t>=IF(NF($C94,"num_mov")="","",NL(,"Tracking Documento",,"Nº movimiento",NF($C94,"num_mov"),"Conexión=","Navision","Empresa=","MEDIAPOST SPAIN"))</t>
  </si>
  <si>
    <t>=NF($B94,"No_ documento cliente")</t>
  </si>
  <si>
    <t>=NF($B94,"No_ referencia transporte")</t>
  </si>
  <si>
    <t>=NF($B94,"Nº Expedición")</t>
  </si>
  <si>
    <t>=NF($B94,"C_P_ punto entrega")</t>
  </si>
  <si>
    <t>=NF($B94,"fecha_prep")</t>
  </si>
  <si>
    <t>=NF($B94,"Fecha expedido")</t>
  </si>
  <si>
    <t>=NF($B94,"Estado")</t>
  </si>
  <si>
    <t>=NF($D94,"fecha")</t>
  </si>
  <si>
    <t>=NF($D94,"Descripción incidencia")</t>
  </si>
  <si>
    <t>=NF($B94,"Cód_ transportista")</t>
  </si>
  <si>
    <t>=NF($B94,"Cód_ servicio solicitado")</t>
  </si>
  <si>
    <t>=NF($B94,"Link imagen")</t>
  </si>
  <si>
    <t>=NF($B94,"Localizador")</t>
  </si>
  <si>
    <t>="""SQL-NAVISION"","""",""SQL="",""14=No_"",""PD260087159"",""14=No_ documento cliente"",""MLG190526"",""14=No_ referencia transporte"",""MLG190526"",""14=Nº Expedición"",""1200795081"",""14=Nombre punto entrega"",""MARIA LOPEZ GIL"",""14=Dirección punto entrega"",""Avenida jose garrig"&amp;"o farga 47 piso 1 puerta 4"",""14=C_P_ punto entrega"",""46185"",""14=Población punto entrega"",""La pobla de Vallbona"",""14=Provincia punto entrega"",""VALENCIA"",""14=País punto entrega"",""ES"",""14=Estado"",""Entregado"",""15=fecha_prep"",""19/05/2026"",""15=Fecha expedido"","""&amp;"19/05/2026"",""14=Cód_ transportista"",""TIPSA"",""14=Cód_ servicio solicitado"",""13:30 H"",""14=Link imagen"",""https://www.tip-sa.com/cliente/datos.php?id=02800109585MLG19052646185"",""14=Localizador"",""0280010280011200795081"""</t>
  </si>
  <si>
    <t>=NL("Filas","SQL="&amp;
"select MAX(td.[Nº movimiento]) num_mov "&amp;
"  from [dbo].[MEDIAPOST SPAIN$Tracking Documento] td with (nolock) "&amp;
"  WHERE td.[Nº documento] = '"&amp;NF($B95,"No_ referencia transporte")&amp;"' "&amp;
"    AND td.[Cód_ incidencia] &lt;&gt; '' ",{"num_mov"},"Datasource=","SQL-Navision")</t>
  </si>
  <si>
    <t>=IF(NF($C95,"num_mov")="","",NL(,"Tracking Documento",,"Nº movimiento",NF($C95,"num_mov"),"Conexión=","Navision","Empresa=","MEDIAPOST SPAIN"))</t>
  </si>
  <si>
    <t>=NF($B95,"No_ documento cliente")</t>
  </si>
  <si>
    <t>=NF($B95,"No_ referencia transporte")</t>
  </si>
  <si>
    <t>=NF($B95,"Nº Expedición")</t>
  </si>
  <si>
    <t>=NF($B95,"C_P_ punto entrega")</t>
  </si>
  <si>
    <t>=NF($B95,"fecha_prep")</t>
  </si>
  <si>
    <t>=NF($B95,"Fecha expedido")</t>
  </si>
  <si>
    <t>=NF($B95,"Estado")</t>
  </si>
  <si>
    <t>=NF($D95,"fecha")</t>
  </si>
  <si>
    <t>=NF($D95,"Descripción incidencia")</t>
  </si>
  <si>
    <t>=NF($B95,"Cód_ transportista")</t>
  </si>
  <si>
    <t>=NF($B95,"Cód_ servicio solicitado")</t>
  </si>
  <si>
    <t>=NF($B95,"Link imagen")</t>
  </si>
  <si>
    <t>=NF($B95,"Localizador")</t>
  </si>
  <si>
    <t>="""SQL-NAVISION"","""",""SQL="",""14=No_"",""PD260086944"",""14=No_ documento cliente"",""MVDP180726"",""14=No_ referencia transporte"",""MVDP180726_01"",""14=Nº Expedición"",""0865425390"",""14=Nombre punto entrega"",""MARIA DEL VAL DIAZ PÉREZ"",""14=Dirección punto entrega"",""C/Gua"&amp;"dalajara 109 Urbanización Calypo II"",""14=C_P_ punto entrega"",""28600"",""14=Población punto entrega"",""NAVALCARNERO"",""14=Provincia punto entrega"",""MADRID"",""14=País punto entrega"",""ES"",""14=Estado"",""Entregado"",""15=fecha_prep"",""19/05/2026"",""15=Fecha expedido"",""1"&amp;"9/05/2026"",""14=Cód_ transportista"",""DHL"",""14=Cód_ servicio solicitado"",""STD"",""14=Link imagen"",""https://clientesparcel.dhl.es/seguimientoenvios/integra/SeguimientoDocumentos.aspx?codigo=0865425390&amp;anno=2026&amp;lang=sp&amp;zatar=q45LoBtfSS29xHGRDZ57"",""14=Localizad"&amp;"or"","""""</t>
  </si>
  <si>
    <t>=NL("Filas","SQL="&amp;
"select MAX(td.[Nº movimiento]) num_mov "&amp;
"  from [dbo].[MEDIAPOST SPAIN$Tracking Documento] td with (nolock) "&amp;
"  WHERE td.[Nº documento] = '"&amp;NF($B96,"No_ referencia transporte")&amp;"' "&amp;
"    AND td.[Cód_ incidencia] &lt;&gt; '' ",{"num_mov"},"Datasource=","SQL-Navision")</t>
  </si>
  <si>
    <t>=IF(NF($C96,"num_mov")="","",NL(,"Tracking Documento",,"Nº movimiento",NF($C96,"num_mov"),"Conexión=","Navision","Empresa=","MEDIAPOST SPAIN"))</t>
  </si>
  <si>
    <t>=NF($B96,"No_ documento cliente")</t>
  </si>
  <si>
    <t>=NF($B96,"No_ referencia transporte")</t>
  </si>
  <si>
    <t>=NF($B96,"Nº Expedición")</t>
  </si>
  <si>
    <t>=NF($B96,"C_P_ punto entrega")</t>
  </si>
  <si>
    <t>=NF($B96,"fecha_prep")</t>
  </si>
  <si>
    <t>=NF($B96,"Fecha expedido")</t>
  </si>
  <si>
    <t>=NF($B96,"Estado")</t>
  </si>
  <si>
    <t>=NF($D96,"fecha")</t>
  </si>
  <si>
    <t>=NF($D96,"Descripción incidencia")</t>
  </si>
  <si>
    <t>=NF($B96,"Cód_ transportista")</t>
  </si>
  <si>
    <t>=NF($B96,"Cód_ servicio solicitado")</t>
  </si>
  <si>
    <t>=NF($B96,"Link imagen")</t>
  </si>
  <si>
    <t>=NF($B96,"Localizador")</t>
  </si>
  <si>
    <t>="""SQL-NAVISION"","""",""SQL="",""14=No_"",""PD260086932"",""14=No_ documento cliente"",""DYS3SKU04 REPO 2"",""14=No_ referencia transporte"",""X26026529"",""14=Nº Expedición"",""1200794963"",""14=Nombre punto entrega"",""tipsa torremolinos"",""14=Dirección punto entrega"",""recoge en"&amp;" delegacion"",""14=C_P_ punto entrega"",""29620"",""14=Población punto entrega"",""TORREMOLINOS"",""14=Provincia punto entrega"",""MALAGA"",""14=País punto entrega"",""ES"",""14=Estado"",""Entregado"",""15=fecha_prep"",""19/05/2026"",""15=Fecha expedido"",""19/05/2026"",""14=Cód_ tran"&amp;"sportista"",""TIPSA"",""14=Cód_ servicio solicitado"",""PRESUPUESTO"",""14=Link imagen"",""https://www.tip-sa.com/cliente/datos.php?id=02800109585X2602652929620"",""14=Localizador"",""0280010280011200794963"""</t>
  </si>
  <si>
    <t>=NL("Filas","SQL="&amp;
"select MAX(td.[Nº movimiento]) num_mov "&amp;
"  from [dbo].[MEDIAPOST SPAIN$Tracking Documento] td with (nolock) "&amp;
"  WHERE td.[Nº documento] = '"&amp;NF($B97,"No_ referencia transporte")&amp;"' "&amp;
"    AND td.[Cód_ incidencia] &lt;&gt; '' ",{"num_mov"},"Datasource=","SQL-Navision")</t>
  </si>
  <si>
    <t>=IF(NF($C97,"num_mov")="","",NL(,"Tracking Documento",,"Nº movimiento",NF($C97,"num_mov"),"Conexión=","Navision","Empresa=","MEDIAPOST SPAIN"))</t>
  </si>
  <si>
    <t>=NF($B97,"No_ documento cliente")</t>
  </si>
  <si>
    <t>=NF($B97,"No_ referencia transporte")</t>
  </si>
  <si>
    <t>=NF($B97,"Nº Expedición")</t>
  </si>
  <si>
    <t>=NF($B97,"C_P_ punto entrega")</t>
  </si>
  <si>
    <t>=NF($B97,"fecha_prep")</t>
  </si>
  <si>
    <t>=NF($B97,"Fecha expedido")</t>
  </si>
  <si>
    <t>=NF($B97,"Estado")</t>
  </si>
  <si>
    <t>=NF($D97,"fecha")</t>
  </si>
  <si>
    <t>=NF($D97,"Descripción incidencia")</t>
  </si>
  <si>
    <t>=NF($B97,"Cód_ transportista")</t>
  </si>
  <si>
    <t>=NF($B97,"Cód_ servicio solicitado")</t>
  </si>
  <si>
    <t>=NF($B97,"Link imagen")</t>
  </si>
  <si>
    <t>=NF($B97,"Localizador")</t>
  </si>
  <si>
    <t>="""SQL-NAVISION"","""",""SQL="",""14=No_"",""PD260086412"",""14=No_ documento cliente"",""LGL180526.1"",""14=No_ referencia transporte"",""LGL180526.1"",""14=Nº Expedición"",""917400040898"",""14=Nombre punto entrega"",""VIC TRASTERS_Nº BOX 906"",""14=Dirección punto entrega"",""Carre"&amp;"r de Francesc Santcliment, 87"",""14=C_P_ punto entrega"",""08500"",""14=Población punto entrega"",""VIC"",""14=Provincia punto entrega"",""BARCELONA"",""14=País punto entrega"",""ES"",""14=Estado"",""Entregado"",""15=fecha_prep"",""19/05/2026"",""15=Fecha expedido"",""19/05/2026"","""&amp;"14=Cód_ transportista"",""CBL"",""14=Cód_ servicio solicitado"",""STD"",""14=Link imagen"",""http://clientes.cbl-logistica.com/public/ShowPOD.aspx?query=NmQ3MDI2ZmYtNDg4Yy05ZTE4LTU1ZGYtZGRlMmExOTdhMzI0|REF|LGL180526.1"",""14=Localizador"",""89BB0FD3"""</t>
  </si>
  <si>
    <t>=NL("Filas","SQL="&amp;
"select MAX(td.[Nº movimiento]) num_mov "&amp;
"  from [dbo].[MEDIAPOST SPAIN$Tracking Documento] td with (nolock) "&amp;
"  WHERE td.[Nº documento] = '"&amp;NF($B98,"No_ referencia transporte")&amp;"' "&amp;
"    AND td.[Cód_ incidencia] &lt;&gt; '' ",{"num_mov"},"Datasource=","SQL-Navision")</t>
  </si>
  <si>
    <t>=IF(NF($C98,"num_mov")="","",NL(,"Tracking Documento",,"Nº movimiento",NF($C98,"num_mov"),"Conexión=","Navision","Empresa=","MEDIAPOST SPAIN"))</t>
  </si>
  <si>
    <t>=NF($B98,"No_ documento cliente")</t>
  </si>
  <si>
    <t>=NF($B98,"No_ referencia transporte")</t>
  </si>
  <si>
    <t>=NF($B98,"Nº Expedición")</t>
  </si>
  <si>
    <t>=NF($B98,"C_P_ punto entrega")</t>
  </si>
  <si>
    <t>=NF($B98,"fecha_prep")</t>
  </si>
  <si>
    <t>=NF($B98,"Fecha expedido")</t>
  </si>
  <si>
    <t>=NF($B98,"Estado")</t>
  </si>
  <si>
    <t>=NF($D98,"fecha")</t>
  </si>
  <si>
    <t>=NF($D98,"Descripción incidencia")</t>
  </si>
  <si>
    <t>=NF($B98,"Cód_ transportista")</t>
  </si>
  <si>
    <t>=NF($B98,"Cód_ servicio solicitado")</t>
  </si>
  <si>
    <t>=NF($B98,"Link imagen")</t>
  </si>
  <si>
    <t>=NF($B98,"Localizador")</t>
  </si>
  <si>
    <t>="""SQL-NAVISION"","""",""SQL="",""14=No_"",""PD260087165"",""14=No_ documento cliente"",""MHM190526"",""14=No_ referencia transporte"",""MHM190526"",""14=Nº Expedición"",""5602460"",""14=Nombre punto entrega"",""MARIAN HOSSAIN MOHAMED"",""14=Dirección punto entrega"",""Loma larga, 12 "&amp;"urb playa Benítez nºl 1 1ºA"",""14=C_P_ punto entrega"",""51004"",""14=Población punto entrega"",""CEUTA"",""14=Provincia punto entrega"",""CEUTA"",""14=País punto entrega"",""ES"",""14=Estado"",""En Reparto"",""15=fecha_prep"",""19/05/2026"",""15=Fecha expedido"",""19/05/2026"",""14="&amp;"Cód_ transportista"",""ASM"",""14=Cód_ servicio solicitado"",""PRESUPUESTO"",""14=Link imagen"",""https://mygls.gls-spain.es/e/31200805602460/51004"",""14=Localizador"","""""</t>
  </si>
  <si>
    <t>=NL("Filas","SQL="&amp;
"select MAX(td.[Nº movimiento]) num_mov "&amp;
"  from [dbo].[MEDIAPOST SPAIN$Tracking Documento] td with (nolock) "&amp;
"  WHERE td.[Nº documento] = '"&amp;NF($B99,"No_ referencia transporte")&amp;"' "&amp;
"    AND td.[Cód_ incidencia] &lt;&gt; '' ",{"num_mov"},"Datasource=","SQL-Navision")</t>
  </si>
  <si>
    <t>=IF(NF($C99,"num_mov")="","",NL(,"Tracking Documento",,"Nº movimiento",NF($C99,"num_mov"),"Conexión=","Navision","Empresa=","MEDIAPOST SPAIN"))</t>
  </si>
  <si>
    <t>=NF($B99,"No_ documento cliente")</t>
  </si>
  <si>
    <t>=NF($B99,"No_ referencia transporte")</t>
  </si>
  <si>
    <t>=NF($B99,"Nº Expedición")</t>
  </si>
  <si>
    <t>=NF($B99,"C_P_ punto entrega")</t>
  </si>
  <si>
    <t>=NF($B99,"fecha_prep")</t>
  </si>
  <si>
    <t>=NF($B99,"Fecha expedido")</t>
  </si>
  <si>
    <t>=NF($B99,"Estado")</t>
  </si>
  <si>
    <t>=NF($D99,"fecha")</t>
  </si>
  <si>
    <t>=NF($D99,"Descripción incidencia")</t>
  </si>
  <si>
    <t>=NF($B99,"Cód_ transportista")</t>
  </si>
  <si>
    <t>=NF($B99,"Cód_ servicio solicitado")</t>
  </si>
  <si>
    <t>=NF($B99,"Link imagen")</t>
  </si>
  <si>
    <t>=NF($B99,"Localizador")</t>
  </si>
  <si>
    <t>="""SQL-NAVISION"","""",""SQL="",""14=No_"",""PD260087160"",""14=No_ documento cliente"",""MILG190526"",""14=No_ referencia transporte"",""MILG190526"",""14=Nº Expedición"",""0865425410"",""14=Nombre punto entrega"",""MARIA ISABEL LOPEZ GOMEZ"",""14=Dirección punto entrega"",""Calle La"&amp;"iseca 144 A, n°6"",""14=C_P_ punto entrega"",""39709"",""14=Población punto entrega"",""Sámano Castro Urdiales"",""14=Provincia punto entrega"",""CANTABRIA"",""14=País punto entrega"",""ES"",""14=Estado"",""Entregado"",""15=fecha_prep"",""19/05/2026"",""15=Fecha expedido"",""19/05/2"&amp;"026"",""14=Cód_ transportista"",""DHL"",""14=Cód_ servicio solicitado"",""STD"",""14=Link imagen"",""https://clientesparcel.dhl.es/seguimientoenvios/integra/SeguimientoDocumentos.aspx?codigo=0865425410&amp;anno=2026&amp;lang=sp&amp;zatar=q45LoBtfSS29xHGRDZ57"",""14=Localizador"","""""</t>
  </si>
  <si>
    <t>=NL("Filas","SQL="&amp;
"select MAX(td.[Nº movimiento]) num_mov "&amp;
"  from [dbo].[MEDIAPOST SPAIN$Tracking Documento] td with (nolock) "&amp;
"  WHERE td.[Nº documento] = '"&amp;NF($B100,"No_ referencia transporte")&amp;"' "&amp;
"    AND td.[Cód_ incidencia] &lt;&gt; '' ",{"num_mov"},"Datasource=","SQL-Navision")</t>
  </si>
  <si>
    <t>=IF(NF($C100,"num_mov")="","",NL(,"Tracking Documento",,"Nº movimiento",NF($C100,"num_mov"),"Conexión=","Navision","Empresa=","MEDIAPOST SPAIN"))</t>
  </si>
  <si>
    <t>=NF($B100,"No_ documento cliente")</t>
  </si>
  <si>
    <t>=NF($B100,"No_ referencia transporte")</t>
  </si>
  <si>
    <t>=NF($B100,"Nº Expedición")</t>
  </si>
  <si>
    <t>=NF($B100,"C_P_ punto entrega")</t>
  </si>
  <si>
    <t>=NF($B100,"fecha_prep")</t>
  </si>
  <si>
    <t>=NF($B100,"Fecha expedido")</t>
  </si>
  <si>
    <t>=NF($B100,"Estado")</t>
  </si>
  <si>
    <t>=NF($D100,"fecha")</t>
  </si>
  <si>
    <t>=NF($D100,"Descripción incidencia")</t>
  </si>
  <si>
    <t>=NF($B100,"Cód_ transportista")</t>
  </si>
  <si>
    <t>=NF($B100,"Cód_ servicio solicitado")</t>
  </si>
  <si>
    <t>=NF($B100,"Link imagen")</t>
  </si>
  <si>
    <t>=NF($B100,"Localizador")</t>
  </si>
  <si>
    <t>="""SQL-NAVISION"","""",""SQL="",""14=No_"",""PD260086489"",""14=No_ documento cliente"",""63226000186"",""14=No_ referencia transporte"",""63226000186"",""14=Nº Expedición"",""1200794745"",""14=Nombre punto entrega"",""Estanco Raga"",""14=Dirección punto entrega"",""Almussafes, 8"",""14"&amp;"=C_P_ punto entrega"",""46450"",""14=Población punto entrega"",""Benifaió"",""14=Provincia punto entrega"",""Valencia"",""14=País punto entrega"",""ES"",""14=Estado"",""Entregado"",""15=fecha_prep"",""19/05/2026"",""15=Fecha expedido"",""19/05/2026"",""14=Cód_ transportista"",""TIPSA"""&amp;",""14=Cód_ servicio solicitado"",""STD"",""14=Link imagen"",""https://www.tip-sa.com/cliente/datos.php?id=028001095856322600018646450"",""14=Localizador"",""0280010280011200794745"""</t>
  </si>
  <si>
    <t>=NL("Filas","SQL="&amp;
"select MAX(td.[Nº movimiento]) num_mov "&amp;
"  from [dbo].[MEDIAPOST SPAIN$Tracking Documento] td with (nolock) "&amp;
"  WHERE td.[Nº documento] = '"&amp;NF($B101,"No_ referencia transporte")&amp;"' "&amp;
"    AND td.[Cód_ incidencia] &lt;&gt; '' ",{"num_mov"},"Datasource=","SQL-Navision")</t>
  </si>
  <si>
    <t>=IF(NF($C101,"num_mov")="","",NL(,"Tracking Documento",,"Nº movimiento",NF($C101,"num_mov"),"Conexión=","Navision","Empresa=","MEDIAPOST SPAIN"))</t>
  </si>
  <si>
    <t>=NF($B101,"No_ documento cliente")</t>
  </si>
  <si>
    <t>=NF($B101,"No_ referencia transporte")</t>
  </si>
  <si>
    <t>=NF($B101,"Nº Expedición")</t>
  </si>
  <si>
    <t>=NF($B101,"C_P_ punto entrega")</t>
  </si>
  <si>
    <t>=NF($B101,"fecha_prep")</t>
  </si>
  <si>
    <t>=NF($B101,"Fecha expedido")</t>
  </si>
  <si>
    <t>=NF($B101,"Estado")</t>
  </si>
  <si>
    <t>=NF($D101,"fecha")</t>
  </si>
  <si>
    <t>=NF($D101,"Descripción incidencia")</t>
  </si>
  <si>
    <t>=NF($B101,"Cód_ transportista")</t>
  </si>
  <si>
    <t>=NF($B101,"Cód_ servicio solicitado")</t>
  </si>
  <si>
    <t>=NF($B101,"Link imagen")</t>
  </si>
  <si>
    <t>=NF($B101,"Localizador")</t>
  </si>
  <si>
    <t>="""SQL-NAVISION"","""",""SQL="",""14=No_"",""PD260086411"",""14=No_ documento cliente"",""LGL180526.1"",""14=No_ referencia transporte"",""LGL180526.1"",""14=Nº Expedición"",""917400040898"",""14=Nombre punto entrega"",""VIC TRASTERS_Nº BOX 906"",""14=Dirección punto entrega"",""Carre"&amp;"r de Francesc Santcliment, 87"",""14=C_P_ punto entrega"",""08500"",""14=Población punto entrega"",""VIC"",""14=Provincia punto entrega"",""BARCELONA"",""14=País punto entrega"",""ES"",""14=Estado"",""Entregado"",""15=fecha_prep"",""19/05/2026"",""15=Fecha expedido"",""19/05/2026"","""&amp;"14=Cód_ transportista"",""CBL"",""14=Cód_ servicio solicitado"",""STD"",""14=Link imagen"",""http://clientes.cbl-logistica.com/public/ShowPOD.aspx?query=NmQ3MDI2ZmYtNDg4Yy05ZTE4LTU1ZGYtZGRlMmExOTdhMzI0|REF|LGL180526.1"",""14=Localizador"",""89BB0FD3"""</t>
  </si>
  <si>
    <t>=NL("Filas","SQL="&amp;
"select MAX(td.[Nº movimiento]) num_mov "&amp;
"  from [dbo].[MEDIAPOST SPAIN$Tracking Documento] td with (nolock) "&amp;
"  WHERE td.[Nº documento] = '"&amp;NF($B102,"No_ referencia transporte")&amp;"' "&amp;
"    AND td.[Cód_ incidencia] &lt;&gt; '' ",{"num_mov"},"Datasource=","SQL-Navision")</t>
  </si>
  <si>
    <t>=IF(NF($C102,"num_mov")="","",NL(,"Tracking Documento",,"Nº movimiento",NF($C102,"num_mov"),"Conexión=","Navision","Empresa=","MEDIAPOST SPAIN"))</t>
  </si>
  <si>
    <t>=NF($B102,"No_ documento cliente")</t>
  </si>
  <si>
    <t>=NF($B102,"No_ referencia transporte")</t>
  </si>
  <si>
    <t>=NF($B102,"Nº Expedición")</t>
  </si>
  <si>
    <t>=NF($B102,"C_P_ punto entrega")</t>
  </si>
  <si>
    <t>=NF($B102,"fecha_prep")</t>
  </si>
  <si>
    <t>=NF($B102,"Fecha expedido")</t>
  </si>
  <si>
    <t>=NF($B102,"Estado")</t>
  </si>
  <si>
    <t>=NF($D102,"fecha")</t>
  </si>
  <si>
    <t>=NF($D102,"Descripción incidencia")</t>
  </si>
  <si>
    <t>=NF($B102,"Cód_ transportista")</t>
  </si>
  <si>
    <t>=NF($B102,"Cód_ servicio solicitado")</t>
  </si>
  <si>
    <t>=NF($B102,"Link imagen")</t>
  </si>
  <si>
    <t>=NF($B102,"Localizador")</t>
  </si>
  <si>
    <t>="""SQL-NAVISION"","""",""SQL="",""14=No_"",""PD260087696"",""14=No_ documento cliente"",""INPOST200526.1"",""14=No_ referencia transporte"",""X26026713"",""14=Nº Expedición"",""1200795345"",""14=Nombre punto entrega"",""TIPSA BADALONA"",""14=Dirección punto entrega"",""CARRER DE LA MA"&amp;"R JONICA, 5,LOCAL 14"",""14=C_P_ punto entrega"",""08918"",""14=Población punto entrega"",""BADALONA"",""14=Provincia punto entrega"",""Barcelona"",""14=País punto entrega"",""ES"",""14=Estado"",""Entregado"",""15=fecha_prep"",""20/05/2026"",""15=Fecha expedido"",""20/05/2026"",""14=C"&amp;"ód_ transportista"",""TIPSA"",""14=Cód_ servicio solicitado"",""STD"",""14=Link imagen"",""https://www.tip-sa.com/cliente/datos.php?id=02800109585X2602671308918"",""14=Localizador"",""0280010280011200795345"""</t>
  </si>
  <si>
    <t>=NL("Filas","SQL="&amp;
"select MAX(td.[Nº movimiento]) num_mov "&amp;
"  from [dbo].[MEDIAPOST SPAIN$Tracking Documento] td with (nolock) "&amp;
"  WHERE td.[Nº documento] = '"&amp;NF($B103,"No_ referencia transporte")&amp;"' "&amp;
"    AND td.[Cód_ incidencia] &lt;&gt; '' ",{"num_mov"},"Datasource=","SQL-Navision")</t>
  </si>
  <si>
    <t>=IF(NF($C103,"num_mov")="","",NL(,"Tracking Documento",,"Nº movimiento",NF($C103,"num_mov"),"Conexión=","Navision","Empresa=","MEDIAPOST SPAIN"))</t>
  </si>
  <si>
    <t>=NF($B103,"No_ documento cliente")</t>
  </si>
  <si>
    <t>=NF($B103,"No_ referencia transporte")</t>
  </si>
  <si>
    <t>=NF($B103,"Nº Expedición")</t>
  </si>
  <si>
    <t>=NF($B103,"C_P_ punto entrega")</t>
  </si>
  <si>
    <t>=NF($B103,"fecha_prep")</t>
  </si>
  <si>
    <t>=NF($B103,"Fecha expedido")</t>
  </si>
  <si>
    <t>=NF($B103,"Estado")</t>
  </si>
  <si>
    <t>=NF($D103,"fecha")</t>
  </si>
  <si>
    <t>=NF($D103,"Descripción incidencia")</t>
  </si>
  <si>
    <t>=NF($B103,"Cód_ transportista")</t>
  </si>
  <si>
    <t>=NF($B103,"Cód_ servicio solicitado")</t>
  </si>
  <si>
    <t>=NF($B103,"Link imagen")</t>
  </si>
  <si>
    <t>=NF($B103,"Localizador")</t>
  </si>
  <si>
    <t>="""SQL-NAVISION"","""",""SQL="",""14=No_"",""PD260088001"",""14=No_ documento cliente"",""MVDP200526BAL2"",""14=No_ referencia transporte"",""MVDP200526BAL2"",""14=Nº Expedición"",""0865425550"",""14=Nombre punto entrega"",""DHL SEGOVIA"",""14=Dirección punto entrega"",""RECOGEN EN AG"&amp;"ENCIA"",""14=C_P_ punto entrega"",""40195"",""14=Población punto entrega"",""SEGOVIA"",""14=Provincia punto entrega"",""SEGOVIA"",""14=País punto entrega"",""ES"",""14=Estado"",""Entregado"",""15=fecha_prep"",""20/05/2026"",""15=Fecha expedido"",""20/05/2026"",""14=Cód_ transportista"""&amp;",""DHL"",""14=Cód_ servicio solicitado"",""STD"",""14=Link imagen"",""https://clientesparcel.dhl.es/seguimientoenvios/integra/SeguimientoDocumentos.aspx?codigo=0865425550&amp;anno=2026&amp;lang=sp&amp;zatar=q45LoBtfSS29xHGRDZ57"",""14=Localizador"","""""</t>
  </si>
  <si>
    <t>=NL("Filas","SQL="&amp;
"select MAX(td.[Nº movimiento]) num_mov "&amp;
"  from [dbo].[MEDIAPOST SPAIN$Tracking Documento] td with (nolock) "&amp;
"  WHERE td.[Nº documento] = '"&amp;NF($B104,"No_ referencia transporte")&amp;"' "&amp;
"    AND td.[Cód_ incidencia] &lt;&gt; '' ",{"num_mov"},"Datasource=","SQL-Navision")</t>
  </si>
  <si>
    <t>=IF(NF($C104,"num_mov")="","",NL(,"Tracking Documento",,"Nº movimiento",NF($C104,"num_mov"),"Conexión=","Navision","Empresa=","MEDIAPOST SPAIN"))</t>
  </si>
  <si>
    <t>=NF($B104,"No_ documento cliente")</t>
  </si>
  <si>
    <t>=NF($B104,"No_ referencia transporte")</t>
  </si>
  <si>
    <t>=NF($B104,"Nº Expedición")</t>
  </si>
  <si>
    <t>=NF($B104,"C_P_ punto entrega")</t>
  </si>
  <si>
    <t>=NF($B104,"fecha_prep")</t>
  </si>
  <si>
    <t>=NF($B104,"Fecha expedido")</t>
  </si>
  <si>
    <t>=NF($B104,"Estado")</t>
  </si>
  <si>
    <t>=NF($D104,"fecha")</t>
  </si>
  <si>
    <t>=NF($D104,"Descripción incidencia")</t>
  </si>
  <si>
    <t>=NF($B104,"Cód_ transportista")</t>
  </si>
  <si>
    <t>=NF($B104,"Cód_ servicio solicitado")</t>
  </si>
  <si>
    <t>=NF($B104,"Link imagen")</t>
  </si>
  <si>
    <t>=NF($B104,"Localizador")</t>
  </si>
  <si>
    <t>="""SQL-NAVISION"","""",""SQL="",""14=No_"",""PD260088002"",""14=No_ documento cliente"",""MVDP200526BAL3"",""14=No_ referencia transporte"",""MVDP200526BAL3"",""14=Nº Expedición"",""0865425560"",""14=Nombre punto entrega"",""DHL SEGOVIA"",""14=Dirección punto entrega"",""RECOGEN EN AG"&amp;"ENCIA"",""14=C_P_ punto entrega"",""40195"",""14=Población punto entrega"",""SEGOVIA"",""14=Provincia punto entrega"",""SEGOVIA"",""14=País punto entrega"",""ES"",""14=Estado"",""Entregado"",""15=fecha_prep"",""20/05/2026"",""15=Fecha expedido"",""20/05/2026"",""14=Cód_ transportista"""&amp;",""DHL"",""14=Cód_ servicio solicitado"",""STD"",""14=Link imagen"",""https://clientesparcel.dhl.es/seguimientoenvios/integra/SeguimientoDocumentos.aspx?codigo=0865425560&amp;anno=2026&amp;lang=sp&amp;zatar=q45LoBtfSS29xHGRDZ57"",""14=Localizador"","""""</t>
  </si>
  <si>
    <t>=NL("Filas","SQL="&amp;
"select MAX(td.[Nº movimiento]) num_mov "&amp;
"  from [dbo].[MEDIAPOST SPAIN$Tracking Documento] td with (nolock) "&amp;
"  WHERE td.[Nº documento] = '"&amp;NF($B105,"No_ referencia transporte")&amp;"' "&amp;
"    AND td.[Cód_ incidencia] &lt;&gt; '' ",{"num_mov"},"Datasource=","SQL-Navision")</t>
  </si>
  <si>
    <t>=IF(NF($C105,"num_mov")="","",NL(,"Tracking Documento",,"Nº movimiento",NF($C105,"num_mov"),"Conexión=","Navision","Empresa=","MEDIAPOST SPAIN"))</t>
  </si>
  <si>
    <t>=NF($B105,"No_ documento cliente")</t>
  </si>
  <si>
    <t>=NF($B105,"No_ referencia transporte")</t>
  </si>
  <si>
    <t>=NF($B105,"Nº Expedición")</t>
  </si>
  <si>
    <t>=NF($B105,"C_P_ punto entrega")</t>
  </si>
  <si>
    <t>=NF($B105,"fecha_prep")</t>
  </si>
  <si>
    <t>=NF($B105,"Fecha expedido")</t>
  </si>
  <si>
    <t>=NF($B105,"Estado")</t>
  </si>
  <si>
    <t>=NF($D105,"fecha")</t>
  </si>
  <si>
    <t>=NF($D105,"Descripción incidencia")</t>
  </si>
  <si>
    <t>=NF($B105,"Cód_ transportista")</t>
  </si>
  <si>
    <t>=NF($B105,"Cód_ servicio solicitado")</t>
  </si>
  <si>
    <t>=NF($B105,"Link imagen")</t>
  </si>
  <si>
    <t>=NF($B105,"Localizador")</t>
  </si>
  <si>
    <t>="""SQL-NAVISION"","""",""SQL="",""14=No_"",""PD260087999"",""14=No_ documento cliente"",""MVDP200526ZOR3"",""14=No_ referencia transporte"",""MVDP200526ZOR3"",""14=Nº Expedición"",""0865425530"",""14=Nombre punto entrega"",""DHL SEGOVIA"",""14=Dirección punto entrega"",""RECOGEN EN AG"&amp;"ENCIA"",""14=C_P_ punto entrega"",""40195"",""14=Población punto entrega"",""SEGOVIA"",""14=Provincia punto entrega"",""SEGOVIA"",""14=País punto entrega"",""ES"",""14=Estado"",""Entregado"",""15=fecha_prep"",""20/05/2026"",""15=Fecha expedido"",""20/05/2026"",""14=Cód_ transportista"""&amp;",""DHL"",""14=Cód_ servicio solicitado"",""STD"",""14=Link imagen"",""https://clientesparcel.dhl.es/seguimientoenvios/integra/SeguimientoDocumentos.aspx?codigo=0865425530&amp;anno=2026&amp;lang=sp&amp;zatar=q45LoBtfSS29xHGRDZ57"",""14=Localizador"","""""</t>
  </si>
  <si>
    <t>=NL("Filas","SQL="&amp;
"select MAX(td.[Nº movimiento]) num_mov "&amp;
"  from [dbo].[MEDIAPOST SPAIN$Tracking Documento] td with (nolock) "&amp;
"  WHERE td.[Nº documento] = '"&amp;NF($B106,"No_ referencia transporte")&amp;"' "&amp;
"    AND td.[Cód_ incidencia] &lt;&gt; '' ",{"num_mov"},"Datasource=","SQL-Navision")</t>
  </si>
  <si>
    <t>=IF(NF($C106,"num_mov")="","",NL(,"Tracking Documento",,"Nº movimiento",NF($C106,"num_mov"),"Conexión=","Navision","Empresa=","MEDIAPOST SPAIN"))</t>
  </si>
  <si>
    <t>=NF($B106,"No_ documento cliente")</t>
  </si>
  <si>
    <t>=NF($B106,"No_ referencia transporte")</t>
  </si>
  <si>
    <t>=NF($B106,"Nº Expedición")</t>
  </si>
  <si>
    <t>=NF($B106,"C_P_ punto entrega")</t>
  </si>
  <si>
    <t>=NF($B106,"fecha_prep")</t>
  </si>
  <si>
    <t>=NF($B106,"Fecha expedido")</t>
  </si>
  <si>
    <t>=NF($B106,"Estado")</t>
  </si>
  <si>
    <t>=NF($D106,"fecha")</t>
  </si>
  <si>
    <t>=NF($D106,"Descripción incidencia")</t>
  </si>
  <si>
    <t>=NF($B106,"Cód_ transportista")</t>
  </si>
  <si>
    <t>=NF($B106,"Cód_ servicio solicitado")</t>
  </si>
  <si>
    <t>=NF($B106,"Link imagen")</t>
  </si>
  <si>
    <t>=NF($B106,"Localizador")</t>
  </si>
  <si>
    <t>="""SQL-NAVISION"","""",""SQL="",""14=No_"",""PD260086825"",""14=No_ documento cliente"",""FINAL STOCK-2"",""14=No_ referencia transporte"",""FINAL STOCK-2"",""14=Nº Expedición"",""26040755"",""14=Nombre punto entrega"",""Team PLV"",""14=Dirección punto entrega"",""Avenida de los ofici"&amp;"os números 17 b y 17c"",""14=C_P_ punto entrega"",""45222"",""14=Población punto entrega"",""BOROX"",""14=Provincia punto entrega"",""TOLEDO"",""14=País punto entrega"",""ES"",""14=Estado"",""Entregado"",""15=fecha_prep"",""20/05/2026"",""15=Fecha expedido"",""20/05/2026"",""14=Cód_ t"&amp;"ransportista"",""NULO"",""14=Cód_ servicio solicitado"",""PRESUPUESTO"",""14=Link imagen"",""https://img.directoatusclientes.com/iris/POD/NULO/FINAL STOCK-2.pdf"",""14=Localizador"","""""</t>
  </si>
  <si>
    <t>=NL("Filas","SQL="&amp;
"select MAX(td.[Nº movimiento]) num_mov "&amp;
"  from [dbo].[MEDIAPOST SPAIN$Tracking Documento] td with (nolock) "&amp;
"  WHERE td.[Nº documento] = '"&amp;NF($B107,"No_ referencia transporte")&amp;"' "&amp;
"    AND td.[Cód_ incidencia] &lt;&gt; '' ",{"num_mov"},"Datasource=","SQL-Navision")</t>
  </si>
  <si>
    <t>=IF(NF($C107,"num_mov")="","",NL(,"Tracking Documento",,"Nº movimiento",NF($C107,"num_mov"),"Conexión=","Navision","Empresa=","MEDIAPOST SPAIN"))</t>
  </si>
  <si>
    <t>=NF($B107,"No_ documento cliente")</t>
  </si>
  <si>
    <t>=NF($B107,"No_ referencia transporte")</t>
  </si>
  <si>
    <t>=NF($B107,"Nº Expedición")</t>
  </si>
  <si>
    <t>=NF($B107,"C_P_ punto entrega")</t>
  </si>
  <si>
    <t>=NF($B107,"fecha_prep")</t>
  </si>
  <si>
    <t>=NF($B107,"Fecha expedido")</t>
  </si>
  <si>
    <t>=NF($B107,"Estado")</t>
  </si>
  <si>
    <t>=NF($D107,"fecha")</t>
  </si>
  <si>
    <t>=NF($D107,"Descripción incidencia")</t>
  </si>
  <si>
    <t>=NF($B107,"Cód_ transportista")</t>
  </si>
  <si>
    <t>=NF($B107,"Cód_ servicio solicitado")</t>
  </si>
  <si>
    <t>=NF($B107,"Link imagen")</t>
  </si>
  <si>
    <t>=NF($B107,"Localizador")</t>
  </si>
  <si>
    <t>="""SQL-NAVISION"","""",""SQL="",""14=No_"",""PD260087633"",""14=No_ documento cliente"",""WW_2005_DMCR"",""14=No_ referencia transporte"",""WW_2005_DMCR"",""14=Nº Expedición"",""0865425460"",""14=Nombre punto entrega"",""DIGNA MARIA CASTIÑEIRA RAMA"",""14=Dirección punto entrega"",""R"&amp;"UA ADUANA 19, ENT D, SAN CIPRIAN"",""14=C_P_ punto entrega"",""27890"",""14=Población punto entrega"",""CERVO"",""14=Provincia punto entrega"",""LUGO"",""14=País punto entrega"",""ES"",""14=Estado"",""Entregado"",""15=fecha_prep"",""20/05/2026"",""15=Fecha expedido"",""20/05/2026"","""&amp;"14=Cód_ transportista"",""DHL"",""14=Cód_ servicio solicitado"",""STD"",""14=Link imagen"",""https://clientesparcel.dhl.es/seguimientoenvios/integra/SeguimientoDocumentos.aspx?codigo=0865425460&amp;anno=2026&amp;lang=sp&amp;zatar=q45LoBtfSS29xHGRDZ57"",""14=Localizador"","""""</t>
  </si>
  <si>
    <t>=NL("Filas","SQL="&amp;
"select MAX(td.[Nº movimiento]) num_mov "&amp;
"  from [dbo].[MEDIAPOST SPAIN$Tracking Documento] td with (nolock) "&amp;
"  WHERE td.[Nº documento] = '"&amp;NF($B108,"No_ referencia transporte")&amp;"' "&amp;
"    AND td.[Cód_ incidencia] &lt;&gt; '' ",{"num_mov"},"Datasource=","SQL-Navision")</t>
  </si>
  <si>
    <t>=IF(NF($C108,"num_mov")="","",NL(,"Tracking Documento",,"Nº movimiento",NF($C108,"num_mov"),"Conexión=","Navision","Empresa=","MEDIAPOST SPAIN"))</t>
  </si>
  <si>
    <t>=NF($B108,"No_ documento cliente")</t>
  </si>
  <si>
    <t>=NF($B108,"No_ referencia transporte")</t>
  </si>
  <si>
    <t>=NF($B108,"Nº Expedición")</t>
  </si>
  <si>
    <t>=NF($B108,"C_P_ punto entrega")</t>
  </si>
  <si>
    <t>=NF($B108,"fecha_prep")</t>
  </si>
  <si>
    <t>=NF($B108,"Fecha expedido")</t>
  </si>
  <si>
    <t>=NF($B108,"Estado")</t>
  </si>
  <si>
    <t>=NF($D108,"fecha")</t>
  </si>
  <si>
    <t>=NF($D108,"Descripción incidencia")</t>
  </si>
  <si>
    <t>=NF($B108,"Cód_ transportista")</t>
  </si>
  <si>
    <t>=NF($B108,"Cód_ servicio solicitado")</t>
  </si>
  <si>
    <t>=NF($B108,"Link imagen")</t>
  </si>
  <si>
    <t>=NF($B108,"Localizador")</t>
  </si>
  <si>
    <t>="""SQL-NAVISION"","""",""SQL="",""14=No_"",""PD260087391"",""14=No_ documento cliente"",""FINAL STOCK"",""14=No_ referencia transporte"",""FINAL STOCK_01"",""14=Nº Expedición"",""26040754"",""14=Nombre punto entrega"",""Team PLV"",""14=Dirección punto entrega"",""Avenida de los oficio"&amp;"s números 17 b y 17c"",""14=C_P_ punto entrega"",""45222"",""14=Población punto entrega"",""BOROX"",""14=Provincia punto entrega"",""TOLEDO"",""14=País punto entrega"",""ES"",""14=Estado"",""Entregado"",""15=fecha_prep"",""20/05/2026"",""15=Fecha expedido"",""20/05/2026"",""14=Cód_ tr"&amp;"ansportista"",""NULO"",""14=Cód_ servicio solicitado"",""PRESUPUESTO"",""14=Link imagen"",""https://img.directoatusclientes.com/iris/POD/NULO/FINAL STOCK_01.pdf"",""14=Localizador"","""""</t>
  </si>
  <si>
    <t>=NL("Filas","SQL="&amp;
"select MAX(td.[Nº movimiento]) num_mov "&amp;
"  from [dbo].[MEDIAPOST SPAIN$Tracking Documento] td with (nolock) "&amp;
"  WHERE td.[Nº documento] = '"&amp;NF($B109,"No_ referencia transporte")&amp;"' "&amp;
"    AND td.[Cód_ incidencia] &lt;&gt; '' ",{"num_mov"},"Datasource=","SQL-Navision")</t>
  </si>
  <si>
    <t>=IF(NF($C109,"num_mov")="","",NL(,"Tracking Documento",,"Nº movimiento",NF($C109,"num_mov"),"Conexión=","Navision","Empresa=","MEDIAPOST SPAIN"))</t>
  </si>
  <si>
    <t>=NF($B109,"No_ documento cliente")</t>
  </si>
  <si>
    <t>=NF($B109,"No_ referencia transporte")</t>
  </si>
  <si>
    <t>=NF($B109,"Nº Expedición")</t>
  </si>
  <si>
    <t>=NF($B109,"C_P_ punto entrega")</t>
  </si>
  <si>
    <t>=NF($B109,"fecha_prep")</t>
  </si>
  <si>
    <t>=NF($B109,"Fecha expedido")</t>
  </si>
  <si>
    <t>=NF($B109,"Estado")</t>
  </si>
  <si>
    <t>=NF($D109,"fecha")</t>
  </si>
  <si>
    <t>=NF($D109,"Descripción incidencia")</t>
  </si>
  <si>
    <t>=NF($B109,"Cód_ transportista")</t>
  </si>
  <si>
    <t>=NF($B109,"Cód_ servicio solicitado")</t>
  </si>
  <si>
    <t>=NF($B109,"Link imagen")</t>
  </si>
  <si>
    <t>=NF($B109,"Localizador")</t>
  </si>
  <si>
    <t>="""SQL-NAVISION"","""",""SQL="",""14=No_"",""PD260087997"",""14=No_ documento cliente"",""MVDP200526ZOR1"",""14=No_ referencia transporte"",""MVDP200526ZOR1"",""14=Nº Expedición"",""0865425510"",""14=Nombre punto entrega"",""DHL SEGOVIA"",""14=Dirección punto entrega"",""RECOGEN EN AG"&amp;"ENCIA"",""14=C_P_ punto entrega"",""40195"",""14=Población punto entrega"",""SEGOVIA"",""14=Provincia punto entrega"",""SEGOVIA"",""14=País punto entrega"",""ES"",""14=Estado"",""Entregado"",""15=fecha_prep"",""20/05/2026"",""15=Fecha expedido"",""20/05/2026"",""14=Cód_ transportista"""&amp;",""DHL"",""14=Cód_ servicio solicitado"",""STD"",""14=Link imagen"",""https://clientesparcel.dhl.es/seguimientoenvios/integra/SeguimientoDocumentos.aspx?codigo=0865425510&amp;anno=2026&amp;lang=sp&amp;zatar=q45LoBtfSS29xHGRDZ57"",""14=Localizador"","""""</t>
  </si>
  <si>
    <t>=NL("Filas","SQL="&amp;
"select MAX(td.[Nº movimiento]) num_mov "&amp;
"  from [dbo].[MEDIAPOST SPAIN$Tracking Documento] td with (nolock) "&amp;
"  WHERE td.[Nº documento] = '"&amp;NF($B110,"No_ referencia transporte")&amp;"' "&amp;
"    AND td.[Cód_ incidencia] &lt;&gt; '' ",{"num_mov"},"Datasource=","SQL-Navision")</t>
  </si>
  <si>
    <t>=IF(NF($C110,"num_mov")="","",NL(,"Tracking Documento",,"Nº movimiento",NF($C110,"num_mov"),"Conexión=","Navision","Empresa=","MEDIAPOST SPAIN"))</t>
  </si>
  <si>
    <t>=NF($B110,"No_ documento cliente")</t>
  </si>
  <si>
    <t>=NF($B110,"No_ referencia transporte")</t>
  </si>
  <si>
    <t>=NF($B110,"Nº Expedición")</t>
  </si>
  <si>
    <t>=NF($B110,"C_P_ punto entrega")</t>
  </si>
  <si>
    <t>=NF($B110,"fecha_prep")</t>
  </si>
  <si>
    <t>=NF($B110,"Fecha expedido")</t>
  </si>
  <si>
    <t>=NF($B110,"Estado")</t>
  </si>
  <si>
    <t>=NF($D110,"fecha")</t>
  </si>
  <si>
    <t>=NF($D110,"Descripción incidencia")</t>
  </si>
  <si>
    <t>=NF($B110,"Cód_ transportista")</t>
  </si>
  <si>
    <t>=NF($B110,"Cód_ servicio solicitado")</t>
  </si>
  <si>
    <t>=NF($B110,"Link imagen")</t>
  </si>
  <si>
    <t>=NF($B110,"Localizador")</t>
  </si>
  <si>
    <t>="""SQL-NAVISION"","""",""SQL="",""14=No_"",""PD260087838"",""14=No_ documento cliente"",""63226000193"",""14=No_ referencia transporte"",""63226000193"",""14=Nº Expedición"",""0865425490"",""14=Nombre punto entrega"",""Marta Vazquez"",""14=Dirección punto entrega"",""Calle San Gines d"&amp;"e la Jara 7, Villanueva del Ariscal"",""14=C_P_ punto entrega"",""41808"",""14=Población punto entrega"",""SEVILLA"",""14=Provincia punto entrega"",""SEVILLA"",""14=País punto entrega"",""ES"",""14=Estado"",""Entregado"",""15=fecha_prep"",""20/05/2026"",""15=Fecha expedido"",""20/05"&amp;"/2026"",""14=Cód_ transportista"",""DHL"",""14=Cód_ servicio solicitado"",""STD"",""14=Link imagen"",""https://clientesparcel.dhl.es/seguimientoenvios/integra/SeguimientoDocumentos.aspx?codigo=0865425490&amp;anno=2026&amp;lang=sp&amp;zatar=q45LoBtfSS29xHGRDZ57"",""14=Localizador"","&amp;""""""</t>
  </si>
  <si>
    <t>=NL("Filas","SQL="&amp;
"select MAX(td.[Nº movimiento]) num_mov "&amp;
"  from [dbo].[MEDIAPOST SPAIN$Tracking Documento] td with (nolock) "&amp;
"  WHERE td.[Nº documento] = '"&amp;NF($B111,"No_ referencia transporte")&amp;"' "&amp;
"    AND td.[Cód_ incidencia] &lt;&gt; '' ",{"num_mov"},"Datasource=","SQL-Navision")</t>
  </si>
  <si>
    <t>=IF(NF($C111,"num_mov")="","",NL(,"Tracking Documento",,"Nº movimiento",NF($C111,"num_mov"),"Conexión=","Navision","Empresa=","MEDIAPOST SPAIN"))</t>
  </si>
  <si>
    <t>=NF($B111,"No_ documento cliente")</t>
  </si>
  <si>
    <t>=NF($B111,"No_ referencia transporte")</t>
  </si>
  <si>
    <t>=NF($B111,"Nº Expedición")</t>
  </si>
  <si>
    <t>=NF($B111,"C_P_ punto entrega")</t>
  </si>
  <si>
    <t>=NF($B111,"fecha_prep")</t>
  </si>
  <si>
    <t>=NF($B111,"Fecha expedido")</t>
  </si>
  <si>
    <t>=NF($B111,"Estado")</t>
  </si>
  <si>
    <t>=NF($D111,"fecha")</t>
  </si>
  <si>
    <t>=NF($D111,"Descripción incidencia")</t>
  </si>
  <si>
    <t>=NF($B111,"Cód_ transportista")</t>
  </si>
  <si>
    <t>=NF($B111,"Cód_ servicio solicitado")</t>
  </si>
  <si>
    <t>=NF($B111,"Link imagen")</t>
  </si>
  <si>
    <t>=NF($B111,"Localizador")</t>
  </si>
  <si>
    <t>="""SQL-NAVISION"","""",""SQL="",""14=No_"",""PD260088000"",""14=No_ documento cliente"",""MVDP200526BAL1"",""14=No_ referencia transporte"",""MVDP200526BAL1"",""14=Nº Expedición"",""0865425540"",""14=Nombre punto entrega"",""DHL SEGOVIA"",""14=Dirección punto entrega"",""RECOGEN EN AG"&amp;"ENCIA"",""14=C_P_ punto entrega"",""40195"",""14=Población punto entrega"",""SEGOVIA"",""14=Provincia punto entrega"",""SEGOVIA"",""14=País punto entrega"",""ES"",""14=Estado"",""Entregado"",""15=fecha_prep"",""20/05/2026"",""15=Fecha expedido"",""20/05/2026"",""14=Cód_ transportista"""&amp;",""DHL"",""14=Cód_ servicio solicitado"",""STD"",""14=Link imagen"",""https://clientesparcel.dhl.es/seguimientoenvios/integra/SeguimientoDocumentos.aspx?codigo=0865425540&amp;anno=2026&amp;lang=sp&amp;zatar=q45LoBtfSS29xHGRDZ57"",""14=Localizador"","""""</t>
  </si>
  <si>
    <t>=NL("Filas","SQL="&amp;
"select MAX(td.[Nº movimiento]) num_mov "&amp;
"  from [dbo].[MEDIAPOST SPAIN$Tracking Documento] td with (nolock) "&amp;
"  WHERE td.[Nº documento] = '"&amp;NF($B112,"No_ referencia transporte")&amp;"' "&amp;
"    AND td.[Cód_ incidencia] &lt;&gt; '' ",{"num_mov"},"Datasource=","SQL-Navision")</t>
  </si>
  <si>
    <t>=IF(NF($C112,"num_mov")="","",NL(,"Tracking Documento",,"Nº movimiento",NF($C112,"num_mov"),"Conexión=","Navision","Empresa=","MEDIAPOST SPAIN"))</t>
  </si>
  <si>
    <t>=NF($B112,"No_ documento cliente")</t>
  </si>
  <si>
    <t>=NF($B112,"No_ referencia transporte")</t>
  </si>
  <si>
    <t>=NF($B112,"Nº Expedición")</t>
  </si>
  <si>
    <t>=NF($B112,"C_P_ punto entrega")</t>
  </si>
  <si>
    <t>=NF($B112,"fecha_prep")</t>
  </si>
  <si>
    <t>=NF($B112,"Fecha expedido")</t>
  </si>
  <si>
    <t>=NF($B112,"Estado")</t>
  </si>
  <si>
    <t>=NF($D112,"fecha")</t>
  </si>
  <si>
    <t>=NF($D112,"Descripción incidencia")</t>
  </si>
  <si>
    <t>=NF($B112,"Cód_ transportista")</t>
  </si>
  <si>
    <t>=NF($B112,"Cód_ servicio solicitado")</t>
  </si>
  <si>
    <t>=NF($B112,"Link imagen")</t>
  </si>
  <si>
    <t>=NF($B112,"Localizador")</t>
  </si>
  <si>
    <t>="""SQL-NAVISION"","""",""SQL="",""14=No_"",""PD260087549"",""14=No_ documento cliente"",""FINAL STOCK-3"",""14=No_ referencia transporte"",""FINAL STOCK-3"",""14=Nº Expedición"",""26040753"",""14=Nombre punto entrega"",""Team PLV"",""14=Dirección punto entrega"",""Avenida de los ofici"&amp;"os números 17 b y 17c"",""14=C_P_ punto entrega"",""45222"",""14=Población punto entrega"",""BOROX"",""14=Provincia punto entrega"",""TOLEDO"",""14=País punto entrega"",""ES"",""14=Estado"",""Entregado"",""15=fecha_prep"",""20/05/2026"",""15=Fecha expedido"",""20/05/2026"",""14=Cód_ t"&amp;"ransportista"",""NULO"",""14=Cód_ servicio solicitado"",""PRESUPUESTO"",""14=Link imagen"",""https://img.directoatusclientes.com/iris/POD/NULO/FINAL STOCK-3.pdf"",""14=Localizador"","""""</t>
  </si>
  <si>
    <t>=NL("Filas","SQL="&amp;
"select MAX(td.[Nº movimiento]) num_mov "&amp;
"  from [dbo].[MEDIAPOST SPAIN$Tracking Documento] td with (nolock) "&amp;
"  WHERE td.[Nº documento] = '"&amp;NF($B113,"No_ referencia transporte")&amp;"' "&amp;
"    AND td.[Cód_ incidencia] &lt;&gt; '' ",{"num_mov"},"Datasource=","SQL-Navision")</t>
  </si>
  <si>
    <t>=IF(NF($C113,"num_mov")="","",NL(,"Tracking Documento",,"Nº movimiento",NF($C113,"num_mov"),"Conexión=","Navision","Empresa=","MEDIAPOST SPAIN"))</t>
  </si>
  <si>
    <t>=NF($B113,"No_ documento cliente")</t>
  </si>
  <si>
    <t>=NF($B113,"No_ referencia transporte")</t>
  </si>
  <si>
    <t>=NF($B113,"Nº Expedición")</t>
  </si>
  <si>
    <t>=NF($B113,"C_P_ punto entrega")</t>
  </si>
  <si>
    <t>=NF($B113,"fecha_prep")</t>
  </si>
  <si>
    <t>=NF($B113,"Fecha expedido")</t>
  </si>
  <si>
    <t>=NF($B113,"Estado")</t>
  </si>
  <si>
    <t>=NF($D113,"fecha")</t>
  </si>
  <si>
    <t>=NF($D113,"Descripción incidencia")</t>
  </si>
  <si>
    <t>=NF($B113,"Cód_ transportista")</t>
  </si>
  <si>
    <t>=NF($B113,"Cód_ servicio solicitado")</t>
  </si>
  <si>
    <t>=NF($B113,"Link imagen")</t>
  </si>
  <si>
    <t>=NF($B113,"Localizador")</t>
  </si>
  <si>
    <t>="""SQL-NAVISION"","""",""SQL="",""14=No_"",""PD260087998"",""14=No_ documento cliente"",""MVDP200526ZOR2"",""14=No_ referencia transporte"",""MVDP200526ZOR2"",""14=Nº Expedición"",""0865425520"",""14=Nombre punto entrega"",""DHL SEGOVIA"",""14=Dirección punto entrega"",""RECOGEN EN AG"&amp;"ENCIA"",""14=C_P_ punto entrega"",""40195"",""14=Población punto entrega"",""SEGOVIA"",""14=Provincia punto entrega"",""SEGOVIA"",""14=País punto entrega"",""ES"",""14=Estado"",""Entregado"",""15=fecha_prep"",""20/05/2026"",""15=Fecha expedido"",""20/05/2026"",""14=Cód_ transportista"""&amp;",""DHL"",""14=Cód_ servicio solicitado"",""STD"",""14=Link imagen"",""https://clientesparcel.dhl.es/seguimientoenvios/integra/SeguimientoDocumentos.aspx?codigo=0865425520&amp;anno=2026&amp;lang=sp&amp;zatar=q45LoBtfSS29xHGRDZ57"",""14=Localizador"","""""</t>
  </si>
  <si>
    <t>=NL("Filas","SQL="&amp;
"select MAX(td.[Nº movimiento]) num_mov "&amp;
"  from [dbo].[MEDIAPOST SPAIN$Tracking Documento] td with (nolock) "&amp;
"  WHERE td.[Nº documento] = '"&amp;NF($B114,"No_ referencia transporte")&amp;"' "&amp;
"    AND td.[Cód_ incidencia] &lt;&gt; '' ",{"num_mov"},"Datasource=","SQL-Navision")</t>
  </si>
  <si>
    <t>=IF(NF($C114,"num_mov")="","",NL(,"Tracking Documento",,"Nº movimiento",NF($C114,"num_mov"),"Conexión=","Navision","Empresa=","MEDIAPOST SPAIN"))</t>
  </si>
  <si>
    <t>=NF($B114,"No_ documento cliente")</t>
  </si>
  <si>
    <t>=NF($B114,"No_ referencia transporte")</t>
  </si>
  <si>
    <t>=NF($B114,"Nº Expedición")</t>
  </si>
  <si>
    <t>=NF($B114,"C_P_ punto entrega")</t>
  </si>
  <si>
    <t>=NF($B114,"fecha_prep")</t>
  </si>
  <si>
    <t>=NF($B114,"Fecha expedido")</t>
  </si>
  <si>
    <t>=NF($B114,"Estado")</t>
  </si>
  <si>
    <t>=NF($D114,"fecha")</t>
  </si>
  <si>
    <t>=NF($D114,"Descripción incidencia")</t>
  </si>
  <si>
    <t>=NF($B114,"Cód_ transportista")</t>
  </si>
  <si>
    <t>=NF($B114,"Cód_ servicio solicitado")</t>
  </si>
  <si>
    <t>=NF($B114,"Link imagen")</t>
  </si>
  <si>
    <t>=NF($B114,"Localizador")</t>
  </si>
  <si>
    <t>="""SQL-NAVISION"","""",""SQL="",""14=No_"",""PD260087837"",""14=No_ documento cliente"",""63226000191"",""14=No_ referencia transporte"",""63226000191"",""14=Nº Expedición"",""0865425480"",""14=Nombre punto entrega"",""Recoger en Delegación / Sergio Alcántara"",""14=Dirección punto "&amp;"entrega"",""RECOGER EN DELEGACION"",""14=C_P_ punto entrega"",""29130"",""14=Población punto entrega"",""Alhaurín de la Torre"",""14=Provincia punto entrega"",""Malaga"",""14=País punto entrega"",""ES"",""14=Estado"",""En Reparto"",""15=fecha_prep"",""20/05/2026"",""15=Fecha expedid"&amp;"o"",""20/05/2026"",""14=Cód_ transportista"",""DHL"",""14=Cód_ servicio solicitado"",""STD"",""14=Link imagen"",""https://clientesparcel.dhl.es/seguimientoenvios/integra/SeguimientoDocumentos.aspx?codigo=0865425480&amp;anno=2026&amp;lang=sp&amp;zatar=q45LoBtfSS29xHGRDZ57"",""14=Loca"&amp;"lizador"","""""</t>
  </si>
  <si>
    <t>=NL("Filas","SQL="&amp;
"select MAX(td.[Nº movimiento]) num_mov "&amp;
"  from [dbo].[MEDIAPOST SPAIN$Tracking Documento] td with (nolock) "&amp;
"  WHERE td.[Nº documento] = '"&amp;NF($B115,"No_ referencia transporte")&amp;"' "&amp;
"    AND td.[Cód_ incidencia] &lt;&gt; '' ",{"num_mov"},"Datasource=","SQL-Navision")</t>
  </si>
  <si>
    <t>=IF(NF($C115,"num_mov")="","",NL(,"Tracking Documento",,"Nº movimiento",NF($C115,"num_mov"),"Conexión=","Navision","Empresa=","MEDIAPOST SPAIN"))</t>
  </si>
  <si>
    <t>=NF($B115,"No_ documento cliente")</t>
  </si>
  <si>
    <t>=NF($B115,"No_ referencia transporte")</t>
  </si>
  <si>
    <t>=NF($B115,"Nº Expedición")</t>
  </si>
  <si>
    <t>=NF($B115,"C_P_ punto entrega")</t>
  </si>
  <si>
    <t>=NF($B115,"fecha_prep")</t>
  </si>
  <si>
    <t>=NF($B115,"Fecha expedido")</t>
  </si>
  <si>
    <t>=NF($B115,"Estado")</t>
  </si>
  <si>
    <t>=NF($D115,"fecha")</t>
  </si>
  <si>
    <t>=NF($D115,"Descripción incidencia")</t>
  </si>
  <si>
    <t>=NF($B115,"Cód_ transportista")</t>
  </si>
  <si>
    <t>=NF($B115,"Cód_ servicio solicitado")</t>
  </si>
  <si>
    <t>=NF($B115,"Link imagen")</t>
  </si>
  <si>
    <t>=NF($B115,"Localizador")</t>
  </si>
  <si>
    <t>="""SQL-NAVISION"","""",""SQL="",""14=No_"",""PD260088003"",""14=No_ documento cliente"",""MVDP200526BAL4"",""14=No_ referencia transporte"",""MVDP200526BAL4"",""14=Nº Expedición"",""0865425570"",""14=Nombre punto entrega"",""DHL SEGOVIA"",""14=Dirección punto entrega"",""RECOGEN EN AG"&amp;"ENCIA"",""14=C_P_ punto entrega"",""40195"",""14=Población punto entrega"",""SEGOVIA"",""14=Provincia punto entrega"",""SEGOVIA"",""14=País punto entrega"",""ES"",""14=Estado"",""Entregado"",""15=fecha_prep"",""20/05/2026"",""15=Fecha expedido"",""20/05/2026"",""14=Cód_ transportista"""&amp;",""DHL"",""14=Cód_ servicio solicitado"",""STD"",""14=Link imagen"",""https://clientesparcel.dhl.es/seguimientoenvios/integra/SeguimientoDocumentos.aspx?codigo=0865425570&amp;anno=2026&amp;lang=sp&amp;zatar=q45LoBtfSS29xHGRDZ57"",""14=Localizador"","""""</t>
  </si>
  <si>
    <t>=NL("Filas","SQL="&amp;
"select MAX(td.[Nº movimiento]) num_mov "&amp;
"  from [dbo].[MEDIAPOST SPAIN$Tracking Documento] td with (nolock) "&amp;
"  WHERE td.[Nº documento] = '"&amp;NF($B116,"No_ referencia transporte")&amp;"' "&amp;
"    AND td.[Cód_ incidencia] &lt;&gt; '' ",{"num_mov"},"Datasource=","SQL-Navision")</t>
  </si>
  <si>
    <t>=IF(NF($C116,"num_mov")="","",NL(,"Tracking Documento",,"Nº movimiento",NF($C116,"num_mov"),"Conexión=","Navision","Empresa=","MEDIAPOST SPAIN"))</t>
  </si>
  <si>
    <t>=NF($B116,"No_ documento cliente")</t>
  </si>
  <si>
    <t>=NF($B116,"No_ referencia transporte")</t>
  </si>
  <si>
    <t>=NF($B116,"Nº Expedición")</t>
  </si>
  <si>
    <t>=NF($B116,"C_P_ punto entrega")</t>
  </si>
  <si>
    <t>=NF($B116,"fecha_prep")</t>
  </si>
  <si>
    <t>=NF($B116,"Fecha expedido")</t>
  </si>
  <si>
    <t>=NF($B116,"Estado")</t>
  </si>
  <si>
    <t>=NF($D116,"fecha")</t>
  </si>
  <si>
    <t>=NF($D116,"Descripción incidencia")</t>
  </si>
  <si>
    <t>=NF($B116,"Cód_ transportista")</t>
  </si>
  <si>
    <t>=NF($B116,"Cód_ servicio solicitado")</t>
  </si>
  <si>
    <t>=NF($B116,"Link imagen")</t>
  </si>
  <si>
    <t>=NF($B116,"Localizador")</t>
  </si>
  <si>
    <t>="""SQL-NAVISION"","""",""SQL="",""14=No_"",""PD260086825"",""14=No_ documento cliente"",""FINAL STOCK-2"",""14=No_ referencia transporte"",""FINAL STOCK-2"",""14=Nº Expedición"",""26040755"",""14=Nombre punto entrega"",""Team PLV"",""14=Dirección punto entrega"",""Avenida de los ofici"&amp;"os números 17 b y 17c"",""14=C_P_ punto entrega"",""45222"",""14=Población punto entrega"",""BOROX"",""14=Provincia punto entrega"",""TOLEDO"",""14=País punto entrega"",""ES"",""14=Estado"",""Entregado"",""15=fecha_prep"",""19/05/2026"",""15=Fecha expedido"",""20/05/2026"",""14=Cód_ t"&amp;"ransportista"",""NULO"",""14=Cód_ servicio solicitado"",""PRESUPUESTO"",""14=Link imagen"",""https://img.directoatusclientes.com/iris/POD/NULO/FINAL STOCK-2.pdf"",""14=Localizador"","""""</t>
  </si>
  <si>
    <t>=NL("Filas","SQL="&amp;
"select MAX(td.[Nº movimiento]) num_mov "&amp;
"  from [dbo].[MEDIAPOST SPAIN$Tracking Documento] td with (nolock) "&amp;
"  WHERE td.[Nº documento] = '"&amp;NF($B117,"No_ referencia transporte")&amp;"' "&amp;
"    AND td.[Cód_ incidencia] &lt;&gt; '' ",{"num_mov"},"Datasource=","SQL-Navision")</t>
  </si>
  <si>
    <t>=IF(NF($C117,"num_mov")="","",NL(,"Tracking Documento",,"Nº movimiento",NF($C117,"num_mov"),"Conexión=","Navision","Empresa=","MEDIAPOST SPAIN"))</t>
  </si>
  <si>
    <t>=NF($B117,"No_ documento cliente")</t>
  </si>
  <si>
    <t>=NF($B117,"No_ referencia transporte")</t>
  </si>
  <si>
    <t>=NF($B117,"Nº Expedición")</t>
  </si>
  <si>
    <t>=NF($B117,"C_P_ punto entrega")</t>
  </si>
  <si>
    <t>=NF($B117,"fecha_prep")</t>
  </si>
  <si>
    <t>=NF($B117,"Fecha expedido")</t>
  </si>
  <si>
    <t>=NF($B117,"Estado")</t>
  </si>
  <si>
    <t>=NF($D117,"fecha")</t>
  </si>
  <si>
    <t>=NF($D117,"Descripción incidencia")</t>
  </si>
  <si>
    <t>=NF($B117,"Cód_ transportista")</t>
  </si>
  <si>
    <t>=NF($B117,"Cód_ servicio solicitado")</t>
  </si>
  <si>
    <t>=NF($B117,"Link imagen")</t>
  </si>
  <si>
    <t>=NF($B117,"Localizador")</t>
  </si>
  <si>
    <t>="""SQL-NAVISION"","""",""SQL="",""14=No_"",""PD260087335"",""14=No_ documento cliente"",""DYS_RE1905"",""14=No_ referencia transporte"",""DYS_RE1905"",""14=Nº Expedición"",""1200795171"",""14=Nombre punto entrega"",""TIPSA LAS ROZAS"",""14=Dirección punto entrega"",""CALLE MUNICH, 2B"""&amp;",""14=C_P_ punto entrega"",""28232"",""14=Población punto entrega"",""Las Rozas de Madrid"",""14=Provincia punto entrega"",""Madrid"",""14=País punto entrega"",""ES"",""14=Estado"",""Entregado"",""15=fecha_prep"",""20/05/2026"",""15=Fecha expedido"",""20/05/2026"",""14=Cód_ transport"&amp;"ista"",""TIPSA"",""14=Cód_ servicio solicitado"",""STD"",""14=Link imagen"",""https://www.tip-sa.com/cliente/datos.php?id=02800109585DYS_RE190528232"",""14=Localizador"",""0280010280011200795171"""</t>
  </si>
  <si>
    <t>=NL("Filas","SQL="&amp;
"select MAX(td.[Nº movimiento]) num_mov "&amp;
"  from [dbo].[MEDIAPOST SPAIN$Tracking Documento] td with (nolock) "&amp;
"  WHERE td.[Nº documento] = '"&amp;NF($B118,"No_ referencia transporte")&amp;"' "&amp;
"    AND td.[Cód_ incidencia] &lt;&gt; '' ",{"num_mov"},"Datasource=","SQL-Navision")</t>
  </si>
  <si>
    <t>=IF(NF($C118,"num_mov")="","",NL(,"Tracking Documento",,"Nº movimiento",NF($C118,"num_mov"),"Conexión=","Navision","Empresa=","MEDIAPOST SPAIN"))</t>
  </si>
  <si>
    <t>=NF($B118,"No_ documento cliente")</t>
  </si>
  <si>
    <t>=NF($B118,"No_ referencia transporte")</t>
  </si>
  <si>
    <t>=NF($B118,"Nº Expedición")</t>
  </si>
  <si>
    <t>=NF($B118,"C_P_ punto entrega")</t>
  </si>
  <si>
    <t>=NF($B118,"fecha_prep")</t>
  </si>
  <si>
    <t>=NF($B118,"Fecha expedido")</t>
  </si>
  <si>
    <t>=NF($B118,"Estado")</t>
  </si>
  <si>
    <t>=NF($D118,"fecha")</t>
  </si>
  <si>
    <t>=NF($D118,"Descripción incidencia")</t>
  </si>
  <si>
    <t>=NF($B118,"Cód_ transportista")</t>
  </si>
  <si>
    <t>=NF($B118,"Cód_ servicio solicitado")</t>
  </si>
  <si>
    <t>=NF($B118,"Link imagen")</t>
  </si>
  <si>
    <t>=NF($B118,"Localizador")</t>
  </si>
  <si>
    <t>="""SQL-NAVISION"","""",""SQL="",""14=No_"",""PD260087996"",""14=No_ documento cliente"",""MVDP200526BRA"",""14=No_ referencia transporte"",""MVDP200526BRA"",""14=Nº Expedición"",""0865425500"",""14=Nombre punto entrega"",""DHL SEGOVIA"",""14=Dirección punto entrega"",""RECOGEN EN AGEN"&amp;"CIA"",""14=C_P_ punto entrega"",""40195"",""14=Población punto entrega"",""SEGOVIA"",""14=Provincia punto entrega"",""SEGOVIA"",""14=País punto entrega"",""ES"",""14=Estado"",""Entregado"",""15=fecha_prep"",""20/05/2026"",""15=Fecha expedido"",""20/05/2026"",""14=Cód_ transportista"","""&amp;"DHL"",""14=Cód_ servicio solicitado"",""STD"",""14=Link imagen"",""https://clientesparcel.dhl.es/seguimientoenvios/integra/SeguimientoDocumentos.aspx?codigo=0865425500&amp;anno=2026&amp;lang=sp&amp;zatar=q45LoBtfSS29xHGRDZ57"",""14=Localizador"","""""</t>
  </si>
  <si>
    <t>=NL("Filas","SQL="&amp;
"select MAX(td.[Nº movimiento]) num_mov "&amp;
"  from [dbo].[MEDIAPOST SPAIN$Tracking Documento] td with (nolock) "&amp;
"  WHERE td.[Nº documento] = '"&amp;NF($B119,"No_ referencia transporte")&amp;"' "&amp;
"    AND td.[Cód_ incidencia] &lt;&gt; '' ",{"num_mov"},"Datasource=","SQL-Navision")</t>
  </si>
  <si>
    <t>=IF(NF($C119,"num_mov")="","",NL(,"Tracking Documento",,"Nº movimiento",NF($C119,"num_mov"),"Conexión=","Navision","Empresa=","MEDIAPOST SPAIN"))</t>
  </si>
  <si>
    <t>=NF($B119,"No_ documento cliente")</t>
  </si>
  <si>
    <t>=NF($B119,"No_ referencia transporte")</t>
  </si>
  <si>
    <t>=NF($B119,"Nº Expedición")</t>
  </si>
  <si>
    <t>=NF($B119,"C_P_ punto entrega")</t>
  </si>
  <si>
    <t>=NF($B119,"fecha_prep")</t>
  </si>
  <si>
    <t>=NF($B119,"Fecha expedido")</t>
  </si>
  <si>
    <t>=NF($B119,"Estado")</t>
  </si>
  <si>
    <t>=NF($D119,"fecha")</t>
  </si>
  <si>
    <t>=NF($D119,"Descripción incidencia")</t>
  </si>
  <si>
    <t>=NF($B119,"Cód_ transportista")</t>
  </si>
  <si>
    <t>=NF($B119,"Cód_ servicio solicitado")</t>
  </si>
  <si>
    <t>=NF($B119,"Link imagen")</t>
  </si>
  <si>
    <t>=NF($B119,"Localizador")</t>
  </si>
  <si>
    <t>="""SQL-NAVISION"","""",""SQL="",""14=No_"",""PD260089028"",""14=No_ documento cliente"",""63226000197"",""14=No_ referencia transporte"",""63226000197"",""14=Nº Expedición"",""5602758"",""14=Nombre punto entrega"",""EIRINAIOS ZENIERIS"",""14=Dirección punto entrega"",""Calle San Cleme"&amp;"nte 8, Escalera 4, 4D"",""14=C_P_ punto entrega"",""28025"",""14=Población punto entrega"",""Madrid"",""14=Provincia punto entrega"",""Madrid"",""14=País punto entrega"",""ES"",""14=Estado"",""En Reparto"",""15=fecha_prep"",""21/05/2026"",""15=Fecha expedido"",""21/05/2026"",""14=Cód_"&amp;" transportista"",""ASM"",""14=Cód_ servicio solicitado"",""STD"",""14=Link imagen"",""https://mygls.gls-spain.es/e/31200805602758/28025"",""14=Localizador"","""""</t>
  </si>
  <si>
    <t>=NL("Filas","SQL="&amp;
"select MAX(td.[Nº movimiento]) num_mov "&amp;
"  from [dbo].[MEDIAPOST SPAIN$Tracking Documento] td with (nolock) "&amp;
"  WHERE td.[Nº documento] = '"&amp;NF($B120,"No_ referencia transporte")&amp;"' "&amp;
"    AND td.[Cód_ incidencia] &lt;&gt; '' ",{"num_mov"},"Datasource=","SQL-Navision")</t>
  </si>
  <si>
    <t>=IF(NF($C120,"num_mov")="","",NL(,"Tracking Documento",,"Nº movimiento",NF($C120,"num_mov"),"Conexión=","Navision","Empresa=","MEDIAPOST SPAIN"))</t>
  </si>
  <si>
    <t>=NF($B120,"No_ documento cliente")</t>
  </si>
  <si>
    <t>=NF($B120,"No_ referencia transporte")</t>
  </si>
  <si>
    <t>=NF($B120,"Nº Expedición")</t>
  </si>
  <si>
    <t>=NF($B120,"C_P_ punto entrega")</t>
  </si>
  <si>
    <t>=NF($B120,"fecha_prep")</t>
  </si>
  <si>
    <t>=NF($B120,"Fecha expedido")</t>
  </si>
  <si>
    <t>=NF($B120,"Estado")</t>
  </si>
  <si>
    <t>=NF($D120,"fecha")</t>
  </si>
  <si>
    <t>=NF($D120,"Descripción incidencia")</t>
  </si>
  <si>
    <t>=NF($B120,"Cód_ transportista")</t>
  </si>
  <si>
    <t>=NF($B120,"Cód_ servicio solicitado")</t>
  </si>
  <si>
    <t>=NF($B120,"Link imagen")</t>
  </si>
  <si>
    <t>=NF($B120,"Localizador")</t>
  </si>
  <si>
    <t>="""SQL-NAVISION"","""",""SQL="",""14=No_"",""PD260088441"",""14=No_ documento cliente"",""ISD200526.2"",""14=No_ referencia transporte"",""ISD200526.2"",""14=Nº Expedición"",""5602510"",""14=Nombre punto entrega"",""DOUGLASS"",""14=Dirección punto entrega"",""Avda. Meritxell, 83, Bajo"&amp;" Edif. Cor"",""14=C_P_ punto entrega"",""AD500"",""14=Población punto entrega"",""Andorra  La Vella"",""14=Provincia punto entrega"",""Andorra"",""14=País punto entrega"",""AD"",""14=Estado"",""Entregado"",""15=fecha_prep"",""21/05/2026"",""15=Fecha expedido"",""21/05/2026"",""14=Cód_"&amp;" transportista"",""ASM"",""14=Cód_ servicio solicitado"",""STD"",""14=Link imagen"",""https://mygls.gls-spain.es/e/31200805602510/AD500"",""14=Localizador"","""""</t>
  </si>
  <si>
    <t>=NL("Filas","SQL="&amp;
"select MAX(td.[Nº movimiento]) num_mov "&amp;
"  from [dbo].[MEDIAPOST SPAIN$Tracking Documento] td with (nolock) "&amp;
"  WHERE td.[Nº documento] = '"&amp;NF($B121,"No_ referencia transporte")&amp;"' "&amp;
"    AND td.[Cód_ incidencia] &lt;&gt; '' ",{"num_mov"},"Datasource=","SQL-Navision")</t>
  </si>
  <si>
    <t>=IF(NF($C121,"num_mov")="","",NL(,"Tracking Documento",,"Nº movimiento",NF($C121,"num_mov"),"Conexión=","Navision","Empresa=","MEDIAPOST SPAIN"))</t>
  </si>
  <si>
    <t>=NF($B121,"No_ documento cliente")</t>
  </si>
  <si>
    <t>=NF($B121,"No_ referencia transporte")</t>
  </si>
  <si>
    <t>=NF($B121,"Nº Expedición")</t>
  </si>
  <si>
    <t>=NF($B121,"C_P_ punto entrega")</t>
  </si>
  <si>
    <t>=NF($B121,"fecha_prep")</t>
  </si>
  <si>
    <t>=NF($B121,"Fecha expedido")</t>
  </si>
  <si>
    <t>=NF($B121,"Estado")</t>
  </si>
  <si>
    <t>=NF($D121,"fecha")</t>
  </si>
  <si>
    <t>=NF($D121,"Descripción incidencia")</t>
  </si>
  <si>
    <t>=NF($B121,"Cód_ transportista")</t>
  </si>
  <si>
    <t>=NF($B121,"Cód_ servicio solicitado")</t>
  </si>
  <si>
    <t>=NF($B121,"Link imagen")</t>
  </si>
  <si>
    <t>=NF($B121,"Localizador")</t>
  </si>
  <si>
    <t>="""SQL-NAVISION"","""",""SQL="",""14=No_"",""PD260088055"",""14=No_ documento cliente"",""63226000195"",""14=No_ referencia transporte"",""63226000195"",""14=Nº Expedición"",""0865425580"",""14=Nombre punto entrega"",""Estanco Irún-015"",""14=Dirección punto entrega"",""MªJUNC.LABANDI"&amp;"BAR, 5"",""14=C_P_ punto entrega"",""20305"",""14=Población punto entrega"",""Irún"",""14=Provincia punto entrega"",""Guipúzcoa"",""14=País punto entrega"",""ES"",""14=Estado"",""Entregado"",""15=fecha_prep"",""21/05/2026"",""15=Fecha expedido"",""21/05/2026"",""14=Cód_ transportista"""&amp;",""DHL"",""14=Cód_ servicio solicitado"",""STD"",""14=Link imagen"",""https://clientesparcel.dhl.es/seguimientoenvios/integra/SeguimientoDocumentos.aspx?codigo=0865425580&amp;anno=2026&amp;lang=sp&amp;zatar=q45LoBtfSS29xHGRDZ57"",""14=Localizador"","""""</t>
  </si>
  <si>
    <t>=NL("Filas","SQL="&amp;
"select MAX(td.[Nº movimiento]) num_mov "&amp;
"  from [dbo].[MEDIAPOST SPAIN$Tracking Documento] td with (nolock) "&amp;
"  WHERE td.[Nº documento] = '"&amp;NF($B122,"No_ referencia transporte")&amp;"' "&amp;
"    AND td.[Cód_ incidencia] &lt;&gt; '' ",{"num_mov"},"Datasource=","SQL-Navision")</t>
  </si>
  <si>
    <t>=IF(NF($C122,"num_mov")="","",NL(,"Tracking Documento",,"Nº movimiento",NF($C122,"num_mov"),"Conexión=","Navision","Empresa=","MEDIAPOST SPAIN"))</t>
  </si>
  <si>
    <t>=NF($B122,"No_ documento cliente")</t>
  </si>
  <si>
    <t>=NF($B122,"No_ referencia transporte")</t>
  </si>
  <si>
    <t>=NF($B122,"Nº Expedición")</t>
  </si>
  <si>
    <t>=NF($B122,"C_P_ punto entrega")</t>
  </si>
  <si>
    <t>=NF($B122,"fecha_prep")</t>
  </si>
  <si>
    <t>=NF($B122,"Fecha expedido")</t>
  </si>
  <si>
    <t>=NF($B122,"Estado")</t>
  </si>
  <si>
    <t>=NF($D122,"fecha")</t>
  </si>
  <si>
    <t>=NF($D122,"Descripción incidencia")</t>
  </si>
  <si>
    <t>=NF($B122,"Cód_ transportista")</t>
  </si>
  <si>
    <t>=NF($B122,"Cód_ servicio solicitado")</t>
  </si>
  <si>
    <t>=NF($B122,"Link imagen")</t>
  </si>
  <si>
    <t>=NF($B122,"Localizador")</t>
  </si>
  <si>
    <t>="""SQL-NAVISION"","""",""SQL="",""14=No_"",""PD260088759"",""14=No_ documento cliente"",""ICC21052026"",""14=No_ referencia transporte"",""ICC21052026"",""14=Nº Expedición"",""1200795715"",""14=Nombre punto entrega"",""CLIENT FIRST"",""14=Dirección punto entrega"",""C/ Solidaritat, 35"&amp;"  Pol. Ind. Barrio del Cristo"",""14=C_P_ punto entrega"",""46960"",""14=Población punto entrega"",""ALDAIA"",""14=Provincia punto entrega"",""VALENCIA"",""14=País punto entrega"",""ES"",""14=Estado"",""Entregado"",""15=fecha_prep"",""21/05/2026"",""15=Fecha expedido"",""21/05/2026"""&amp;",""14=Cód_ transportista"",""TIPSA"",""14=Cód_ servicio solicitado"",""13:30 H"",""14=Link imagen"",""https://www.tip-sa.com/cliente/datos.php?id=02800109585ICC2105202646960"",""14=Localizador"",""0280010280011200795715"""</t>
  </si>
  <si>
    <t>=NL("Filas","SQL="&amp;
"select MAX(td.[Nº movimiento]) num_mov "&amp;
"  from [dbo].[MEDIAPOST SPAIN$Tracking Documento] td with (nolock) "&amp;
"  WHERE td.[Nº documento] = '"&amp;NF($B123,"No_ referencia transporte")&amp;"' "&amp;
"    AND td.[Cód_ incidencia] &lt;&gt; '' ",{"num_mov"},"Datasource=","SQL-Navision")</t>
  </si>
  <si>
    <t>=IF(NF($C123,"num_mov")="","",NL(,"Tracking Documento",,"Nº movimiento",NF($C123,"num_mov"),"Conexión=","Navision","Empresa=","MEDIAPOST SPAIN"))</t>
  </si>
  <si>
    <t>=NF($B123,"No_ documento cliente")</t>
  </si>
  <si>
    <t>=NF($B123,"No_ referencia transporte")</t>
  </si>
  <si>
    <t>=NF($B123,"Nº Expedición")</t>
  </si>
  <si>
    <t>=NF($B123,"C_P_ punto entrega")</t>
  </si>
  <si>
    <t>=NF($B123,"fecha_prep")</t>
  </si>
  <si>
    <t>=NF($B123,"Fecha expedido")</t>
  </si>
  <si>
    <t>=NF($B123,"Estado")</t>
  </si>
  <si>
    <t>=NF($D123,"fecha")</t>
  </si>
  <si>
    <t>=NF($D123,"Descripción incidencia")</t>
  </si>
  <si>
    <t>=NF($B123,"Cód_ transportista")</t>
  </si>
  <si>
    <t>=NF($B123,"Cód_ servicio solicitado")</t>
  </si>
  <si>
    <t>=NF($B123,"Link imagen")</t>
  </si>
  <si>
    <t>=NF($B123,"Localizador")</t>
  </si>
  <si>
    <t>="""SQL-NAVISION"","""",""SQL="",""14=No_"",""PD260089029"",""14=No_ documento cliente"",""63226000199"",""14=No_ referencia transporte"",""63226000199"",""14=Nº Expedición"",""5602759"",""14=Nombre punto entrega"",""MARCO ANDRÉ SOARES DAS NEVES"",""14=Dirección punto entrega"",""Carre"&amp;"r de Francesc Moragas n°7 piso 1/2"",""14=C_P_ punto entrega"",""08901"",""14=Población punto entrega"",""Barcelona"",""14=Provincia punto entrega"",""Barcelona"",""14=País punto entrega"",""ES"",""14=Estado"",""Entregado"",""15=fecha_prep"",""21/05/2026"",""15=Fecha expedido"",""21"&amp;"/05/2026"",""14=Cód_ transportista"",""ASM"",""14=Cód_ servicio solicitado"",""STD"",""14=Link imagen"",""https://mygls.gls-spain.es/e/31200805602759/08901"",""14=Localizador"","""""</t>
  </si>
  <si>
    <t>=NL("Filas","SQL="&amp;
"select MAX(td.[Nº movimiento]) num_mov "&amp;
"  from [dbo].[MEDIAPOST SPAIN$Tracking Documento] td with (nolock) "&amp;
"  WHERE td.[Nº documento] = '"&amp;NF($B124,"No_ referencia transporte")&amp;"' "&amp;
"    AND td.[Cód_ incidencia] &lt;&gt; '' ",{"num_mov"},"Datasource=","SQL-Navision")</t>
  </si>
  <si>
    <t>=IF(NF($C124,"num_mov")="","",NL(,"Tracking Documento",,"Nº movimiento",NF($C124,"num_mov"),"Conexión=","Navision","Empresa=","MEDIAPOST SPAIN"))</t>
  </si>
  <si>
    <t>=NF($B124,"No_ documento cliente")</t>
  </si>
  <si>
    <t>=NF($B124,"No_ referencia transporte")</t>
  </si>
  <si>
    <t>=NF($B124,"Nº Expedición")</t>
  </si>
  <si>
    <t>=NF($B124,"C_P_ punto entrega")</t>
  </si>
  <si>
    <t>=NF($B124,"fecha_prep")</t>
  </si>
  <si>
    <t>=NF($B124,"Fecha expedido")</t>
  </si>
  <si>
    <t>=NF($B124,"Estado")</t>
  </si>
  <si>
    <t>=NF($D124,"fecha")</t>
  </si>
  <si>
    <t>=NF($D124,"Descripción incidencia")</t>
  </si>
  <si>
    <t>=NF($B124,"Cód_ transportista")</t>
  </si>
  <si>
    <t>=NF($B124,"Cód_ servicio solicitado")</t>
  </si>
  <si>
    <t>=NF($B124,"Link imagen")</t>
  </si>
  <si>
    <t>=NF($B124,"Localizador")</t>
  </si>
  <si>
    <t>="""SQL-NAVISION"","""",""SQL="",""14=No_"",""PD260088165"",""14=No_ documento cliente"",""ISD200526.1"",""14=No_ referencia transporte"",""ISD200526.1"",""14=Nº Expedición"",""5602740"",""14=Nombre punto entrega"",""GABRIELA ARIAS LEON"",""14=Dirección punto entrega"",""CALLE BULEVAR "&amp;"DE CUARTE, Nº2 PORTAL 1, PISO 2B"",""14=C_P_ punto entrega"",""50410"",""14=Población punto entrega"",""CUARTE DE HUERVA"",""14=Provincia punto entrega"",""ZARAGOZA"",""14=País punto entrega"",""ES"",""14=Estado"",""Entregado"",""15=fecha_prep"",""21/05/2026"",""15=Fecha expedido"""&amp;",""21/05/2026"",""14=Cód_ transportista"",""ASM"",""14=Cód_ servicio solicitado"",""STD"",""14=Link imagen"",""https://mygls.gls-spain.es/e/31200805602740/50410"",""14=Localizador"","""""</t>
  </si>
  <si>
    <t>=NL("Filas","SQL="&amp;
"select MAX(td.[Nº movimiento]) num_mov "&amp;
"  from [dbo].[MEDIAPOST SPAIN$Tracking Documento] td with (nolock) "&amp;
"  WHERE td.[Nº documento] = '"&amp;NF($B125,"No_ referencia transporte")&amp;"' "&amp;
"    AND td.[Cód_ incidencia] &lt;&gt; '' ",{"num_mov"},"Datasource=","SQL-Navision")</t>
  </si>
  <si>
    <t>=IF(NF($C125,"num_mov")="","",NL(,"Tracking Documento",,"Nº movimiento",NF($C125,"num_mov"),"Conexión=","Navision","Empresa=","MEDIAPOST SPAIN"))</t>
  </si>
  <si>
    <t>=NF($B125,"No_ documento cliente")</t>
  </si>
  <si>
    <t>=NF($B125,"No_ referencia transporte")</t>
  </si>
  <si>
    <t>=NF($B125,"Nº Expedición")</t>
  </si>
  <si>
    <t>=NF($B125,"Nombre punto entrega")</t>
  </si>
  <si>
    <t>=NF($B125,"Dirección punto entrega")</t>
  </si>
  <si>
    <t>=NF($B125,"C_P_ punto entrega")</t>
  </si>
  <si>
    <t>=NF($B125,"Población punto entrega")</t>
  </si>
  <si>
    <t>=NF($B125,"Provincia punto entrega")</t>
  </si>
  <si>
    <t>=NF($B125,"País punto entrega")</t>
  </si>
  <si>
    <t>=NF($B125,"fecha_prep")</t>
  </si>
  <si>
    <t>=NF($B125,"Fecha expedido")</t>
  </si>
  <si>
    <t>=NF($B125,"Estado")</t>
  </si>
  <si>
    <t>=NF($D125,"fecha")</t>
  </si>
  <si>
    <t>=NF($D125,"Descripción incidencia")</t>
  </si>
  <si>
    <t>=NF($B125,"Cód_ transportista")</t>
  </si>
  <si>
    <t>=NF($B125,"Cód_ servicio solicitado")</t>
  </si>
  <si>
    <t>=NF($B125,"Link imagen")</t>
  </si>
  <si>
    <t>=NF($B125,"Localizador")</t>
  </si>
  <si>
    <t>="""SQL-NAVISION"","""",""SQL="",""14=No_"",""PD260089856"",""14=No_ documento cliente"",""63226000201"",""14=No_ referencia transporte"",""63226000201"",""14=Nº Expedición"",""5602793"",""14=Nombre punto entrega"",""EIRINAIOS ZENIERIS"",""14=Dirección punto entrega"",""Calle San Cleme"&amp;"nte 8, Escalera 4, 4D"",""14=C_P_ punto entrega"",""28025"",""14=Población punto entrega"",""MADRID"",""14=Provincia punto entrega"",""MADRID"",""14=País punto entrega"",""ES"",""14=Estado"",""Entregado"",""15=fecha_prep"",""22/05/2026"",""15=Fecha expedido"",""22/05/2026"",""14=Cód_ "&amp;"transportista"",""ASM"",""14=Cód_ servicio solicitado"",""STD"",""14=Link imagen"",""https://mygls.gls-spain.es/e/31200805602793/28025"",""14=Localizador"","""""</t>
  </si>
  <si>
    <t>=NL("Filas","SQL="&amp;
"select MAX(td.[Nº movimiento]) num_mov "&amp;
"  from [dbo].[MEDIAPOST SPAIN$Tracking Documento] td with (nolock) "&amp;
"  WHERE td.[Nº documento] = '"&amp;NF($B126,"No_ referencia transporte")&amp;"' "&amp;
"    AND td.[Cód_ incidencia] &lt;&gt; '' ",{"num_mov"},"Datasource=","SQL-Navision")</t>
  </si>
  <si>
    <t>=IF(NF($C126,"num_mov")="","",NL(,"Tracking Documento",,"Nº movimiento",NF($C126,"num_mov"),"Conexión=","Navision","Empresa=","MEDIAPOST SPAIN"))</t>
  </si>
  <si>
    <t>=NF($B126,"No_ documento cliente")</t>
  </si>
  <si>
    <t>=NF($B126,"No_ referencia transporte")</t>
  </si>
  <si>
    <t>=NF($B126,"Nº Expedición")</t>
  </si>
  <si>
    <t>=NF($B126,"Nombre punto entrega")</t>
  </si>
  <si>
    <t>=NF($B126,"Dirección punto entrega")</t>
  </si>
  <si>
    <t>=NF($B126,"C_P_ punto entrega")</t>
  </si>
  <si>
    <t>=NF($B126,"Población punto entrega")</t>
  </si>
  <si>
    <t>=NF($B126,"Provincia punto entrega")</t>
  </si>
  <si>
    <t>=NF($B126,"País punto entrega")</t>
  </si>
  <si>
    <t>=NF($B126,"fecha_prep")</t>
  </si>
  <si>
    <t>=NF($B126,"Fecha expedido")</t>
  </si>
  <si>
    <t>=NF($B126,"Estado")</t>
  </si>
  <si>
    <t>=NF($D126,"fecha")</t>
  </si>
  <si>
    <t>=NF($D126,"Descripción incidencia")</t>
  </si>
  <si>
    <t>=NF($B126,"Cód_ transportista")</t>
  </si>
  <si>
    <t>=NF($B126,"Cód_ servicio solicitado")</t>
  </si>
  <si>
    <t>=NF($B126,"Link imagen")</t>
  </si>
  <si>
    <t>=NF($B126,"Localizador")</t>
  </si>
  <si>
    <t>="""SQL-NAVISION"","""",""SQL="",""14=No_"",""PD260089572"",""14=No_ documento cliente"",""INPOST220526.1"",""14=No_ referencia transporte"",""X26027021"",""14=Nº Expedición"",""1200795903"",""14=Nombre punto entrega"",""TIPSA SANT BOI"",""14=Dirección punto entrega"",""CARRER DE LA CI"&amp;"ENCIA, 26"",""14=C_P_ punto entrega"",""08840"",""14=Población punto entrega"",""Viladecans"",""14=Provincia punto entrega"",""Barcelona"",""14=País punto entrega"",""ES"",""14=Estado"",""Entregado"",""15=fecha_prep"",""22/05/2026"",""15=Fecha expedido"",""22/05/2026"",""14=Cód_ trans"&amp;"portista"",""TIPSA"",""14=Cód_ servicio solicitado"",""STD"",""14=Link imagen"",""https://www.tip-sa.com/cliente/datos.php?id=02800109585X2602702108840"",""14=Localizador"",""0280010280011200795903"""</t>
  </si>
  <si>
    <t>=NL("Filas","SQL="&amp;
"select MAX(td.[Nº movimiento]) num_mov "&amp;
"  from [dbo].[MEDIAPOST SPAIN$Tracking Documento] td with (nolock) "&amp;
"  WHERE td.[Nº documento] = '"&amp;NF($B127,"No_ referencia transporte")&amp;"' "&amp;
"    AND td.[Cód_ incidencia] &lt;&gt; '' ",{"num_mov"},"Datasource=","SQL-Navision")</t>
  </si>
  <si>
    <t>=IF(NF($C127,"num_mov")="","",NL(,"Tracking Documento",,"Nº movimiento",NF($C127,"num_mov"),"Conexión=","Navision","Empresa=","MEDIAPOST SPAIN"))</t>
  </si>
  <si>
    <t>=NF($B127,"No_ documento cliente")</t>
  </si>
  <si>
    <t>=NF($B127,"No_ referencia transporte")</t>
  </si>
  <si>
    <t>=NF($B127,"Nº Expedición")</t>
  </si>
  <si>
    <t>=NF($B127,"Nombre punto entrega")</t>
  </si>
  <si>
    <t>=NF($B127,"Dirección punto entrega")</t>
  </si>
  <si>
    <t>=NF($B127,"C_P_ punto entrega")</t>
  </si>
  <si>
    <t>=NF($B127,"Población punto entrega")</t>
  </si>
  <si>
    <t>=NF($B127,"Provincia punto entrega")</t>
  </si>
  <si>
    <t>=NF($B127,"País punto entrega")</t>
  </si>
  <si>
    <t>=NF($B127,"fecha_prep")</t>
  </si>
  <si>
    <t>=NF($B127,"Fecha expedido")</t>
  </si>
  <si>
    <t>=NF($B127,"Estado")</t>
  </si>
  <si>
    <t>=NF($D127,"fecha")</t>
  </si>
  <si>
    <t>=NF($D127,"Descripción incidencia")</t>
  </si>
  <si>
    <t>=NF($B127,"Cód_ transportista")</t>
  </si>
  <si>
    <t>=NF($B127,"Cód_ servicio solicitado")</t>
  </si>
  <si>
    <t>=NF($B127,"Link imagen")</t>
  </si>
  <si>
    <t>=NF($B127,"Localizador")</t>
  </si>
  <si>
    <t>="""SQL-NAVISION"","""",""SQL="",""14=No_"",""PD260091694"",""14=No_ documento cliente"",""SMU220526.1"",""14=No_ referencia transporte"",""SMU220526.1"",""14=Nº Expedición"",""0865426410"",""14=Nombre punto entrega"",""SARA DE MIGUEL URBANO"",""14=Dirección punto entrega"",""Carretera"&amp;" Villacastín Vigo km 273.5 (Última casa a la izquierda)"",""14=C_P_ punto entrega"",""49024"",""14=Población punto entrega"",""ZAMORA"",""14=Provincia punto entrega"",""ZAMORA"",""14=País punto entrega"",""ES"",""14=Estado"",""Entregado"",""15=fecha_prep"",""26/05/2026"",""15=Fech"&amp;"a expedido"",""26/05/2026"",""14=Cód_ transportista"",""DHL"",""14=Cód_ servicio solicitado"",""STD"",""14=Link imagen"",""https://clientesparcel.dhl.es/seguimientoenvios/integra/SeguimientoDocumentos.aspx?codigo=0865426410&amp;anno=2026&amp;lang=sp&amp;zatar=q45LoBtfSS29xHGRDZ57"""&amp;",""14=Localizador"","""""</t>
  </si>
  <si>
    <t>=NL("Filas","SQL="&amp;
"select MAX(td.[Nº movimiento]) num_mov "&amp;
"  from [dbo].[MEDIAPOST SPAIN$Tracking Documento] td with (nolock) "&amp;
"  WHERE td.[Nº documento] = '"&amp;NF($B128,"No_ referencia transporte")&amp;"' "&amp;
"    AND td.[Cód_ incidencia] &lt;&gt; '' ",{"num_mov"},"Datasource=","SQL-Navision")</t>
  </si>
  <si>
    <t>=IF(NF($C128,"num_mov")="","",NL(,"Tracking Documento",,"Nº movimiento",NF($C128,"num_mov"),"Conexión=","Navision","Empresa=","MEDIAPOST SPAIN"))</t>
  </si>
  <si>
    <t>=NF($B128,"No_ documento cliente")</t>
  </si>
  <si>
    <t>=NF($B128,"No_ referencia transporte")</t>
  </si>
  <si>
    <t>=NF($B128,"Nº Expedición")</t>
  </si>
  <si>
    <t>=NF($B128,"Nombre punto entrega")</t>
  </si>
  <si>
    <t>=NF($B128,"Dirección punto entrega")</t>
  </si>
  <si>
    <t>=NF($B128,"C_P_ punto entrega")</t>
  </si>
  <si>
    <t>=NF($B128,"Población punto entrega")</t>
  </si>
  <si>
    <t>=NF($B128,"Provincia punto entrega")</t>
  </si>
  <si>
    <t>=NF($B128,"País punto entrega")</t>
  </si>
  <si>
    <t>=NF($B128,"fecha_prep")</t>
  </si>
  <si>
    <t>=NF($B128,"Fecha expedido")</t>
  </si>
  <si>
    <t>=NF($B128,"Estado")</t>
  </si>
  <si>
    <t>=NF($D128,"fecha")</t>
  </si>
  <si>
    <t>=NF($D128,"Descripción incidencia")</t>
  </si>
  <si>
    <t>=NF($B128,"Cód_ transportista")</t>
  </si>
  <si>
    <t>=NF($B128,"Cód_ servicio solicitado")</t>
  </si>
  <si>
    <t>=NF($B128,"Link imagen")</t>
  </si>
  <si>
    <t>=NF($B128,"Localizador")</t>
  </si>
  <si>
    <t>="""SQL-NAVISION"","""",""SQL="",""14=No_"",""PD260091814"",""14=No_ documento cliente"",""INPOST260526.1"",""14=No_ referencia transporte"",""INPOST260526.1"",""14=Nº Expedición"",""1200796863"",""14=Nombre punto entrega"",""TIPSA LAS ROZAS"",""14=Dirección punto entrega"",""CALLE MUN"&amp;"ICH, 2B"",""14=C_P_ punto entrega"",""28232"",""14=Población punto entrega"",""Las Rozas de Madrid"",""14=Provincia punto entrega"",""Madrid"",""14=País punto entrega"",""ES"",""14=Estado"",""Entregado"",""15=fecha_prep"",""26/05/2026"",""15=Fecha expedido"",""26/05/2026"",""14=Cód_ t"&amp;"ransportista"",""TIPSA"",""14=Cód_ servicio solicitado"",""STD"",""14=Link imagen"",""https://www.tip-sa.com/cliente/datos.php?id=02800109585INPOST260526.128232"",""14=Localizador"",""0280010280011200796863"""</t>
  </si>
  <si>
    <t>=NL("Filas","SQL="&amp;
"select MAX(td.[Nº movimiento]) num_mov "&amp;
"  from [dbo].[MEDIAPOST SPAIN$Tracking Documento] td with (nolock) "&amp;
"  WHERE td.[Nº documento] = '"&amp;NF($B129,"No_ referencia transporte")&amp;"' "&amp;
"    AND td.[Cód_ incidencia] &lt;&gt; '' ",{"num_mov"},"Datasource=","SQL-Navision")</t>
  </si>
  <si>
    <t>=IF(NF($C129,"num_mov")="","",NL(,"Tracking Documento",,"Nº movimiento",NF($C129,"num_mov"),"Conexión=","Navision","Empresa=","MEDIAPOST SPAIN"))</t>
  </si>
  <si>
    <t>=NF($B129,"No_ documento cliente")</t>
  </si>
  <si>
    <t>=NF($B129,"No_ referencia transporte")</t>
  </si>
  <si>
    <t>=NF($B129,"Nº Expedición")</t>
  </si>
  <si>
    <t>=NF($B129,"Nombre punto entrega")</t>
  </si>
  <si>
    <t>=NF($B129,"Dirección punto entrega")</t>
  </si>
  <si>
    <t>=NF($B129,"C_P_ punto entrega")</t>
  </si>
  <si>
    <t>=NF($B129,"Población punto entrega")</t>
  </si>
  <si>
    <t>=NF($B129,"Provincia punto entrega")</t>
  </si>
  <si>
    <t>=NF($B129,"País punto entrega")</t>
  </si>
  <si>
    <t>=NF($B129,"fecha_prep")</t>
  </si>
  <si>
    <t>=NF($B129,"Fecha expedido")</t>
  </si>
  <si>
    <t>=NF($B129,"Estado")</t>
  </si>
  <si>
    <t>=NF($D129,"fecha")</t>
  </si>
  <si>
    <t>=NF($D129,"Descripción incidencia")</t>
  </si>
  <si>
    <t>=NF($B129,"Cód_ transportista")</t>
  </si>
  <si>
    <t>=NF($B129,"Cód_ servicio solicitado")</t>
  </si>
  <si>
    <t>=NF($B129,"Link imagen")</t>
  </si>
  <si>
    <t>=NF($B129,"Localizador")</t>
  </si>
  <si>
    <t>="""SQL-NAVISION"","""",""SQL="",""14=No_"",""PD260089887"",""14=No_ documento cliente"",""63226000203"",""14=No_ referencia transporte"",""63226000203"",""14=Nº Expedición"",""0865426370"",""14=Nombre punto entrega"",""RECOGE EN DELEGACION / MIRIAM PEREZ"",""14=Dirección punto entre"&amp;"ga"",""RECOGE EN DELEGACION"",""14=C_P_ punto entrega"",""03400"",""14=Población punto entrega"",""VILLENA"",""14=Provincia punto entrega"",""ALICANTE"",""14=País punto entrega"",""ES"",""14=Estado"",""Entregado"",""15=fecha_prep"",""26/05/2026"",""15=Fecha expedido"",""26/05/2026"",""1"&amp;"4=Cód_ transportista"",""DHL"",""14=Cód_ servicio solicitado"",""STD"",""14=Link imagen"",""https://clientesparcel.dhl.es/seguimientoenvios/integra/SeguimientoDocumentos.aspx?codigo=0865426370&amp;anno=2026&amp;lang=sp&amp;zatar=q45LoBtfSS29xHGRDZ57"",""14=Localizador"","""""</t>
  </si>
  <si>
    <t>=NL("Filas","SQL="&amp;
"select MAX(td.[Nº movimiento]) num_mov "&amp;
"  from [dbo].[MEDIAPOST SPAIN$Tracking Documento] td with (nolock) "&amp;
"  WHERE td.[Nº documento] = '"&amp;NF($B130,"No_ referencia transporte")&amp;"' "&amp;
"    AND td.[Cód_ incidencia] &lt;&gt; '' ",{"num_mov"},"Datasource=","SQL-Navision")</t>
  </si>
  <si>
    <t>=IF(NF($C130,"num_mov")="","",NL(,"Tracking Documento",,"Nº movimiento",NF($C130,"num_mov"),"Conexión=","Navision","Empresa=","MEDIAPOST SPAIN"))</t>
  </si>
  <si>
    <t>=NF($B130,"No_ documento cliente")</t>
  </si>
  <si>
    <t>=NF($B130,"No_ referencia transporte")</t>
  </si>
  <si>
    <t>=NF($B130,"Nº Expedición")</t>
  </si>
  <si>
    <t>=NF($B130,"Nombre punto entrega")</t>
  </si>
  <si>
    <t>=NF($B130,"Dirección punto entrega")</t>
  </si>
  <si>
    <t>=NF($B130,"C_P_ punto entrega")</t>
  </si>
  <si>
    <t>=NF($B130,"Población punto entrega")</t>
  </si>
  <si>
    <t>=NF($B130,"Provincia punto entrega")</t>
  </si>
  <si>
    <t>=NF($B130,"País punto entrega")</t>
  </si>
  <si>
    <t>=NF($B130,"fecha_prep")</t>
  </si>
  <si>
    <t>=NF($B130,"Fecha expedido")</t>
  </si>
  <si>
    <t>=NF($B130,"Estado")</t>
  </si>
  <si>
    <t>=NF($D130,"fecha")</t>
  </si>
  <si>
    <t>=NF($D130,"Descripción incidencia")</t>
  </si>
  <si>
    <t>=NF($B130,"Cód_ transportista")</t>
  </si>
  <si>
    <t>=NF($B130,"Cód_ servicio solicitado")</t>
  </si>
  <si>
    <t>=NF($B130,"Link imagen")</t>
  </si>
  <si>
    <t>=NF($B130,"Localizador")</t>
  </si>
  <si>
    <t>="""SQL-NAVISION"","""",""SQL="",""14=No_"",""PD260091907"",""14=No_ documento cliente"",""DYS3SKU40.1"",""14=No_ referencia transporte"",""DYS3SKU40.1_01"",""14=Nº Expedición"",""917400040908"",""14=Nombre punto entrega"",""CARREFOUR SJ DE AZNALFARACHE"",""14=Dirección punto entrega"&amp;""",""C. San Juan de Aznalfarache, Km. 1"",""14=C_P_ punto entrega"",""41920"",""14=Población punto entrega"",""SAN JUAN DE AZNALFARACHE"",""14=Provincia punto entrega"",""SEVILLA"",""14=País punto entrega"",""ES"",""14=Estado"",""Entregado"",""15=fecha_prep"",""26/05/2026"",""15=Fec"&amp;"ha expedido"",""26/05/2026"",""14=Cód_ transportista"",""CBL"",""14=Cód_ servicio solicitado"",""STD"",""14=Link imagen"",""http://clientes.cbl-logistica.com/public/ShowPOD.aspx?query=NmQ3MDI2ZmYtNDg4Yy05ZTE4LTU1ZGYtZGRlMmExOTdhMzI0|REF|DYS3SKU40.1_01"",""14=Localizador"""&amp;",""0E9A62CA"""</t>
  </si>
  <si>
    <t>=NL("Filas","SQL="&amp;
"select MAX(td.[Nº movimiento]) num_mov "&amp;
"  from [dbo].[MEDIAPOST SPAIN$Tracking Documento] td with (nolock) "&amp;
"  WHERE td.[Nº documento] = '"&amp;NF($B131,"No_ referencia transporte")&amp;"' "&amp;
"    AND td.[Cód_ incidencia] &lt;&gt; '' ",{"num_mov"},"Datasource=","SQL-Navision")</t>
  </si>
  <si>
    <t>=IF(NF($C131,"num_mov")="","",NL(,"Tracking Documento",,"Nº movimiento",NF($C131,"num_mov"),"Conexión=","Navision","Empresa=","MEDIAPOST SPAIN"))</t>
  </si>
  <si>
    <t>=NF($B131,"No_ documento cliente")</t>
  </si>
  <si>
    <t>=NF($B131,"No_ referencia transporte")</t>
  </si>
  <si>
    <t>=NF($B131,"Nº Expedición")</t>
  </si>
  <si>
    <t>=NF($B131,"Nombre punto entrega")</t>
  </si>
  <si>
    <t>=NF($B131,"Dirección punto entrega")</t>
  </si>
  <si>
    <t>=NF($B131,"C_P_ punto entrega")</t>
  </si>
  <si>
    <t>=NF($B131,"Población punto entrega")</t>
  </si>
  <si>
    <t>=NF($B131,"Provincia punto entrega")</t>
  </si>
  <si>
    <t>=NF($B131,"País punto entrega")</t>
  </si>
  <si>
    <t>=NF($B131,"fecha_prep")</t>
  </si>
  <si>
    <t>=NF($B131,"Fecha expedido")</t>
  </si>
  <si>
    <t>=NF($B131,"Estado")</t>
  </si>
  <si>
    <t>=NF($D131,"fecha")</t>
  </si>
  <si>
    <t>=NF($D131,"Descripción incidencia")</t>
  </si>
  <si>
    <t>=NF($B131,"Cód_ transportista")</t>
  </si>
  <si>
    <t>=NF($B131,"Cód_ servicio solicitado")</t>
  </si>
  <si>
    <t>=NF($B131,"Link imagen")</t>
  </si>
  <si>
    <t>=NF($B131,"Localizador")</t>
  </si>
  <si>
    <t>="""SQL-NAVISION"","""",""SQL="",""14=No_"",""PD260091995"",""14=No_ documento cliente"",""INPOST260526.2"",""14=No_ referencia transporte"",""X26027487"",""14=Nº Expedición"",""5602835"",""14=Nombre punto entrega"",""Ceva Logistics"",""14=Dirección punto entrega"",""Carrer Principal 1"&amp;", Poligon Industrial Les Planes Baixes"",""14=C_P_ punto entrega"",""43717"",""14=Población punto entrega"",""La Bisbal del Penedes"",""14=Provincia punto entrega"",""Tarragona"",""14=País punto entrega"",""ES"",""14=Estado"",""Entregado"",""15=fecha_prep"",""26/05/2026"",""15=Fec"&amp;"ha expedido"",""26/05/2026"",""14=Cód_ transportista"",""ASM"",""14=Cód_ servicio solicitado"",""STD"",""14=Link imagen"",""https://mygls.gls-spain.es/e/31200805602835/43717"",""14=Localizador"","""""</t>
  </si>
  <si>
    <t>=NL("Filas","SQL="&amp;
"select MAX(td.[Nº movimiento]) num_mov "&amp;
"  from [dbo].[MEDIAPOST SPAIN$Tracking Documento] td with (nolock) "&amp;
"  WHERE td.[Nº documento] = '"&amp;NF($B132,"No_ referencia transporte")&amp;"' "&amp;
"    AND td.[Cód_ incidencia] &lt;&gt; '' ",{"num_mov"},"Datasource=","SQL-Navision")</t>
  </si>
  <si>
    <t>=IF(NF($C132,"num_mov")="","",NL(,"Tracking Documento",,"Nº movimiento",NF($C132,"num_mov"),"Conexión=","Navision","Empresa=","MEDIAPOST SPAIN"))</t>
  </si>
  <si>
    <t>=NF($B132,"No_ documento cliente")</t>
  </si>
  <si>
    <t>=NF($B132,"No_ referencia transporte")</t>
  </si>
  <si>
    <t>=NF($B132,"Nº Expedición")</t>
  </si>
  <si>
    <t>=NF($B132,"Nombre punto entrega")</t>
  </si>
  <si>
    <t>=NF($B132,"Dirección punto entrega")</t>
  </si>
  <si>
    <t>=NF($B132,"C_P_ punto entrega")</t>
  </si>
  <si>
    <t>=NF($B132,"Población punto entrega")</t>
  </si>
  <si>
    <t>=NF($B132,"Provincia punto entrega")</t>
  </si>
  <si>
    <t>=NF($B132,"País punto entrega")</t>
  </si>
  <si>
    <t>=NF($B132,"fecha_prep")</t>
  </si>
  <si>
    <t>=NF($B132,"Fecha expedido")</t>
  </si>
  <si>
    <t>=NF($B132,"Estado")</t>
  </si>
  <si>
    <t>=NF($D132,"fecha")</t>
  </si>
  <si>
    <t>=NF($D132,"Descripción incidencia")</t>
  </si>
  <si>
    <t>=NF($B132,"Cód_ transportista")</t>
  </si>
  <si>
    <t>=NF($B132,"Cód_ servicio solicitado")</t>
  </si>
  <si>
    <t>=NF($B132,"Link imagen")</t>
  </si>
  <si>
    <t>=NF($B132,"Localizador")</t>
  </si>
  <si>
    <t>="""SQL-NAVISION"","""",""SQL="",""14=No_"",""PD260091695"",""14=No_ documento cliente"",""SMU220526.1"",""14=No_ referencia transporte"",""SMU220526.1"",""14=Nº Expedición"",""0865426410"",""14=Nombre punto entrega"",""SARA DE MIGUEL URBANO"",""14=Dirección punto entrega"",""Carretera"&amp;" Villacastín Vigo km 273.5 (Última casa a la izquierda)"",""14=C_P_ punto entrega"",""49024"",""14=Población punto entrega"",""ZAMORA"",""14=Provincia punto entrega"",""ZAMORA"",""14=País punto entrega"",""ES"",""14=Estado"",""Entregado"",""15=fecha_prep"",""26/05/2026"",""15=Fech"&amp;"a expedido"",""26/05/2026"",""14=Cód_ transportista"",""DHL"",""14=Cód_ servicio solicitado"",""STD"",""14=Link imagen"",""https://clientesparcel.dhl.es/seguimientoenvios/integra/SeguimientoDocumentos.aspx?codigo=0865426410&amp;anno=2026&amp;lang=sp&amp;zatar=q45LoBtfSS29xHGRDZ57"""&amp;",""14=Localizador"","""""</t>
  </si>
  <si>
    <t>=NL("Filas","SQL="&amp;
"select MAX(td.[Nº movimiento]) num_mov "&amp;
"  from [dbo].[MEDIAPOST SPAIN$Tracking Documento] td with (nolock) "&amp;
"  WHERE td.[Nº documento] = '"&amp;NF($B133,"No_ referencia transporte")&amp;"' "&amp;
"    AND td.[Cód_ incidencia] &lt;&gt; '' ",{"num_mov"},"Datasource=","SQL-Navision")</t>
  </si>
  <si>
    <t>=IF(NF($C133,"num_mov")="","",NL(,"Tracking Documento",,"Nº movimiento",NF($C133,"num_mov"),"Conexión=","Navision","Empresa=","MEDIAPOST SPAIN"))</t>
  </si>
  <si>
    <t>=NF($B133,"No_ documento cliente")</t>
  </si>
  <si>
    <t>=NF($B133,"No_ referencia transporte")</t>
  </si>
  <si>
    <t>=NF($B133,"Nº Expedición")</t>
  </si>
  <si>
    <t>=NF($B133,"Nombre punto entrega")</t>
  </si>
  <si>
    <t>=NF($B133,"Dirección punto entrega")</t>
  </si>
  <si>
    <t>=NF($B133,"C_P_ punto entrega")</t>
  </si>
  <si>
    <t>=NF($B133,"Población punto entrega")</t>
  </si>
  <si>
    <t>=NF($B133,"Provincia punto entrega")</t>
  </si>
  <si>
    <t>=NF($B133,"País punto entrega")</t>
  </si>
  <si>
    <t>=NF($B133,"fecha_prep")</t>
  </si>
  <si>
    <t>=NF($B133,"Fecha expedido")</t>
  </si>
  <si>
    <t>=NF($B133,"Estado")</t>
  </si>
  <si>
    <t>=NF($D133,"fecha")</t>
  </si>
  <si>
    <t>=NF($D133,"Descripción incidencia")</t>
  </si>
  <si>
    <t>=NF($B133,"Cód_ transportista")</t>
  </si>
  <si>
    <t>=NF($B133,"Cód_ servicio solicitado")</t>
  </si>
  <si>
    <t>=NF($B133,"Link imagen")</t>
  </si>
  <si>
    <t>=NF($B133,"Localizador")</t>
  </si>
  <si>
    <t>="""SQL-NAVISION"","""",""SQL="",""14=No_"",""PD260091696"",""14=No_ documento cliente"",""SMU220526.1"",""14=No_ referencia transporte"",""SMU220526.1"",""14=Nº Expedición"",""0865426410"",""14=Nombre punto entrega"",""SARA DE MIGUEL URBANO"",""14=Dirección punto entrega"",""Carretera"&amp;" Villacastín Vigo km 273.5 (Última casa a la izquierda)"",""14=C_P_ punto entrega"",""49024"",""14=Población punto entrega"",""ZAMORA"",""14=Provincia punto entrega"",""ZAMORA"",""14=País punto entrega"",""ES"",""14=Estado"",""Entregado"",""15=fecha_prep"",""26/05/2026"",""15=Fech"&amp;"a expedido"",""26/05/2026"",""14=Cód_ transportista"",""DHL"",""14=Cód_ servicio solicitado"",""STD"",""14=Link imagen"",""https://clientesparcel.dhl.es/seguimientoenvios/integra/SeguimientoDocumentos.aspx?codigo=0865426410&amp;anno=2026&amp;lang=sp&amp;zatar=q45LoBtfSS29xHGRDZ57"""&amp;",""14=Localizador"","""""</t>
  </si>
  <si>
    <t>=NL("Filas","SQL="&amp;
"select MAX(td.[Nº movimiento]) num_mov "&amp;
"  from [dbo].[MEDIAPOST SPAIN$Tracking Documento] td with (nolock) "&amp;
"  WHERE td.[Nº documento] = '"&amp;NF($B134,"No_ referencia transporte")&amp;"' "&amp;
"    AND td.[Cód_ incidencia] &lt;&gt; '' ",{"num_mov"},"Datasource=","SQL-Navision")</t>
  </si>
  <si>
    <t>=IF(NF($C134,"num_mov")="","",NL(,"Tracking Documento",,"Nº movimiento",NF($C134,"num_mov"),"Conexión=","Navision","Empresa=","MEDIAPOST SPAIN"))</t>
  </si>
  <si>
    <t>=NF($B134,"No_ documento cliente")</t>
  </si>
  <si>
    <t>=NF($B134,"No_ referencia transporte")</t>
  </si>
  <si>
    <t>=NF($B134,"Nº Expedición")</t>
  </si>
  <si>
    <t>=NF($B134,"Nombre punto entrega")</t>
  </si>
  <si>
    <t>=NF($B134,"Dirección punto entrega")</t>
  </si>
  <si>
    <t>=NF($B134,"C_P_ punto entrega")</t>
  </si>
  <si>
    <t>=NF($B134,"Población punto entrega")</t>
  </si>
  <si>
    <t>=NF($B134,"Provincia punto entrega")</t>
  </si>
  <si>
    <t>=NF($B134,"País punto entrega")</t>
  </si>
  <si>
    <t>=NF($B134,"fecha_prep")</t>
  </si>
  <si>
    <t>=NF($B134,"Fecha expedido")</t>
  </si>
  <si>
    <t>=NF($B134,"Estado")</t>
  </si>
  <si>
    <t>=NF($D134,"fecha")</t>
  </si>
  <si>
    <t>=NF($D134,"Descripción incidencia")</t>
  </si>
  <si>
    <t>=NF($B134,"Cód_ transportista")</t>
  </si>
  <si>
    <t>=NF($B134,"Cód_ servicio solicitado")</t>
  </si>
  <si>
    <t>=NF($B134,"Link imagen")</t>
  </si>
  <si>
    <t>=NF($B134,"Localizador")</t>
  </si>
  <si>
    <t>="""SQL-NAVISION"","""",""SQL="",""14=No_"",""PD260091698"",""14=No_ documento cliente"",""LGL220526.1"",""14=No_ referencia transporte"",""LGL220526.1"",""14=Nº Expedición"",""917400040907"",""14=Nombre punto entrega"",""MEDIAPOST PALMA ARTS SPORTS"",""14=Dirección punto entrega"",""C"&amp;"/ Vial San José, 41 Pol. Ind. Son Castelló"",""14=C_P_ punto entrega"",""07009"",""14=Población punto entrega"",""PALMA DE MALLORCA"",""14=Provincia punto entrega"",""BALEARES"",""14=País punto entrega"",""ES"",""14=Estado"",""Entregado"",""15=fecha_prep"",""26/05/2026"",""15=Fech"&amp;"a expedido"",""27/05/2026"",""14=Cód_ transportista"",""CBL"",""14=Cód_ servicio solicitado"",""STD"",""14=Link imagen"",""http://clientes.cbl-logistica.com/public/ShowPOD.aspx?query=NmQ3MDI2ZmYtNDg4Yy05ZTE4LTU1ZGYtZGRlMmExOTdhMzI0|REF|LGL220526.1"",""14=Localizador"",""29"&amp;"E8889F"""</t>
  </si>
  <si>
    <t>=NL("Filas","SQL="&amp;
"select MAX(td.[Nº movimiento]) num_mov "&amp;
"  from [dbo].[MEDIAPOST SPAIN$Tracking Documento] td with (nolock) "&amp;
"  WHERE td.[Nº documento] = '"&amp;NF($B135,"No_ referencia transporte")&amp;"' "&amp;
"    AND td.[Cód_ incidencia] &lt;&gt; '' ",{"num_mov"},"Datasource=","SQL-Navision")</t>
  </si>
  <si>
    <t>=IF(NF($C135,"num_mov")="","",NL(,"Tracking Documento",,"Nº movimiento",NF($C135,"num_mov"),"Conexión=","Navision","Empresa=","MEDIAPOST SPAIN"))</t>
  </si>
  <si>
    <t>=NF($B135,"No_ documento cliente")</t>
  </si>
  <si>
    <t>=NF($B135,"No_ referencia transporte")</t>
  </si>
  <si>
    <t>=NF($B135,"Nº Expedición")</t>
  </si>
  <si>
    <t>=NF($B135,"Nombre punto entrega")</t>
  </si>
  <si>
    <t>=NF($B135,"Dirección punto entrega")</t>
  </si>
  <si>
    <t>=NF($B135,"C_P_ punto entrega")</t>
  </si>
  <si>
    <t>=NF($B135,"Población punto entrega")</t>
  </si>
  <si>
    <t>=NF($B135,"Provincia punto entrega")</t>
  </si>
  <si>
    <t>=NF($B135,"País punto entrega")</t>
  </si>
  <si>
    <t>=NF($B135,"fecha_prep")</t>
  </si>
  <si>
    <t>=NF($B135,"Fecha expedido")</t>
  </si>
  <si>
    <t>=NF($B135,"Estado")</t>
  </si>
  <si>
    <t>=NF($D135,"fecha")</t>
  </si>
  <si>
    <t>=NF($D135,"Descripción incidencia")</t>
  </si>
  <si>
    <t>=NF($B135,"Cód_ transportista")</t>
  </si>
  <si>
    <t>=NF($B135,"Cód_ servicio solicitado")</t>
  </si>
  <si>
    <t>=NF($B135,"Link imagen")</t>
  </si>
  <si>
    <t>=NF($B135,"Localizador")</t>
  </si>
  <si>
    <t>="""SQL-NAVISION"","""",""SQL="",""14=No_"",""PD260091539"",""14=No_ documento cliente"",""63226000205"",""14=No_ referencia transporte"",""63226000205"",""14=Nº Expedición"",""14814408"",""14=Nombre punto entrega"",""MEDIAPOST BARCELONA"",""14=Dirección punto entrega"",""CTRA SENTMENA"&amp;"T 36"",""14=C_P_ punto entrega"",""08213"",""14=Población punto entrega"",""POLINYÁ"",""14=Provincia punto entrega"",""BARCELONA"",""14=País punto entrega"",""ES"",""14=Estado"",""Entregado"",""15=fecha_prep"",""27/05/2026"",""15=Fecha expedido"",""27/05/2026"",""14=Cód_ transportista"&amp;""",""RECOGERAN"",""14=Cód_ servicio solicitado"",""RECOGERAN"",""14=Link imagen"",""https://img.directoatusclientes.com/iris/POD/RECOGERAN/63226000205.pdf"",""14=Localizador"","""""</t>
  </si>
  <si>
    <t>=NL("Filas","SQL="&amp;
"select MAX(td.[Nº movimiento]) num_mov "&amp;
"  from [dbo].[MEDIAPOST SPAIN$Tracking Documento] td with (nolock) "&amp;
"  WHERE td.[Nº documento] = '"&amp;NF($B136,"No_ referencia transporte")&amp;"' "&amp;
"    AND td.[Cód_ incidencia] &lt;&gt; '' ",{"num_mov"},"Datasource=","SQL-Navision")</t>
  </si>
  <si>
    <t>=IF(NF($C136,"num_mov")="","",NL(,"Tracking Documento",,"Nº movimiento",NF($C136,"num_mov"),"Conexión=","Navision","Empresa=","MEDIAPOST SPAIN"))</t>
  </si>
  <si>
    <t>=NF($B136,"No_ documento cliente")</t>
  </si>
  <si>
    <t>=NF($B136,"No_ referencia transporte")</t>
  </si>
  <si>
    <t>=NF($B136,"Nº Expedición")</t>
  </si>
  <si>
    <t>=NF($B136,"Nombre punto entrega")</t>
  </si>
  <si>
    <t>=NF($B136,"Dirección punto entrega")</t>
  </si>
  <si>
    <t>=NF($B136,"C_P_ punto entrega")</t>
  </si>
  <si>
    <t>=NF($B136,"Población punto entrega")</t>
  </si>
  <si>
    <t>=NF($B136,"Provincia punto entrega")</t>
  </si>
  <si>
    <t>=NF($B136,"País punto entrega")</t>
  </si>
  <si>
    <t>=NF($B136,"fecha_prep")</t>
  </si>
  <si>
    <t>=NF($B136,"Fecha expedido")</t>
  </si>
  <si>
    <t>=NF($B136,"Estado")</t>
  </si>
  <si>
    <t>=NF($D136,"fecha")</t>
  </si>
  <si>
    <t>=NF($D136,"Descripción incidencia")</t>
  </si>
  <si>
    <t>=NF($B136,"Cód_ transportista")</t>
  </si>
  <si>
    <t>=NF($B136,"Cód_ servicio solicitado")</t>
  </si>
  <si>
    <t>=NF($B136,"Link imagen")</t>
  </si>
  <si>
    <t>=NF($B136,"Localizador")</t>
  </si>
  <si>
    <t>="""SQL-NAVISION"","""",""SQL="",""14=No_"",""PD260091697"",""14=No_ documento cliente"",""LGL220526.1"",""14=No_ referencia transporte"",""LGL220526.1"",""14=Nº Expedición"",""917400040907"",""14=Nombre punto entrega"",""MEDIAPOST PALMA ARTS SPORTS"",""14=Dirección punto entrega"",""C"&amp;"/ Vial San José, 41 Pol. Ind. Son Castelló"",""14=C_P_ punto entrega"",""07009"",""14=Población punto entrega"",""PALMA DE MALLORCA"",""14=Provincia punto entrega"",""BALEARES"",""14=País punto entrega"",""ES"",""14=Estado"",""Entregado"",""15=fecha_prep"",""26/05/2026"",""15=Fech"&amp;"a expedido"",""27/05/2026"",""14=Cód_ transportista"",""CBL"",""14=Cód_ servicio solicitado"",""STD"",""14=Link imagen"",""http://clientes.cbl-logistica.com/public/ShowPOD.aspx?query=NmQ3MDI2ZmYtNDg4Yy05ZTE4LTU1ZGYtZGRlMmExOTdhMzI0|REF|LGL220526.1"",""14=Localizador"",""29"&amp;"E8889F"""</t>
  </si>
  <si>
    <t>=NL("Filas","SQL="&amp;
"select MAX(td.[Nº movimiento]) num_mov "&amp;
"  from [dbo].[MEDIAPOST SPAIN$Tracking Documento] td with (nolock) "&amp;
"  WHERE td.[Nº documento] = '"&amp;NF($B137,"No_ referencia transporte")&amp;"' "&amp;
"    AND td.[Cód_ incidencia] &lt;&gt; '' ",{"num_mov"},"Datasource=","SQL-Navision")</t>
  </si>
  <si>
    <t>=IF(NF($C137,"num_mov")="","",NL(,"Tracking Documento",,"Nº movimiento",NF($C137,"num_mov"),"Conexión=","Navision","Empresa=","MEDIAPOST SPAIN"))</t>
  </si>
  <si>
    <t>=NF($B137,"No_ documento cliente")</t>
  </si>
  <si>
    <t>=NF($B137,"No_ referencia transporte")</t>
  </si>
  <si>
    <t>=NF($B137,"Nº Expedición")</t>
  </si>
  <si>
    <t>=NF($B137,"Nombre punto entrega")</t>
  </si>
  <si>
    <t>=NF($B137,"Dirección punto entrega")</t>
  </si>
  <si>
    <t>=NF($B137,"C_P_ punto entrega")</t>
  </si>
  <si>
    <t>=NF($B137,"Población punto entrega")</t>
  </si>
  <si>
    <t>=NF($B137,"Provincia punto entrega")</t>
  </si>
  <si>
    <t>=NF($B137,"País punto entrega")</t>
  </si>
  <si>
    <t>=NF($B137,"fecha_prep")</t>
  </si>
  <si>
    <t>=NF($B137,"Fecha expedido")</t>
  </si>
  <si>
    <t>=NF($B137,"Estado")</t>
  </si>
  <si>
    <t>=NF($D137,"fecha")</t>
  </si>
  <si>
    <t>=NF($D137,"Descripción incidencia")</t>
  </si>
  <si>
    <t>=NF($B137,"Cód_ transportista")</t>
  </si>
  <si>
    <t>=NF($B137,"Cód_ servicio solicitado")</t>
  </si>
  <si>
    <t>=NF($B137,"Link imagen")</t>
  </si>
  <si>
    <t>=NF($B137,"Localizador")</t>
  </si>
  <si>
    <t>="""SQL-NAVISION"","""",""SQL="",""14=No_"",""PD260092170"",""14=No_ documento cliente"",""WW_2505_ATS"",""14=No_ referencia transporte"",""WW_2505_ATS"",""14=Nº Expedición"",""917400040910"",""14=Nombre punto entrega"",""ABEL TELLO SANCHEZ"",""14=Dirección punto entrega"",""CARRER DE "&amp;"DIEGO DE ALMAGRO 11, 3O 2A"",""14=C_P_ punto entrega"",""08204"",""14=Población punto entrega"",""SABADELL"",""14=Provincia punto entrega"",""BARCELONA"",""14=País punto entrega"",""ES"",""14=Estado"",""Entregado"",""15=fecha_prep"",""28/05/2026"",""15=Fecha expedido"",""28/05/2026"""&amp;",""14=Cód_ transportista"",""CBL"",""14=Cód_ servicio solicitado"",""STD"",""14=Link imagen"",""https://clientes.cbl-logistica.com/public/consultaenvio.aspx?id=91240DCE"",""14=Localizador"",""91240DCE"""</t>
  </si>
  <si>
    <t>=NL("Filas","SQL="&amp;
"select MAX(td.[Nº movimiento]) num_mov "&amp;
"  from [dbo].[MEDIAPOST SPAIN$Tracking Documento] td with (nolock) "&amp;
"  WHERE td.[Nº documento] = '"&amp;NF($B138,"No_ referencia transporte")&amp;"' "&amp;
"    AND td.[Cód_ incidencia] &lt;&gt; '' ",{"num_mov"},"Datasource=","SQL-Navision")</t>
  </si>
  <si>
    <t>=IF(NF($C138,"num_mov")="","",NL(,"Tracking Documento",,"Nº movimiento",NF($C138,"num_mov"),"Conexión=","Navision","Empresa=","MEDIAPOST SPAIN"))</t>
  </si>
  <si>
    <t>=NF($B138,"No_ documento cliente")</t>
  </si>
  <si>
    <t>=NF($B138,"No_ referencia transporte")</t>
  </si>
  <si>
    <t>=NF($B138,"Nº Expedición")</t>
  </si>
  <si>
    <t>=NF($B138,"Nombre punto entrega")</t>
  </si>
  <si>
    <t>=NF($B138,"Dirección punto entrega")</t>
  </si>
  <si>
    <t>=NF($B138,"C_P_ punto entrega")</t>
  </si>
  <si>
    <t>=NF($B138,"Población punto entrega")</t>
  </si>
  <si>
    <t>=NF($B138,"Provincia punto entrega")</t>
  </si>
  <si>
    <t>=NF($B138,"País punto entrega")</t>
  </si>
  <si>
    <t>=NF($B138,"fecha_prep")</t>
  </si>
  <si>
    <t>=NF($B138,"Fecha expedido")</t>
  </si>
  <si>
    <t>=NF($B138,"Estado")</t>
  </si>
  <si>
    <t>=NF($D138,"fecha")</t>
  </si>
  <si>
    <t>=NF($D138,"Descripción incidencia")</t>
  </si>
  <si>
    <t>=NF($B138,"Cód_ transportista")</t>
  </si>
  <si>
    <t>=NF($B138,"Cód_ servicio solicitado")</t>
  </si>
  <si>
    <t>=NF($B138,"Link imagen")</t>
  </si>
  <si>
    <t>=NF($B138,"Localizador")</t>
  </si>
  <si>
    <t>="""SQL-NAVISION"","""",""SQL="",""14=No_"",""PD260092515"",""14=No_ documento cliente"",""WW_2705_ALLB"",""14=No_ referencia transporte"",""WW_2705_ALLB"",""14=Nº Expedición"",""0865426490"",""14=Nombre punto entrega"",""ANA LETICIA LOPEZ BENEITEZ"",""14=Dirección punto entrega"",""AV"&amp;"ENIDA FERNÁNDEZ LADREDA, NÚMERO 5, 2°A."",""14=C_P_ punto entrega"",""24005"",""14=Población punto entrega"",""LEON"",""14=Provincia punto entrega"",""LEON"",""14=País punto entrega"",""ES"",""14=Estado"",""Entregado"",""15=fecha_prep"",""28/05/2026"",""15=Fecha expedido"",""28/05/2"&amp;"026"",""14=Cód_ transportista"",""DHL"",""14=Cód_ servicio solicitado"",""STD"",""14=Link imagen"",""https://clientesparcel.dhl.es/seguimientoenvios/integra/SeguimientoDocumentos.aspx?codigo=0865426490&amp;anno=2026&amp;lang=sp&amp;zatar=q45LoBtfSS29xHGRDZ57"",""14=Localizador"","""""</t>
  </si>
  <si>
    <t>=NL("Filas","SQL="&amp;
"select MAX(td.[Nº movimiento]) num_mov "&amp;
"  from [dbo].[MEDIAPOST SPAIN$Tracking Documento] td with (nolock) "&amp;
"  WHERE td.[Nº documento] = '"&amp;NF($B139,"No_ referencia transporte")&amp;"' "&amp;
"    AND td.[Cód_ incidencia] &lt;&gt; '' ",{"num_mov"},"Datasource=","SQL-Navision")</t>
  </si>
  <si>
    <t>=IF(NF($C139,"num_mov")="","",NL(,"Tracking Documento",,"Nº movimiento",NF($C139,"num_mov"),"Conexión=","Navision","Empresa=","MEDIAPOST SPAIN"))</t>
  </si>
  <si>
    <t>=NF($B139,"No_ documento cliente")</t>
  </si>
  <si>
    <t>=NF($B139,"No_ referencia transporte")</t>
  </si>
  <si>
    <t>=NF($B139,"Nº Expedición")</t>
  </si>
  <si>
    <t>=NF($B139,"Nombre punto entrega")</t>
  </si>
  <si>
    <t>=NF($B139,"Dirección punto entrega")</t>
  </si>
  <si>
    <t>=NF($B139,"C_P_ punto entrega")</t>
  </si>
  <si>
    <t>=NF($B139,"Población punto entrega")</t>
  </si>
  <si>
    <t>=NF($B139,"Provincia punto entrega")</t>
  </si>
  <si>
    <t>=NF($B139,"País punto entrega")</t>
  </si>
  <si>
    <t>=NF($B139,"fecha_prep")</t>
  </si>
  <si>
    <t>=NF($B139,"Fecha expedido")</t>
  </si>
  <si>
    <t>=NF($B139,"Estado")</t>
  </si>
  <si>
    <t>=NF($D139,"fecha")</t>
  </si>
  <si>
    <t>=NF($D139,"Descripción incidencia")</t>
  </si>
  <si>
    <t>=NF($B139,"Cód_ transportista")</t>
  </si>
  <si>
    <t>=NF($B139,"Cód_ servicio solicitado")</t>
  </si>
  <si>
    <t>=NF($B139,"Link imagen")</t>
  </si>
  <si>
    <t>=NF($B139,"Localizador")</t>
  </si>
  <si>
    <t>="""SQL-NAVISION"","""",""SQL="",""14=No_"",""PD260092183"",""14=No_ documento cliente"",""WW_2505_FVA"",""14=No_ referencia transporte"",""WW_2505_FVA"",""14=Nº Expedición"",""000017181"",""14=Nombre punto entrega"",""FATIMA VARGAS ALMENDRO"",""14=Dirección punto entrega"",""CL SANCHO"&amp;" DE CABRERA, 12"",""14=C_P_ punto entrega"",""10004"",""14=Población punto entrega"",""CACERES"",""14=Provincia punto entrega"",""CACERES"",""14=País punto entrega"",""ES"",""14=Estado"",""Entregado"",""15=fecha_prep"",""28/05/2026"",""15=Fecha expedido"",""28/05/2026"",""14=Cód_ tran"&amp;"sportista"",""ONTIME"",""14=Cód_ servicio solicitado"",""STD"",""14=Link imagen"",""https://ontimegts.alertran.net/gts/pub/clielocserv.seam?cliente=02890149&amp;expedicion=999951158817"",""14=Localizador"",""999951158817"""</t>
  </si>
  <si>
    <t>=NL("Filas","SQL="&amp;
"select MAX(td.[Nº movimiento]) num_mov "&amp;
"  from [dbo].[MEDIAPOST SPAIN$Tracking Documento] td with (nolock) "&amp;
"  WHERE td.[Nº documento] = '"&amp;NF($B140,"No_ referencia transporte")&amp;"' "&amp;
"    AND td.[Cód_ incidencia] &lt;&gt; '' ",{"num_mov"},"Datasource=","SQL-Navision")</t>
  </si>
  <si>
    <t>=IF(NF($C140,"num_mov")="","",NL(,"Tracking Documento",,"Nº movimiento",NF($C140,"num_mov"),"Conexión=","Navision","Empresa=","MEDIAPOST SPAIN"))</t>
  </si>
  <si>
    <t>=NF($B140,"No_ documento cliente")</t>
  </si>
  <si>
    <t>=NF($B140,"No_ referencia transporte")</t>
  </si>
  <si>
    <t>=NF($B140,"Nº Expedición")</t>
  </si>
  <si>
    <t>=NF($B140,"Nombre punto entrega")</t>
  </si>
  <si>
    <t>=NF($B140,"Dirección punto entrega")</t>
  </si>
  <si>
    <t>=NF($B140,"C_P_ punto entrega")</t>
  </si>
  <si>
    <t>=NF($B140,"Población punto entrega")</t>
  </si>
  <si>
    <t>=NF($B140,"Provincia punto entrega")</t>
  </si>
  <si>
    <t>=NF($B140,"País punto entrega")</t>
  </si>
  <si>
    <t>=NF($B140,"fecha_prep")</t>
  </si>
  <si>
    <t>=NF($B140,"Fecha expedido")</t>
  </si>
  <si>
    <t>=NF($B140,"Estado")</t>
  </si>
  <si>
    <t>=NF($D140,"fecha")</t>
  </si>
  <si>
    <t>=NF($D140,"Descripción incidencia")</t>
  </si>
  <si>
    <t>=NF($B140,"Cód_ transportista")</t>
  </si>
  <si>
    <t>=NF($B140,"Cód_ servicio solicitado")</t>
  </si>
  <si>
    <t>=NF($B140,"Link imagen")</t>
  </si>
  <si>
    <t>=NF($B140,"Localizador")</t>
  </si>
  <si>
    <t>="""SQL-NAVISION"","""",""SQL="",""14=No_"",""PD260092181"",""14=No_ documento cliente"",""WW_2505_RVN"",""14=No_ referencia transporte"",""WW_2505_RVN"",""14=Nº Expedición"",""000017221"",""14=Nombre punto entrega"",""RUTH VILLAS NIETO"",""14=Dirección punto entrega"",""C/LUIS MITJANS"&amp;", 13 2º C"",""14=C_P_ punto entrega"",""28007"",""14=Población punto entrega"",""MADRID"",""14=Provincia punto entrega"",""MADRID"",""14=País punto entrega"",""ES"",""14=Estado"",""Entregado"",""15=fecha_prep"",""28/05/2026"",""15=Fecha expedido"",""28/05/2026"",""14=Cód_ transportist"&amp;"a"",""ONTIME"",""14=Cód_ servicio solicitado"",""STD"",""14=Link imagen"",""https://ontimegts.alertran.net/gts/pub/clielocserv.seam?cliente=02890149&amp;expedicion=999951158851"",""14=Localizador"",""999951158851"""</t>
  </si>
  <si>
    <t>=NL("Filas","SQL="&amp;
"select MAX(td.[Nº movimiento]) num_mov "&amp;
"  from [dbo].[MEDIAPOST SPAIN$Tracking Documento] td with (nolock) "&amp;
"  WHERE td.[Nº documento] = '"&amp;NF($B141,"No_ referencia transporte")&amp;"' "&amp;
"    AND td.[Cód_ incidencia] &lt;&gt; '' ",{"num_mov"},"Datasource=","SQL-Navision")</t>
  </si>
  <si>
    <t>=IF(NF($C141,"num_mov")="","",NL(,"Tracking Documento",,"Nº movimiento",NF($C141,"num_mov"),"Conexión=","Navision","Empresa=","MEDIAPOST SPAIN"))</t>
  </si>
  <si>
    <t>=NF($B141,"No_ documento cliente")</t>
  </si>
  <si>
    <t>=NF($B141,"No_ referencia transporte")</t>
  </si>
  <si>
    <t>=NF($B141,"Nº Expedición")</t>
  </si>
  <si>
    <t>=NF($B141,"Nombre punto entrega")</t>
  </si>
  <si>
    <t>=NF($B141,"Dirección punto entrega")</t>
  </si>
  <si>
    <t>=NF($B141,"C_P_ punto entrega")</t>
  </si>
  <si>
    <t>=NF($B141,"Población punto entrega")</t>
  </si>
  <si>
    <t>=NF($B141,"Provincia punto entrega")</t>
  </si>
  <si>
    <t>=NF($B141,"País punto entrega")</t>
  </si>
  <si>
    <t>=NF($B141,"fecha_prep")</t>
  </si>
  <si>
    <t>=NF($B141,"Fecha expedido")</t>
  </si>
  <si>
    <t>=NF($B141,"Estado")</t>
  </si>
  <si>
    <t>=NF($D141,"fecha")</t>
  </si>
  <si>
    <t>=NF($D141,"Descripción incidencia")</t>
  </si>
  <si>
    <t>=NF($B141,"Cód_ transportista")</t>
  </si>
  <si>
    <t>=NF($B141,"Cód_ servicio solicitado")</t>
  </si>
  <si>
    <t>=NF($B141,"Link imagen")</t>
  </si>
  <si>
    <t>=NF($B141,"Localizador")</t>
  </si>
  <si>
    <t>="""SQL-NAVISION"","""",""SQL="",""14=No_"",""PD260092597"",""14=No_ documento cliente"",""63226000207"",""14=No_ referencia transporte"",""63226000207"",""14=Nº Expedición"",""0865426520"",""14=Nombre punto entrega"",""Recoger en Delegación / Sergio Alcántara"",""14=Dirección punto "&amp;"entrega"",""RECOGER EN DELEGACION"",""14=C_P_ punto entrega"",""29130"",""14=Población punto entrega"",""Alhaurín de la Torre"",""14=Provincia punto entrega"",""Malaga"",""14=País punto entrega"",""ES"",""14=Estado"",""Entregado"",""15=fecha_prep"",""28/05/2026"",""15=Fecha expedido"&amp;""",""28/05/2026"",""14=Cód_ transportista"",""DHL"",""14=Cód_ servicio solicitado"",""STD"",""14=Link imagen"",""https://clientesparcel.dhl.es/seguimientoenvios/integra/SeguimientoDocumentos.aspx?codigo=0865426520&amp;anno=2026&amp;lang=sp&amp;zatar=q45LoBtfSS29xHGRDZ57"",""14=Local"&amp;"izador"","""""</t>
  </si>
  <si>
    <t>=NL("Filas","SQL="&amp;
"select MAX(td.[Nº movimiento]) num_mov "&amp;
"  from [dbo].[MEDIAPOST SPAIN$Tracking Documento] td with (nolock) "&amp;
"  WHERE td.[Nº documento] = '"&amp;NF($B142,"No_ referencia transporte")&amp;"' "&amp;
"    AND td.[Cód_ incidencia] &lt;&gt; '' ",{"num_mov"},"Datasource=","SQL-Navision")</t>
  </si>
  <si>
    <t>=IF(NF($C142,"num_mov")="","",NL(,"Tracking Documento",,"Nº movimiento",NF($C142,"num_mov"),"Conexión=","Navision","Empresa=","MEDIAPOST SPAIN"))</t>
  </si>
  <si>
    <t>=NF($B142,"No_ documento cliente")</t>
  </si>
  <si>
    <t>=NF($B142,"No_ referencia transporte")</t>
  </si>
  <si>
    <t>=NF($B142,"Nº Expedición")</t>
  </si>
  <si>
    <t>=NF($B142,"Nombre punto entrega")</t>
  </si>
  <si>
    <t>=NF($B142,"Dirección punto entrega")</t>
  </si>
  <si>
    <t>=NF($B142,"C_P_ punto entrega")</t>
  </si>
  <si>
    <t>=NF($B142,"Población punto entrega")</t>
  </si>
  <si>
    <t>=NF($B142,"Provincia punto entrega")</t>
  </si>
  <si>
    <t>=NF($B142,"País punto entrega")</t>
  </si>
  <si>
    <t>=NF($B142,"fecha_prep")</t>
  </si>
  <si>
    <t>=NF($B142,"Fecha expedido")</t>
  </si>
  <si>
    <t>=NF($B142,"Estado")</t>
  </si>
  <si>
    <t>=NF($D142,"fecha")</t>
  </si>
  <si>
    <t>=NF($D142,"Descripción incidencia")</t>
  </si>
  <si>
    <t>=NF($B142,"Cód_ transportista")</t>
  </si>
  <si>
    <t>=NF($B142,"Cód_ servicio solicitado")</t>
  </si>
  <si>
    <t>=NF($B142,"Link imagen")</t>
  </si>
  <si>
    <t>=NF($B142,"Localizador")</t>
  </si>
  <si>
    <t>="""SQL-NAVISION"","""",""SQL="",""14=No_"",""PD260092179"",""14=No_ documento cliente"",""WW_2505_PPG"",""14=No_ referencia transporte"",""WW_2505_PPG"",""14=Nº Expedición"",""000017178"",""14=Nombre punto entrega"",""PALOMA PEREZ GOMEZ"",""14=Dirección punto entrega"",""Calle Villaji"&amp;"mena 51- 4C"",""14=C_P_ punto entrega"",""28032"",""14=Población punto entrega"",""MADRID"",""14=Provincia punto entrega"",""MADRID"",""14=País punto entrega"",""ES"",""14=Estado"",""Entregado"",""15=fecha_prep"",""28/05/2026"",""15=Fecha expedido"",""28/05/2026"",""14=Cód_ transporti"&amp;"sta"",""ONTIME"",""14=Cód_ servicio solicitado"",""STD"",""14=Link imagen"",""https://ontimegts.alertran.net/gts/pub/clielocserv.seam?cliente=02890149&amp;expedicion=999951158815"",""14=Localizador"",""999951158815"""</t>
  </si>
  <si>
    <t>=NL("Filas","SQL="&amp;
"select MAX(td.[Nº movimiento]) num_mov "&amp;
"  from [dbo].[MEDIAPOST SPAIN$Tracking Documento] td with (nolock) "&amp;
"  WHERE td.[Nº documento] = '"&amp;NF($B143,"No_ referencia transporte")&amp;"' "&amp;
"    AND td.[Cód_ incidencia] &lt;&gt; '' ",{"num_mov"},"Datasource=","SQL-Navision")</t>
  </si>
  <si>
    <t>=IF(NF($C143,"num_mov")="","",NL(,"Tracking Documento",,"Nº movimiento",NF($C143,"num_mov"),"Conexión=","Navision","Empresa=","MEDIAPOST SPAIN"))</t>
  </si>
  <si>
    <t>=NF($B143,"No_ documento cliente")</t>
  </si>
  <si>
    <t>=NF($B143,"No_ referencia transporte")</t>
  </si>
  <si>
    <t>=NF($B143,"Nº Expedición")</t>
  </si>
  <si>
    <t>=NF($B143,"Nombre punto entrega")</t>
  </si>
  <si>
    <t>=NF($B143,"Dirección punto entrega")</t>
  </si>
  <si>
    <t>=NF($B143,"C_P_ punto entrega")</t>
  </si>
  <si>
    <t>=NF($B143,"Población punto entrega")</t>
  </si>
  <si>
    <t>=NF($B143,"Provincia punto entrega")</t>
  </si>
  <si>
    <t>=NF($B143,"País punto entrega")</t>
  </si>
  <si>
    <t>=NF($B143,"fecha_prep")</t>
  </si>
  <si>
    <t>=NF($B143,"Fecha expedido")</t>
  </si>
  <si>
    <t>=NF($B143,"Estado")</t>
  </si>
  <si>
    <t>=NF($D143,"fecha")</t>
  </si>
  <si>
    <t>=NF($D143,"Descripción incidencia")</t>
  </si>
  <si>
    <t>=NF($B143,"Cód_ transportista")</t>
  </si>
  <si>
    <t>=NF($B143,"Cód_ servicio solicitado")</t>
  </si>
  <si>
    <t>=NF($B143,"Link imagen")</t>
  </si>
  <si>
    <t>=NF($B143,"Localizador")</t>
  </si>
  <si>
    <t>="""SQL-NAVISION"","""",""SQL="",""14=No_"",""PD260094532"",""14=No_ documento cliente"",""INPOST270526.1"",""14=No_ referencia transporte"",""X26027714"",""14=Nº Expedición"",""5604341"",""14=Nombre punto entrega"",""Ceva Logistics"",""14=Dirección punto entrega"",""Carrer Principal 1"&amp;", Poligon Industrial Les Planes Baixes"",""14=C_P_ punto entrega"",""43717"",""14=Población punto entrega"",""La Bisbal del Penedes"",""14=Provincia punto entrega"",""Tarragona"",""14=País punto entrega"",""ES"",""14=Estado"",""Entregado"",""15=fecha_prep"",""28/05/2026"",""15=Fec"&amp;"ha expedido"",""28/05/2026"",""14=Cód_ transportista"",""ASM"",""14=Cód_ servicio solicitado"",""STD"",""14=Link imagen"",""https://mygls.gls-spain.es/e/31200805604341/43717"",""14=Localizador"","""""</t>
  </si>
  <si>
    <t>=NL("Filas","SQL="&amp;
"select MAX(td.[Nº movimiento]) num_mov "&amp;
"  from [dbo].[MEDIAPOST SPAIN$Tracking Documento] td with (nolock) "&amp;
"  WHERE td.[Nº documento] = '"&amp;NF($B144,"No_ referencia transporte")&amp;"' "&amp;
"    AND td.[Cód_ incidencia] &lt;&gt; '' ",{"num_mov"},"Datasource=","SQL-Navision")</t>
  </si>
  <si>
    <t>=IF(NF($C144,"num_mov")="","",NL(,"Tracking Documento",,"Nº movimiento",NF($C144,"num_mov"),"Conexión=","Navision","Empresa=","MEDIAPOST SPAIN"))</t>
  </si>
  <si>
    <t>=NF($B144,"No_ documento cliente")</t>
  </si>
  <si>
    <t>=NF($B144,"No_ referencia transporte")</t>
  </si>
  <si>
    <t>=NF($B144,"Nº Expedición")</t>
  </si>
  <si>
    <t>=NF($B144,"Nombre punto entrega")</t>
  </si>
  <si>
    <t>=NF($B144,"Dirección punto entrega")</t>
  </si>
  <si>
    <t>=NF($B144,"C_P_ punto entrega")</t>
  </si>
  <si>
    <t>=NF($B144,"Población punto entrega")</t>
  </si>
  <si>
    <t>=NF($B144,"Provincia punto entrega")</t>
  </si>
  <si>
    <t>=NF($B144,"País punto entrega")</t>
  </si>
  <si>
    <t>=NF($B144,"fecha_prep")</t>
  </si>
  <si>
    <t>=NF($B144,"Fecha expedido")</t>
  </si>
  <si>
    <t>=NF($B144,"Estado")</t>
  </si>
  <si>
    <t>=NF($D144,"fecha")</t>
  </si>
  <si>
    <t>=NF($D144,"Descripción incidencia")</t>
  </si>
  <si>
    <t>=NF($B144,"Cód_ transportista")</t>
  </si>
  <si>
    <t>=NF($B144,"Cód_ servicio solicitado")</t>
  </si>
  <si>
    <t>=NF($B144,"Link imagen")</t>
  </si>
  <si>
    <t>=NF($B144,"Localizador")</t>
  </si>
  <si>
    <t>="""SQL-NAVISION"","""",""SQL="",""14=No_"",""PD260092172"",""14=No_ documento cliente"",""WW_2505_TCR"",""14=No_ referencia transporte"",""WW_2505_TCR"",""14=Nº Expedición"",""0865426460"",""14=Nombre punto entrega"",""TRINIDAD CASTIÑEIRA RAMA"",""14=Dirección punto entrega"",""CARRET"&amp;"ERA RIANXIÑO, Nº78"",""14=C_P_ punto entrega"",""15920"",""14=Población punto entrega"",""RIANXO"",""14=Provincia punto entrega"",""A CORUÑA"",""14=País punto entrega"",""ES"",""14=Estado"",""Entregado"",""15=fecha_prep"",""28/05/2026"",""15=Fecha expedido"",""28/05/2026"",""14=Cód_ t"&amp;"ransportista"",""DHL"",""14=Cód_ servicio solicitado"",""STD"",""14=Link imagen"",""https://clientesparcel.dhl.es/seguimientoenvios/integra/SeguimientoDocumentos.aspx?codigo=0865426460&amp;anno=2026&amp;lang=sp&amp;zatar=q45LoBtfSS29xHGRDZ57"",""14=Localizador"","""""</t>
  </si>
  <si>
    <t>=NL("Filas","SQL="&amp;
"select MAX(td.[Nº movimiento]) num_mov "&amp;
"  from [dbo].[MEDIAPOST SPAIN$Tracking Documento] td with (nolock) "&amp;
"  WHERE td.[Nº documento] = '"&amp;NF($B145,"No_ referencia transporte")&amp;"' "&amp;
"    AND td.[Cód_ incidencia] &lt;&gt; '' ",{"num_mov"},"Datasource=","SQL-Navision")</t>
  </si>
  <si>
    <t>=IF(NF($C145,"num_mov")="","",NL(,"Tracking Documento",,"Nº movimiento",NF($C145,"num_mov"),"Conexión=","Navision","Empresa=","MEDIAPOST SPAIN"))</t>
  </si>
  <si>
    <t>=NF($B145,"No_ documento cliente")</t>
  </si>
  <si>
    <t>=NF($B145,"No_ referencia transporte")</t>
  </si>
  <si>
    <t>=NF($B145,"Nº Expedición")</t>
  </si>
  <si>
    <t>=NF($B145,"Nombre punto entrega")</t>
  </si>
  <si>
    <t>=NF($B145,"Dirección punto entrega")</t>
  </si>
  <si>
    <t>=NF($B145,"C_P_ punto entrega")</t>
  </si>
  <si>
    <t>=NF($B145,"Población punto entrega")</t>
  </si>
  <si>
    <t>=NF($B145,"Provincia punto entrega")</t>
  </si>
  <si>
    <t>=NF($B145,"País punto entrega")</t>
  </si>
  <si>
    <t>=NF($B145,"fecha_prep")</t>
  </si>
  <si>
    <t>=NF($B145,"Fecha expedido")</t>
  </si>
  <si>
    <t>=NF($B145,"Estado")</t>
  </si>
  <si>
    <t>=NF($D145,"fecha")</t>
  </si>
  <si>
    <t>=NF($D145,"Descripción incidencia")</t>
  </si>
  <si>
    <t>=NF($B145,"Cód_ transportista")</t>
  </si>
  <si>
    <t>=NF($B145,"Cód_ servicio solicitado")</t>
  </si>
  <si>
    <t>=NF($B145,"Link imagen")</t>
  </si>
  <si>
    <t>=NF($B145,"Localizador")</t>
  </si>
  <si>
    <t>="""SQL-NAVISION"","""",""SQL="",""14=No_"",""PD260092512"",""14=No_ documento cliente"",""WW_2705_ACR"",""14=No_ referencia transporte"",""WW_2705_ACR"",""14=Nº Expedición"",""000017226"",""14=Nombre punto entrega"",""ANTONIO CUENCA RODRIGUEZ"",""14=Dirección punto entrega"",""CL PUYO"&amp;"LA 4"",""14=C_P_ punto entrega"",""30300"",""14=Población punto entrega"",""CARTAGENA"",""14=Provincia punto entrega"",""MURCIA"",""14=País punto entrega"",""ES"",""14=Estado"",""Entregado"",""15=fecha_prep"",""28/05/2026"",""15=Fecha expedido"",""28/05/2026"",""14=Cód_ transportista"""&amp;",""ONTIME"",""14=Cód_ servicio solicitado"",""STD"",""14=Link imagen"",""https://ontimegts.alertran.net/gts/pub/clielocserv.seam?cliente=02890149&amp;expedicion=999951158853"",""14=Localizador"",""999951158853"""</t>
  </si>
  <si>
    <t>=NL("Filas","SQL="&amp;
"select MAX(td.[Nº movimiento]) num_mov "&amp;
"  from [dbo].[MEDIAPOST SPAIN$Tracking Documento] td with (nolock) "&amp;
"  WHERE td.[Nº documento] = '"&amp;NF($B146,"No_ referencia transporte")&amp;"' "&amp;
"    AND td.[Cód_ incidencia] &lt;&gt; '' ",{"num_mov"},"Datasource=","SQL-Navision")</t>
  </si>
  <si>
    <t>=IF(NF($C146,"num_mov")="","",NL(,"Tracking Documento",,"Nº movimiento",NF($C146,"num_mov"),"Conexión=","Navision","Empresa=","MEDIAPOST SPAIN"))</t>
  </si>
  <si>
    <t>=NF($B146,"No_ documento cliente")</t>
  </si>
  <si>
    <t>=NF($B146,"No_ referencia transporte")</t>
  </si>
  <si>
    <t>=NF($B146,"Nº Expedición")</t>
  </si>
  <si>
    <t>=NF($B146,"Nombre punto entrega")</t>
  </si>
  <si>
    <t>=NF($B146,"Dirección punto entrega")</t>
  </si>
  <si>
    <t>=NF($B146,"C_P_ punto entrega")</t>
  </si>
  <si>
    <t>=NF($B146,"Población punto entrega")</t>
  </si>
  <si>
    <t>=NF($B146,"Provincia punto entrega")</t>
  </si>
  <si>
    <t>=NF($B146,"País punto entrega")</t>
  </si>
  <si>
    <t>=NF($B146,"fecha_prep")</t>
  </si>
  <si>
    <t>=NF($B146,"Fecha expedido")</t>
  </si>
  <si>
    <t>=NF($B146,"Estado")</t>
  </si>
  <si>
    <t>=NF($D146,"fecha")</t>
  </si>
  <si>
    <t>=NF($D146,"Descripción incidencia")</t>
  </si>
  <si>
    <t>=NF($B146,"Cód_ transportista")</t>
  </si>
  <si>
    <t>=NF($B146,"Cód_ servicio solicitado")</t>
  </si>
  <si>
    <t>=NF($B146,"Link imagen")</t>
  </si>
  <si>
    <t>=NF($B146,"Localizador")</t>
  </si>
  <si>
    <t>="""SQL-NAVISION"","""",""SQL="",""14=No_"",""PD260092173"",""14=No_ documento cliente"",""WW_2505_PFF"",""14=No_ referencia transporte"",""WW_2505_PFF"",""14=Nº Expedición"",""000017176"",""14=Nombre punto entrega"",""PATRICIA FERNANDEZ FERNANDEZ"",""14=Dirección punto entrega"",""GRI"&amp;"LLERO, Nº 2"",""14=C_P_ punto entrega"",""33612"",""14=Población punto entrega"",""SANTA CRUZ DE MIERES"",""14=Provincia punto entrega"",""ASTURIAS"",""14=País punto entrega"",""ES"",""14=Estado"",""Entregado"",""15=fecha_prep"",""28/05/2026"",""15=Fecha expedido"",""28/05/2026"",""14"&amp;"=Cód_ transportista"",""ONTIME"",""14=Cód_ servicio solicitado"",""STD"",""14=Link imagen"",""https://ontimegts.alertran.net/gts/pub/clielocserv.seam?cliente=02890149&amp;expedicion=999951158814"",""14=Localizador"",""999951158814"""</t>
  </si>
  <si>
    <t>=NL("Filas","SQL="&amp;
"select MAX(td.[Nº movimiento]) num_mov "&amp;
"  from [dbo].[MEDIAPOST SPAIN$Tracking Documento] td with (nolock) "&amp;
"  WHERE td.[Nº documento] = '"&amp;NF($B147,"No_ referencia transporte")&amp;"' "&amp;
"    AND td.[Cód_ incidencia] &lt;&gt; '' ",{"num_mov"},"Datasource=","SQL-Navision")</t>
  </si>
  <si>
    <t>=IF(NF($C147,"num_mov")="","",NL(,"Tracking Documento",,"Nº movimiento",NF($C147,"num_mov"),"Conexión=","Navision","Empresa=","MEDIAPOST SPAIN"))</t>
  </si>
  <si>
    <t>=NF($B147,"No_ documento cliente")</t>
  </si>
  <si>
    <t>=NF($B147,"No_ referencia transporte")</t>
  </si>
  <si>
    <t>=NF($B147,"Nº Expedición")</t>
  </si>
  <si>
    <t>=NF($B147,"Nombre punto entrega")</t>
  </si>
  <si>
    <t>=NF($B147,"Dirección punto entrega")</t>
  </si>
  <si>
    <t>=NF($B147,"C_P_ punto entrega")</t>
  </si>
  <si>
    <t>=NF($B147,"Población punto entrega")</t>
  </si>
  <si>
    <t>=NF($B147,"Provincia punto entrega")</t>
  </si>
  <si>
    <t>=NF($B147,"País punto entrega")</t>
  </si>
  <si>
    <t>=NF($B147,"fecha_prep")</t>
  </si>
  <si>
    <t>=NF($B147,"Fecha expedido")</t>
  </si>
  <si>
    <t>=NF($B147,"Estado")</t>
  </si>
  <si>
    <t>=NF($D147,"fecha")</t>
  </si>
  <si>
    <t>=NF($D147,"Descripción incidencia")</t>
  </si>
  <si>
    <t>=NF($B147,"Cód_ transportista")</t>
  </si>
  <si>
    <t>=NF($B147,"Cód_ servicio solicitado")</t>
  </si>
  <si>
    <t>=NF($B147,"Link imagen")</t>
  </si>
  <si>
    <t>=NF($B147,"Localizador")</t>
  </si>
  <si>
    <t>="""SQL-NAVISION"","""",""SQL="",""14=No_"",""PD260092178"",""14=No_ documento cliente"",""WW_2505_MJMP.4"",""14=No_ referencia transporte"",""WW_2505_MJMP.4"",""14=Nº Expedición"",""0865426450"",""14=Nombre punto entrega"",""MARIA JOSE MARTINEZ PALAZON"",""14=Dirección punto entrega"&amp;""",""recoge en delegacion"",""14=C_P_ punto entrega"",""28906"",""14=Población punto entrega"",""GETAFE"",""14=Provincia punto entrega"",""MADRID"",""14=País punto entrega"",""ES"",""14=Estado"",""En Reparto"",""15=fecha_prep"",""28/05/2026"",""15=Fecha expedido"",""28/05/2026"",""14=Có"&amp;"d_ transportista"",""DHL"",""14=Cód_ servicio solicitado"",""STD"",""14=Link imagen"",""https://clientesparcel.dhl.es/seguimientoenvios/integra/SeguimientoDocumentos.aspx?codigo=0865426450&amp;anno=2026&amp;lang=sp&amp;zatar=q45LoBtfSS29xHGRDZ57"",""14=Localizador"","""""</t>
  </si>
  <si>
    <t>=NL("Filas","SQL="&amp;
"select MAX(td.[Nº movimiento]) num_mov "&amp;
"  from [dbo].[MEDIAPOST SPAIN$Tracking Documento] td with (nolock) "&amp;
"  WHERE td.[Nº documento] = '"&amp;NF($B148,"No_ referencia transporte")&amp;"' "&amp;
"    AND td.[Cód_ incidencia] &lt;&gt; '' ",{"num_mov"},"Datasource=","SQL-Navision")</t>
  </si>
  <si>
    <t>=IF(NF($C148,"num_mov")="","",NL(,"Tracking Documento",,"Nº movimiento",NF($C148,"num_mov"),"Conexión=","Navision","Empresa=","MEDIAPOST SPAIN"))</t>
  </si>
  <si>
    <t>=NF($B148,"No_ documento cliente")</t>
  </si>
  <si>
    <t>=NF($B148,"No_ referencia transporte")</t>
  </si>
  <si>
    <t>=NF($B148,"Nº Expedición")</t>
  </si>
  <si>
    <t>=NF($B148,"Nombre punto entrega")</t>
  </si>
  <si>
    <t>=NF($B148,"Dirección punto entrega")</t>
  </si>
  <si>
    <t>=NF($B148,"C_P_ punto entrega")</t>
  </si>
  <si>
    <t>=NF($B148,"Población punto entrega")</t>
  </si>
  <si>
    <t>=NF($B148,"Provincia punto entrega")</t>
  </si>
  <si>
    <t>=NF($B148,"País punto entrega")</t>
  </si>
  <si>
    <t>=NF($B148,"fecha_prep")</t>
  </si>
  <si>
    <t>=NF($B148,"Fecha expedido")</t>
  </si>
  <si>
    <t>=NF($B148,"Estado")</t>
  </si>
  <si>
    <t>=NF($D148,"fecha")</t>
  </si>
  <si>
    <t>=NF($D148,"Descripción incidencia")</t>
  </si>
  <si>
    <t>=NF($B148,"Cód_ transportista")</t>
  </si>
  <si>
    <t>=NF($B148,"Cód_ servicio solicitado")</t>
  </si>
  <si>
    <t>=NF($B148,"Link imagen")</t>
  </si>
  <si>
    <t>=NF($B148,"Localizador")</t>
  </si>
  <si>
    <t>="""SQL-NAVISION"","""",""SQL="",""14=No_"",""PD260092177"",""14=No_ documento cliente"",""WW_2505_MJMP.3"",""14=No_ referencia transporte"",""WW_2505_MJMP.3"",""14=Nº Expedición"",""0865426440"",""14=Nombre punto entrega"",""MARIA JOSE MARTINEZ PALAZON"",""14=Dirección punto entrega"&amp;""",""recoge en delegacion"",""14=C_P_ punto entrega"",""28906"",""14=Población punto entrega"",""GETAFE"",""14=Provincia punto entrega"",""MADRID"",""14=País punto entrega"",""ES"",""14=Estado"",""Entregado"",""15=fecha_prep"",""28/05/2026"",""15=Fecha expedido"",""28/05/2026"",""14=Cód"&amp;"_ transportista"",""DHL"",""14=Cód_ servicio solicitado"",""STD"",""14=Link imagen"",""https://clientesparcel.dhl.es/seguimientoenvios/integra/SeguimientoDocumentos.aspx?codigo=0865426440&amp;anno=2026&amp;lang=sp&amp;zatar=q45LoBtfSS29xHGRDZ57"",""14=Localizador"","""""</t>
  </si>
  <si>
    <t>=NL("Filas","SQL="&amp;
"select MAX(td.[Nº movimiento]) num_mov "&amp;
"  from [dbo].[MEDIAPOST SPAIN$Tracking Documento] td with (nolock) "&amp;
"  WHERE td.[Nº documento] = '"&amp;NF($B149,"No_ referencia transporte")&amp;"' "&amp;
"    AND td.[Cód_ incidencia] &lt;&gt; '' ",{"num_mov"},"Datasource=","SQL-Navision")</t>
  </si>
  <si>
    <t>=IF(NF($C149,"num_mov")="","",NL(,"Tracking Documento",,"Nº movimiento",NF($C149,"num_mov"),"Conexión=","Navision","Empresa=","MEDIAPOST SPAIN"))</t>
  </si>
  <si>
    <t>=NF($B149,"No_ documento cliente")</t>
  </si>
  <si>
    <t>=NF($B149,"No_ referencia transporte")</t>
  </si>
  <si>
    <t>=NF($B149,"Nº Expedición")</t>
  </si>
  <si>
    <t>=NF($B149,"Nombre punto entrega")</t>
  </si>
  <si>
    <t>=NF($B149,"Dirección punto entrega")</t>
  </si>
  <si>
    <t>=NF($B149,"C_P_ punto entrega")</t>
  </si>
  <si>
    <t>=NF($B149,"Población punto entrega")</t>
  </si>
  <si>
    <t>=NF($B149,"Provincia punto entrega")</t>
  </si>
  <si>
    <t>=NF($B149,"País punto entrega")</t>
  </si>
  <si>
    <t>=NF($B149,"fecha_prep")</t>
  </si>
  <si>
    <t>=NF($B149,"Fecha expedido")</t>
  </si>
  <si>
    <t>=NF($B149,"Estado")</t>
  </si>
  <si>
    <t>=NF($D149,"fecha")</t>
  </si>
  <si>
    <t>=NF($D149,"Descripción incidencia")</t>
  </si>
  <si>
    <t>=NF($B149,"Cód_ transportista")</t>
  </si>
  <si>
    <t>=NF($B149,"Cód_ servicio solicitado")</t>
  </si>
  <si>
    <t>=NF($B149,"Link imagen")</t>
  </si>
  <si>
    <t>=NF($B149,"Localizador")</t>
  </si>
  <si>
    <t>="""SQL-NAVISION"","""",""SQL="",""14=No_"",""PD260092513"",""14=No_ documento cliente"",""WW_2705_MCM"",""14=No_ referencia transporte"",""WW_2705_MCM"",""14=Nº Expedición"",""000017194"",""14=Nombre punto entrega"",""MARTA CALVACHE MENA"",""14=Dirección punto entrega"",""CALLE NUESTR"&amp;"A SEÑORA DEL PERPETÚO SOCORRO, 4 - BAJO (ES UN GIMNASIO)"",""14=C_P_ punto entrega"",""23008"",""14=Población punto entrega"",""JAÉN"",""14=Provincia punto entrega"",""JAEN"",""14=País punto entrega"",""ES"",""14=Estado"",""Entregado"",""15=fecha_prep"",""28/05/2026"",""15=Fecha e"&amp;"xpedido"",""28/05/2026"",""14=Cód_ transportista"",""ONTIME"",""14=Cód_ servicio solicitado"",""STD"",""14=Link imagen"",""https://ontimegts.alertran.net/gts/pub/clielocserv.seam?cliente=02890149&amp;expedicion=999951158826"",""14=Localizador"",""999951158826"""</t>
  </si>
  <si>
    <t>=NL("Filas","SQL="&amp;
"select MAX(td.[Nº movimiento]) num_mov "&amp;
"  from [dbo].[MEDIAPOST SPAIN$Tracking Documento] td with (nolock) "&amp;
"  WHERE td.[Nº documento] = '"&amp;NF($B150,"No_ referencia transporte")&amp;"' "&amp;
"    AND td.[Cód_ incidencia] &lt;&gt; '' ",{"num_mov"},"Datasource=","SQL-Navision")</t>
  </si>
  <si>
    <t>=IF(NF($C150,"num_mov")="","",NL(,"Tracking Documento",,"Nº movimiento",NF($C150,"num_mov"),"Conexión=","Navision","Empresa=","MEDIAPOST SPAIN"))</t>
  </si>
  <si>
    <t>=NF($B150,"No_ documento cliente")</t>
  </si>
  <si>
    <t>=NF($B150,"No_ referencia transporte")</t>
  </si>
  <si>
    <t>=NF($B150,"Nº Expedición")</t>
  </si>
  <si>
    <t>=NF($B150,"Nombre punto entrega")</t>
  </si>
  <si>
    <t>=NF($B150,"Dirección punto entrega")</t>
  </si>
  <si>
    <t>=NF($B150,"C_P_ punto entrega")</t>
  </si>
  <si>
    <t>=NF($B150,"Población punto entrega")</t>
  </si>
  <si>
    <t>=NF($B150,"Provincia punto entrega")</t>
  </si>
  <si>
    <t>=NF($B150,"País punto entrega")</t>
  </si>
  <si>
    <t>=NF($B150,"fecha_prep")</t>
  </si>
  <si>
    <t>=NF($B150,"Fecha expedido")</t>
  </si>
  <si>
    <t>=NF($B150,"Estado")</t>
  </si>
  <si>
    <t>=NF($D150,"fecha")</t>
  </si>
  <si>
    <t>=NF($D150,"Descripción incidencia")</t>
  </si>
  <si>
    <t>=NF($B150,"Cód_ transportista")</t>
  </si>
  <si>
    <t>=NF($B150,"Cód_ servicio solicitado")</t>
  </si>
  <si>
    <t>=NF($B150,"Link imagen")</t>
  </si>
  <si>
    <t>=NF($B150,"Localizador")</t>
  </si>
  <si>
    <t>="""SQL-NAVISION"","""",""SQL="",""14=No_"",""PD260092518"",""14=No_ documento cliente"",""WW_2705_MILG"",""14=No_ referencia transporte"",""WW_2705_MILG"",""14=Nº Expedición"",""000017227"",""14=Nombre punto entrega"",""MARIA ISABEL LOPEZ GOMEZ"",""14=Dirección punto entrega"",""CALLE"&amp;" LAISECA 144 A, N°6"",""14=C_P_ punto entrega"",""39709"",""14=Población punto entrega"",""SAMANO (CASTRO URDIALES)"",""14=Provincia punto entrega"",""CANTABRIA"",""14=País punto entrega"",""ES"",""14=Estado"",""Entregado"",""15=fecha_prep"",""28/05/2026"",""15=Fecha expedido"",""28"&amp;"/05/2026"",""14=Cód_ transportista"",""ONTIME"",""14=Cód_ servicio solicitado"",""STD"",""14=Link imagen"",""https://ontimegts.alertran.net/gts/pub/clielocserv.seam?cliente=02890149&amp;expedicion=999951163046"",""14=Localizador"",""999951163046"""</t>
  </si>
  <si>
    <t>=NL("Filas","SQL="&amp;
"select MAX(td.[Nº movimiento]) num_mov "&amp;
"  from [dbo].[MEDIAPOST SPAIN$Tracking Documento] td with (nolock) "&amp;
"  WHERE td.[Nº documento] = '"&amp;NF($B151,"No_ referencia transporte")&amp;"' "&amp;
"    AND td.[Cód_ incidencia] &lt;&gt; '' ",{"num_mov"},"Datasource=","SQL-Navision")</t>
  </si>
  <si>
    <t>=IF(NF($C151,"num_mov")="","",NL(,"Tracking Documento",,"Nº movimiento",NF($C151,"num_mov"),"Conexión=","Navision","Empresa=","MEDIAPOST SPAIN"))</t>
  </si>
  <si>
    <t>=NF($B151,"No_ documento cliente")</t>
  </si>
  <si>
    <t>=NF($B151,"No_ referencia transporte")</t>
  </si>
  <si>
    <t>=NF($B151,"Nº Expedición")</t>
  </si>
  <si>
    <t>=NF($B151,"Nombre punto entrega")</t>
  </si>
  <si>
    <t>=NF($B151,"Dirección punto entrega")</t>
  </si>
  <si>
    <t>=NF($B151,"C_P_ punto entrega")</t>
  </si>
  <si>
    <t>=NF($B151,"Población punto entrega")</t>
  </si>
  <si>
    <t>=NF($B151,"Provincia punto entrega")</t>
  </si>
  <si>
    <t>=NF($B151,"País punto entrega")</t>
  </si>
  <si>
    <t>=NF($B151,"fecha_prep")</t>
  </si>
  <si>
    <t>=NF($B151,"Fecha expedido")</t>
  </si>
  <si>
    <t>=NF($B151,"Estado")</t>
  </si>
  <si>
    <t>=NF($D151,"fecha")</t>
  </si>
  <si>
    <t>=NF($D151,"Descripción incidencia")</t>
  </si>
  <si>
    <t>=NF($B151,"Cód_ transportista")</t>
  </si>
  <si>
    <t>=NF($B151,"Cód_ servicio solicitado")</t>
  </si>
  <si>
    <t>=NF($B151,"Link imagen")</t>
  </si>
  <si>
    <t>=NF($B151,"Localizador")</t>
  </si>
  <si>
    <t>="""SQL-NAVISION"","""",""SQL="",""14=No_"",""PD260092516"",""14=No_ documento cliente"",""WW_2705_SVR"",""14=No_ referencia transporte"",""WW_2705_SVR"",""14=Nº Expedición"",""000017195"",""14=Nombre punto entrega"",""SONIA VILELA RINCON"",""14=Dirección punto entrega"",""RUA CASTELAO"&amp;" NUMERO 9 PISO 5E"",""14=C_P_ punto entrega"",""27600"",""14=Población punto entrega"",""SARRIA"",""14=Provincia punto entrega"",""LUGO"",""14=País punto entrega"",""ES"",""14=Estado"",""Entregado"",""15=fecha_prep"",""28/05/2026"",""15=Fecha expedido"",""28/05/2026"",""14=Cód_ transp"&amp;"ortista"",""ONTIME"",""14=Cód_ servicio solicitado"",""STD"",""14=Link imagen"",""https://ontimegts.alertran.net/gts/pub/clielocserv.seam?cliente=02890149&amp;expedicion=999951158837"",""14=Localizador"",""999951158837"""</t>
  </si>
  <si>
    <t>=NL("Filas","SQL="&amp;
"select MAX(td.[Nº movimiento]) num_mov "&amp;
"  from [dbo].[MEDIAPOST SPAIN$Tracking Documento] td with (nolock) "&amp;
"  WHERE td.[Nº documento] = '"&amp;NF($B152,"No_ referencia transporte")&amp;"' "&amp;
"    AND td.[Cód_ incidencia] &lt;&gt; '' ",{"num_mov"},"Datasource=","SQL-Navision")</t>
  </si>
  <si>
    <t>=IF(NF($C152,"num_mov")="","",NL(,"Tracking Documento",,"Nº movimiento",NF($C152,"num_mov"),"Conexión=","Navision","Empresa=","MEDIAPOST SPAIN"))</t>
  </si>
  <si>
    <t>=NF($B152,"No_ documento cliente")</t>
  </si>
  <si>
    <t>=NF($B152,"No_ referencia transporte")</t>
  </si>
  <si>
    <t>=NF($B152,"Nº Expedición")</t>
  </si>
  <si>
    <t>=NF($B152,"Nombre punto entrega")</t>
  </si>
  <si>
    <t>=NF($B152,"Dirección punto entrega")</t>
  </si>
  <si>
    <t>=NF($B152,"C_P_ punto entrega")</t>
  </si>
  <si>
    <t>=NF($B152,"Población punto entrega")</t>
  </si>
  <si>
    <t>=NF($B152,"Provincia punto entrega")</t>
  </si>
  <si>
    <t>=NF($B152,"País punto entrega")</t>
  </si>
  <si>
    <t>=NF($B152,"fecha_prep")</t>
  </si>
  <si>
    <t>=NF($B152,"Fecha expedido")</t>
  </si>
  <si>
    <t>=NF($B152,"Estado")</t>
  </si>
  <si>
    <t>=NF($D152,"fecha")</t>
  </si>
  <si>
    <t>=NF($D152,"Descripción incidencia")</t>
  </si>
  <si>
    <t>=NF($B152,"Cód_ transportista")</t>
  </si>
  <si>
    <t>=NF($B152,"Cód_ servicio solicitado")</t>
  </si>
  <si>
    <t>=NF($B152,"Link imagen")</t>
  </si>
  <si>
    <t>=NF($B152,"Localizador")</t>
  </si>
  <si>
    <t>="""SQL-NAVISION"","""",""SQL="",""14=No_"",""PD260092511"",""14=No_ documento cliente"",""WW_2705_SCP"",""14=No_ referencia transporte"",""WW_2705_SCP"",""14=Nº Expedición"",""000017192"",""14=Nombre punto entrega"",""SANDRA CASTAÑEDA PAVON"",""14=Dirección punto entrega"","" CALLE BU"&amp;"EN PASTOR 459"",""14=C_P_ punto entrega"",""11100"",""14=Población punto entrega"",""SAN FERNANDO"",""14=Provincia punto entrega"",""CÁDIZ"",""14=País punto entrega"",""ES"",""14=Estado"",""Entregado"",""15=fecha_prep"",""28/05/2026"",""15=Fecha expedido"",""28/05/2026"",""14=Cód_ tra"&amp;"nsportista"",""ONTIME"",""14=Cód_ servicio solicitado"",""STD"",""14=Link imagen"",""https://ontimegts.alertran.net/gts/pub/clielocserv.seam?cliente=02890149&amp;expedicion=999951158821"",""14=Localizador"",""999951158821"""</t>
  </si>
  <si>
    <t>=NL("Filas","SQL="&amp;
"select MAX(td.[Nº movimiento]) num_mov "&amp;
"  from [dbo].[MEDIAPOST SPAIN$Tracking Documento] td with (nolock) "&amp;
"  WHERE td.[Nº documento] = '"&amp;NF($B153,"No_ referencia transporte")&amp;"' "&amp;
"    AND td.[Cód_ incidencia] &lt;&gt; '' ",{"num_mov"},"Datasource=","SQL-Navision")</t>
  </si>
  <si>
    <t>=IF(NF($C153,"num_mov")="","",NL(,"Tracking Documento",,"Nº movimiento",NF($C153,"num_mov"),"Conexión=","Navision","Empresa=","MEDIAPOST SPAIN"))</t>
  </si>
  <si>
    <t>=NF($B153,"No_ documento cliente")</t>
  </si>
  <si>
    <t>=NF($B153,"No_ referencia transporte")</t>
  </si>
  <si>
    <t>=NF($B153,"Nº Expedición")</t>
  </si>
  <si>
    <t>=NF($B153,"Nombre punto entrega")</t>
  </si>
  <si>
    <t>=NF($B153,"Dirección punto entrega")</t>
  </si>
  <si>
    <t>=NF($B153,"C_P_ punto entrega")</t>
  </si>
  <si>
    <t>=NF($B153,"Población punto entrega")</t>
  </si>
  <si>
    <t>=NF($B153,"Provincia punto entrega")</t>
  </si>
  <si>
    <t>=NF($B153,"País punto entrega")</t>
  </si>
  <si>
    <t>=NF($B153,"fecha_prep")</t>
  </si>
  <si>
    <t>=NF($B153,"Fecha expedido")</t>
  </si>
  <si>
    <t>=NF($B153,"Estado")</t>
  </si>
  <si>
    <t>=NF($D153,"fecha")</t>
  </si>
  <si>
    <t>=NF($D153,"Descripción incidencia")</t>
  </si>
  <si>
    <t>=NF($B153,"Cód_ transportista")</t>
  </si>
  <si>
    <t>=NF($B153,"Cód_ servicio solicitado")</t>
  </si>
  <si>
    <t>=NF($B153,"Link imagen")</t>
  </si>
  <si>
    <t>=NF($B153,"Localizador")</t>
  </si>
  <si>
    <t>="""SQL-NAVISION"","""",""SQL="",""14=No_"",""PD260092175"",""14=No_ documento cliente"",""WW_2505_MJMP"",""14=No_ referencia transporte"",""WW_2505_MJMP"",""14=Nº Expedición"",""0865426420"",""14=Nombre punto entrega"",""MARIA JOSE MARTINEZ PALAZON"",""14=Dirección punto entrega"",""r"&amp;"ecoge en delegacion"",""14=C_P_ punto entrega"",""28906"",""14=Población punto entrega"",""GETAFE"",""14=Provincia punto entrega"",""MADRID"",""14=País punto entrega"",""ES"",""14=Estado"",""Entregado"",""15=fecha_prep"",""28/05/2026"",""15=Fecha expedido"",""28/05/2026"",""14=Cód_ tr"&amp;"ansportista"",""DHL"",""14=Cód_ servicio solicitado"",""STD"",""14=Link imagen"",""https://clientesparcel.dhl.es/seguimientoenvios/integra/SeguimientoDocumentos.aspx?codigo=0865426420&amp;anno=2026&amp;lang=sp&amp;zatar=q45LoBtfSS29xHGRDZ57"",""14=Localizador"","""""</t>
  </si>
  <si>
    <t>=NL("Filas","SQL="&amp;
"select MAX(td.[Nº movimiento]) num_mov "&amp;
"  from [dbo].[MEDIAPOST SPAIN$Tracking Documento] td with (nolock) "&amp;
"  WHERE td.[Nº documento] = '"&amp;NF($B154,"No_ referencia transporte")&amp;"' "&amp;
"    AND td.[Cód_ incidencia] &lt;&gt; '' ",{"num_mov"},"Datasource=","SQL-Navision")</t>
  </si>
  <si>
    <t>=IF(NF($C154,"num_mov")="","",NL(,"Tracking Documento",,"Nº movimiento",NF($C154,"num_mov"),"Conexión=","Navision","Empresa=","MEDIAPOST SPAIN"))</t>
  </si>
  <si>
    <t>=NF($B154,"No_ documento cliente")</t>
  </si>
  <si>
    <t>=NF($B154,"No_ referencia transporte")</t>
  </si>
  <si>
    <t>=NF($B154,"Nº Expedición")</t>
  </si>
  <si>
    <t>=NF($B154,"Nombre punto entrega")</t>
  </si>
  <si>
    <t>=NF($B154,"Dirección punto entrega")</t>
  </si>
  <si>
    <t>=NF($B154,"C_P_ punto entrega")</t>
  </si>
  <si>
    <t>=NF($B154,"Población punto entrega")</t>
  </si>
  <si>
    <t>=NF($B154,"Provincia punto entrega")</t>
  </si>
  <si>
    <t>=NF($B154,"País punto entrega")</t>
  </si>
  <si>
    <t>=NF($B154,"fecha_prep")</t>
  </si>
  <si>
    <t>=NF($B154,"Fecha expedido")</t>
  </si>
  <si>
    <t>=NF($B154,"Estado")</t>
  </si>
  <si>
    <t>=NF($D154,"fecha")</t>
  </si>
  <si>
    <t>=NF($D154,"Descripción incidencia")</t>
  </si>
  <si>
    <t>=NF($B154,"Cód_ transportista")</t>
  </si>
  <si>
    <t>=NF($B154,"Cód_ servicio solicitado")</t>
  </si>
  <si>
    <t>=NF($B154,"Link imagen")</t>
  </si>
  <si>
    <t>=NF($B154,"Localizador")</t>
  </si>
  <si>
    <t>="""SQL-NAVISION"","""",""SQL="",""14=No_"",""PD260092591"",""14=No_ documento cliente"",""DPD260160187"",""14=No_ referencia transporte"",""DPD260160187"",""14=Nº Expedición"",""1200797221"",""14=Nombre punto entrega"",""TIPSA LAS ROZAS"",""14=Dirección punto entrega"",""RECOGE EN DEL"&amp;"EGACION"",""14=C_P_ punto entrega"",""28232"",""14=Población punto entrega"",""LAS ROZAS"",""14=Provincia punto entrega"",""MADRID"",""14=País punto entrega"",""ES"",""14=Estado"",""En Reparto"",""15=fecha_prep"",""28/05/2026"",""15=Fecha expedido"",""28/05/2026"",""14=Cód_ transporti"&amp;"sta"",""TIPSA"",""14=Cód_ servicio solicitado"",""STD"",""14=Link imagen"",""https://www.tip-sa.com/cliente/datos.php?id=02800109585DPD26016018728232"",""14=Localizador"",""0280010280011200797221"""</t>
  </si>
  <si>
    <t>=NL("Filas","SQL="&amp;
"select MAX(td.[Nº movimiento]) num_mov "&amp;
"  from [dbo].[MEDIAPOST SPAIN$Tracking Documento] td with (nolock) "&amp;
"  WHERE td.[Nº documento] = '"&amp;NF($B155,"No_ referencia transporte")&amp;"' "&amp;
"    AND td.[Cód_ incidencia] &lt;&gt; '' ",{"num_mov"},"Datasource=","SQL-Navision")</t>
  </si>
  <si>
    <t>=IF(NF($C155,"num_mov")="","",NL(,"Tracking Documento",,"Nº movimiento",NF($C155,"num_mov"),"Conexión=","Navision","Empresa=","MEDIAPOST SPAIN"))</t>
  </si>
  <si>
    <t>=NF($B155,"No_ documento cliente")</t>
  </si>
  <si>
    <t>=NF($B155,"No_ referencia transporte")</t>
  </si>
  <si>
    <t>=NF($B155,"Nº Expedición")</t>
  </si>
  <si>
    <t>=NF($B155,"Nombre punto entrega")</t>
  </si>
  <si>
    <t>=NF($B155,"Dirección punto entrega")</t>
  </si>
  <si>
    <t>=NF($B155,"C_P_ punto entrega")</t>
  </si>
  <si>
    <t>=NF($B155,"Población punto entrega")</t>
  </si>
  <si>
    <t>=NF($B155,"Provincia punto entrega")</t>
  </si>
  <si>
    <t>=NF($B155,"País punto entrega")</t>
  </si>
  <si>
    <t>=NF($B155,"fecha_prep")</t>
  </si>
  <si>
    <t>=NF($B155,"Fecha expedido")</t>
  </si>
  <si>
    <t>=NF($B155,"Estado")</t>
  </si>
  <si>
    <t>=NF($D155,"fecha")</t>
  </si>
  <si>
    <t>=NF($D155,"Descripción incidencia")</t>
  </si>
  <si>
    <t>=NF($B155,"Cód_ transportista")</t>
  </si>
  <si>
    <t>=NF($B155,"Cód_ servicio solicitado")</t>
  </si>
  <si>
    <t>=NF($B155,"Link imagen")</t>
  </si>
  <si>
    <t>=NF($B155,"Localizador")</t>
  </si>
  <si>
    <t>="""SQL-NAVISION"","""",""SQL="",""14=No_"",""PD260092514"",""14=No_ documento cliente"",""WW_2705_MFP"",""14=No_ referencia transporte"",""WW_2705_MFP"",""14=Nº Expedición"",""0865426480"",""14=Nombre punto entrega"",""MIGUEL FERNANDEZ PAEZ"",""14=Dirección punto entrega"",""RÚA SEIXA"&amp;"LBO 3, 3°C"",""14=C_P_ punto entrega"",""32005"",""14=Población punto entrega"",""OURENSE"",""14=Provincia punto entrega"",""OURENSE"",""14=País punto entrega"",""ES"",""14=Estado"",""Entregado"",""15=fecha_prep"",""28/05/2026"",""15=Fecha expedido"",""28/05/2026"",""14=Cód_ transport"&amp;"ista"",""DHL"",""14=Cód_ servicio solicitado"",""STD"",""14=Link imagen"",""https://clientesparcel.dhl.es/seguimientoenvios/integra/SeguimientoDocumentos.aspx?codigo=0865426480&amp;anno=2026&amp;lang=sp&amp;zatar=q45LoBtfSS29xHGRDZ57"",""14=Localizador"","""""</t>
  </si>
  <si>
    <t>=NL("Filas","SQL="&amp;
"select MAX(td.[Nº movimiento]) num_mov "&amp;
"  from [dbo].[MEDIAPOST SPAIN$Tracking Documento] td with (nolock) "&amp;
"  WHERE td.[Nº documento] = '"&amp;NF($B156,"No_ referencia transporte")&amp;"' "&amp;
"    AND td.[Cód_ incidencia] &lt;&gt; '' ",{"num_mov"},"Datasource=","SQL-Navision")</t>
  </si>
  <si>
    <t>=IF(NF($C156,"num_mov")="","",NL(,"Tracking Documento",,"Nº movimiento",NF($C156,"num_mov"),"Conexión=","Navision","Empresa=","MEDIAPOST SPAIN"))</t>
  </si>
  <si>
    <t>=NF($B156,"No_ documento cliente")</t>
  </si>
  <si>
    <t>=NF($B156,"No_ referencia transporte")</t>
  </si>
  <si>
    <t>=NF($B156,"Nº Expedición")</t>
  </si>
  <si>
    <t>=NF($B156,"Nombre punto entrega")</t>
  </si>
  <si>
    <t>=NF($B156,"Dirección punto entrega")</t>
  </si>
  <si>
    <t>=NF($B156,"C_P_ punto entrega")</t>
  </si>
  <si>
    <t>=NF($B156,"Población punto entrega")</t>
  </si>
  <si>
    <t>=NF($B156,"Provincia punto entrega")</t>
  </si>
  <si>
    <t>=NF($B156,"País punto entrega")</t>
  </si>
  <si>
    <t>=NF($B156,"fecha_prep")</t>
  </si>
  <si>
    <t>=NF($B156,"Fecha expedido")</t>
  </si>
  <si>
    <t>=NF($B156,"Estado")</t>
  </si>
  <si>
    <t>=NF($D156,"fecha")</t>
  </si>
  <si>
    <t>=NF($D156,"Descripción incidencia")</t>
  </si>
  <si>
    <t>=NF($B156,"Cód_ transportista")</t>
  </si>
  <si>
    <t>=NF($B156,"Cód_ servicio solicitado")</t>
  </si>
  <si>
    <t>=NF($B156,"Link imagen")</t>
  </si>
  <si>
    <t>=NF($B156,"Localizador")</t>
  </si>
  <si>
    <t>="""SQL-NAVISION"","""",""SQL="",""14=No_"",""PD260092510"",""14=No_ documento cliente"",""WW_2705_SMJA"",""14=No_ referencia transporte"",""WW_2705_SMJA"",""14=Nº Expedición"",""0865426470"",""14=Nombre punto entrega"",""SANDRA MARIA JUAN ALVAREZ"",""14=Dirección punto entrega"",""CAM"&amp;"INO PAJARON 24 BAJO"",""14=C_P_ punto entrega"",""37185"",""14=Población punto entrega"",""VILLAMAYOR"",""14=Provincia punto entrega"",""SALAMANCA"",""14=País punto entrega"",""ES"",""14=Estado"",""Entregado"",""15=fecha_prep"",""28/05/2026"",""15=Fecha expedido"",""28/05/2026"",""14="&amp;"Cód_ transportista"",""DHL"",""14=Cód_ servicio solicitado"",""STD"",""14=Link imagen"",""https://clientesparcel.dhl.es/seguimientoenvios/integra/SeguimientoDocumentos.aspx?codigo=0865426470&amp;anno=2026&amp;lang=sp&amp;zatar=q45LoBtfSS29xHGRDZ57"",""14=Localizador"","""""</t>
  </si>
  <si>
    <t>=NL("Filas","SQL="&amp;
"select MAX(td.[Nº movimiento]) num_mov "&amp;
"  from [dbo].[MEDIAPOST SPAIN$Tracking Documento] td with (nolock) "&amp;
"  WHERE td.[Nº documento] = '"&amp;NF($B157,"No_ referencia transporte")&amp;"' "&amp;
"    AND td.[Cód_ incidencia] &lt;&gt; '' ",{"num_mov"},"Datasource=","SQL-Navision")</t>
  </si>
  <si>
    <t>=IF(NF($C157,"num_mov")="","",NL(,"Tracking Documento",,"Nº movimiento",NF($C157,"num_mov"),"Conexión=","Navision","Empresa=","MEDIAPOST SPAIN"))</t>
  </si>
  <si>
    <t>=NF($B157,"No_ documento cliente")</t>
  </si>
  <si>
    <t>=NF($B157,"No_ referencia transporte")</t>
  </si>
  <si>
    <t>=NF($B157,"Nº Expedición")</t>
  </si>
  <si>
    <t>=NF($B157,"Nombre punto entrega")</t>
  </si>
  <si>
    <t>=NF($B157,"Dirección punto entrega")</t>
  </si>
  <si>
    <t>=NF($B157,"C_P_ punto entrega")</t>
  </si>
  <si>
    <t>=NF($B157,"Población punto entrega")</t>
  </si>
  <si>
    <t>=NF($B157,"Provincia punto entrega")</t>
  </si>
  <si>
    <t>=NF($B157,"País punto entrega")</t>
  </si>
  <si>
    <t>=NF($B157,"fecha_prep")</t>
  </si>
  <si>
    <t>=NF($B157,"Fecha expedido")</t>
  </si>
  <si>
    <t>=NF($B157,"Estado")</t>
  </si>
  <si>
    <t>=NF($D157,"fecha")</t>
  </si>
  <si>
    <t>=NF($D157,"Descripción incidencia")</t>
  </si>
  <si>
    <t>=NF($B157,"Cód_ transportista")</t>
  </si>
  <si>
    <t>=NF($B157,"Cód_ servicio solicitado")</t>
  </si>
  <si>
    <t>=NF($B157,"Link imagen")</t>
  </si>
  <si>
    <t>=NF($B157,"Localizador")</t>
  </si>
  <si>
    <t>="""SQL-NAVISION"","""",""SQL="",""14=No_"",""PD260092180"",""14=No_ documento cliente"",""WW_2025_NEP"",""14=No_ referencia transporte"",""WW_2025_NEP"",""14=Nº Expedición"",""000017182"",""14=Nombre punto entrega"",""NURIA ESCOBAR PASTOR"",""14=Dirección punto entrega"",""C/ CIUDAD D"&amp;"E RIGA N2, BLOQUE 3, PISO 6A"",""14=C_P_ punto entrega"",""03005"",""14=Población punto entrega"",""ALICANTE"",""14=Provincia punto entrega"",""ALICANTE"",""14=País punto entrega"",""ES"",""14=Estado"",""Entregado"",""15=fecha_prep"",""28/05/2026"",""15=Fecha expedido"",""28/05/2026"&amp;""",""14=Cód_ transportista"",""ONTIME"",""14=Cód_ servicio solicitado"",""STD"",""14=Link imagen"",""https://ontimegts.alertran.net/gts/pub/clielocserv.seam?cliente=02890149&amp;expedicion=999951158818"",""14=Localizador"",""999951158818"""</t>
  </si>
  <si>
    <t>=NL("Filas","SQL="&amp;
"select MAX(td.[Nº movimiento]) num_mov "&amp;
"  from [dbo].[MEDIAPOST SPAIN$Tracking Documento] td with (nolock) "&amp;
"  WHERE td.[Nº documento] = '"&amp;NF($B158,"No_ referencia transporte")&amp;"' "&amp;
"    AND td.[Cód_ incidencia] &lt;&gt; '' ",{"num_mov"},"Datasource=","SQL-Navision")</t>
  </si>
  <si>
    <t>=IF(NF($C158,"num_mov")="","",NL(,"Tracking Documento",,"Nº movimiento",NF($C158,"num_mov"),"Conexión=","Navision","Empresa=","MEDIAPOST SPAIN"))</t>
  </si>
  <si>
    <t>=NF($B158,"No_ documento cliente")</t>
  </si>
  <si>
    <t>=NF($B158,"No_ referencia transporte")</t>
  </si>
  <si>
    <t>=NF($B158,"Nº Expedición")</t>
  </si>
  <si>
    <t>=NF($B158,"Nombre punto entrega")</t>
  </si>
  <si>
    <t>=NF($B158,"Dirección punto entrega")</t>
  </si>
  <si>
    <t>=NF($B158,"C_P_ punto entrega")</t>
  </si>
  <si>
    <t>=NF($B158,"Población punto entrega")</t>
  </si>
  <si>
    <t>=NF($B158,"Provincia punto entrega")</t>
  </si>
  <si>
    <t>=NF($B158,"País punto entrega")</t>
  </si>
  <si>
    <t>=NF($B158,"fecha_prep")</t>
  </si>
  <si>
    <t>=NF($B158,"Fecha expedido")</t>
  </si>
  <si>
    <t>=NF($B158,"Estado")</t>
  </si>
  <si>
    <t>=NF($D158,"fecha")</t>
  </si>
  <si>
    <t>=NF($D158,"Descripción incidencia")</t>
  </si>
  <si>
    <t>=NF($B158,"Cód_ transportista")</t>
  </si>
  <si>
    <t>=NF($B158,"Cód_ servicio solicitado")</t>
  </si>
  <si>
    <t>=NF($B158,"Link imagen")</t>
  </si>
  <si>
    <t>=NF($B158,"Localizador")</t>
  </si>
  <si>
    <t>="""SQL-NAVISION"","""",""SQL="",""14=No_"",""PD260092517"",""14=No_ documento cliente"",""WW_2705_ABG"",""14=No_ referencia transporte"",""WW_2705_ABG"",""14=Nº Expedición"",""0865426500"",""14=Nombre punto entrega"",""ANDREA BARRIO GARCIA"",""14=Dirección punto entrega"",""CALLE SAN "&amp;"FRANCISCO 31, 2ºG"",""14=C_P_ punto entrega"",""09005"",""14=Población punto entrega"",""BURGOS"",""14=Provincia punto entrega"",""BURGOS"",""14=País punto entrega"",""ES"",""14=Estado"",""Entregado"",""15=fecha_prep"",""28/05/2026"",""15=Fecha expedido"",""28/05/2026"",""14=Cód_ tran"&amp;"sportista"",""DHL"",""14=Cód_ servicio solicitado"",""STD"",""14=Link imagen"",""https://clientesparcel.dhl.es/seguimientoenvios/integra/SeguimientoDocumentos.aspx?codigo=0865426500&amp;anno=2026&amp;lang=sp&amp;zatar=q45LoBtfSS29xHGRDZ57"",""14=Localizador"","""""</t>
  </si>
  <si>
    <t>=NL("Filas","SQL="&amp;
"select MAX(td.[Nº movimiento]) num_mov "&amp;
"  from [dbo].[MEDIAPOST SPAIN$Tracking Documento] td with (nolock) "&amp;
"  WHERE td.[Nº documento] = '"&amp;NF($B159,"No_ referencia transporte")&amp;"' "&amp;
"    AND td.[Cód_ incidencia] &lt;&gt; '' ",{"num_mov"},"Datasource=","SQL-Navision")</t>
  </si>
  <si>
    <t>=IF(NF($C159,"num_mov")="","",NL(,"Tracking Documento",,"Nº movimiento",NF($C159,"num_mov"),"Conexión=","Navision","Empresa=","MEDIAPOST SPAIN"))</t>
  </si>
  <si>
    <t>=NF($B159,"No_ documento cliente")</t>
  </si>
  <si>
    <t>=NF($B159,"No_ referencia transporte")</t>
  </si>
  <si>
    <t>=NF($B159,"Nº Expedición")</t>
  </si>
  <si>
    <t>=NF($B159,"Nombre punto entrega")</t>
  </si>
  <si>
    <t>=NF($B159,"Dirección punto entrega")</t>
  </si>
  <si>
    <t>=NF($B159,"C_P_ punto entrega")</t>
  </si>
  <si>
    <t>=NF($B159,"Población punto entrega")</t>
  </si>
  <si>
    <t>=NF($B159,"Provincia punto entrega")</t>
  </si>
  <si>
    <t>=NF($B159,"País punto entrega")</t>
  </si>
  <si>
    <t>=NF($B159,"fecha_prep")</t>
  </si>
  <si>
    <t>=NF($B159,"Fecha expedido")</t>
  </si>
  <si>
    <t>=NF($B159,"Estado")</t>
  </si>
  <si>
    <t>=NF($D159,"fecha")</t>
  </si>
  <si>
    <t>=NF($D159,"Descripción incidencia")</t>
  </si>
  <si>
    <t>=NF($B159,"Cód_ transportista")</t>
  </si>
  <si>
    <t>=NF($B159,"Cód_ servicio solicitado")</t>
  </si>
  <si>
    <t>=NF($B159,"Link imagen")</t>
  </si>
  <si>
    <t>=NF($B159,"Localizador")</t>
  </si>
  <si>
    <t>="""SQL-NAVISION"","""",""SQL="",""14=No_"",""PD260092182"",""14=No_ documento cliente"",""WW_2505_VBG"",""14=No_ referencia transporte"",""WW_2505_VBG"",""14=Nº Expedición"",""000017180"",""14=Nombre punto entrega"",""VERONICA BOULLOSA GOMEZ"",""14=Dirección punto entrega"",""RUA MOAÑ"&amp;"A 22 3 IZQUIERDA"",""14=C_P_ punto entrega"",""36209"",""14=Población punto entrega"",""VIGO"",""14=Provincia punto entrega"",""PONTEVEDRA"",""14=País punto entrega"",""ES"",""14=Estado"",""Entregado"",""15=fecha_prep"",""28/05/2026"",""15=Fecha expedido"",""28/05/2026"",""14=Cód_ tra"&amp;"nsportista"",""ONTIME"",""14=Cód_ servicio solicitado"",""STD"",""14=Link imagen"",""https://ontimegts.alertran.net/gts/pub/clielocserv.seam?cliente=02890149&amp;expedicion=999951158816"",""14=Localizador"",""999951158816"""</t>
  </si>
  <si>
    <t>=NL("Filas","SQL="&amp;
"select MAX(td.[Nº movimiento]) num_mov "&amp;
"  from [dbo].[MEDIAPOST SPAIN$Tracking Documento] td with (nolock) "&amp;
"  WHERE td.[Nº documento] = '"&amp;NF($B160,"No_ referencia transporte")&amp;"' "&amp;
"    AND td.[Cód_ incidencia] &lt;&gt; '' ",{"num_mov"},"Datasource=","SQL-Navision")</t>
  </si>
  <si>
    <t>=IF(NF($C160,"num_mov")="","",NL(,"Tracking Documento",,"Nº movimiento",NF($C160,"num_mov"),"Conexión=","Navision","Empresa=","MEDIAPOST SPAIN"))</t>
  </si>
  <si>
    <t>=NF($B160,"No_ documento cliente")</t>
  </si>
  <si>
    <t>=NF($B160,"No_ referencia transporte")</t>
  </si>
  <si>
    <t>=NF($B160,"Nº Expedición")</t>
  </si>
  <si>
    <t>=NF($B160,"Nombre punto entrega")</t>
  </si>
  <si>
    <t>=NF($B160,"Dirección punto entrega")</t>
  </si>
  <si>
    <t>=NF($B160,"C_P_ punto entrega")</t>
  </si>
  <si>
    <t>=NF($B160,"Población punto entrega")</t>
  </si>
  <si>
    <t>=NF($B160,"Provincia punto entrega")</t>
  </si>
  <si>
    <t>=NF($B160,"País punto entrega")</t>
  </si>
  <si>
    <t>=NF($B160,"fecha_prep")</t>
  </si>
  <si>
    <t>=NF($B160,"Fecha expedido")</t>
  </si>
  <si>
    <t>=NF($B160,"Estado")</t>
  </si>
  <si>
    <t>=NF($D160,"fecha")</t>
  </si>
  <si>
    <t>=NF($D160,"Descripción incidencia")</t>
  </si>
  <si>
    <t>=NF($B160,"Cód_ transportista")</t>
  </si>
  <si>
    <t>=NF($B160,"Cód_ servicio solicitado")</t>
  </si>
  <si>
    <t>=NF($B160,"Link imagen")</t>
  </si>
  <si>
    <t>=NF($B160,"Localizador")</t>
  </si>
  <si>
    <t>="""SQL-NAVISION"","""",""SQL="",""14=No_"",""PD260092174"",""14=No_ documento cliente"",""WW_2505_IME"",""14=No_ referencia transporte"",""WW_2505_IME"",""14=Nº Expedición"",""000017222"",""14=Nombre punto entrega"",""IVAN MARTINEZ ESPARZA"",""14=Dirección punto entrega"",""C/ Federic"&amp;"o García Lorca 25 1º izq D"",""14=C_P_ punto entrega"",""30710"",""14=Población punto entrega"",""LOS ALCAZARES"",""14=Provincia punto entrega"",""MURCIA"",""14=País punto entrega"",""ES"",""14=Estado"",""Entregado"",""15=fecha_prep"",""28/05/2026"",""15=Fecha expedido"",""28/05/202"&amp;"6"",""14=Cód_ transportista"",""ONTIME"",""14=Cód_ servicio solicitado"",""STD"",""14=Link imagen"",""https://ontimegts.alertran.net/gts/pub/clielocserv.seam?cliente=02890149&amp;expedicion=999951158852"",""14=Localizador"",""999951158852"""</t>
  </si>
  <si>
    <t>=NL("Filas","SQL="&amp;
"select MAX(td.[Nº movimiento]) num_mov "&amp;
"  from [dbo].[MEDIAPOST SPAIN$Tracking Documento] td with (nolock) "&amp;
"  WHERE td.[Nº documento] = '"&amp;NF($B161,"No_ referencia transporte")&amp;"' "&amp;
"    AND td.[Cód_ incidencia] &lt;&gt; '' ",{"num_mov"},"Datasource=","SQL-Navision")</t>
  </si>
  <si>
    <t>=IF(NF($C161,"num_mov")="","",NL(,"Tracking Documento",,"Nº movimiento",NF($C161,"num_mov"),"Conexión=","Navision","Empresa=","MEDIAPOST SPAIN"))</t>
  </si>
  <si>
    <t>=NF($B161,"No_ documento cliente")</t>
  </si>
  <si>
    <t>=NF($B161,"No_ referencia transporte")</t>
  </si>
  <si>
    <t>=NF($B161,"Nº Expedición")</t>
  </si>
  <si>
    <t>=NF($B161,"Nombre punto entrega")</t>
  </si>
  <si>
    <t>=NF($B161,"Dirección punto entrega")</t>
  </si>
  <si>
    <t>=NF($B161,"C_P_ punto entrega")</t>
  </si>
  <si>
    <t>=NF($B161,"Población punto entrega")</t>
  </si>
  <si>
    <t>=NF($B161,"Provincia punto entrega")</t>
  </si>
  <si>
    <t>=NF($B161,"País punto entrega")</t>
  </si>
  <si>
    <t>=NF($B161,"fecha_prep")</t>
  </si>
  <si>
    <t>=NF($B161,"Fecha expedido")</t>
  </si>
  <si>
    <t>=NF($B161,"Estado")</t>
  </si>
  <si>
    <t>=NF($D161,"fecha")</t>
  </si>
  <si>
    <t>=NF($D161,"Descripción incidencia")</t>
  </si>
  <si>
    <t>=NF($B161,"Cód_ transportista")</t>
  </si>
  <si>
    <t>=NF($B161,"Cód_ servicio solicitado")</t>
  </si>
  <si>
    <t>=NF($B161,"Link imagen")</t>
  </si>
  <si>
    <t>=NF($B161,"Localizador")</t>
  </si>
  <si>
    <t>="""SQL-NAVISION"","""",""SQL="",""14=No_"",""PD260092519"",""14=No_ documento cliente"",""WW_2705_ALG"",""14=No_ referencia transporte"",""WW_2705_ALG"",""14=Nº Expedición"",""000017197"",""14=Nombre punto entrega"",""ALBERTO LOPEZ GARZON"",""14=Dirección punto entrega"",""CL LOS SAUC"&amp;"ES, Nº1"",""14=C_P_ punto entrega"",""29532"",""14=Población punto entrega"",""MOLLINA"",""14=Provincia punto entrega"",""MALAGA"",""14=País punto entrega"",""ES"",""14=Estado"",""Entregado"",""15=fecha_prep"",""28/05/2026"",""15=Fecha expedido"",""28/05/2026"",""14=Cód_ transportista"&amp;""",""ONTIME"",""14=Cód_ servicio solicitado"",""STD"",""14=Link imagen"",""https://ontimegts.alertran.net/gts/pub/clielocserv.seam?cliente=02890149&amp;expedicion=999951158848"",""14=Localizador"",""999951158848"""</t>
  </si>
  <si>
    <t>=NL("Filas","SQL="&amp;
"select MAX(td.[Nº movimiento]) num_mov "&amp;
"  from [dbo].[MEDIAPOST SPAIN$Tracking Documento] td with (nolock) "&amp;
"  WHERE td.[Nº documento] = '"&amp;NF($B162,"No_ referencia transporte")&amp;"' "&amp;
"    AND td.[Cód_ incidencia] &lt;&gt; '' ",{"num_mov"},"Datasource=","SQL-Navision")</t>
  </si>
  <si>
    <t>=IF(NF($C162,"num_mov")="","",NL(,"Tracking Documento",,"Nº movimiento",NF($C162,"num_mov"),"Conexión=","Navision","Empresa=","MEDIAPOST SPAIN"))</t>
  </si>
  <si>
    <t>=NF($B162,"No_ documento cliente")</t>
  </si>
  <si>
    <t>=NF($B162,"No_ referencia transporte")</t>
  </si>
  <si>
    <t>=NF($B162,"Nº Expedición")</t>
  </si>
  <si>
    <t>=NF($B162,"Nombre punto entrega")</t>
  </si>
  <si>
    <t>=NF($B162,"Dirección punto entrega")</t>
  </si>
  <si>
    <t>=NF($B162,"C_P_ punto entrega")</t>
  </si>
  <si>
    <t>=NF($B162,"Población punto entrega")</t>
  </si>
  <si>
    <t>=NF($B162,"Provincia punto entrega")</t>
  </si>
  <si>
    <t>=NF($B162,"País punto entrega")</t>
  </si>
  <si>
    <t>=NF($B162,"fecha_prep")</t>
  </si>
  <si>
    <t>=NF($B162,"Fecha expedido")</t>
  </si>
  <si>
    <t>=NF($B162,"Estado")</t>
  </si>
  <si>
    <t>=NF($D162,"fecha")</t>
  </si>
  <si>
    <t>=NF($D162,"Descripción incidencia")</t>
  </si>
  <si>
    <t>=NF($B162,"Cód_ transportista")</t>
  </si>
  <si>
    <t>=NF($B162,"Cód_ servicio solicitado")</t>
  </si>
  <si>
    <t>=NF($B162,"Link imagen")</t>
  </si>
  <si>
    <t>=NF($B162,"Localizador")</t>
  </si>
  <si>
    <t>="""SQL-NAVISION"","""",""SQL="",""14=No_"",""PD260092176"",""14=No_ documento cliente"",""WW_2505_MJMP.2"",""14=No_ referencia transporte"",""WW_2505_MJMP.2"",""14=Nº Expedición"",""0865426430"",""14=Nombre punto entrega"",""MARIA JOSE MARTINEZ PALAZON"",""14=Dirección punto entrega"&amp;""",""recoge en delegacion"",""14=C_P_ punto entrega"",""28906"",""14=Población punto entrega"",""GETAFE"",""14=Provincia punto entrega"",""MADRID"",""14=País punto entrega"",""ES"",""14=Estado"",""Entregado"",""15=fecha_prep"",""28/05/2026"",""15=Fecha expedido"",""28/05/2026"",""14=Cód"&amp;"_ transportista"",""DHL"",""14=Cód_ servicio solicitado"",""STD"",""14=Link imagen"",""https://clientesparcel.dhl.es/seguimientoenvios/integra/SeguimientoDocumentos.aspx?codigo=0865426430&amp;anno=2026&amp;lang=sp&amp;zatar=q45LoBtfSS29xHGRDZ57"",""14=Localizador"","""""</t>
  </si>
  <si>
    <t>=NL("Filas","SQL="&amp;
"select MAX(td.[Nº movimiento]) num_mov "&amp;
"  from [dbo].[MEDIAPOST SPAIN$Tracking Documento] td with (nolock) "&amp;
"  WHERE td.[Nº documento] = '"&amp;NF($B163,"No_ referencia transporte")&amp;"' "&amp;
"    AND td.[Cód_ incidencia] &lt;&gt; '' ",{"num_mov"},"Datasource=","SQL-Navision")</t>
  </si>
  <si>
    <t>=IF(NF($C163,"num_mov")="","",NL(,"Tracking Documento",,"Nº movimiento",NF($C163,"num_mov"),"Conexión=","Navision","Empresa=","MEDIAPOST SPAIN"))</t>
  </si>
  <si>
    <t>=NF($B163,"No_ documento cliente")</t>
  </si>
  <si>
    <t>=NF($B163,"No_ referencia transporte")</t>
  </si>
  <si>
    <t>=NF($B163,"Nº Expedición")</t>
  </si>
  <si>
    <t>=NF($B163,"Nombre punto entrega")</t>
  </si>
  <si>
    <t>=NF($B163,"Dirección punto entrega")</t>
  </si>
  <si>
    <t>=NF($B163,"C_P_ punto entrega")</t>
  </si>
  <si>
    <t>=NF($B163,"Población punto entrega")</t>
  </si>
  <si>
    <t>=NF($B163,"Provincia punto entrega")</t>
  </si>
  <si>
    <t>=NF($B163,"País punto entrega")</t>
  </si>
  <si>
    <t>=NF($B163,"fecha_prep")</t>
  </si>
  <si>
    <t>=NF($B163,"Fecha expedido")</t>
  </si>
  <si>
    <t>=NF($B163,"Estado")</t>
  </si>
  <si>
    <t>=NF($D163,"fecha")</t>
  </si>
  <si>
    <t>=NF($D163,"Descripción incidencia")</t>
  </si>
  <si>
    <t>=NF($B163,"Cód_ transportista")</t>
  </si>
  <si>
    <t>=NF($B163,"Cód_ servicio solicitado")</t>
  </si>
  <si>
    <t>=NF($B163,"Link imagen")</t>
  </si>
  <si>
    <t>=NF($B163,"Localizador")</t>
  </si>
  <si>
    <t>="""SQL-NAVISION"","""",""SQL="",""14=No_"",""PD260095574"",""14=No_ documento cliente"",""WW_2905_MPMU"",""14=No_ referencia transporte"",""WW_2905_MPMU"",""14=Nº Expedición"",""000017236"",""14=Nombre punto entrega"",""MARI PAZ MOLLAR USO"",""14=Dirección punto entrega"",""Calle Caix"&amp;"er 2A"",""14=C_P_ punto entrega"",""12539"",""14=Población punto entrega"",""Alquerias Niño Perdido"",""14=Provincia punto entrega"",""CASTELLON"",""14=País punto entrega"",""ES"",""14=Estado"",""Entregado"",""15=fecha_prep"",""29/05/2026"",""15=Fecha expedido"",""29/05/2026"",""14=Có"&amp;"d_ transportista"",""ONTIME"",""14=Cód_ servicio solicitado"",""STD"",""14=Link imagen"",""https://ontimegts.alertran.net/gts/pub/clielocserv.seam?cliente=02890149&amp;expedicion=999951178285"",""14=Localizador"",""999951178285"""</t>
  </si>
  <si>
    <t>=NL("Filas","SQL="&amp;
"select MAX(td.[Nº movimiento]) num_mov "&amp;
"  from [dbo].[MEDIAPOST SPAIN$Tracking Documento] td with (nolock) "&amp;
"  WHERE td.[Nº documento] = '"&amp;NF($B164,"No_ referencia transporte")&amp;"' "&amp;
"    AND td.[Cód_ incidencia] &lt;&gt; '' ",{"num_mov"},"Datasource=","SQL-Navision")</t>
  </si>
  <si>
    <t>=IF(NF($C164,"num_mov")="","",NL(,"Tracking Documento",,"Nº movimiento",NF($C164,"num_mov"),"Conexión=","Navision","Empresa=","MEDIAPOST SPAIN"))</t>
  </si>
  <si>
    <t>=NF($B164,"No_ documento cliente")</t>
  </si>
  <si>
    <t>=NF($B164,"No_ referencia transporte")</t>
  </si>
  <si>
    <t>=NF($B164,"Nº Expedición")</t>
  </si>
  <si>
    <t>=NF($B164,"Nombre punto entrega")</t>
  </si>
  <si>
    <t>=NF($B164,"Dirección punto entrega")</t>
  </si>
  <si>
    <t>=NF($B164,"C_P_ punto entrega")</t>
  </si>
  <si>
    <t>=NF($B164,"Población punto entrega")</t>
  </si>
  <si>
    <t>=NF($B164,"Provincia punto entrega")</t>
  </si>
  <si>
    <t>=NF($B164,"País punto entrega")</t>
  </si>
  <si>
    <t>=NF($B164,"fecha_prep")</t>
  </si>
  <si>
    <t>=NF($B164,"Fecha expedido")</t>
  </si>
  <si>
    <t>=NF($B164,"Estado")</t>
  </si>
  <si>
    <t>=NF($D164,"fecha")</t>
  </si>
  <si>
    <t>=NF($D164,"Descripción incidencia")</t>
  </si>
  <si>
    <t>=NF($B164,"Cód_ transportista")</t>
  </si>
  <si>
    <t>=NF($B164,"Cód_ servicio solicitado")</t>
  </si>
  <si>
    <t>=NF($B164,"Link imagen")</t>
  </si>
  <si>
    <t>=NF($B164,"Localizador")</t>
  </si>
  <si>
    <t>="""SQL-NAVISION"","""",""SQL="",""14=No_"",""PD260095729"",""14=No_ documento cliente"",""WW_2905_LGL"",""14=No_ referencia transporte"",""WW_2905_LGL"",""14=Nº Expedición"",""000017238"",""14=Nombre punto entrega"",""VIC TRASTERS"",""14=Dirección punto entrega"",""Carrer de Francesc "&amp;"Santcliment, 87, 08500 Vic, Barcelona( trastero nº 311)"",""14=C_P_ punto entrega"",""08500"",""14=Población punto entrega"",""VIC"",""14=Provincia punto entrega"",""BARCELONA"",""14=País punto entrega"",""ES"",""14=Estado"",""Entregado"",""15=fecha_prep"",""29/05/2026"",""15=Fech"&amp;"a expedido"",""29/05/2026"",""14=Cód_ transportista"",""ONTIME"",""14=Cód_ servicio solicitado"",""STD"",""14=Link imagen"",""https://ontimegts.alertran.net/gts/pub/clielocserv.seam?cliente=02890149&amp;expedicion=999951178286"",""14=Localizador"",""999951178286"""</t>
  </si>
  <si>
    <t>=NL("Filas","SQL="&amp;
"select MAX(td.[Nº movimiento]) num_mov "&amp;
"  from [dbo].[MEDIAPOST SPAIN$Tracking Documento] td with (nolock) "&amp;
"  WHERE td.[Nº documento] = '"&amp;NF($B165,"No_ referencia transporte")&amp;"' "&amp;
"    AND td.[Cód_ incidencia] &lt;&gt; '' ",{"num_mov"},"Datasource=","SQL-Navision")</t>
  </si>
  <si>
    <t>=IF(NF($C165,"num_mov")="","",NL(,"Tracking Documento",,"Nº movimiento",NF($C165,"num_mov"),"Conexión=","Navision","Empresa=","MEDIAPOST SPAIN"))</t>
  </si>
  <si>
    <t>=NF($B165,"No_ documento cliente")</t>
  </si>
  <si>
    <t>=NF($B165,"No_ referencia transporte")</t>
  </si>
  <si>
    <t>=NF($B165,"Nº Expedición")</t>
  </si>
  <si>
    <t>=NF($B165,"Nombre punto entrega")</t>
  </si>
  <si>
    <t>=NF($B165,"Dirección punto entrega")</t>
  </si>
  <si>
    <t>=NF($B165,"C_P_ punto entrega")</t>
  </si>
  <si>
    <t>=NF($B165,"Población punto entrega")</t>
  </si>
  <si>
    <t>=NF($B165,"Provincia punto entrega")</t>
  </si>
  <si>
    <t>=NF($B165,"País punto entrega")</t>
  </si>
  <si>
    <t>=NF($B165,"fecha_prep")</t>
  </si>
  <si>
    <t>=NF($B165,"Fecha expedido")</t>
  </si>
  <si>
    <t>=NF($B165,"Estado")</t>
  </si>
  <si>
    <t>=NF($D165,"fecha")</t>
  </si>
  <si>
    <t>=NF($D165,"Descripción incidencia")</t>
  </si>
  <si>
    <t>=NF($B165,"Cód_ transportista")</t>
  </si>
  <si>
    <t>=NF($B165,"Cód_ servicio solicitado")</t>
  </si>
  <si>
    <t>=NF($B165,"Link imagen")</t>
  </si>
  <si>
    <t>=NF($B165,"Localizador")</t>
  </si>
  <si>
    <t>="""SQL-NAVISION"","""",""SQL="",""14=No_"",""PD260094821"",""14=No_ documento cliente"",""INP280526.1"",""14=No_ referencia transporte"",""INP280526.1"",""14=Nº Expedición"",""1200797673"",""14=Nombre punto entrega"",""TIPSA BADALONA"",""14=Dirección punto entrega"",""CARRER DE LA MAR"&amp;" JONICA, 5,LOCAL 14"",""14=C_P_ punto entrega"",""08918"",""14=Población punto entrega"",""BADALONA"",""14=Provincia punto entrega"",""BARCELONA"",""14=País punto entrega"",""ES"",""14=Estado"",""En Reparto"",""15=fecha_prep"",""29/05/2026"",""15=Fecha expedido"",""29/05/2026"",""14=C"&amp;"ód_ transportista"",""TIPSA"",""14=Cód_ servicio solicitado"",""STD"",""14=Link imagen"",""https://www.tip-sa.com/cliente/datos.php?id=02800109585INP280526.108918"",""14=Localizador"",""0280010280011200797673"""</t>
  </si>
  <si>
    <t>=NL("Filas","SQL="&amp;
"select MAX(td.[Nº movimiento]) num_mov "&amp;
"  from [dbo].[MEDIAPOST SPAIN$Tracking Documento] td with (nolock) "&amp;
"  WHERE td.[Nº documento] = '"&amp;NF($B166,"No_ referencia transporte")&amp;"' "&amp;
"    AND td.[Cód_ incidencia] &lt;&gt; '' ",{"num_mov"},"Datasource=","SQL-Navision")</t>
  </si>
  <si>
    <t>=IF(NF($C166,"num_mov")="","",NL(,"Tracking Documento",,"Nº movimiento",NF($C166,"num_mov"),"Conexión=","Navision","Empresa=","MEDIAPOST SPAIN"))</t>
  </si>
  <si>
    <t>=NF($B166,"No_ documento cliente")</t>
  </si>
  <si>
    <t>=NF($B166,"No_ referencia transporte")</t>
  </si>
  <si>
    <t>=NF($B166,"Nº Expedición")</t>
  </si>
  <si>
    <t>=NF($B166,"Nombre punto entrega")</t>
  </si>
  <si>
    <t>=NF($B166,"Dirección punto entrega")</t>
  </si>
  <si>
    <t>=NF($B166,"C_P_ punto entrega")</t>
  </si>
  <si>
    <t>=NF($B166,"Población punto entrega")</t>
  </si>
  <si>
    <t>=NF($B166,"Provincia punto entrega")</t>
  </si>
  <si>
    <t>=NF($B166,"País punto entrega")</t>
  </si>
  <si>
    <t>=NF($B166,"fecha_prep")</t>
  </si>
  <si>
    <t>=NF($B166,"Fecha expedido")</t>
  </si>
  <si>
    <t>=NF($B166,"Estado")</t>
  </si>
  <si>
    <t>=NF($D166,"fecha")</t>
  </si>
  <si>
    <t>=NF($D166,"Descripción incidencia")</t>
  </si>
  <si>
    <t>=NF($B166,"Cód_ transportista")</t>
  </si>
  <si>
    <t>=NF($B166,"Cód_ servicio solicitado")</t>
  </si>
  <si>
    <t>=NF($B166,"Link imagen")</t>
  </si>
  <si>
    <t>=NF($B166,"Localizador")</t>
  </si>
  <si>
    <t>="""SQL-NAVISION"","""",""SQL="",""14=No_"",""PD260095735"",""14=No_ documento cliente"",""BGK290526"",""14=No_ referencia transporte"",""BGK290526"",""14=Nº Expedición"",""1200797839"",""14=Nombre punto entrega"",""MEDIAPOST ALICANTE"",""14=Dirección punto entrega"",""C/ Mistral, 5 Po"&amp;"l. Ind. Pla de la Vallonga"",""14=C_P_ punto entrega"",""03006"",""14=Población punto entrega"",""ALICANTE"",""14=Provincia punto entrega"",""ALICANTE"",""14=País punto entrega"",""ES"",""14=Estado"",""Entregado"",""15=fecha_prep"",""29/05/2026"",""15=Fecha expedido"",""29/05/2026"","&amp;"""14=Cód_ transportista"",""TIPSA"",""14=Cód_ servicio solicitado"",""13:30 H"",""14=Link imagen"",""https://www.tip-sa.com/cliente/datos.php?id=02800109585BGK29052603006"",""14=Localizador"",""0280010280011200797839"""</t>
  </si>
  <si>
    <t>=NL("Filas","SQL="&amp;
"select MAX(td.[Nº movimiento]) num_mov "&amp;
"  from [dbo].[MEDIAPOST SPAIN$Tracking Documento] td with (nolock) "&amp;
"  WHERE td.[Nº documento] = '"&amp;NF($B167,"No_ referencia transporte")&amp;"' "&amp;
"    AND td.[Cód_ incidencia] &lt;&gt; '' ",{"num_mov"},"Datasource=","SQL-Navision")</t>
  </si>
  <si>
    <t>=IF(NF($C167,"num_mov")="","",NL(,"Tracking Documento",,"Nº movimiento",NF($C167,"num_mov"),"Conexión=","Navision","Empresa=","MEDIAPOST SPAIN"))</t>
  </si>
  <si>
    <t>=NF($B167,"No_ documento cliente")</t>
  </si>
  <si>
    <t>=NF($B167,"No_ referencia transporte")</t>
  </si>
  <si>
    <t>=NF($B167,"Nº Expedición")</t>
  </si>
  <si>
    <t>=NF($B167,"Nombre punto entrega")</t>
  </si>
  <si>
    <t>=NF($B167,"Dirección punto entrega")</t>
  </si>
  <si>
    <t>=NF($B167,"C_P_ punto entrega")</t>
  </si>
  <si>
    <t>=NF($B167,"Población punto entrega")</t>
  </si>
  <si>
    <t>=NF($B167,"Provincia punto entrega")</t>
  </si>
  <si>
    <t>=NF($B167,"País punto entrega")</t>
  </si>
  <si>
    <t>=NF($B167,"fecha_prep")</t>
  </si>
  <si>
    <t>=NF($B167,"Fecha expedido")</t>
  </si>
  <si>
    <t>=NF($B167,"Estado")</t>
  </si>
  <si>
    <t>=NF($D167,"fecha")</t>
  </si>
  <si>
    <t>=NF($D167,"Descripción incidencia")</t>
  </si>
  <si>
    <t>=NF($B167,"Cód_ transportista")</t>
  </si>
  <si>
    <t>=NF($B167,"Cód_ servicio solicitado")</t>
  </si>
  <si>
    <t>=NF($B167,"Link imagen")</t>
  </si>
  <si>
    <t>=NF($B167,"Localizador")</t>
  </si>
  <si>
    <t>="""SQL-NAVISION"","""",""SQL="",""14=No_"",""PD260095733"",""14=No_ documento cliente"",""WW_2905_ALG"",""14=No_ referencia transporte"",""WW_2905_ALG"",""14=Nº Expedición"",""000017241"",""14=Nombre punto entrega"",""ALBERTO LOPEZ GARZON"",""14=Dirección punto entrega"",""CL LOS SAUC"&amp;"ES, Nº1"",""14=C_P_ punto entrega"",""29532"",""14=Población punto entrega"",""MOLLINA"",""14=Provincia punto entrega"",""MALAGA"",""14=País punto entrega"",""ES"",""14=Estado"",""Entregado"",""15=fecha_prep"",""29/05/2026"",""15=Fecha expedido"",""29/05/2026"",""14=Cód_ transportista"&amp;""",""ONTIME"",""14=Cód_ servicio solicitado"",""STD"",""14=Link imagen"",""https://ontimegts.alertran.net/gts/pub/clielocserv.seam?cliente=02890149&amp;expedicion=999951178287"",""14=Localizador"",""999951178287"""</t>
  </si>
  <si>
    <t>=NL("Filas","SQL="&amp;
"select MAX(td.[Nº movimiento]) num_mov "&amp;
"  from [dbo].[MEDIAPOST SPAIN$Tracking Documento] td with (nolock) "&amp;
"  WHERE td.[Nº documento] = '"&amp;NF($B168,"No_ referencia transporte")&amp;"' "&amp;
"    AND td.[Cód_ incidencia] &lt;&gt; '' ",{"num_mov"},"Datasource=","SQL-Navision")</t>
  </si>
  <si>
    <t>=IF(NF($C168,"num_mov")="","",NL(,"Tracking Documento",,"Nº movimiento",NF($C168,"num_mov"),"Conexión=","Navision","Empresa=","MEDIAPOST SPAIN"))</t>
  </si>
  <si>
    <t>=NF($B168,"No_ documento cliente")</t>
  </si>
  <si>
    <t>=NF($B168,"No_ referencia transporte")</t>
  </si>
  <si>
    <t>=NF($B168,"Nº Expedición")</t>
  </si>
  <si>
    <t>=NF($B168,"Nombre punto entrega")</t>
  </si>
  <si>
    <t>=NF($B168,"Dirección punto entrega")</t>
  </si>
  <si>
    <t>=NF($B168,"C_P_ punto entrega")</t>
  </si>
  <si>
    <t>=NF($B168,"Población punto entrega")</t>
  </si>
  <si>
    <t>=NF($B168,"Provincia punto entrega")</t>
  </si>
  <si>
    <t>=NF($B168,"País punto entrega")</t>
  </si>
  <si>
    <t>=NF($B168,"fecha_prep")</t>
  </si>
  <si>
    <t>=NF($B168,"Fecha expedido")</t>
  </si>
  <si>
    <t>=NF($B168,"Estado")</t>
  </si>
  <si>
    <t>=NF($D168,"fecha")</t>
  </si>
  <si>
    <t>=NF($D168,"Descripción incidencia")</t>
  </si>
  <si>
    <t>=NF($B168,"Cód_ transportista")</t>
  </si>
  <si>
    <t>=NF($B168,"Cód_ servicio solicitado")</t>
  </si>
  <si>
    <t>=NF($B168,"Link imagen")</t>
  </si>
  <si>
    <t>=NF($B168,"Localizador")</t>
  </si>
  <si>
    <t>="""SQL-NAVISION"","""",""SQL="",""14=No_"",""PD260095567"",""14=No_ documento cliente"",""WW_2905_PPG"",""14=No_ referencia transporte"",""WW_2905_PPG"",""14=Nº Expedición"",""000017233"",""14=Nombre punto entrega"",""PALOMA PEREZ GOMEZ"",""14=Dirección punto entrega"",""Calle Villaji"&amp;"mena 51- 4C"",""14=C_P_ punto entrega"",""28032"",""14=Población punto entrega"",""MADRID"",""14=Provincia punto entrega"",""MADRID"",""14=País punto entrega"",""ES"",""14=Estado"",""Entregado"",""15=fecha_prep"",""29/05/2026"",""15=Fecha expedido"",""29/05/2026"",""14=Cód_ transporti"&amp;"sta"",""ONTIME"",""14=Cód_ servicio solicitado"",""STD"",""14=Link imagen"",""https://ontimegts.alertran.net/gts/pub/clielocserv.seam?cliente=02890149&amp;expedicion=999951178284"",""14=Localizador"",""999951178284"""</t>
  </si>
  <si>
    <t>=NL("Filas","SQL="&amp;
"select MAX(td.[Nº movimiento]) num_mov "&amp;
"  from [dbo].[MEDIAPOST SPAIN$Tracking Documento] td with (nolock) "&amp;
"  WHERE td.[Nº documento] = '"&amp;NF($B169,"No_ referencia transporte")&amp;"' "&amp;
"    AND td.[Cód_ incidencia] &lt;&gt; '' ",{"num_mov"},"Datasource=","SQL-Navision")</t>
  </si>
  <si>
    <t>=IF(NF($C169,"num_mov")="","",NL(,"Tracking Documento",,"Nº movimiento",NF($C169,"num_mov"),"Conexión=","Navision","Empresa=","MEDIAPOST SPAIN"))</t>
  </si>
  <si>
    <t>=NF($B169,"No_ documento cliente")</t>
  </si>
  <si>
    <t>=NF($B169,"No_ referencia transporte")</t>
  </si>
  <si>
    <t>=NF($B169,"Nº Expedición")</t>
  </si>
  <si>
    <t>=NF($B169,"Nombre punto entrega")</t>
  </si>
  <si>
    <t>=NF($B169,"Dirección punto entrega")</t>
  </si>
  <si>
    <t>=NF($B169,"C_P_ punto entrega")</t>
  </si>
  <si>
    <t>=NF($B169,"Población punto entrega")</t>
  </si>
  <si>
    <t>=NF($B169,"Provincia punto entrega")</t>
  </si>
  <si>
    <t>=NF($B169,"País punto entrega")</t>
  </si>
  <si>
    <t>=NF($B169,"fecha_prep")</t>
  </si>
  <si>
    <t>=NF($B169,"Fecha expedido")</t>
  </si>
  <si>
    <t>=NF($B169,"Estado")</t>
  </si>
  <si>
    <t>=NF($D169,"fecha")</t>
  </si>
  <si>
    <t>=NF($D169,"Descripción incidencia")</t>
  </si>
  <si>
    <t>=NF($B169,"Cód_ transportista")</t>
  </si>
  <si>
    <t>=NF($B169,"Cód_ servicio solicitado")</t>
  </si>
  <si>
    <t>=NF($B169,"Link imagen")</t>
  </si>
  <si>
    <t>=NF($B169,"Localizador")</t>
  </si>
  <si>
    <t>="""SQL-NAVISION"","""",""SQL="",""14=No_"",""PD260095730"",""14=No_ documento cliente"",""WW_2905_MJMP"",""14=No_ referencia transporte"",""WW_2905_MJMP"",""14=Nº Expedición"",""0865427020"",""14=Nombre punto entrega"",""DHL GETAFE"",""14=Dirección punto entrega"",""RECOGE EN DELEGACI"&amp;"ON"",""14=C_P_ punto entrega"",""28906"",""14=Población punto entrega"",""GETAFE"",""14=Provincia punto entrega"",""MADRID"",""14=País punto entrega"",""ES"",""14=Estado"",""En Reparto"",""15=fecha_prep"",""29/05/2026"",""15=Fecha expedido"",""29/05/2026"",""14=Cód_ transportista"",""DH"&amp;"L"",""14=Cód_ servicio solicitado"",""STD"",""14=Link imagen"",""https://clientesparcel.dhl.es/seguimientoenvios/integra/SeguimientoDocumentos.aspx?codigo=0865427020&amp;anno=2026&amp;lang=sp&amp;zatar=q45LoBtfSS29xHGRDZ57"",""14=Localizador"","""""</t>
  </si>
  <si>
    <t>=NL("Filas","SQL="&amp;
"select MAX(td.[Nº movimiento]) num_mov "&amp;
"  from [dbo].[MEDIAPOST SPAIN$Tracking Documento] td with (nolock) "&amp;
"  WHERE td.[Nº documento] = '"&amp;NF($B170,"No_ referencia transporte")&amp;"' "&amp;
"    AND td.[Cód_ incidencia] &lt;&gt; '' ",{"num_mov"},"Datasource=","SQL-Navision")</t>
  </si>
  <si>
    <t>=IF(NF($C170,"num_mov")="","",NL(,"Tracking Documento",,"Nº movimiento",NF($C170,"num_mov"),"Conexión=","Navision","Empresa=","MEDIAPOST SPAIN"))</t>
  </si>
  <si>
    <t>=NF($B170,"No_ documento cliente")</t>
  </si>
  <si>
    <t>=NF($B170,"No_ referencia transporte")</t>
  </si>
  <si>
    <t>=NF($B170,"Nº Expedición")</t>
  </si>
  <si>
    <t>=NF($B170,"Nombre punto entrega")</t>
  </si>
  <si>
    <t>=NF($B170,"Dirección punto entrega")</t>
  </si>
  <si>
    <t>=NF($B170,"C_P_ punto entrega")</t>
  </si>
  <si>
    <t>=NF($B170,"Población punto entrega")</t>
  </si>
  <si>
    <t>=NF($B170,"Provincia punto entrega")</t>
  </si>
  <si>
    <t>=NF($B170,"País punto entrega")</t>
  </si>
  <si>
    <t>=NF($B170,"fecha_prep")</t>
  </si>
  <si>
    <t>=NF($B170,"Fecha expedido")</t>
  </si>
  <si>
    <t>=NF($B170,"Estado")</t>
  </si>
  <si>
    <t>=NF($D170,"fecha")</t>
  </si>
  <si>
    <t>=NF($D170,"Descripción incidencia")</t>
  </si>
  <si>
    <t>=NF($B170,"Cód_ transportista")</t>
  </si>
  <si>
    <t>=NF($B170,"Cód_ servicio solicitado")</t>
  </si>
  <si>
    <t>=NF($B170,"Link imagen")</t>
  </si>
  <si>
    <t>=NF($B170,"Localizador")</t>
  </si>
  <si>
    <t>="""SQL-NAVISION"","""",""SQL="",""14=No_"",""PD260095575"",""14=No_ documento cliente"",""WW_2905_PRP"",""14=No_ referencia transporte"",""WW_2905_PRP"",""14=Nº Expedición"",""0865427000"",""14=Nombre punto entrega"",""PAULA REPISO PASCUA"",""14=Dirección punto entrega"",""C/MONASTERI"&amp;"O DE SANTA MARIA DE LA VID, Nº 6 - 2ºB"",""14=C_P_ punto entrega"",""47015"",""14=Población punto entrega"",""VALLADOLID"",""14=Provincia punto entrega"",""VALLADOLID"",""14=País punto entrega"",""ES"",""14=Estado"",""Entregado"",""15=fecha_prep"",""29/05/2026"",""15=Fecha expedid"&amp;"o"",""29/05/2026"",""14=Cód_ transportista"",""DHL"",""14=Cód_ servicio solicitado"",""STD"",""14=Link imagen"",""https://clientesparcel.dhl.es/seguimientoenvios/integra/SeguimientoDocumentos.aspx?codigo=0865427000&amp;anno=2026&amp;lang=sp&amp;zatar=q45LoBtfSS29xHGRDZ57"",""14=Loca"&amp;"lizador"","""""</t>
  </si>
  <si>
    <t>=NL("Filas","SQL="&amp;
"select MAX(td.[Nº movimiento]) num_mov "&amp;
"  from [dbo].[MEDIAPOST SPAIN$Tracking Documento] td with (nolock) "&amp;
"  WHERE td.[Nº documento] = '"&amp;NF($B171,"No_ referencia transporte")&amp;"' "&amp;
"    AND td.[Cód_ incidencia] &lt;&gt; '' ",{"num_mov"},"Datasource=","SQL-Navision")</t>
  </si>
  <si>
    <t>=IF(NF($C171,"num_mov")="","",NL(,"Tracking Documento",,"Nº movimiento",NF($C171,"num_mov"),"Conexión=","Navision","Empresa=","MEDIAPOST SPAIN"))</t>
  </si>
  <si>
    <t>=NF($B171,"No_ documento cliente")</t>
  </si>
  <si>
    <t>=NF($B171,"No_ referencia transporte")</t>
  </si>
  <si>
    <t>=NF($B171,"Nº Expedición")</t>
  </si>
  <si>
    <t>=NF($B171,"Nombre punto entrega")</t>
  </si>
  <si>
    <t>=NF($B171,"Dirección punto entrega")</t>
  </si>
  <si>
    <t>=NF($B171,"C_P_ punto entrega")</t>
  </si>
  <si>
    <t>=NF($B171,"Población punto entrega")</t>
  </si>
  <si>
    <t>=NF($B171,"Provincia punto entrega")</t>
  </si>
  <si>
    <t>=NF($B171,"País punto entrega")</t>
  </si>
  <si>
    <t>=NF($B171,"fecha_prep")</t>
  </si>
  <si>
    <t>=NF($B171,"Fecha expedido")</t>
  </si>
  <si>
    <t>=NF($B171,"Estado")</t>
  </si>
  <si>
    <t>=NF($D171,"fecha")</t>
  </si>
  <si>
    <t>=NF($D171,"Descripción incidencia")</t>
  </si>
  <si>
    <t>=NF($B171,"Cód_ transportista")</t>
  </si>
  <si>
    <t>=NF($B171,"Cód_ servicio solicitado")</t>
  </si>
  <si>
    <t>=NF($B171,"Link imagen")</t>
  </si>
  <si>
    <t>=NF($B171,"Localizador")</t>
  </si>
  <si>
    <t>="""SQL-NAVISION"","""",""SQL="",""14=No_"",""PD260095732"",""14=No_ documento cliente"",""WW_2905_ALLB"",""14=No_ referencia transporte"",""WW_2905_ALLB"",""14=Nº Expedición"",""0865427010"",""14=Nombre punto entrega"",""ANA LETICIA LOPEZ BENEITEZ"",""14=Dirección punto entrega"",""AV"&amp;"ENIDA FERNÁNDEZ LADREDA, NÚMERO 5, 2°A."",""14=C_P_ punto entrega"",""24005"",""14=Población punto entrega"",""LEON"",""14=Provincia punto entrega"",""LEON"",""14=País punto entrega"",""ES"",""14=Estado"",""Entregado"",""15=fecha_prep"",""29/05/2026"",""15=Fecha expedido"",""29/05/2"&amp;"026"",""14=Cód_ transportista"",""DHL"",""14=Cód_ servicio solicitado"",""STD"",""14=Link imagen"",""https://clientesparcel.dhl.es/seguimientoenvios/integra/SeguimientoDocumentos.aspx?codigo=0865427010&amp;anno=2026&amp;lang=sp&amp;zatar=q45LoBtfSS29xHGRDZ57"",""14=Localizador"","""""</t>
  </si>
  <si>
    <t>=NL("Filas","SQL="&amp;
"select MAX(td.[Nº movimiento]) num_mov "&amp;
"  from [dbo].[MEDIAPOST SPAIN$Tracking Documento] td with (nolock) "&amp;
"  WHERE td.[Nº documento] = '"&amp;NF($B172,"No_ referencia transporte")&amp;"' "&amp;
"    AND td.[Cód_ incidencia] &lt;&gt; '' ",{"num_mov"},"Datasource=","SQL-Navision")</t>
  </si>
  <si>
    <t>=IF(NF($C172,"num_mov")="","",NL(,"Tracking Documento",,"Nº movimiento",NF($C172,"num_mov"),"Conexión=","Navision","Empresa=","MEDIAPOST SPAIN"))</t>
  </si>
  <si>
    <t>=NF($B172,"No_ documento cliente")</t>
  </si>
  <si>
    <t>=NF($B172,"No_ referencia transporte")</t>
  </si>
  <si>
    <t>=NF($B172,"Nº Expedición")</t>
  </si>
  <si>
    <t>=NF($B172,"Nombre punto entrega")</t>
  </si>
  <si>
    <t>=NF($B172,"Dirección punto entrega")</t>
  </si>
  <si>
    <t>=NF($B172,"C_P_ punto entrega")</t>
  </si>
  <si>
    <t>=NF($B172,"Población punto entrega")</t>
  </si>
  <si>
    <t>=NF($B172,"Provincia punto entrega")</t>
  </si>
  <si>
    <t>=NF($B172,"País punto entrega")</t>
  </si>
  <si>
    <t>=NF($B172,"fecha_prep")</t>
  </si>
  <si>
    <t>=NF($B172,"Fecha expedido")</t>
  </si>
  <si>
    <t>=NF($B172,"Estado")</t>
  </si>
  <si>
    <t>=NF($D172,"fecha")</t>
  </si>
  <si>
    <t>=NF($D172,"Descripción incidencia")</t>
  </si>
  <si>
    <t>=NF($B172,"Cód_ transportista")</t>
  </si>
  <si>
    <t>=NF($B172,"Cód_ servicio solicitado")</t>
  </si>
  <si>
    <t>=NF($B172,"Link imagen")</t>
  </si>
  <si>
    <t>=NF($B172,"Localizador")</t>
  </si>
  <si>
    <t>="""SQL-NAVISION"","""",""SQL="",""14=No_"",""PD260094760"",""14=No_ documento cliente"",""LGL280526"",""14=No_ referencia transporte"",""LGL280526"",""14=Nº Expedición"",""5604355"",""14=Nombre punto entrega"",""VIC TRASTERS_Nº BOX 906"",""14=Dirección punto entrega"",""Carrer de Fran"&amp;"cesc Santcliment, 87"",""14=C_P_ punto entrega"",""08500"",""14=Población punto entrega"",""VIC"",""14=Provincia punto entrega"",""BARCELONA"",""14=País punto entrega"",""ES"",""14=Estado"",""Entregado"",""15=fecha_prep"",""29/05/2026"",""15=Fecha expedido"",""29/05/2026"",""14=Cód_ t"&amp;"ransportista"",""ASM"",""14=Cód_ servicio solicitado"",""STD"",""14=Link imagen"",""https://mygls.gls-spain.es/e/31200805604355/08500"",""14=Localizador"","""""</t>
  </si>
  <si>
    <t>=NL("Filas","SQL="&amp;
"select MAX(td.[Nº movimiento]) num_mov "&amp;
"  from [dbo].[MEDIAPOST SPAIN$Tracking Documento] td with (nolock) "&amp;
"  WHERE td.[Nº documento] = '"&amp;NF($B173,"No_ referencia transporte")&amp;"' "&amp;
"    AND td.[Cód_ incidencia] &lt;&gt; '' ",{"num_mov"},"Datasource=","SQL-Navision")</t>
  </si>
  <si>
    <t>=IF(NF($C173,"num_mov")="","",NL(,"Tracking Documento",,"Nº movimiento",NF($C173,"num_mov"),"Conexión=","Navision","Empresa=","MEDIAPOST SPAIN"))</t>
  </si>
  <si>
    <t>=NF($B173,"No_ documento cliente")</t>
  </si>
  <si>
    <t>=NF($B173,"No_ referencia transporte")</t>
  </si>
  <si>
    <t>=NF($B173,"Nº Expedición")</t>
  </si>
  <si>
    <t>=NF($B173,"Nombre punto entrega")</t>
  </si>
  <si>
    <t>=NF($B173,"Dirección punto entrega")</t>
  </si>
  <si>
    <t>=NF($B173,"C_P_ punto entrega")</t>
  </si>
  <si>
    <t>=NF($B173,"Población punto entrega")</t>
  </si>
  <si>
    <t>=NF($B173,"Provincia punto entrega")</t>
  </si>
  <si>
    <t>=NF($B173,"País punto entrega")</t>
  </si>
  <si>
    <t>=NF($B173,"fecha_prep")</t>
  </si>
  <si>
    <t>=NF($B173,"Fecha expedido")</t>
  </si>
  <si>
    <t>=NF($B173,"Estado")</t>
  </si>
  <si>
    <t>=NF($D173,"fecha")</t>
  </si>
  <si>
    <t>=NF($D173,"Descripción incidencia")</t>
  </si>
  <si>
    <t>=NF($B173,"Cód_ transportista")</t>
  </si>
  <si>
    <t>=NF($B173,"Cód_ servicio solicitado")</t>
  </si>
  <si>
    <t>=NF($B173,"Link imagen")</t>
  </si>
  <si>
    <t>=NF($B173,"Localizador")</t>
  </si>
  <si>
    <t>="""SQL-NAVISION"","""",""SQL="",""14=No_"",""PD260095568"",""14=No_ documento cliente"",""WW_2905_CGO"",""14=No_ referencia transporte"",""WW_2905_CGO"",""14=Nº Expedición"",""0865426960"",""14=Nombre punto entrega"",""CARMEN GARCIA ORTEGA"",""14=Dirección punto entrega"",""CALLE CHIL"&amp;"E 22 3IZQ"",""14=C_P_ punto entrega"",""02006"",""14=Población punto entrega"",""ALBACETE"",""14=Provincia punto entrega"",""ALBACETE"",""14=País punto entrega"",""ES"",""14=Estado"",""Entregado"",""15=fecha_prep"",""29/05/2026"",""15=Fecha expedido"",""29/05/2026"",""14=Cód_ transpor"&amp;"tista"",""DHL"",""14=Cód_ servicio solicitado"",""STD"",""14=Link imagen"",""https://clientesparcel.dhl.es/seguimientoenvios/integra/SeguimientoDocumentos.aspx?codigo=0865426960&amp;anno=2026&amp;lang=sp&amp;zatar=q45LoBtfSS29xHGRDZ57"",""14=Localizador"","""""</t>
  </si>
  <si>
    <t>=NL("Filas","SQL="&amp;
"select MAX(td.[Nº movimiento]) num_mov "&amp;
"  from [dbo].[MEDIAPOST SPAIN$Tracking Documento] td with (nolock) "&amp;
"  WHERE td.[Nº documento] = '"&amp;NF($B174,"No_ referencia transporte")&amp;"' "&amp;
"    AND td.[Cód_ incidencia] &lt;&gt; '' ",{"num_mov"},"Datasource=","SQL-Navision")</t>
  </si>
  <si>
    <t>=IF(NF($C174,"num_mov")="","",NL(,"Tracking Documento",,"Nº movimiento",NF($C174,"num_mov"),"Conexión=","Navision","Empresa=","MEDIAPOST SPAIN"))</t>
  </si>
  <si>
    <t>=NF($B174,"No_ documento cliente")</t>
  </si>
  <si>
    <t>=NF($B174,"No_ referencia transporte")</t>
  </si>
  <si>
    <t>=NF($B174,"Nº Expedición")</t>
  </si>
  <si>
    <t>=NF($B174,"Nombre punto entrega")</t>
  </si>
  <si>
    <t>=NF($B174,"Dirección punto entrega")</t>
  </si>
  <si>
    <t>=NF($B174,"C_P_ punto entrega")</t>
  </si>
  <si>
    <t>=NF($B174,"Población punto entrega")</t>
  </si>
  <si>
    <t>=NF($B174,"Provincia punto entrega")</t>
  </si>
  <si>
    <t>=NF($B174,"País punto entrega")</t>
  </si>
  <si>
    <t>=NF($B174,"fecha_prep")</t>
  </si>
  <si>
    <t>=NF($B174,"Fecha expedido")</t>
  </si>
  <si>
    <t>=NF($B174,"Estado")</t>
  </si>
  <si>
    <t>=NF($D174,"fecha")</t>
  </si>
  <si>
    <t>=NF($D174,"Descripción incidencia")</t>
  </si>
  <si>
    <t>=NF($B174,"Cód_ transportista")</t>
  </si>
  <si>
    <t>=NF($B174,"Cód_ servicio solicitado")</t>
  </si>
  <si>
    <t>=NF($B174,"Link imagen")</t>
  </si>
  <si>
    <t>=NF($B174,"Localizador")</t>
  </si>
  <si>
    <t>="""SQL-NAVISION"","""",""SQL="",""14=No_"",""PD260095741"",""14=No_ documento cliente"",""WW_2705_SGC.4"",""14=No_ referencia transporte"",""WW_2705_SGC.4"",""14=Nº Expedición"",""103499"",""14=Nombre punto entrega"",""Grimaldi Cargo Canarias"",""14=Dirección punto entrega"",""RECOGE "&amp;"EN DELEGACION"",""14=C_P_ punto entrega"",""35220"",""14=Población punto entrega"",""JINAMAR"",""14=Provincia punto entrega"",""LAS PALMAS"",""14=País punto entrega"",""ES"",""14=Estado"",""En Reparto"",""15=fecha_prep"",""29/05/2026"",""15=Fecha expedido"",""29/05/2026"",""14=Cód_ tr"&amp;"ansportista"",""CADENALOG"",""14=Cód_ servicio solicitado"",""STD"",""14=Link imagen"","""",""14=Localizador"","""""</t>
  </si>
  <si>
    <t>=NL("Filas","SQL="&amp;
"select MAX(td.[Nº movimiento]) num_mov "&amp;
"  from [dbo].[MEDIAPOST SPAIN$Tracking Documento] td with (nolock) "&amp;
"  WHERE td.[Nº documento] = '"&amp;NF($B175,"No_ referencia transporte")&amp;"' "&amp;
"    AND td.[Cód_ incidencia] &lt;&gt; '' ",{"num_mov"},"Datasource=","SQL-Navision")</t>
  </si>
  <si>
    <t>=IF(NF($C175,"num_mov")="","",NL(,"Tracking Documento",,"Nº movimiento",NF($C175,"num_mov"),"Conexión=","Navision","Empresa=","MEDIAPOST SPAIN"))</t>
  </si>
  <si>
    <t>=NF($B175,"No_ documento cliente")</t>
  </si>
  <si>
    <t>=NF($B175,"No_ referencia transporte")</t>
  </si>
  <si>
    <t>=NF($B175,"Nº Expedición")</t>
  </si>
  <si>
    <t>=NF($B175,"Nombre punto entrega")</t>
  </si>
  <si>
    <t>=NF($B175,"Dirección punto entrega")</t>
  </si>
  <si>
    <t>=NF($B175,"C_P_ punto entrega")</t>
  </si>
  <si>
    <t>=NF($B175,"Población punto entrega")</t>
  </si>
  <si>
    <t>=NF($B175,"Provincia punto entrega")</t>
  </si>
  <si>
    <t>=NF($B175,"País punto entrega")</t>
  </si>
  <si>
    <t>=NF($B175,"fecha_prep")</t>
  </si>
  <si>
    <t>=NF($B175,"Fecha expedido")</t>
  </si>
  <si>
    <t>=NF($B175,"Estado")</t>
  </si>
  <si>
    <t>=NF($D175,"fecha")</t>
  </si>
  <si>
    <t>=NF($D175,"Descripción incidencia")</t>
  </si>
  <si>
    <t>=NF($B175,"Cód_ transportista")</t>
  </si>
  <si>
    <t>=NF($B175,"Cód_ servicio solicitado")</t>
  </si>
  <si>
    <t>=NF($B175,"Link imagen")</t>
  </si>
  <si>
    <t>=NF($B175,"Localizador")</t>
  </si>
  <si>
    <t>="""SQL-NAVISION"","""",""SQL="",""14=No_"",""PD260095571"",""14=No_ documento cliente"",""WW_2905_EILP"",""14=No_ referencia transporte"",""WW_2905_EILP"",""14=Nº Expedición"",""0865426980"",""14=Nombre punto entrega"",""ELISA ISABEL LOPEZ POLO"",""14=Dirección punto entrega"",""Plaza"&amp;" Aldeas Infantiles número 7"",""14=C_P_ punto entrega"",""04740"",""14=Población punto entrega"",""ROQUETAS DE MAR"",""14=Provincia punto entrega"",""ALMERIA"",""14=País punto entrega"",""ES"",""14=Estado"",""Entregado"",""15=fecha_prep"",""29/05/2026"",""15=Fecha expedido"",""29/05"&amp;"/2026"",""14=Cód_ transportista"",""DHL"",""14=Cód_ servicio solicitado"",""STD"",""14=Link imagen"",""https://clientesparcel.dhl.es/seguimientoenvios/integra/SeguimientoDocumentos.aspx?codigo=0865426980&amp;anno=2026&amp;lang=sp&amp;zatar=q45LoBtfSS29xHGRDZ57"",""14=Localizador"","&amp;""""""</t>
  </si>
  <si>
    <t>=NL("Filas","SQL="&amp;
"select MAX(td.[Nº movimiento]) num_mov "&amp;
"  from [dbo].[MEDIAPOST SPAIN$Tracking Documento] td with (nolock) "&amp;
"  WHERE td.[Nº documento] = '"&amp;NF($B176,"No_ referencia transporte")&amp;"' "&amp;
"    AND td.[Cód_ incidencia] &lt;&gt; '' ",{"num_mov"},"Datasource=","SQL-Navision")</t>
  </si>
  <si>
    <t>=IF(NF($C176,"num_mov")="","",NL(,"Tracking Documento",,"Nº movimiento",NF($C176,"num_mov"),"Conexión=","Navision","Empresa=","MEDIAPOST SPAIN"))</t>
  </si>
  <si>
    <t>=NF($B176,"No_ documento cliente")</t>
  </si>
  <si>
    <t>=NF($B176,"No_ referencia transporte")</t>
  </si>
  <si>
    <t>=NF($B176,"Nº Expedición")</t>
  </si>
  <si>
    <t>=NF($B176,"Nombre punto entrega")</t>
  </si>
  <si>
    <t>=NF($B176,"Dirección punto entrega")</t>
  </si>
  <si>
    <t>=NF($B176,"C_P_ punto entrega")</t>
  </si>
  <si>
    <t>=NF($B176,"Población punto entrega")</t>
  </si>
  <si>
    <t>=NF($B176,"Provincia punto entrega")</t>
  </si>
  <si>
    <t>=NF($B176,"País punto entrega")</t>
  </si>
  <si>
    <t>=NF($B176,"fecha_prep")</t>
  </si>
  <si>
    <t>=NF($B176,"Fecha expedido")</t>
  </si>
  <si>
    <t>=NF($B176,"Estado")</t>
  </si>
  <si>
    <t>=NF($D176,"fecha")</t>
  </si>
  <si>
    <t>=NF($D176,"Descripción incidencia")</t>
  </si>
  <si>
    <t>=NF($B176,"Cód_ transportista")</t>
  </si>
  <si>
    <t>=NF($B176,"Cód_ servicio solicitado")</t>
  </si>
  <si>
    <t>=NF($B176,"Link imagen")</t>
  </si>
  <si>
    <t>=NF($B176,"Localizador")</t>
  </si>
  <si>
    <t>="""SQL-NAVISION"","""",""SQL="",""14=No_"",""PD260093295"",""14=No_ documento cliente"",""DPD260160925"",""14=No_ referencia transporte"",""DPD260160925"",""14=Nº Expedición"",""328914"",""14=Nombre punto entrega"",""Daniel Rios Solano"",""14=Dirección punto entrega"",""Parque Industr"&amp;"ial, C. de los Fontaneros, 1"",""14=C_P_ punto entrega"",""28830"",""14=Población punto entrega"",""SAN FERNANDO DE HENARES"",""14=Provincia punto entrega"",""MADRID"",""14=País punto entrega"",""ES"",""14=Estado"",""Entregado"",""15=fecha_prep"",""29/05/2026"",""15=Fecha expedido"&amp;""",""29/05/2026"",""14=Cód_ transportista"",""CEXPRESS"",""14=Cód_ servicio solicitado"",""STD"",""14=Link imagen"",""https://www.correosexpress.com/chronoExtraNET/imagenes/mostrarImagen.seam?u=cdd394c03ac9cba88c65c265c9b9ea52&amp;e=749579310650003289147"",""14=Localizador"","&amp;"""9310650003289147"""</t>
  </si>
  <si>
    <t>=NL("Filas","SQL="&amp;
"select MAX(td.[Nº movimiento]) num_mov "&amp;
"  from [dbo].[MEDIAPOST SPAIN$Tracking Documento] td with (nolock) "&amp;
"  WHERE td.[Nº documento] = '"&amp;NF($B177,"No_ referencia transporte")&amp;"' "&amp;
"    AND td.[Cód_ incidencia] &lt;&gt; '' ",{"num_mov"},"Datasource=","SQL-Navision")</t>
  </si>
  <si>
    <t>=IF(NF($C177,"num_mov")="","",NL(,"Tracking Documento",,"Nº movimiento",NF($C177,"num_mov"),"Conexión=","Navision","Empresa=","MEDIAPOST SPAIN"))</t>
  </si>
  <si>
    <t>=NF($B177,"No_ documento cliente")</t>
  </si>
  <si>
    <t>=NF($B177,"No_ referencia transporte")</t>
  </si>
  <si>
    <t>=NF($B177,"Nº Expedición")</t>
  </si>
  <si>
    <t>=NF($B177,"Nombre punto entrega")</t>
  </si>
  <si>
    <t>=NF($B177,"Dirección punto entrega")</t>
  </si>
  <si>
    <t>=NF($B177,"C_P_ punto entrega")</t>
  </si>
  <si>
    <t>=NF($B177,"Población punto entrega")</t>
  </si>
  <si>
    <t>=NF($B177,"Provincia punto entrega")</t>
  </si>
  <si>
    <t>=NF($B177,"País punto entrega")</t>
  </si>
  <si>
    <t>=NF($B177,"fecha_prep")</t>
  </si>
  <si>
    <t>=NF($B177,"Fecha expedido")</t>
  </si>
  <si>
    <t>=NF($B177,"Estado")</t>
  </si>
  <si>
    <t>=NF($D177,"fecha")</t>
  </si>
  <si>
    <t>=NF($D177,"Descripción incidencia")</t>
  </si>
  <si>
    <t>=NF($B177,"Cód_ transportista")</t>
  </si>
  <si>
    <t>=NF($B177,"Cód_ servicio solicitado")</t>
  </si>
  <si>
    <t>=NF($B177,"Link imagen")</t>
  </si>
  <si>
    <t>=NF($B177,"Localizador")</t>
  </si>
  <si>
    <t>="""SQL-NAVISION"","""",""SQL="",""14=No_"",""PD260094822"",""14=No_ documento cliente"",""INP280526.2"",""14=No_ referencia transporte"",""INP280526.2"",""14=Nº Expedición"",""1200797675"",""14=Nombre punto entrega"",""TIPSA LAS ROZAS"",""14=Dirección punto entrega"",""CALLE MUNICH, 2"&amp;"B"",""14=C_P_ punto entrega"",""28232"",""14=Población punto entrega"",""LAS ROZAS DE MADRID"",""14=Provincia punto entrega"",""MADRID"",""14=País punto entrega"",""ES"",""14=Estado"",""Entregado"",""15=fecha_prep"",""29/05/2026"",""15=Fecha expedido"",""29/05/2026"",""14=Cód_ transpo"&amp;"rtista"",""TIPSA"",""14=Cód_ servicio solicitado"",""STD"",""14=Link imagen"",""https://www.tip-sa.com/cliente/datos.php?id=02800109585INP280526.228232"",""14=Localizador"",""0280010280011200797675"""</t>
  </si>
  <si>
    <t>=NL("Filas","SQL="&amp;
"select MAX(td.[Nº movimiento]) num_mov "&amp;
"  from [dbo].[MEDIAPOST SPAIN$Tracking Documento] td with (nolock) "&amp;
"  WHERE td.[Nº documento] = '"&amp;NF($B178,"No_ referencia transporte")&amp;"' "&amp;
"    AND td.[Cód_ incidencia] &lt;&gt; '' ",{"num_mov"},"Datasource=","SQL-Navision")</t>
  </si>
  <si>
    <t>=IF(NF($C178,"num_mov")="","",NL(,"Tracking Documento",,"Nº movimiento",NF($C178,"num_mov"),"Conexión=","Navision","Empresa=","MEDIAPOST SPAIN"))</t>
  </si>
  <si>
    <t>=NF($B178,"No_ documento cliente")</t>
  </si>
  <si>
    <t>=NF($B178,"No_ referencia transporte")</t>
  </si>
  <si>
    <t>=NF($B178,"Nº Expedición")</t>
  </si>
  <si>
    <t>=NF($B178,"Nombre punto entrega")</t>
  </si>
  <si>
    <t>=NF($B178,"Dirección punto entrega")</t>
  </si>
  <si>
    <t>=NF($B178,"C_P_ punto entrega")</t>
  </si>
  <si>
    <t>=NF($B178,"Población punto entrega")</t>
  </si>
  <si>
    <t>=NF($B178,"Provincia punto entrega")</t>
  </si>
  <si>
    <t>=NF($B178,"País punto entrega")</t>
  </si>
  <si>
    <t>=NF($B178,"fecha_prep")</t>
  </si>
  <si>
    <t>=NF($B178,"Fecha expedido")</t>
  </si>
  <si>
    <t>=NF($B178,"Estado")</t>
  </si>
  <si>
    <t>=NF($D178,"fecha")</t>
  </si>
  <si>
    <t>=NF($D178,"Descripción incidencia")</t>
  </si>
  <si>
    <t>=NF($B178,"Cód_ transportista")</t>
  </si>
  <si>
    <t>=NF($B178,"Cód_ servicio solicitado")</t>
  </si>
  <si>
    <t>=NF($B178,"Link imagen")</t>
  </si>
  <si>
    <t>=NF($B178,"Localizador")</t>
  </si>
  <si>
    <t>="""SQL-NAVISION"","""",""SQL="",""14=No_"",""PD260094823"",""14=No_ documento cliente"",""INP280526.3"",""14=No_ referencia transporte"",""INP280526.3"",""14=Nº Expedición"",""1200797677"",""14=Nombre punto entrega"",""TIPSA SANT BOI"",""14=Dirección punto entrega"",""CARRER DE LA CIE"&amp;"NCIA, 26"",""14=C_P_ punto entrega"",""08840"",""14=Población punto entrega"",""VILADECANS"",""14=Provincia punto entrega"",""BARCELONA"",""14=País punto entrega"",""ES"",""14=Estado"",""Entregado"",""15=fecha_prep"",""29/05/2026"",""15=Fecha expedido"",""29/05/2026"",""14=Cód_ transp"&amp;"ortista"",""TIPSA"",""14=Cód_ servicio solicitado"",""STD"",""14=Link imagen"",""https://www.tip-sa.com/cliente/datos.php?id=02800109585INP280526.308840"",""14=Localizador"",""0280010280011200797677"""</t>
  </si>
  <si>
    <t>=NL("Filas","SQL="&amp;
"select MAX(td.[Nº movimiento]) num_mov "&amp;
"  from [dbo].[MEDIAPOST SPAIN$Tracking Documento] td with (nolock) "&amp;
"  WHERE td.[Nº documento] = '"&amp;NF($B179,"No_ referencia transporte")&amp;"' "&amp;
"    AND td.[Cód_ incidencia] &lt;&gt; '' ",{"num_mov"},"Datasource=","SQL-Navision")</t>
  </si>
  <si>
    <t>=IF(NF($C179,"num_mov")="","",NL(,"Tracking Documento",,"Nº movimiento",NF($C179,"num_mov"),"Conexión=","Navision","Empresa=","MEDIAPOST SPAIN"))</t>
  </si>
  <si>
    <t>=NF($B179,"No_ documento cliente")</t>
  </si>
  <si>
    <t>=NF($B179,"No_ referencia transporte")</t>
  </si>
  <si>
    <t>=NF($B179,"Nº Expedición")</t>
  </si>
  <si>
    <t>=NF($B179,"Nombre punto entrega")</t>
  </si>
  <si>
    <t>=NF($B179,"Dirección punto entrega")</t>
  </si>
  <si>
    <t>=NF($B179,"C_P_ punto entrega")</t>
  </si>
  <si>
    <t>=NF($B179,"Población punto entrega")</t>
  </si>
  <si>
    <t>=NF($B179,"Provincia punto entrega")</t>
  </si>
  <si>
    <t>=NF($B179,"País punto entrega")</t>
  </si>
  <si>
    <t>=NF($B179,"fecha_prep")</t>
  </si>
  <si>
    <t>=NF($B179,"Fecha expedido")</t>
  </si>
  <si>
    <t>=NF($B179,"Estado")</t>
  </si>
  <si>
    <t>=NF($D179,"fecha")</t>
  </si>
  <si>
    <t>=NF($D179,"Descripción incidencia")</t>
  </si>
  <si>
    <t>=NF($B179,"Cód_ transportista")</t>
  </si>
  <si>
    <t>=NF($B179,"Cód_ servicio solicitado")</t>
  </si>
  <si>
    <t>=NF($B179,"Link imagen")</t>
  </si>
  <si>
    <t>=NF($B179,"Localizador")</t>
  </si>
  <si>
    <t>="""SQL-NAVISION"","""",""SQL="",""14=No_"",""PD260095731"",""14=No_ documento cliente"",""WW_2905_MJMP.2"",""14=No_ referencia transporte"",""WW_2905_MJMP.2"",""14=Nº Expedición"",""0865427030"",""14=Nombre punto entrega"",""DHL GETAFE"",""14=Dirección punto entrega"",""RECOGE EN DELE"&amp;"GACION"",""14=C_P_ punto entrega"",""28906"",""14=Población punto entrega"",""GETAFE"",""14=Provincia punto entrega"",""MADRID"",""14=País punto entrega"",""ES"",""14=Estado"",""En Reparto"",""15=fecha_prep"",""29/05/2026"",""15=Fecha expedido"",""29/05/2026"",""14=Cód_ transportista"""&amp;",""DHL"",""14=Cód_ servicio solicitado"",""STD"",""14=Link imagen"",""https://clientesparcel.dhl.es/seguimientoenvios/integra/SeguimientoDocumentos.aspx?codigo=0865427030&amp;anno=2026&amp;lang=sp&amp;zatar=q45LoBtfSS29xHGRDZ57"",""14=Localizador"","""""</t>
  </si>
  <si>
    <t>=NL("Filas","SQL="&amp;
"select MAX(td.[Nº movimiento]) num_mov "&amp;
"  from [dbo].[MEDIAPOST SPAIN$Tracking Documento] td with (nolock) "&amp;
"  WHERE td.[Nº documento] = '"&amp;NF($B180,"No_ referencia transporte")&amp;"' "&amp;
"    AND td.[Cód_ incidencia] &lt;&gt; '' ",{"num_mov"},"Datasource=","SQL-Navision")</t>
  </si>
  <si>
    <t>=IF(NF($C180,"num_mov")="","",NL(,"Tracking Documento",,"Nº movimiento",NF($C180,"num_mov"),"Conexión=","Navision","Empresa=","MEDIAPOST SPAIN"))</t>
  </si>
  <si>
    <t>=NF($B180,"No_ documento cliente")</t>
  </si>
  <si>
    <t>=NF($B180,"No_ referencia transporte")</t>
  </si>
  <si>
    <t>=NF($B180,"Nº Expedición")</t>
  </si>
  <si>
    <t>=NF($B180,"Nombre punto entrega")</t>
  </si>
  <si>
    <t>=NF($B180,"Dirección punto entrega")</t>
  </si>
  <si>
    <t>=NF($B180,"C_P_ punto entrega")</t>
  </si>
  <si>
    <t>=NF($B180,"Población punto entrega")</t>
  </si>
  <si>
    <t>=NF($B180,"Provincia punto entrega")</t>
  </si>
  <si>
    <t>=NF($B180,"País punto entrega")</t>
  </si>
  <si>
    <t>=NF($B180,"fecha_prep")</t>
  </si>
  <si>
    <t>=NF($B180,"Fecha expedido")</t>
  </si>
  <si>
    <t>=NF($B180,"Estado")</t>
  </si>
  <si>
    <t>=NF($D180,"fecha")</t>
  </si>
  <si>
    <t>=NF($D180,"Descripción incidencia")</t>
  </si>
  <si>
    <t>=NF($B180,"Cód_ transportista")</t>
  </si>
  <si>
    <t>=NF($B180,"Cód_ servicio solicitado")</t>
  </si>
  <si>
    <t>=NF($B180,"Link imagen")</t>
  </si>
  <si>
    <t>=NF($B180,"Localizador")</t>
  </si>
  <si>
    <t>="""SQL-NAVISION"","""",""SQL="",""14=No_"",""PD260095736"",""14=No_ documento cliente"",""WW_2705_IHF"",""14=No_ referencia transporte"",""WW_2705_IHF"",""14=Nº Expedición"",""103494"",""14=Nombre punto entrega"",""IVONNE HERNANDEZ FIGUEROA"",""14=Dirección punto entrega"",""C/ ANTONI"&amp;"O LOPEZ LOPEZ N4, BLOQUE 24, 6 PLANTA, PUERTA 6A  MIRAMAR"",""14=C_P_ punto entrega"",""38009"",""14=Población punto entrega"",""SANTA CRUZ DE TENERIFE"",""14=Provincia punto entrega"",""SANTA CRUZ DE TENERIFE"",""14=País punto entrega"",""ES"",""14=Estado"",""En Reparto"",""1"&amp;"5=fecha_prep"",""29/05/2026"",""15=Fecha expedido"",""29/05/2026"",""14=Cód_ transportista"",""CADENALOG"",""14=Cód_ servicio solicitado"",""STD"",""14=Link imagen"","""",""14=Localizador"","""""</t>
  </si>
  <si>
    <t>=NL("Filas","SQL="&amp;
"select MAX(td.[Nº movimiento]) num_mov "&amp;
"  from [dbo].[MEDIAPOST SPAIN$Tracking Documento] td with (nolock) "&amp;
"  WHERE td.[Nº documento] = '"&amp;NF($B181,"No_ referencia transporte")&amp;"' "&amp;
"    AND td.[Cód_ incidencia] &lt;&gt; '' ",{"num_mov"},"Datasource=","SQL-Navision")</t>
  </si>
  <si>
    <t>=IF(NF($C181,"num_mov")="","",NL(,"Tracking Documento",,"Nº movimiento",NF($C181,"num_mov"),"Conexión=","Navision","Empresa=","MEDIAPOST SPAIN"))</t>
  </si>
  <si>
    <t>=NF($B181,"No_ documento cliente")</t>
  </si>
  <si>
    <t>=NF($B181,"No_ referencia transporte")</t>
  </si>
  <si>
    <t>=NF($B181,"Nº Expedición")</t>
  </si>
  <si>
    <t>=NF($B181,"Nombre punto entrega")</t>
  </si>
  <si>
    <t>=NF($B181,"Dirección punto entrega")</t>
  </si>
  <si>
    <t>=NF($B181,"C_P_ punto entrega")</t>
  </si>
  <si>
    <t>=NF($B181,"Población punto entrega")</t>
  </si>
  <si>
    <t>=NF($B181,"Provincia punto entrega")</t>
  </si>
  <si>
    <t>=NF($B181,"País punto entrega")</t>
  </si>
  <si>
    <t>=NF($B181,"fecha_prep")</t>
  </si>
  <si>
    <t>=NF($B181,"Fecha expedido")</t>
  </si>
  <si>
    <t>=NF($B181,"Estado")</t>
  </si>
  <si>
    <t>=NF($D181,"fecha")</t>
  </si>
  <si>
    <t>=NF($D181,"Descripción incidencia")</t>
  </si>
  <si>
    <t>=NF($B181,"Cód_ transportista")</t>
  </si>
  <si>
    <t>=NF($B181,"Cód_ servicio solicitado")</t>
  </si>
  <si>
    <t>=NF($B181,"Link imagen")</t>
  </si>
  <si>
    <t>=NF($B181,"Localizador")</t>
  </si>
  <si>
    <t>="""SQL-NAVISION"","""",""SQL="",""14=No_"",""PD260093352"",""14=No_ documento cliente"",""WW_2705_GAL"",""14=No_ referencia transporte"",""WW_2705_GAL"",""14=Nº Expedición"",""000017229"",""14=Nombre punto entrega"",""GABRIELA ARIAS LEON"",""14=Dirección punto entrega"",""C. BULEVAR D"&amp;"E CUARTE 2, ESC. 1, 2-B"",""14=C_P_ punto entrega"",""50410"",""14=Población punto entrega"",""CUARTE DE HUERVA"",""14=Provincia punto entrega"",""ZARAGOZA"",""14=País punto entrega"",""ES"",""14=Estado"",""Entregado"",""15=fecha_prep"",""29/05/2026"",""15=Fecha expedido"",""29/05/2"&amp;"026"",""14=Cód_ transportista"",""ONTIME"",""14=Cód_ servicio solicitado"",""STD"",""14=Link imagen"",""https://ontimegts.alertran.net/gts/pub/clielocserv.seam?cliente=02890149&amp;expedicion=999951178283"",""14=Localizador"",""999951178283"""</t>
  </si>
  <si>
    <t>=NL("Filas","SQL="&amp;
"select MAX(td.[Nº movimiento]) num_mov "&amp;
"  from [dbo].[MEDIAPOST SPAIN$Tracking Documento] td with (nolock) "&amp;
"  WHERE td.[Nº documento] = '"&amp;NF($B182,"No_ referencia transporte")&amp;"' "&amp;
"    AND td.[Cód_ incidencia] &lt;&gt; '' ",{"num_mov"},"Datasource=","SQL-Navision")</t>
  </si>
  <si>
    <t>=IF(NF($C182,"num_mov")="","",NL(,"Tracking Documento",,"Nº movimiento",NF($C182,"num_mov"),"Conexión=","Navision","Empresa=","MEDIAPOST SPAIN"))</t>
  </si>
  <si>
    <t>=NF($B182,"No_ documento cliente")</t>
  </si>
  <si>
    <t>=NF($B182,"No_ referencia transporte")</t>
  </si>
  <si>
    <t>=NF($B182,"Nº Expedición")</t>
  </si>
  <si>
    <t>=NF($B182,"Nombre punto entrega")</t>
  </si>
  <si>
    <t>=NF($B182,"Dirección punto entrega")</t>
  </si>
  <si>
    <t>=NF($B182,"C_P_ punto entrega")</t>
  </si>
  <si>
    <t>=NF($B182,"Población punto entrega")</t>
  </si>
  <si>
    <t>=NF($B182,"Provincia punto entrega")</t>
  </si>
  <si>
    <t>=NF($B182,"País punto entrega")</t>
  </si>
  <si>
    <t>=NF($B182,"fecha_prep")</t>
  </si>
  <si>
    <t>=NF($B182,"Fecha expedido")</t>
  </si>
  <si>
    <t>=NF($B182,"Estado")</t>
  </si>
  <si>
    <t>=NF($D182,"fecha")</t>
  </si>
  <si>
    <t>=NF($D182,"Descripción incidencia")</t>
  </si>
  <si>
    <t>=NF($B182,"Cód_ transportista")</t>
  </si>
  <si>
    <t>=NF($B182,"Cód_ servicio solicitado")</t>
  </si>
  <si>
    <t>=NF($B182,"Link imagen")</t>
  </si>
  <si>
    <t>=NF($B182,"Localizador")</t>
  </si>
  <si>
    <t>="""SQL-NAVISION"","""",""SQL="",""14=No_"",""PD260095569"",""14=No_ documento cliente"",""WW_2905_IIA"",""14=No_ referencia transporte"",""WW_2905_IIA"",""14=Nº Expedición"",""0865426970"",""14=Nombre punto entrega"",""ISABEL IGLESIAS ALVITE"",""14=Dirección punto entrega"",""CL MANUE"&amp;"L PIÑEIRO POSE, Nº10 7ºC"",""14=C_P_ punto entrega"",""15006"",""14=Población punto entrega"",""A CORUÑA"",""14=Provincia punto entrega"",""A CORUÑA"",""14=País punto entrega"",""ES"",""14=Estado"",""Entregado"",""15=fecha_prep"",""01/06/2026"",""15=Fecha expedido"",""01/06/2026"",""1"&amp;"4=Cód_ transportista"",""DHL"",""14=Cód_ servicio solicitado"",""STD"",""14=Link imagen"",""https://clientesparcel.dhl.es/seguimientoenvios/integra/SeguimientoDocumentos.aspx?codigo=0865426970&amp;anno=2026&amp;lang=sp&amp;zatar=q45LoBtfSS29xHGRDZ57"",""14=Localizador"","""""</t>
  </si>
  <si>
    <t>=NL("Filas","SQL="&amp;
"select MAX(td.[Nº movimiento]) num_mov "&amp;
"  from [dbo].[MEDIAPOST SPAIN$Tracking Documento] td with (nolock) "&amp;
"  WHERE td.[Nº documento] = '"&amp;NF($B183,"No_ referencia transporte")&amp;"' "&amp;
"    AND td.[Cód_ incidencia] &lt;&gt; '' ",{"num_mov"},"Datasource=","SQL-Navision")</t>
  </si>
  <si>
    <t>=IF(NF($C183,"num_mov")="","",NL(,"Tracking Documento",,"Nº movimiento",NF($C183,"num_mov"),"Conexión=","Navision","Empresa=","MEDIAPOST SPAIN"))</t>
  </si>
  <si>
    <t>=NF($B183,"No_ documento cliente")</t>
  </si>
  <si>
    <t>=NF($B183,"No_ referencia transporte")</t>
  </si>
  <si>
    <t>=NF($B183,"Nº Expedición")</t>
  </si>
  <si>
    <t>=NF($B183,"Nombre punto entrega")</t>
  </si>
  <si>
    <t>=NF($B183,"Dirección punto entrega")</t>
  </si>
  <si>
    <t>=NF($B183,"C_P_ punto entrega")</t>
  </si>
  <si>
    <t>=NF($B183,"Población punto entrega")</t>
  </si>
  <si>
    <t>=NF($B183,"Provincia punto entrega")</t>
  </si>
  <si>
    <t>=NF($B183,"País punto entrega")</t>
  </si>
  <si>
    <t>=NF($B183,"fecha_prep")</t>
  </si>
  <si>
    <t>=NF($B183,"Fecha expedido")</t>
  </si>
  <si>
    <t>=NF($B183,"Estado")</t>
  </si>
  <si>
    <t>=NF($D183,"fecha")</t>
  </si>
  <si>
    <t>=NF($D183,"Descripción incidencia")</t>
  </si>
  <si>
    <t>=NF($B183,"Cód_ transportista")</t>
  </si>
  <si>
    <t>=NF($B183,"Cód_ servicio solicitado")</t>
  </si>
  <si>
    <t>=NF($B183,"Link imagen")</t>
  </si>
  <si>
    <t>=NF($B183,"Localizador")</t>
  </si>
  <si>
    <t>="""SQL-NAVISION"","""",""SQL="",""14=No_"",""PD260095737"",""14=No_ documento cliente"",""WW_2705_SGC"",""14=No_ referencia transporte"",""WW_2705_SGC"",""14=Nº Expedición"",""103495"",""14=Nombre punto entrega"",""Grimaldi Cargo Canarias"",""14=Dirección punto entrega"",""RECOGE EN D"&amp;"ELEGACION"",""14=C_P_ punto entrega"",""35220"",""14=Población punto entrega"",""JINAMAR"",""14=Provincia punto entrega"",""LAS PALMAS"",""14=País punto entrega"",""ES"",""14=Estado"",""En Reparto"",""15=fecha_prep"",""01/06/2026"",""15=Fecha expedido"",""01/06/2026"",""14=Cód_ transp"&amp;"ortista"",""CADENALOG"",""14=Cód_ servicio solicitado"",""STD"",""14=Link imagen"","""",""14=Localizador"","""""</t>
  </si>
  <si>
    <t>=NL("Filas","SQL="&amp;
"select MAX(td.[Nº movimiento]) num_mov "&amp;
"  from [dbo].[MEDIAPOST SPAIN$Tracking Documento] td with (nolock) "&amp;
"  WHERE td.[Nº documento] = '"&amp;NF($B184,"No_ referencia transporte")&amp;"' "&amp;
"    AND td.[Cód_ incidencia] &lt;&gt; '' ",{"num_mov"},"Datasource=","SQL-Navision")</t>
  </si>
  <si>
    <t>=IF(NF($C184,"num_mov")="","",NL(,"Tracking Documento",,"Nº movimiento",NF($C184,"num_mov"),"Conexión=","Navision","Empresa=","MEDIAPOST SPAIN"))</t>
  </si>
  <si>
    <t>=NF($B184,"No_ documento cliente")</t>
  </si>
  <si>
    <t>=NF($B184,"No_ referencia transporte")</t>
  </si>
  <si>
    <t>=NF($B184,"Nº Expedición")</t>
  </si>
  <si>
    <t>=NF($B184,"Nombre punto entrega")</t>
  </si>
  <si>
    <t>=NF($B184,"Dirección punto entrega")</t>
  </si>
  <si>
    <t>=NF($B184,"C_P_ punto entrega")</t>
  </si>
  <si>
    <t>=NF($B184,"Población punto entrega")</t>
  </si>
  <si>
    <t>=NF($B184,"Provincia punto entrega")</t>
  </si>
  <si>
    <t>=NF($B184,"País punto entrega")</t>
  </si>
  <si>
    <t>=NF($B184,"fecha_prep")</t>
  </si>
  <si>
    <t>=NF($B184,"Fecha expedido")</t>
  </si>
  <si>
    <t>=NF($B184,"Estado")</t>
  </si>
  <si>
    <t>=NF($D184,"fecha")</t>
  </si>
  <si>
    <t>=NF($D184,"Descripción incidencia")</t>
  </si>
  <si>
    <t>=NF($B184,"Cód_ transportista")</t>
  </si>
  <si>
    <t>=NF($B184,"Cód_ servicio solicitado")</t>
  </si>
  <si>
    <t>=NF($B184,"Link imagen")</t>
  </si>
  <si>
    <t>=NF($B184,"Localizador")</t>
  </si>
  <si>
    <t>="""SQL-NAVISION"","""",""SQL="",""14=No_"",""PD260095740"",""14=No_ documento cliente"",""WW_2705_SGC.3"",""14=No_ referencia transporte"",""WW_2705_SGC.3"",""14=Nº Expedición"",""103498"",""14=Nombre punto entrega"",""Grimaldi Cargo Canarias"",""14=Dirección punto entrega"",""RECOGE "&amp;"EN DELEGACION"",""14=C_P_ punto entrega"",""35220"",""14=Población punto entrega"",""JINAMAR"",""14=Provincia punto entrega"",""LAS PALMAS"",""14=País punto entrega"",""ES"",""14=Estado"",""En Reparto"",""15=fecha_prep"",""01/06/2026"",""15=Fecha expedido"",""01/06/2026"",""14=Cód_ tr"&amp;"ansportista"",""CADENALOG"",""14=Cód_ servicio solicitado"",""STD"",""14=Link imagen"","""",""14=Localizador"","""""</t>
  </si>
  <si>
    <t>=NL("Filas","SQL="&amp;
"select MAX(td.[Nº movimiento]) num_mov "&amp;
"  from [dbo].[MEDIAPOST SPAIN$Tracking Documento] td with (nolock) "&amp;
"  WHERE td.[Nº documento] = '"&amp;NF($B185,"No_ referencia transporte")&amp;"' "&amp;
"    AND td.[Cód_ incidencia] &lt;&gt; '' ",{"num_mov"},"Datasource=","SQL-Navision")</t>
  </si>
  <si>
    <t>=IF(NF($C185,"num_mov")="","",NL(,"Tracking Documento",,"Nº movimiento",NF($C185,"num_mov"),"Conexión=","Navision","Empresa=","MEDIAPOST SPAIN"))</t>
  </si>
  <si>
    <t>=NF($B185,"No_ documento cliente")</t>
  </si>
  <si>
    <t>=NF($B185,"No_ referencia transporte")</t>
  </si>
  <si>
    <t>=NF($B185,"Nº Expedición")</t>
  </si>
  <si>
    <t>=NF($B185,"Nombre punto entrega")</t>
  </si>
  <si>
    <t>=NF($B185,"Dirección punto entrega")</t>
  </si>
  <si>
    <t>=NF($B185,"C_P_ punto entrega")</t>
  </si>
  <si>
    <t>=NF($B185,"Población punto entrega")</t>
  </si>
  <si>
    <t>=NF($B185,"Provincia punto entrega")</t>
  </si>
  <si>
    <t>=NF($B185,"País punto entrega")</t>
  </si>
  <si>
    <t>=NF($B185,"fecha_prep")</t>
  </si>
  <si>
    <t>=NF($B185,"Fecha expedido")</t>
  </si>
  <si>
    <t>=NF($B185,"Estado")</t>
  </si>
  <si>
    <t>=NF($D185,"fecha")</t>
  </si>
  <si>
    <t>=NF($D185,"Descripción incidencia")</t>
  </si>
  <si>
    <t>=NF($B185,"Cód_ transportista")</t>
  </si>
  <si>
    <t>=NF($B185,"Cód_ servicio solicitado")</t>
  </si>
  <si>
    <t>=NF($B185,"Link imagen")</t>
  </si>
  <si>
    <t>=NF($B185,"Localizador")</t>
  </si>
  <si>
    <t>="""SQL-NAVISION"","""",""SQL="",""14=No_"",""PD260095739"",""14=No_ documento cliente"",""WW_2705_SGC.2"",""14=No_ referencia transporte"",""WW_2705_SGC.2"",""14=Nº Expedición"",""103497"",""14=Nombre punto entrega"",""Grimaldi Cargo Canarias"",""14=Dirección punto entrega"",""RECOGE "&amp;"EN DELEGACION"",""14=C_P_ punto entrega"",""35220"",""14=Población punto entrega"",""JINAMAR"",""14=Provincia punto entrega"",""LAS PALMAS"",""14=País punto entrega"",""ES"",""14=Estado"",""En Reparto"",""15=fecha_prep"",""01/06/2026"",""15=Fecha expedido"",""01/06/2026"",""14=Cód_ tr"&amp;"ansportista"",""CADENALOG"",""14=Cód_ servicio solicitado"",""STD"",""14=Link imagen"","""",""14=Localizador"","""""</t>
  </si>
  <si>
    <t>=NL("Filas","SQL="&amp;
"select MAX(td.[Nº movimiento]) num_mov "&amp;
"  from [dbo].[MEDIAPOST SPAIN$Tracking Documento] td with (nolock) "&amp;
"  WHERE td.[Nº documento] = '"&amp;NF($B186,"No_ referencia transporte")&amp;"' "&amp;
"    AND td.[Cód_ incidencia] &lt;&gt; '' ",{"num_mov"},"Datasource=","SQL-Navision")</t>
  </si>
  <si>
    <t>=IF(NF($C186,"num_mov")="","",NL(,"Tracking Documento",,"Nº movimiento",NF($C186,"num_mov"),"Conexión=","Navision","Empresa=","MEDIAPOST SPAIN"))</t>
  </si>
  <si>
    <t>=NF($B186,"No_ documento cliente")</t>
  </si>
  <si>
    <t>=NF($B186,"No_ referencia transporte")</t>
  </si>
  <si>
    <t>=NF($B186,"Nº Expedición")</t>
  </si>
  <si>
    <t>=NF($B186,"Nombre punto entrega")</t>
  </si>
  <si>
    <t>=NF($B186,"Dirección punto entrega")</t>
  </si>
  <si>
    <t>=NF($B186,"C_P_ punto entrega")</t>
  </si>
  <si>
    <t>=NF($B186,"Población punto entrega")</t>
  </si>
  <si>
    <t>=NF($B186,"Provincia punto entrega")</t>
  </si>
  <si>
    <t>=NF($B186,"País punto entrega")</t>
  </si>
  <si>
    <t>=NF($B186,"fecha_prep")</t>
  </si>
  <si>
    <t>=NF($B186,"Fecha expedido")</t>
  </si>
  <si>
    <t>=NF($B186,"Estado")</t>
  </si>
  <si>
    <t>=NF($D186,"fecha")</t>
  </si>
  <si>
    <t>=NF($D186,"Descripción incidencia")</t>
  </si>
  <si>
    <t>=NF($B186,"Cód_ transportista")</t>
  </si>
  <si>
    <t>=NF($B186,"Cód_ servicio solicitado")</t>
  </si>
  <si>
    <t>=NF($B186,"Link imagen")</t>
  </si>
  <si>
    <t>=NF($B186,"Localizador")</t>
  </si>
  <si>
    <t>="""SQL-NAVISION"","""",""SQL="",""14=No_"",""PD260095573"",""14=No_ documento cliente"",""WW_2905_BGK"",""14=No_ referencia transporte"",""WW_2905_BGK"",""14=Nº Expedición"",""000017235"",""14=Nombre punto entrega"",""BARBARA GONZALEZ KUNDICH"",""14=Dirección punto entrega"",""AV. DE "&amp;"HOLANDA 6 , PISO 6º PUERAT A"",""14=C_P_ punto entrega"",""03540"",""14=Población punto entrega"",""ALICANTE"",""14=Provincia punto entrega"",""ALICANTE"",""14=País punto entrega"",""ES"",""14=Estado"",""Entregado"",""15=fecha_prep"",""01/06/2026"",""15=Fecha expedido"",""01/06/2026"&amp;""",""14=Cód_ transportista"",""ONTIME"",""14=Cód_ servicio solicitado"",""STD"",""14=Link imagen"",""https://ontimegts.alertran.net/gts/pub/clielocserv.seam?cliente=02890149&amp;expedicion=999951200191"",""14=Localizador"",""999951200191"""</t>
  </si>
  <si>
    <t>=NL("Filas","SQL="&amp;
"select MAX(td.[Nº movimiento]) num_mov "&amp;
"  from [dbo].[MEDIAPOST SPAIN$Tracking Documento] td with (nolock) "&amp;
"  WHERE td.[Nº documento] = '"&amp;NF($B187,"No_ referencia transporte")&amp;"' "&amp;
"    AND td.[Cód_ incidencia] &lt;&gt; '' ",{"num_mov"},"Datasource=","SQL-Navision")</t>
  </si>
  <si>
    <t>=IF(NF($C187,"num_mov")="","",NL(,"Tracking Documento",,"Nº movimiento",NF($C187,"num_mov"),"Conexión=","Navision","Empresa=","MEDIAPOST SPAIN"))</t>
  </si>
  <si>
    <t>=NF($B187,"No_ documento cliente")</t>
  </si>
  <si>
    <t>=NF($B187,"No_ referencia transporte")</t>
  </si>
  <si>
    <t>=NF($B187,"Nº Expedición")</t>
  </si>
  <si>
    <t>=NF($B187,"Nombre punto entrega")</t>
  </si>
  <si>
    <t>=NF($B187,"Dirección punto entrega")</t>
  </si>
  <si>
    <t>=NF($B187,"C_P_ punto entrega")</t>
  </si>
  <si>
    <t>=NF($B187,"Población punto entrega")</t>
  </si>
  <si>
    <t>=NF($B187,"Provincia punto entrega")</t>
  </si>
  <si>
    <t>=NF($B187,"País punto entrega")</t>
  </si>
  <si>
    <t>=NF($B187,"fecha_prep")</t>
  </si>
  <si>
    <t>=NF($B187,"Fecha expedido")</t>
  </si>
  <si>
    <t>=NF($B187,"Estado")</t>
  </si>
  <si>
    <t>=NF($D187,"fecha")</t>
  </si>
  <si>
    <t>=NF($D187,"Descripción incidencia")</t>
  </si>
  <si>
    <t>=NF($B187,"Cód_ transportista")</t>
  </si>
  <si>
    <t>=NF($B187,"Cód_ servicio solicitado")</t>
  </si>
  <si>
    <t>=NF($B187,"Link imagen")</t>
  </si>
  <si>
    <t>=NF($B187,"Localizador")</t>
  </si>
  <si>
    <t>="""SQL-NAVISION"","""",""SQL="",""14=No_"",""PD260095572"",""14=No_ documento cliente"",""WW_2905_TNC"",""14=No_ referencia transporte"",""WW_2905_TNC"",""14=Nº Expedición"",""0865426990"",""14=Nombre punto entrega"","" THAIANE NASCIMENTO DA COSTA"",""14=Dirección punto entrega"",""C/"&amp;" ESPARRAGALEJO, 5 (CASA)"",""14=C_P_ punto entrega"",""06800"",""14=Población punto entrega"",""MERIDA"",""14=Provincia punto entrega"",""BADAJOZ"",""14=País punto entrega"",""ES"",""14=Estado"",""Entregado"",""15=fecha_prep"",""01/06/2026"",""15=Fecha expedido"",""01/06/2026"",""14=C"&amp;"ód_ transportista"",""DHL"",""14=Cód_ servicio solicitado"",""STD"",""14=Link imagen"",""https://clientesparcel.dhl.es/seguimientoenvios/integra/SeguimientoDocumentos.aspx?codigo=0865426990&amp;anno=2026&amp;lang=sp&amp;zatar=q45LoBtfSS29xHGRDZ57"",""14=Localizador"","""""</t>
  </si>
  <si>
    <t>=NL("Filas","SQL="&amp;
"select MAX(td.[Nº movimiento]) num_mov "&amp;
"  from [dbo].[MEDIAPOST SPAIN$Tracking Documento] td with (nolock) "&amp;
"  WHERE td.[Nº documento] = '"&amp;NF($B188,"No_ referencia transporte")&amp;"' "&amp;
"    AND td.[Cód_ incidencia] &lt;&gt; '' ",{"num_mov"},"Datasource=","SQL-Navision")</t>
  </si>
  <si>
    <t>=IF(NF($C188,"num_mov")="","",NL(,"Tracking Documento",,"Nº movimiento",NF($C188,"num_mov"),"Conexión=","Navision","Empresa=","MEDIAPOST SPAIN"))</t>
  </si>
  <si>
    <t>=NF($B188,"No_ documento cliente")</t>
  </si>
  <si>
    <t>=NF($B188,"No_ referencia transporte")</t>
  </si>
  <si>
    <t>=NF($B188,"Nº Expedición")</t>
  </si>
  <si>
    <t>=NF($B188,"Nombre punto entrega")</t>
  </si>
  <si>
    <t>=NF($B188,"Dirección punto entrega")</t>
  </si>
  <si>
    <t>=NF($B188,"C_P_ punto entrega")</t>
  </si>
  <si>
    <t>=NF($B188,"Población punto entrega")</t>
  </si>
  <si>
    <t>=NF($B188,"Provincia punto entrega")</t>
  </si>
  <si>
    <t>=NF($B188,"País punto entrega")</t>
  </si>
  <si>
    <t>=NF($B188,"fecha_prep")</t>
  </si>
  <si>
    <t>=NF($B188,"Fecha expedido")</t>
  </si>
  <si>
    <t>=NF($B188,"Estado")</t>
  </si>
  <si>
    <t>=NF($D188,"fecha")</t>
  </si>
  <si>
    <t>=NF($D188,"Descripción incidencia")</t>
  </si>
  <si>
    <t>=NF($B188,"Cód_ transportista")</t>
  </si>
  <si>
    <t>=NF($B188,"Cód_ servicio solicitado")</t>
  </si>
  <si>
    <t>=NF($B188,"Link imagen")</t>
  </si>
  <si>
    <t>=NF($B188,"Localizador")</t>
  </si>
  <si>
    <t>="""SQL-NAVISION"","""",""SQL="",""14=No_"",""PD260095570"",""14=No_ documento cliente"",""WW_2905_EME"",""14=No_ referencia transporte"",""WW_2905_EME"",""14=Nº Expedición"",""000017234"",""14=Nombre punto entrega"",""ENCARNACION MARTINEZ ESTEBAN"",""14=Dirección punto entrega"",""CAL"&amp;"LE BOLIVIA, 21"",""14=C_P_ punto entrega"",""18210"",""14=Población punto entrega"",""PELIGROS"",""14=Provincia punto entrega"",""GRANADA"",""14=País punto entrega"",""ES"",""14=Estado"",""Entregado"",""15=fecha_prep"",""01/06/2026"",""15=Fecha expedido"",""01/06/2026"",""14=Cód_ tran"&amp;"sportista"",""ONTIME"",""14=Cód_ servicio solicitado"",""STD"",""14=Link imagen"",""https://ontimegts.alertran.net/gts/pub/clielocserv.seam?cliente=02890149&amp;expedicion=999951200190"",""14=Localizador"",""999951200190"""</t>
  </si>
  <si>
    <t>=NL("Filas","SQL="&amp;
"select MAX(td.[Nº movimiento]) num_mov "&amp;
"  from [dbo].[MEDIAPOST SPAIN$Tracking Documento] td with (nolock) "&amp;
"  WHERE td.[Nº documento] = '"&amp;NF($B189,"No_ referencia transporte")&amp;"' "&amp;
"    AND td.[Cód_ incidencia] &lt;&gt; '' ",{"num_mov"},"Datasource=","SQL-Navision")</t>
  </si>
  <si>
    <t>=IF(NF($C189,"num_mov")="","",NL(,"Tracking Documento",,"Nº movimiento",NF($C189,"num_mov"),"Conexión=","Navision","Empresa=","MEDIAPOST SPAIN"))</t>
  </si>
  <si>
    <t>=NF($B189,"No_ documento cliente")</t>
  </si>
  <si>
    <t>=NF($B189,"No_ referencia transporte")</t>
  </si>
  <si>
    <t>=NF($B189,"Nº Expedición")</t>
  </si>
  <si>
    <t>=NF($B189,"Nombre punto entrega")</t>
  </si>
  <si>
    <t>=NF($B189,"Dirección punto entrega")</t>
  </si>
  <si>
    <t>=NF($B189,"C_P_ punto entrega")</t>
  </si>
  <si>
    <t>=NF($B189,"Población punto entrega")</t>
  </si>
  <si>
    <t>=NF($B189,"Provincia punto entrega")</t>
  </si>
  <si>
    <t>=NF($B189,"País punto entrega")</t>
  </si>
  <si>
    <t>=NF($B189,"fecha_prep")</t>
  </si>
  <si>
    <t>=NF($B189,"Fecha expedido")</t>
  </si>
  <si>
    <t>=NF($B189,"Estado")</t>
  </si>
  <si>
    <t>=NF($D189,"fecha")</t>
  </si>
  <si>
    <t>=NF($D189,"Descripción incidencia")</t>
  </si>
  <si>
    <t>=NF($B189,"Cód_ transportista")</t>
  </si>
  <si>
    <t>=NF($B189,"Cód_ servicio solicitado")</t>
  </si>
  <si>
    <t>=NF($B189,"Link imagen")</t>
  </si>
  <si>
    <t>=NF($B189,"Localizador")</t>
  </si>
  <si>
    <t>="""SQL-NAVISION"","""",""SQL="",""14=No_"",""PD260095738"",""14=No_ documento cliente"",""WW_2705_SGC.1"",""14=No_ referencia transporte"",""WW_2705_SGC.1"",""14=Nº Expedición"",""103496"",""14=Nombre punto entrega"",""Grimaldi Cargo Canarias"",""14=Dirección punto entrega"",""RECOGE "&amp;"EN DELEGACION"",""14=C_P_ punto entrega"",""35220"",""14=Población punto entrega"",""JINAMAR"",""14=Provincia punto entrega"",""LAS PALMAS"",""14=País punto entrega"",""ES"",""14=Estado"",""En Reparto"",""15=fecha_prep"",""01/06/2026"",""15=Fecha expedido"",""01/06/2026"",""14=Cód_ tr"&amp;"ansportista"",""CADENALOG"",""14=Cód_ servicio solicitado"",""STD"",""14=Link imagen"","""",""14=Localizador"","""""</t>
  </si>
  <si>
    <t>=NL("Filas","SQL="&amp;
"select MAX(td.[Nº movimiento]) num_mov "&amp;
"  from [dbo].[MEDIAPOST SPAIN$Tracking Documento] td with (nolock) "&amp;
"  WHERE td.[Nº documento] = '"&amp;NF($B190,"No_ referencia transporte")&amp;"' "&amp;
"    AND td.[Cód_ incidencia] &lt;&gt; '' ",{"num_mov"},"Datasource=","SQL-Navision")</t>
  </si>
  <si>
    <t>=IF(NF($C190,"num_mov")="","",NL(,"Tracking Documento",,"Nº movimiento",NF($C190,"num_mov"),"Conexión=","Navision","Empresa=","MEDIAPOST SPAIN"))</t>
  </si>
  <si>
    <t>=NF($B190,"No_ documento cliente")</t>
  </si>
  <si>
    <t>=NF($B190,"No_ referencia transporte")</t>
  </si>
  <si>
    <t>=NF($B190,"Nº Expedición")</t>
  </si>
  <si>
    <t>=NF($B190,"Nombre punto entrega")</t>
  </si>
  <si>
    <t>=NF($B190,"Dirección punto entrega")</t>
  </si>
  <si>
    <t>=NF($B190,"C_P_ punto entrega")</t>
  </si>
  <si>
    <t>=NF($B190,"Población punto entrega")</t>
  </si>
  <si>
    <t>=NF($B190,"Provincia punto entrega")</t>
  </si>
  <si>
    <t>=NF($B190,"País punto entrega")</t>
  </si>
  <si>
    <t>=NF($B190,"fecha_prep")</t>
  </si>
  <si>
    <t>=NF($B190,"Fecha expedido")</t>
  </si>
  <si>
    <t>=NF($B190,"Estado")</t>
  </si>
  <si>
    <t>=NF($D190,"fecha")</t>
  </si>
  <si>
    <t>=NF($D190,"Descripción incidencia")</t>
  </si>
  <si>
    <t>=NF($B190,"Cód_ transportista")</t>
  </si>
  <si>
    <t>=NF($B190,"Cód_ servicio solicitado")</t>
  </si>
  <si>
    <t>=NF($B190,"Link imagen")</t>
  </si>
  <si>
    <t>=NF($B190,"Localizador")</t>
  </si>
  <si>
    <t>="""SQL-NAVISION"","""",""SQL="",""14=No_"",""PD260097437"",""14=No_ documento cliente"",""02062026.1"",""14=No_ referencia transporte"",""02062026.1"",""14=Nº Expedición"",""1200798575"",""14=Nombre punto entrega"",""TIPSA LAS ROZAS"",""14=Dirección punto entrega"",""recoge en delegac"&amp;"ion"",""14=C_P_ punto entrega"",""28232"",""14=Población punto entrega"",""Las Rozas de Madrid"",""14=Provincia punto entrega"",""Madrid"",""14=País punto entrega"",""ES"",""14=Estado"",""En Reparto"",""15=fecha_prep"",""02/06/2026"",""15=Fecha expedido"",""02/06/2026"",""14=Cód_ tran"&amp;"sportista"",""TIPSA"",""14=Cód_ servicio solicitado"",""STD"",""14=Link imagen"",""https://www.tip-sa.com/cliente/datos.php?id=0280010958502062026.128232"",""14=Localizador"",""0280010280011200798575"""</t>
  </si>
  <si>
    <t>=NL("Filas","SQL="&amp;
"select MAX(td.[Nº movimiento]) num_mov "&amp;
"  from [dbo].[MEDIAPOST SPAIN$Tracking Documento] td with (nolock) "&amp;
"  WHERE td.[Nº documento] = '"&amp;NF($B191,"No_ referencia transporte")&amp;"' "&amp;
"    AND td.[Cód_ incidencia] &lt;&gt; '' ",{"num_mov"},"Datasource=","SQL-Navision")</t>
  </si>
  <si>
    <t>=IF(NF($C191,"num_mov")="","",NL(,"Tracking Documento",,"Nº movimiento",NF($C191,"num_mov"),"Conexión=","Navision","Empresa=","MEDIAPOST SPAIN"))</t>
  </si>
  <si>
    <t>=NF($B191,"No_ documento cliente")</t>
  </si>
  <si>
    <t>=NF($B191,"No_ referencia transporte")</t>
  </si>
  <si>
    <t>=NF($B191,"Nº Expedición")</t>
  </si>
  <si>
    <t>=NF($B191,"Nombre punto entrega")</t>
  </si>
  <si>
    <t>=NF($B191,"Dirección punto entrega")</t>
  </si>
  <si>
    <t>=NF($B191,"C_P_ punto entrega")</t>
  </si>
  <si>
    <t>=NF($B191,"Población punto entrega")</t>
  </si>
  <si>
    <t>=NF($B191,"Provincia punto entrega")</t>
  </si>
  <si>
    <t>=NF($B191,"País punto entrega")</t>
  </si>
  <si>
    <t>=NF($B191,"fecha_prep")</t>
  </si>
  <si>
    <t>=NF($B191,"Fecha expedido")</t>
  </si>
  <si>
    <t>=NF($B191,"Estado")</t>
  </si>
  <si>
    <t>=NF($D191,"fecha")</t>
  </si>
  <si>
    <t>=NF($D191,"Descripción incidencia")</t>
  </si>
  <si>
    <t>=NF($B191,"Cód_ transportista")</t>
  </si>
  <si>
    <t>=NF($B191,"Cód_ servicio solicitado")</t>
  </si>
  <si>
    <t>=NF($B191,"Link imagen")</t>
  </si>
  <si>
    <t>=NF($B191,"Localizador")</t>
  </si>
  <si>
    <t>="""SQL-NAVISION"","""",""SQL="",""14=No_"",""PD260097302"",""14=No_ documento cliente"",""ITT010626.1"",""14=No_ referencia transporte"",""ITT010626.1"",""14=Nº Expedición"",""0865427320"",""14=Nombre punto entrega"",""DHL VALLADOLID"",""14=Dirección punto entrega"",""RECOGE EN DELEGA"&amp;"CIÓN"",""14=C_P_ punto entrega"",""47193"",""14=Población punto entrega"",""LA CISTERNIGA"",""14=Provincia punto entrega"",""VALLADOLID"",""14=País punto entrega"",""ES"",""14=Estado"",""Entregado"",""15=fecha_prep"",""02/06/2026"",""15=Fecha expedido"",""02/06/2026"",""14=Cód_ transp"&amp;"ortista"",""DHL"",""14=Cód_ servicio solicitado"",""STD"",""14=Link imagen"",""https://clientesparcel.dhl.es/seguimientoenvios/integra/SeguimientoDocumentos.aspx?codigo=0865427320&amp;anno=2026&amp;lang=sp&amp;zatar=q45LoBtfSS29xHGRDZ57"",""14=Localizador"","""""</t>
  </si>
  <si>
    <t>=NL("Filas","SQL="&amp;
"select MAX(td.[Nº movimiento]) num_mov "&amp;
"  from [dbo].[MEDIAPOST SPAIN$Tracking Documento] td with (nolock) "&amp;
"  WHERE td.[Nº documento] = '"&amp;NF($B192,"No_ referencia transporte")&amp;"' "&amp;
"    AND td.[Cód_ incidencia] &lt;&gt; '' ",{"num_mov"},"Datasource=","SQL-Navision")</t>
  </si>
  <si>
    <t>=IF(NF($C192,"num_mov")="","",NL(,"Tracking Documento",,"Nº movimiento",NF($C192,"num_mov"),"Conexión=","Navision","Empresa=","MEDIAPOST SPAIN"))</t>
  </si>
  <si>
    <t>=NF($B192,"No_ documento cliente")</t>
  </si>
  <si>
    <t>=NF($B192,"No_ referencia transporte")</t>
  </si>
  <si>
    <t>=NF($B192,"Nº Expedición")</t>
  </si>
  <si>
    <t>=NF($B192,"Nombre punto entrega")</t>
  </si>
  <si>
    <t>=NF($B192,"Dirección punto entrega")</t>
  </si>
  <si>
    <t>=NF($B192,"C_P_ punto entrega")</t>
  </si>
  <si>
    <t>=NF($B192,"Población punto entrega")</t>
  </si>
  <si>
    <t>=NF($B192,"Provincia punto entrega")</t>
  </si>
  <si>
    <t>=NF($B192,"País punto entrega")</t>
  </si>
  <si>
    <t>=NF($B192,"fecha_prep")</t>
  </si>
  <si>
    <t>=NF($B192,"Fecha expedido")</t>
  </si>
  <si>
    <t>=NF($B192,"Estado")</t>
  </si>
  <si>
    <t>=NF($D192,"fecha")</t>
  </si>
  <si>
    <t>=NF($D192,"Descripción incidencia")</t>
  </si>
  <si>
    <t>=NF($B192,"Cód_ transportista")</t>
  </si>
  <si>
    <t>=NF($B192,"Cód_ servicio solicitado")</t>
  </si>
  <si>
    <t>=NF($B192,"Link imagen")</t>
  </si>
  <si>
    <t>=NF($B192,"Localizador")</t>
  </si>
  <si>
    <t>="""SQL-NAVISION"","""",""SQL="",""14=No_"",""PD260097304"",""14=No_ documento cliente"",""ITT010626.1"",""14=No_ referencia transporte"",""ITT010626.1"",""14=Nº Expedición"",""0865427320"",""14=Nombre punto entrega"",""DHL VALLADOLID"",""14=Dirección punto entrega"",""RECOGE EN DELEGA"&amp;"CIÓN"",""14=C_P_ punto entrega"",""47193"",""14=Población punto entrega"",""LA CISTERNIGA"",""14=Provincia punto entrega"",""VALLADOLID"",""14=País punto entrega"",""ES"",""14=Estado"",""Entregado"",""15=fecha_prep"",""02/06/2026"",""15=Fecha expedido"",""02/06/2026"",""14=Cód_ transp"&amp;"ortista"",""DHL"",""14=Cód_ servicio solicitado"",""STD"",""14=Link imagen"",""https://clientesparcel.dhl.es/seguimientoenvios/integra/SeguimientoDocumentos.aspx?codigo=0865427320&amp;anno=2026&amp;lang=sp&amp;zatar=q45LoBtfSS29xHGRDZ57"",""14=Localizador"","""""</t>
  </si>
  <si>
    <t>=NL("Filas","SQL="&amp;
"select MAX(td.[Nº movimiento]) num_mov "&amp;
"  from [dbo].[MEDIAPOST SPAIN$Tracking Documento] td with (nolock) "&amp;
"  WHERE td.[Nº documento] = '"&amp;NF($B193,"No_ referencia transporte")&amp;"' "&amp;
"    AND td.[Cód_ incidencia] &lt;&gt; '' ",{"num_mov"},"Datasource=","SQL-Navision")</t>
  </si>
  <si>
    <t>=IF(NF($C193,"num_mov")="","",NL(,"Tracking Documento",,"Nº movimiento",NF($C193,"num_mov"),"Conexión=","Navision","Empresa=","MEDIAPOST SPAIN"))</t>
  </si>
  <si>
    <t>=NF($B193,"No_ documento cliente")</t>
  </si>
  <si>
    <t>=NF($B193,"No_ referencia transporte")</t>
  </si>
  <si>
    <t>=NF($B193,"Nº Expedición")</t>
  </si>
  <si>
    <t>=NF($B193,"Nombre punto entrega")</t>
  </si>
  <si>
    <t>=NF($B193,"Dirección punto entrega")</t>
  </si>
  <si>
    <t>=NF($B193,"C_P_ punto entrega")</t>
  </si>
  <si>
    <t>=NF($B193,"Población punto entrega")</t>
  </si>
  <si>
    <t>=NF($B193,"Provincia punto entrega")</t>
  </si>
  <si>
    <t>=NF($B193,"País punto entrega")</t>
  </si>
  <si>
    <t>=NF($B193,"fecha_prep")</t>
  </si>
  <si>
    <t>=NF($B193,"Fecha expedido")</t>
  </si>
  <si>
    <t>=NF($B193,"Estado")</t>
  </si>
  <si>
    <t>=NF($D193,"fecha")</t>
  </si>
  <si>
    <t>=NF($D193,"Descripción incidencia")</t>
  </si>
  <si>
    <t>=NF($B193,"Cód_ transportista")</t>
  </si>
  <si>
    <t>=NF($B193,"Cód_ servicio solicitado")</t>
  </si>
  <si>
    <t>=NF($B193,"Link imagen")</t>
  </si>
  <si>
    <t>=NF($B193,"Localizador")</t>
  </si>
  <si>
    <t>="""SQL-NAVISION"","""",""SQL="",""14=No_"",""PD260097224"",""14=No_ documento cliente"",""63226000211"",""14=No_ referencia transporte"",""63226000211"",""14=Nº Expedición"",""1200798069"",""14=Nombre punto entrega"",""Leyre Figa"",""14=Dirección punto entrega"",""PLAÇA NACIONS 5 AP. "&amp;"64"",""14=C_P_ punto entrega"",""17250"",""14=Población punto entrega"",""PLATJA D'ARO"",""14=Provincia punto entrega"",""Girona"",""14=País punto entrega"",""ES"",""14=Estado"",""En Reparto"",""15=fecha_prep"",""02/06/2026"",""15=Fecha expedido"",""02/06/2026"",""14=Cód_ transportist"&amp;"a"",""TIPSA"",""14=Cód_ servicio solicitado"",""STD"",""14=Link imagen"",""https://www.tip-sa.com/cliente/datos.php?id=028001095856322600021117250"",""14=Localizador"",""0280010280011200798069"""</t>
  </si>
  <si>
    <t>=NL("Filas","SQL="&amp;
"select MAX(td.[Nº movimiento]) num_mov "&amp;
"  from [dbo].[MEDIAPOST SPAIN$Tracking Documento] td with (nolock) "&amp;
"  WHERE td.[Nº documento] = '"&amp;NF($B194,"No_ referencia transporte")&amp;"' "&amp;
"    AND td.[Cód_ incidencia] &lt;&gt; '' ",{"num_mov"},"Datasource=","SQL-Navision")</t>
  </si>
  <si>
    <t>=IF(NF($C194,"num_mov")="","",NL(,"Tracking Documento",,"Nº movimiento",NF($C194,"num_mov"),"Conexión=","Navision","Empresa=","MEDIAPOST SPAIN"))</t>
  </si>
  <si>
    <t>=NF($B194,"No_ documento cliente")</t>
  </si>
  <si>
    <t>=NF($B194,"No_ referencia transporte")</t>
  </si>
  <si>
    <t>=NF($B194,"Nº Expedición")</t>
  </si>
  <si>
    <t>=NF($B194,"Nombre punto entrega")</t>
  </si>
  <si>
    <t>=NF($B194,"Dirección punto entrega")</t>
  </si>
  <si>
    <t>=NF($B194,"C_P_ punto entrega")</t>
  </si>
  <si>
    <t>=NF($B194,"Población punto entrega")</t>
  </si>
  <si>
    <t>=NF($B194,"Provincia punto entrega")</t>
  </si>
  <si>
    <t>=NF($B194,"País punto entrega")</t>
  </si>
  <si>
    <t>=NF($B194,"fecha_prep")</t>
  </si>
  <si>
    <t>=NF($B194,"Fecha expedido")</t>
  </si>
  <si>
    <t>=NF($B194,"Estado")</t>
  </si>
  <si>
    <t>=NF($D194,"fecha")</t>
  </si>
  <si>
    <t>=NF($D194,"Descripción incidencia")</t>
  </si>
  <si>
    <t>=NF($B194,"Cód_ transportista")</t>
  </si>
  <si>
    <t>=NF($B194,"Cód_ servicio solicitado")</t>
  </si>
  <si>
    <t>=NF($B194,"Link imagen")</t>
  </si>
  <si>
    <t>=NF($B194,"Localizador")</t>
  </si>
  <si>
    <t>="""SQL-NAVISION"","""",""SQL="",""14=No_"",""PD260097223"",""14=No_ documento cliente"",""63226000209"",""14=No_ referencia transporte"",""63226000209"",""14=Nº Expedición"",""0865427070"",""14=Nombre punto entrega"",""Recoger en Delegación / Miriam Perez"",""14=Dirección punto entr"&amp;"ega"",""RECOGE EN DELEGACION"",""14=C_P_ punto entrega"",""03400"",""14=Población punto entrega"",""VILLENA"",""14=Provincia punto entrega"",""ALICANTE"",""14=País punto entrega"",""ES"",""14=Estado"",""Entregado"",""15=fecha_prep"",""02/06/2026"",""15=Fecha expedido"",""02/06/2026"","""&amp;"14=Cód_ transportista"",""DHL"",""14=Cód_ servicio solicitado"",""STD"",""14=Link imagen"",""https://clientesparcel.dhl.es/seguimientoenvios/integra/SeguimientoDocumentos.aspx?codigo=0865427070&amp;anno=2026&amp;lang=sp&amp;zatar=q45LoBtfSS29xHGRDZ57"",""14=Localizador"","""""</t>
  </si>
  <si>
    <t>=NL("Filas","SQL="&amp;
"select MAX(td.[Nº movimiento]) num_mov "&amp;
"  from [dbo].[MEDIAPOST SPAIN$Tracking Documento] td with (nolock) "&amp;
"  WHERE td.[Nº documento] = '"&amp;NF($B195,"No_ referencia transporte")&amp;"' "&amp;
"    AND td.[Cód_ incidencia] &lt;&gt; '' ",{"num_mov"},"Datasource=","SQL-Navision")</t>
  </si>
  <si>
    <t>=IF(NF($C195,"num_mov")="","",NL(,"Tracking Documento",,"Nº movimiento",NF($C195,"num_mov"),"Conexión=","Navision","Empresa=","MEDIAPOST SPAIN"))</t>
  </si>
  <si>
    <t>=NF($B195,"No_ documento cliente")</t>
  </si>
  <si>
    <t>=NF($B195,"No_ referencia transporte")</t>
  </si>
  <si>
    <t>=NF($B195,"Nº Expedición")</t>
  </si>
  <si>
    <t>=NF($B195,"Nombre punto entrega")</t>
  </si>
  <si>
    <t>=NF($B195,"Dirección punto entrega")</t>
  </si>
  <si>
    <t>=NF($B195,"C_P_ punto entrega")</t>
  </si>
  <si>
    <t>=NF($B195,"Población punto entrega")</t>
  </si>
  <si>
    <t>=NF($B195,"Provincia punto entrega")</t>
  </si>
  <si>
    <t>=NF($B195,"País punto entrega")</t>
  </si>
  <si>
    <t>=NF($B195,"fecha_prep")</t>
  </si>
  <si>
    <t>=NF($B195,"Fecha expedido")</t>
  </si>
  <si>
    <t>=NF($B195,"Estado")</t>
  </si>
  <si>
    <t>=NF($D195,"fecha")</t>
  </si>
  <si>
    <t>=NF($D195,"Descripción incidencia")</t>
  </si>
  <si>
    <t>=NF($B195,"Cód_ transportista")</t>
  </si>
  <si>
    <t>=NF($B195,"Cód_ servicio solicitado")</t>
  </si>
  <si>
    <t>=NF($B195,"Link imagen")</t>
  </si>
  <si>
    <t>=NF($B195,"Localizador")</t>
  </si>
  <si>
    <t>="""SQL-NAVISION"","""",""SQL="",""14=No_"",""PD260097303"",""14=No_ documento cliente"",""ITT010626.1"",""14=No_ referencia transporte"",""ITT010626.1"",""14=Nº Expedición"",""0865427320"",""14=Nombre punto entrega"",""DHL VALLADOLID"",""14=Dirección punto entrega"",""RECOGE EN DELEGA"&amp;"CIÓN"",""14=C_P_ punto entrega"",""47193"",""14=Población punto entrega"",""LA CISTERNIGA"",""14=Provincia punto entrega"",""VALLADOLID"",""14=País punto entrega"",""ES"",""14=Estado"",""Entregado"",""15=fecha_prep"",""02/06/2026"",""15=Fecha expedido"",""02/06/2026"",""14=Cód_ transp"&amp;"ortista"",""DHL"",""14=Cód_ servicio solicitado"",""STD"",""14=Link imagen"",""https://clientesparcel.dhl.es/seguimientoenvios/integra/SeguimientoDocumentos.aspx?codigo=0865427320&amp;anno=2026&amp;lang=sp&amp;zatar=q45LoBtfSS29xHGRDZ57"",""14=Localizador"","""""</t>
  </si>
  <si>
    <t>=NL("Filas","SQL="&amp;
"select MAX(td.[Nº movimiento]) num_mov "&amp;
"  from [dbo].[MEDIAPOST SPAIN$Tracking Documento] td with (nolock) "&amp;
"  WHERE td.[Nº documento] = '"&amp;NF($B196,"No_ referencia transporte")&amp;"' "&amp;
"    AND td.[Cód_ incidencia] &lt;&gt; '' ",{"num_mov"},"Datasource=","SQL-Navision")</t>
  </si>
  <si>
    <t>=IF(NF($C196,"num_mov")="","",NL(,"Tracking Documento",,"Nº movimiento",NF($C196,"num_mov"),"Conexión=","Navision","Empresa=","MEDIAPOST SPAIN"))</t>
  </si>
  <si>
    <t>=NF($B196,"No_ documento cliente")</t>
  </si>
  <si>
    <t>=NF($B196,"No_ referencia transporte")</t>
  </si>
  <si>
    <t>=NF($B196,"Nº Expedición")</t>
  </si>
  <si>
    <t>=NF($B196,"Nombre punto entrega")</t>
  </si>
  <si>
    <t>=NF($B196,"Dirección punto entrega")</t>
  </si>
  <si>
    <t>=NF($B196,"C_P_ punto entrega")</t>
  </si>
  <si>
    <t>=NF($B196,"Población punto entrega")</t>
  </si>
  <si>
    <t>=NF($B196,"Provincia punto entrega")</t>
  </si>
  <si>
    <t>=NF($B196,"País punto entrega")</t>
  </si>
  <si>
    <t>=NF($B196,"fecha_prep")</t>
  </si>
  <si>
    <t>=NF($B196,"Fecha expedido")</t>
  </si>
  <si>
    <t>=NF($B196,"Estado")</t>
  </si>
  <si>
    <t>=NF($D196,"fecha")</t>
  </si>
  <si>
    <t>=NF($D196,"Descripción incidencia")</t>
  </si>
  <si>
    <t>=NF($B196,"Cód_ transportista")</t>
  </si>
  <si>
    <t>=NF($B196,"Cód_ servicio solicitado")</t>
  </si>
  <si>
    <t>=NF($B196,"Link imagen")</t>
  </si>
  <si>
    <t>=NF($B196,"Localizador")</t>
  </si>
  <si>
    <t>="""SQL-NAVISION"","""",""SQL="",""14=No_"",""PD260097436"",""14=No_ documento cliente"",""63226000213"",""14=No_ referencia transporte"",""63226000213"",""14=Nº Expedición"",""0865427330"",""14=Nombre punto entrega"",""RECOGE EN DELEGACION _ MIRIAM PEREZ"",""14=Dirección punto entre"&amp;"ga"",""RECOGE EN DELEGACION"",""14=C_P_ punto entrega"",""03400"",""14=Población punto entrega"",""VILLENA"",""14=Provincia punto entrega"",""ALICANTE"",""14=País punto entrega"",""ES"",""14=Estado"",""Entregado"",""15=fecha_prep"",""02/06/2026"",""15=Fecha expedido"",""02/06/2026"",""1"&amp;"4=Cód_ transportista"",""DHL"",""14=Cód_ servicio solicitado"",""STD"",""14=Link imagen"",""https://clientesparcel.dhl.es/seguimientoenvios/integra/SeguimientoDocumentos.aspx?codigo=0865427330&amp;anno=2026&amp;lang=sp&amp;zatar=q45LoBtfSS29xHGRDZ57"",""14=Localizador"","""""</t>
  </si>
  <si>
    <t>=NL("Filas","SQL="&amp;
"select MAX(td.[Nº movimiento]) num_mov "&amp;
"  from [dbo].[MEDIAPOST SPAIN$Tracking Documento] td with (nolock) "&amp;
"  WHERE td.[Nº documento] = '"&amp;NF($B197,"No_ referencia transporte")&amp;"' "&amp;
"    AND td.[Cód_ incidencia] &lt;&gt; '' ",{"num_mov"},"Datasource=","SQL-Navision")</t>
  </si>
  <si>
    <t>=IF(NF($C197,"num_mov")="","",NL(,"Tracking Documento",,"Nº movimiento",NF($C197,"num_mov"),"Conexión=","Navision","Empresa=","MEDIAPOST SPAIN"))</t>
  </si>
  <si>
    <t>=NF($B197,"No_ documento cliente")</t>
  </si>
  <si>
    <t>=NF($B197,"No_ referencia transporte")</t>
  </si>
  <si>
    <t>=NF($B197,"Nº Expedición")</t>
  </si>
  <si>
    <t>=NF($B197,"Nombre punto entrega")</t>
  </si>
  <si>
    <t>=NF($B197,"Dirección punto entrega")</t>
  </si>
  <si>
    <t>=NF($B197,"C_P_ punto entrega")</t>
  </si>
  <si>
    <t>=NF($B197,"Población punto entrega")</t>
  </si>
  <si>
    <t>=NF($B197,"Provincia punto entrega")</t>
  </si>
  <si>
    <t>=NF($B197,"País punto entrega")</t>
  </si>
  <si>
    <t>=NF($B197,"fecha_prep")</t>
  </si>
  <si>
    <t>=NF($B197,"Fecha expedido")</t>
  </si>
  <si>
    <t>=NF($B197,"Estado")</t>
  </si>
  <si>
    <t>=NF($D197,"fecha")</t>
  </si>
  <si>
    <t>=NF($D197,"Descripción incidencia")</t>
  </si>
  <si>
    <t>=NF($B197,"Cód_ transportista")</t>
  </si>
  <si>
    <t>=NF($B197,"Cód_ servicio solicitado")</t>
  </si>
  <si>
    <t>=NF($B197,"Link imagen")</t>
  </si>
  <si>
    <t>=NF($B197,"Localizador")</t>
  </si>
  <si>
    <t>="""SQL-NAVISION"","""",""SQL="",""14=No_"",""PD260098136"",""14=No_ documento cliente"",""MHM190526 REPO"",""14=No_ referencia transporte"",""MHM190526 REPO"",""14=Nº Expedición"",""1200798829"",""14=Nombre punto entrega"",""MARIAN HOSSAIN MOHAMED"",""14=Dirección punto entrega"",""Lo"&amp;"ma larga, 12 urb playa Benítez nºl 1 1ºA"",""14=C_P_ punto entrega"",""51004"",""14=Población punto entrega"",""CEUTA"",""14=Provincia punto entrega"",""CEUTA"",""14=País punto entrega"",""ES"",""14=Estado"",""Entregado"",""15=fecha_prep"",""03/06/2026"",""15=Fecha expedido"",""03/0"&amp;"6/2026"",""14=Cód_ transportista"",""TIPSA"",""14=Cód_ servicio solicitado"",""PRESUPUESTO"",""14=Link imagen"",""https://www.tip-sa.com/cliente/datos.php?id=02800109585MHM190526 REPO51004"",""14=Localizador"",""0280010280011200798829"""</t>
  </si>
  <si>
    <t>=NL("Filas","SQL="&amp;
"select MAX(td.[Nº movimiento]) num_mov "&amp;
"  from [dbo].[MEDIAPOST SPAIN$Tracking Documento] td with (nolock) "&amp;
"  WHERE td.[Nº documento] = '"&amp;NF($B198,"No_ referencia transporte")&amp;"' "&amp;
"    AND td.[Cód_ incidencia] &lt;&gt; '' ",{"num_mov"},"Datasource=","SQL-Navision")</t>
  </si>
  <si>
    <t>=IF(NF($C198,"num_mov")="","",NL(,"Tracking Documento",,"Nº movimiento",NF($C198,"num_mov"),"Conexión=","Navision","Empresa=","MEDIAPOST SPAIN"))</t>
  </si>
  <si>
    <t>=NF($B198,"No_ documento cliente")</t>
  </si>
  <si>
    <t>=NF($B198,"No_ referencia transporte")</t>
  </si>
  <si>
    <t>=NF($B198,"Nº Expedición")</t>
  </si>
  <si>
    <t>=NF($B198,"Nombre punto entrega")</t>
  </si>
  <si>
    <t>=NF($B198,"Dirección punto entrega")</t>
  </si>
  <si>
    <t>=NF($B198,"C_P_ punto entrega")</t>
  </si>
  <si>
    <t>=NF($B198,"Población punto entrega")</t>
  </si>
  <si>
    <t>=NF($B198,"Provincia punto entrega")</t>
  </si>
  <si>
    <t>=NF($B198,"País punto entrega")</t>
  </si>
  <si>
    <t>=NF($B198,"fecha_prep")</t>
  </si>
  <si>
    <t>=NF($B198,"Fecha expedido")</t>
  </si>
  <si>
    <t>=NF($B198,"Estado")</t>
  </si>
  <si>
    <t>=NF($D198,"fecha")</t>
  </si>
  <si>
    <t>=NF($D198,"Descripción incidencia")</t>
  </si>
  <si>
    <t>=NF($B198,"Cód_ transportista")</t>
  </si>
  <si>
    <t>=NF($B198,"Cód_ servicio solicitado")</t>
  </si>
  <si>
    <t>=NF($B198,"Link imagen")</t>
  </si>
  <si>
    <t>=NF($B198,"Localizador")</t>
  </si>
  <si>
    <t>="""SQL-NAVISION"","""",""SQL="",""14=No_"",""PD260097832"",""14=No_ documento cliente"",""63226000215"",""14=No_ referencia transporte"",""63226000215"",""14=Nº Expedición"",""000017312"",""14=Nombre punto entrega"",""LA JONQUERA-001"",""14=Dirección punto entrega"",""CL MAJOR, 94-96"""&amp;",""14=C_P_ punto entrega"",""17700"",""14=Población punto entrega"",""LA JONQUERA"",""14=Provincia punto entrega"",""Girona"",""14=País punto entrega"",""ES"",""14=Estado"",""Entregado"",""15=fecha_prep"",""03/06/2026"",""15=Fecha expedido"",""03/06/2026"",""14=Cód_ transportista"",""O"&amp;"NTIME"",""14=Cód_ servicio solicitado"",""STD"",""14=Link imagen"",""https://ontimegts.alertran.net/gts/pub/clielocserv.seam?cliente=02890149&amp;expedicion=999951244835"",""14=Localizador"",""999951244835"""</t>
  </si>
  <si>
    <t>=NL("Filas","SQL="&amp;
"select MAX(td.[Nº movimiento]) num_mov "&amp;
"  from [dbo].[MEDIAPOST SPAIN$Tracking Documento] td with (nolock) "&amp;
"  WHERE td.[Nº documento] = '"&amp;NF($B199,"No_ referencia transporte")&amp;"' "&amp;
"    AND td.[Cód_ incidencia] &lt;&gt; '' ",{"num_mov"},"Datasource=","SQL-Navision")</t>
  </si>
  <si>
    <t>=IF(NF($C199,"num_mov")="","",NL(,"Tracking Documento",,"Nº movimiento",NF($C199,"num_mov"),"Conexión=","Navision","Empresa=","MEDIAPOST SPAIN"))</t>
  </si>
  <si>
    <t>=NF($B199,"No_ documento cliente")</t>
  </si>
  <si>
    <t>=NF($B199,"No_ referencia transporte")</t>
  </si>
  <si>
    <t>=NF($B199,"Nº Expedición")</t>
  </si>
  <si>
    <t>=NF($B199,"Nombre punto entrega")</t>
  </si>
  <si>
    <t>=NF($B199,"Dirección punto entrega")</t>
  </si>
  <si>
    <t>=NF($B199,"C_P_ punto entrega")</t>
  </si>
  <si>
    <t>=NF($B199,"Población punto entrega")</t>
  </si>
  <si>
    <t>=NF($B199,"Provincia punto entrega")</t>
  </si>
  <si>
    <t>=NF($B199,"País punto entrega")</t>
  </si>
  <si>
    <t>=NF($B199,"fecha_prep")</t>
  </si>
  <si>
    <t>=NF($B199,"Fecha expedido")</t>
  </si>
  <si>
    <t>=NF($B199,"Estado")</t>
  </si>
  <si>
    <t>=NF($D199,"fecha")</t>
  </si>
  <si>
    <t>=NF($D199,"Descripción incidencia")</t>
  </si>
  <si>
    <t>=NF($B199,"Cód_ transportista")</t>
  </si>
  <si>
    <t>=NF($B199,"Cód_ servicio solicitado")</t>
  </si>
  <si>
    <t>=NF($B199,"Link imagen")</t>
  </si>
  <si>
    <t>=NF($B199,"Localizador")</t>
  </si>
  <si>
    <t>="""SQL-NAVISION"","""",""SQL="",""14=No_"",""PD260098443"",""14=No_ documento cliente"",""63226000219"",""14=No_ referencia transporte"",""63226000219"",""14=Nº Expedición"",""000017339"",""14=Nombre punto entrega"",""Estanco Irún-015"",""14=Dirección punto entrega"",""MªJUNC.LABANDIB"&amp;"AR, 5"",""14=C_P_ punto entrega"",""20305"",""14=Población punto entrega"",""Irún"",""14=Provincia punto entrega"",""Guipúzcoa"",""14=País punto entrega"",""ES"",""14=Estado"",""Entregado"",""15=fecha_prep"",""03/06/2026"",""15=Fecha expedido"",""03/06/2026"",""14=Cód_ transportista"","&amp;"""ONTIME"",""14=Cód_ servicio solicitado"",""STD"",""14=Link imagen"",""https://ontimegts.alertran.net/gts/pub/clielocserv.seam?cliente=02890149&amp;expedicion=999951244841"",""14=Localizador"",""999951244841"""</t>
  </si>
  <si>
    <t>=NL("Filas","SQL="&amp;
"select MAX(td.[Nº movimiento]) num_mov "&amp;
"  from [dbo].[MEDIAPOST SPAIN$Tracking Documento] td with (nolock) "&amp;
"  WHERE td.[Nº documento] = '"&amp;NF($B200,"No_ referencia transporte")&amp;"' "&amp;
"    AND td.[Cód_ incidencia] &lt;&gt; '' ",{"num_mov"},"Datasource=","SQL-Navision")</t>
  </si>
  <si>
    <t>=IF(NF($C200,"num_mov")="","",NL(,"Tracking Documento",,"Nº movimiento",NF($C200,"num_mov"),"Conexión=","Navision","Empresa=","MEDIAPOST SPAIN"))</t>
  </si>
  <si>
    <t>=NF($B200,"No_ documento cliente")</t>
  </si>
  <si>
    <t>=NF($B200,"No_ referencia transporte")</t>
  </si>
  <si>
    <t>=NF($B200,"Nº Expedición")</t>
  </si>
  <si>
    <t>=NF($B200,"Nombre punto entrega")</t>
  </si>
  <si>
    <t>=NF($B200,"Dirección punto entrega")</t>
  </si>
  <si>
    <t>=NF($B200,"C_P_ punto entrega")</t>
  </si>
  <si>
    <t>=NF($B200,"Población punto entrega")</t>
  </si>
  <si>
    <t>=NF($B200,"Provincia punto entrega")</t>
  </si>
  <si>
    <t>=NF($B200,"País punto entrega")</t>
  </si>
  <si>
    <t>=NF($B200,"fecha_prep")</t>
  </si>
  <si>
    <t>=NF($B200,"Fecha expedido")</t>
  </si>
  <si>
    <t>=NF($B200,"Estado")</t>
  </si>
  <si>
    <t>=NF($D200,"fecha")</t>
  </si>
  <si>
    <t>=NF($D200,"Descripción incidencia")</t>
  </si>
  <si>
    <t>=NF($B200,"Cód_ transportista")</t>
  </si>
  <si>
    <t>=NF($B200,"Cód_ servicio solicitado")</t>
  </si>
  <si>
    <t>=NF($B200,"Link imagen")</t>
  </si>
  <si>
    <t>=NF($B200,"Localizador")</t>
  </si>
  <si>
    <t>="""SQL-NAVISION"","""",""SQL="",""14=No_"",""PD260098446"",""14=No_ documento cliente"",""63226000225"",""14=No_ referencia transporte"",""63226000225"",""14=Nº Expedición"",""1200798865"",""14=Nombre punto entrega"",""Javier Medina / Karim Diaz"",""14=Dirección punto entrega"",""Carr"&amp;"er Roc de Boronat 66, planta 3"",""14=C_P_ punto entrega"",""08005"",""14=Población punto entrega"",""Barcelona"",""14=Provincia punto entrega"",""Barcelona"",""14=País punto entrega"",""ES"",""14=Estado"",""Entregado"",""15=fecha_prep"",""03/06/2026"",""15=Fecha expedido"",""03/06/"&amp;"2026"",""14=Cód_ transportista"",""TIPSA"",""14=Cód_ servicio solicitado"",""STD"",""14=Link imagen"",""https://www.tip-sa.com/cliente/datos.php?id=028001095856322600022508005"",""14=Localizador"",""0280010280011200798865"""</t>
  </si>
  <si>
    <t>=NL("Filas","SQL="&amp;
"select MAX(td.[Nº movimiento]) num_mov "&amp;
"  from [dbo].[MEDIAPOST SPAIN$Tracking Documento] td with (nolock) "&amp;
"  WHERE td.[Nº documento] = '"&amp;NF($B201,"No_ referencia transporte")&amp;"' "&amp;
"    AND td.[Cód_ incidencia] &lt;&gt; '' ",{"num_mov"},"Datasource=","SQL-Navision")</t>
  </si>
  <si>
    <t>=IF(NF($C201,"num_mov")="","",NL(,"Tracking Documento",,"Nº movimiento",NF($C201,"num_mov"),"Conexión=","Navision","Empresa=","MEDIAPOST SPAIN"))</t>
  </si>
  <si>
    <t>=NF($B201,"No_ documento cliente")</t>
  </si>
  <si>
    <t>=NF($B201,"No_ referencia transporte")</t>
  </si>
  <si>
    <t>=NF($B201,"Nº Expedición")</t>
  </si>
  <si>
    <t>=NF($B201,"Nombre punto entrega")</t>
  </si>
  <si>
    <t>=NF($B201,"Dirección punto entrega")</t>
  </si>
  <si>
    <t>=NF($B201,"C_P_ punto entrega")</t>
  </si>
  <si>
    <t>=NF($B201,"Población punto entrega")</t>
  </si>
  <si>
    <t>=NF($B201,"Provincia punto entrega")</t>
  </si>
  <si>
    <t>=NF($B201,"País punto entrega")</t>
  </si>
  <si>
    <t>=NF($B201,"fecha_prep")</t>
  </si>
  <si>
    <t>=NF($B201,"Fecha expedido")</t>
  </si>
  <si>
    <t>=NF($B201,"Estado")</t>
  </si>
  <si>
    <t>=NF($D201,"fecha")</t>
  </si>
  <si>
    <t>=NF($D201,"Descripción incidencia")</t>
  </si>
  <si>
    <t>=NF($B201,"Cód_ transportista")</t>
  </si>
  <si>
    <t>=NF($B201,"Cód_ servicio solicitado")</t>
  </si>
  <si>
    <t>=NF($B201,"Link imagen")</t>
  </si>
  <si>
    <t>=NF($B201,"Localizador")</t>
  </si>
  <si>
    <t>="""SQL-NAVISION"","""",""SQL="",""14=No_"",""PD260098442"",""14=No_ documento cliente"",""63226000217"",""14=No_ referencia transporte"",""63226000217"",""14=Nº Expedición"",""1200798841"",""14=Nombre punto entrega"",""Estanco Raga"",""14=Dirección punto entrega"",""Almussafes, 8"",""14"&amp;"=C_P_ punto entrega"",""46450"",""14=Población punto entrega"",""Benifaió"",""14=Provincia punto entrega"",""Valencia"",""14=País punto entrega"",""ES"",""14=Estado"",""Entregado"",""15=fecha_prep"",""03/06/2026"",""15=Fecha expedido"",""03/06/2026"",""14=Cód_ transportista"",""TIPSA"""&amp;",""14=Cód_ servicio solicitado"",""STD"",""14=Link imagen"",""https://www.tip-sa.com/cliente/datos.php?id=028001095856322600021746450"",""14=Localizador"",""0280010280011200798841"""</t>
  </si>
  <si>
    <t>=NL("Filas","SQL="&amp;
"select MAX(td.[Nº movimiento]) num_mov "&amp;
"  from [dbo].[MEDIAPOST SPAIN$Tracking Documento] td with (nolock) "&amp;
"  WHERE td.[Nº documento] = '"&amp;NF($B202,"No_ referencia transporte")&amp;"' "&amp;
"    AND td.[Cód_ incidencia] &lt;&gt; '' ",{"num_mov"},"Datasource=","SQL-Navision")</t>
  </si>
  <si>
    <t>=IF(NF($C202,"num_mov")="","",NL(,"Tracking Documento",,"Nº movimiento",NF($C202,"num_mov"),"Conexión=","Navision","Empresa=","MEDIAPOST SPAIN"))</t>
  </si>
  <si>
    <t>=NF($B202,"No_ documento cliente")</t>
  </si>
  <si>
    <t>=NF($B202,"No_ referencia transporte")</t>
  </si>
  <si>
    <t>=NF($B202,"Nº Expedición")</t>
  </si>
  <si>
    <t>=NF($B202,"Nombre punto entrega")</t>
  </si>
  <si>
    <t>=NF($B202,"Dirección punto entrega")</t>
  </si>
  <si>
    <t>=NF($B202,"C_P_ punto entrega")</t>
  </si>
  <si>
    <t>=NF($B202,"Población punto entrega")</t>
  </si>
  <si>
    <t>=NF($B202,"Provincia punto entrega")</t>
  </si>
  <si>
    <t>=NF($B202,"País punto entrega")</t>
  </si>
  <si>
    <t>=NF($B202,"fecha_prep")</t>
  </si>
  <si>
    <t>=NF($B202,"Fecha expedido")</t>
  </si>
  <si>
    <t>=NF($B202,"Estado")</t>
  </si>
  <si>
    <t>=NF($D202,"fecha")</t>
  </si>
  <si>
    <t>=NF($D202,"Descripción incidencia")</t>
  </si>
  <si>
    <t>=NF($B202,"Cód_ transportista")</t>
  </si>
  <si>
    <t>=NF($B202,"Cód_ servicio solicitado")</t>
  </si>
  <si>
    <t>=NF($B202,"Link imagen")</t>
  </si>
  <si>
    <t>=NF($B202,"Localizador")</t>
  </si>
  <si>
    <t>="""SQL-NAVISION"","""",""SQL="",""14=No_"",""PD260098444"",""14=No_ documento cliente"",""63226000221"",""14=No_ referencia transporte"",""63226000221"",""14=Nº Expedición"",""0865427390"",""14=Nombre punto entrega"",""Recoger en Delegación / Sergio Alcántara"",""14=Dirección punto "&amp;"entrega"",""RECOGE EN DELEGACION"",""14=C_P_ punto entrega"",""29130"",""14=Población punto entrega"",""ALHAURIN DE LA TORRE"",""14=Provincia punto entrega"",""MALAGA"",""14=País punto entrega"",""ES"",""14=Estado"",""En Reparto"",""15=fecha_prep"",""03/06/2026"",""15=Fecha expedido"&amp;""",""03/06/2026"",""14=Cód_ transportista"",""DHL"",""14=Cód_ servicio solicitado"",""STD"",""14=Link imagen"",""https://clientesparcel.dhl.es/seguimientoenvios/integra/SeguimientoDocumentos.aspx?codigo=0865427390&amp;anno=2026&amp;lang=sp&amp;zatar=q45LoBtfSS29xHGRDZ57"",""14=Local"&amp;"izador"","""""</t>
  </si>
  <si>
    <t>=NL("Filas","SQL="&amp;
"select MAX(td.[Nº movimiento]) num_mov "&amp;
"  from [dbo].[MEDIAPOST SPAIN$Tracking Documento] td with (nolock) "&amp;
"  WHERE td.[Nº documento] = '"&amp;NF($B203,"No_ referencia transporte")&amp;"' "&amp;
"    AND td.[Cód_ incidencia] &lt;&gt; '' ",{"num_mov"},"Datasource=","SQL-Navision")</t>
  </si>
  <si>
    <t>=IF(NF($C203,"num_mov")="","",NL(,"Tracking Documento",,"Nº movimiento",NF($C203,"num_mov"),"Conexión=","Navision","Empresa=","MEDIAPOST SPAIN"))</t>
  </si>
  <si>
    <t>=NF($B203,"No_ documento cliente")</t>
  </si>
  <si>
    <t>=NF($B203,"No_ referencia transporte")</t>
  </si>
  <si>
    <t>=NF($B203,"Nº Expedición")</t>
  </si>
  <si>
    <t>=NF($B203,"Nombre punto entrega")</t>
  </si>
  <si>
    <t>=NF($B203,"Dirección punto entrega")</t>
  </si>
  <si>
    <t>=NF($B203,"C_P_ punto entrega")</t>
  </si>
  <si>
    <t>=NF($B203,"Población punto entrega")</t>
  </si>
  <si>
    <t>=NF($B203,"Provincia punto entrega")</t>
  </si>
  <si>
    <t>=NF($B203,"País punto entrega")</t>
  </si>
  <si>
    <t>=NF($B203,"fecha_prep")</t>
  </si>
  <si>
    <t>=NF($B203,"Fecha expedido")</t>
  </si>
  <si>
    <t>=NF($B203,"Estado")</t>
  </si>
  <si>
    <t>=NF($D203,"fecha")</t>
  </si>
  <si>
    <t>=NF($D203,"Descripción incidencia")</t>
  </si>
  <si>
    <t>=NF($B203,"Cód_ transportista")</t>
  </si>
  <si>
    <t>=NF($B203,"Cód_ servicio solicitado")</t>
  </si>
  <si>
    <t>=NF($B203,"Link imagen")</t>
  </si>
  <si>
    <t>=NF($B203,"Localizador")</t>
  </si>
  <si>
    <t>="""SQL-NAVISION"","""",""SQL="",""14=No_"",""PD260098445"",""14=No_ documento cliente"",""63226000223"",""14=No_ referencia transporte"",""63226000223"",""14=Nº Expedición"",""1200798861"",""14=Nombre punto entrega"",""Valentina Herrera"",""14=Dirección punto entrega"",""Calle Menorca"&amp;" 18, 4º,C"",""14=C_P_ punto entrega"",""28009"",""14=Población punto entrega"",""Madrid"",""14=Provincia punto entrega"",""Madrid"",""14=País punto entrega"",""ES"",""14=Estado"",""Entregado"",""15=fecha_prep"",""03/06/2026"",""15=Fecha expedido"",""03/06/2026"",""14=Cód_ transportist"&amp;"a"",""TIPSA"",""14=Cód_ servicio solicitado"",""STD"",""14=Link imagen"",""https://www.tip-sa.com/cliente/datos.php?id=028001095856322600022328009"",""14=Localizador"",""0280010280011200798861"""</t>
  </si>
  <si>
    <t>=NL("Filas","SQL="&amp;
"select MAX(td.[Nº movimiento]) num_mov "&amp;
"  from [dbo].[MEDIAPOST SPAIN$Tracking Documento] td with (nolock) "&amp;
"  WHERE td.[Nº documento] = '"&amp;NF($B204,"No_ referencia transporte")&amp;"' "&amp;
"    AND td.[Cód_ incidencia] &lt;&gt; '' ",{"num_mov"},"Datasource=","SQL-Navision")</t>
  </si>
  <si>
    <t>=IF(NF($C204,"num_mov")="","",NL(,"Tracking Documento",,"Nº movimiento",NF($C204,"num_mov"),"Conexión=","Navision","Empresa=","MEDIAPOST SPAIN"))</t>
  </si>
  <si>
    <t>=NF($B204,"No_ documento cliente")</t>
  </si>
  <si>
    <t>=NF($B204,"No_ referencia transporte")</t>
  </si>
  <si>
    <t>=NF($B204,"Nº Expedición")</t>
  </si>
  <si>
    <t>=NF($B204,"Nombre punto entrega")</t>
  </si>
  <si>
    <t>=NF($B204,"Dirección punto entrega")</t>
  </si>
  <si>
    <t>=NF($B204,"C_P_ punto entrega")</t>
  </si>
  <si>
    <t>=NF($B204,"Población punto entrega")</t>
  </si>
  <si>
    <t>=NF($B204,"Provincia punto entrega")</t>
  </si>
  <si>
    <t>=NF($B204,"País punto entrega")</t>
  </si>
  <si>
    <t>=NF($B204,"fecha_prep")</t>
  </si>
  <si>
    <t>=NF($B204,"Fecha expedido")</t>
  </si>
  <si>
    <t>=NF($B204,"Estado")</t>
  </si>
  <si>
    <t>=NF($D204,"fecha")</t>
  </si>
  <si>
    <t>=NF($D204,"Descripción incidencia")</t>
  </si>
  <si>
    <t>=NF($B204,"Cód_ transportista")</t>
  </si>
  <si>
    <t>=NF($B204,"Cód_ servicio solicitado")</t>
  </si>
  <si>
    <t>=NF($B204,"Link imagen")</t>
  </si>
  <si>
    <t>=NF($B204,"Localizador")</t>
  </si>
  <si>
    <t>="""SQL-NAVISION"","""",""SQL="",""14=No_"",""PD260098764"",""14=No_ documento cliente"",""BGK030626"",""14=No_ referencia transporte"",""BGK030626"",""14=Nº Expedición"",""1200799267"",""14=Nombre punto entrega"",""BARBARA GONZALEZ KUNDICH"",""14=Dirección punto entrega"",""AV. DE HOL"&amp;"ANDA 6 6ºA"",""14=C_P_ punto entrega"",""03540"",""14=Población punto entrega"",""ALICANTE"",""14=Provincia punto entrega"",""ALICANTE"",""14=País punto entrega"",""ES"",""14=Estado"",""En Reparto"",""15=fecha_prep"",""04/06/2026"",""15=Fecha expedido"",""04/06/2026"",""14=Cód_ transp"&amp;"ortista"",""TIPSA"",""14=Cód_ servicio solicitado"",""13:30 H"",""14=Link imagen"",""https://www.tip-sa.com/cliente/datos.php?id=02800109585BGK03062603540"",""14=Localizador"",""0280010280011200799267"""</t>
  </si>
  <si>
    <t>=NL("Filas","SQL="&amp;
"select MAX(td.[Nº movimiento]) num_mov "&amp;
"  from [dbo].[MEDIAPOST SPAIN$Tracking Documento] td with (nolock) "&amp;
"  WHERE td.[Nº documento] = '"&amp;NF($B205,"No_ referencia transporte")&amp;"' "&amp;
"    AND td.[Cód_ incidencia] &lt;&gt; '' ",{"num_mov"},"Datasource=","SQL-Navision")</t>
  </si>
  <si>
    <t>=IF(NF($C205,"num_mov")="","",NL(,"Tracking Documento",,"Nº movimiento",NF($C205,"num_mov"),"Conexión=","Navision","Empresa=","MEDIAPOST SPAIN"))</t>
  </si>
  <si>
    <t>=NF($B205,"No_ documento cliente")</t>
  </si>
  <si>
    <t>=NF($B205,"No_ referencia transporte")</t>
  </si>
  <si>
    <t>=NF($B205,"Nº Expedición")</t>
  </si>
  <si>
    <t>=NF($B205,"Nombre punto entrega")</t>
  </si>
  <si>
    <t>=NF($B205,"Dirección punto entrega")</t>
  </si>
  <si>
    <t>=NF($B205,"C_P_ punto entrega")</t>
  </si>
  <si>
    <t>=NF($B205,"Población punto entrega")</t>
  </si>
  <si>
    <t>=NF($B205,"Provincia punto entrega")</t>
  </si>
  <si>
    <t>=NF($B205,"País punto entrega")</t>
  </si>
  <si>
    <t>=NF($B205,"fecha_prep")</t>
  </si>
  <si>
    <t>=NF($B205,"Fecha expedido")</t>
  </si>
  <si>
    <t>=NF($B205,"Estado")</t>
  </si>
  <si>
    <t>=NF($D205,"fecha")</t>
  </si>
  <si>
    <t>=NF($D205,"Descripción incidencia")</t>
  </si>
  <si>
    <t>=NF($B205,"Cód_ transportista")</t>
  </si>
  <si>
    <t>=NF($B205,"Cód_ servicio solicitado")</t>
  </si>
  <si>
    <t>=NF($B205,"Link imagen")</t>
  </si>
  <si>
    <t>=NF($B205,"Localizador")</t>
  </si>
  <si>
    <t>="""SQL-NAVISION"","""",""SQL="",""14=No_"",""PD260099185"",""14=No_ documento cliente"",""63226000227"",""14=No_ referencia transporte"",""63226000227"",""14=Nº Expedición"",""14815084"",""14=Nombre punto entrega"",""MEDIAPOST BARCELONA"",""14=Dirección punto entrega"",""CTRA SENTMENA"&amp;"T 36"",""14=C_P_ punto entrega"",""08213"",""14=Población punto entrega"",""POLINYÁ"",""14=Provincia punto entrega"",""BARCELONA"",""14=País punto entrega"",""ES"",""14=Estado"",""En Reparto"",""15=fecha_prep"",""04/06/2026"",""15=Fecha expedido"",""04/06/2026"",""14=Cód_ transportist"&amp;"a"",""RECOGERAN"",""14=Cód_ servicio solicitado"",""RECOGERAN"",""14=Link imagen"",""https://img.directoatusclientes.com/iris/POD/RECOGERAN/63226000227.pdf"",""14=Localizador"","""""</t>
  </si>
  <si>
    <t>=NL("Filas","SQL="&amp;
"select MAX(td.[Nº movimiento]) num_mov "&amp;
"  from [dbo].[MEDIAPOST SPAIN$Tracking Documento] td with (nolock) "&amp;
"  WHERE td.[Nº documento] = '"&amp;NF($B206,"No_ referencia transporte")&amp;"' "&amp;
"    AND td.[Cód_ incidencia] &lt;&gt; '' ",{"num_mov"},"Datasource=","SQL-Navision")</t>
  </si>
  <si>
    <t>=IF(NF($C206,"num_mov")="","",NL(,"Tracking Documento",,"Nº movimiento",NF($C206,"num_mov"),"Conexión=","Navision","Empresa=","MEDIAPOST SPAIN"))</t>
  </si>
  <si>
    <t>=NF($B206,"No_ documento cliente")</t>
  </si>
  <si>
    <t>=NF($B206,"No_ referencia transporte")</t>
  </si>
  <si>
    <t>=NF($B206,"Nº Expedición")</t>
  </si>
  <si>
    <t>=NF($B206,"Nombre punto entrega")</t>
  </si>
  <si>
    <t>=NF($B206,"Dirección punto entrega")</t>
  </si>
  <si>
    <t>=NF($B206,"C_P_ punto entrega")</t>
  </si>
  <si>
    <t>=NF($B206,"Población punto entrega")</t>
  </si>
  <si>
    <t>=NF($B206,"Provincia punto entrega")</t>
  </si>
  <si>
    <t>=NF($B206,"País punto entrega")</t>
  </si>
  <si>
    <t>=NF($B206,"fecha_prep")</t>
  </si>
  <si>
    <t>=NF($B206,"Fecha expedido")</t>
  </si>
  <si>
    <t>=NF($B206,"Estado")</t>
  </si>
  <si>
    <t>=NF($D206,"fecha")</t>
  </si>
  <si>
    <t>=NF($D206,"Descripción incidencia")</t>
  </si>
  <si>
    <t>=NF($B206,"Cód_ transportista")</t>
  </si>
  <si>
    <t>=NF($B206,"Cód_ servicio solicitado")</t>
  </si>
  <si>
    <t>=NF($B206,"Link imagen")</t>
  </si>
  <si>
    <t>=NF($B206,"Localizador")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</si>
</sst>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indexed="8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1" fillId="0" borderId="1" xfId="0" applyFont="1" applyBorder="1" applyAlignment="1">
      <alignment wrapText="1"/>
    </xf>
    <xf numFmtId="14" fontId="1" fillId="0" borderId="0" xfId="0" applyNumberFormat="1" applyFont="1"/>
    <xf numFmtId="49" fontId="0" fillId="0" borderId="0" xfId="0" applyNumberFormat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0" fillId="2" borderId="0" xfId="0" applyNumberFormat="1" applyFill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wrapText="1"/>
    </xf>
    <xf numFmtId="0" fontId="0" fillId="0" borderId="0" xfId="0" quotePrefix="1"/>
    <xf numFmtId="0" fontId="0" fillId="0" borderId="0" xfId="0" quotePrefix="1" applyAlignment="1">
      <alignment wrapText="1"/>
    </xf>
    <xf numFmtId="14" fontId="0" fillId="0" borderId="0" xfId="0" applyNumberFormat="1"/>
    <xf numFmtId="0" fontId="2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selection activeCell="E6" sqref="E6"/>
    </sheetView>
  </sheetViews>
  <sheetFormatPr defaultColWidth="11.42578125" defaultRowHeight="15"/>
  <cols>
    <col min="1" max="1" width="11.42578125" hidden="1" customWidth="1"/>
    <col min="4" max="4" width="15.85546875" bestFit="1" customWidth="1"/>
    <col min="5" max="5" width="10.7109375" bestFit="1" customWidth="1"/>
  </cols>
  <sheetData>
    <row r="1" spans="1:6" hidden="1">
      <c r="A1" t="s">
        <v>0</v>
      </c>
      <c r="D1" t="s">
        <v>1</v>
      </c>
      <c r="E1" t="s">
        <v>1</v>
      </c>
    </row>
    <row r="5" spans="1:6">
      <c r="D5" t="s">
        <v>2</v>
      </c>
      <c r="E5" s="7" t="s">
        <v>3</v>
      </c>
    </row>
    <row r="6" spans="1:6">
      <c r="D6" t="s">
        <v>4</v>
      </c>
      <c r="E6" s="7" t="s">
        <v>5</v>
      </c>
      <c r="F6" t="str">
        <f>IF(Operativa=""," like '%'",IF(IFERROR(FIND("|",Operativa),"= ")=" = ","= '"&amp;Operativa&amp;"'"," IN ('"&amp;SUBSTITUTE(Operativa,"|","','")&amp;"')"))</f>
        <v xml:space="preserve"> like '%'</v>
      </c>
    </row>
    <row r="7" spans="1:6">
      <c r="D7" t="s">
        <v>6</v>
      </c>
      <c r="E7" s="1" t="str">
        <f>TEXT(Hoy-30,"DD/MM/AAAA")</f>
        <v>06/05/2026</v>
      </c>
    </row>
    <row r="8" spans="1:6">
      <c r="D8" t="s">
        <v>7</v>
      </c>
      <c r="E8" s="1" t="str">
        <f>TEXT(Hoy,"DD/MM/AAAA")</f>
        <v>05/06/2026</v>
      </c>
    </row>
    <row r="9" spans="1:6">
      <c r="E9" s="10">
        <v>46178</v>
      </c>
    </row>
  </sheetData>
  <pageMargins left="0.7" right="0.7" top="0.75" bottom="0.75" header="0.3" footer="0.3"/>
  <pageSetup paperSize="9"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06"/>
  <sheetViews>
    <sheetView tabSelected="1" zoomScaleNormal="100" workbookViewId="0">
      <pane ySplit="4" topLeftCell="A5" activePane="bottomLeft" state="frozen"/>
      <selection pane="bottomLeft"/>
    </sheetView>
  </sheetViews>
  <sheetFormatPr defaultColWidth="10.85546875" defaultRowHeight="12.75"/>
  <cols>
    <col min="1" max="1" width="20" style="2" bestFit="1" customWidth="1"/>
    <col min="2" max="2" width="20.85546875" style="2" bestFit="1" customWidth="1"/>
    <col min="3" max="3" width="18.5703125" style="2" bestFit="1" customWidth="1"/>
    <col min="4" max="4" width="53.5703125" style="2" bestFit="1" customWidth="1"/>
    <col min="5" max="5" width="71.140625" style="2" bestFit="1" customWidth="1"/>
    <col min="6" max="6" width="7" style="2" bestFit="1" customWidth="1"/>
    <col min="7" max="7" width="27.42578125" style="2" bestFit="1" customWidth="1"/>
    <col min="8" max="8" width="23.5703125" style="2" bestFit="1" customWidth="1"/>
    <col min="9" max="9" width="7" style="2" bestFit="1" customWidth="1"/>
    <col min="10" max="10" width="10.140625" style="2" bestFit="1" customWidth="1"/>
    <col min="11" max="12" width="10.7109375" style="2" bestFit="1" customWidth="1"/>
    <col min="13" max="13" width="10.5703125" style="2" bestFit="1" customWidth="1"/>
    <col min="14" max="14" width="10.7109375" style="2" bestFit="1" customWidth="1"/>
    <col min="15" max="15" width="50.42578125" style="2" bestFit="1" customWidth="1"/>
    <col min="16" max="16" width="12" style="2" bestFit="1" customWidth="1"/>
    <col min="17" max="17" width="13.42578125" style="2" bestFit="1" customWidth="1"/>
    <col min="18" max="18" width="147.140625" style="2" bestFit="1" customWidth="1"/>
    <col min="19" max="19" width="23.28515625" style="2" bestFit="1" customWidth="1"/>
    <col min="20" max="16384" width="10.85546875" style="2"/>
  </cols>
  <sheetData>
    <row r="1" spans="1:19">
      <c r="A1" s="3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9">
      <c r="A2" s="17" t="s">
        <v>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8"/>
      <c r="S2" s="11"/>
    </row>
    <row r="3" spans="1:19" s="4" customFormat="1">
      <c r="A3" s="18" t="s">
        <v>10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9"/>
      <c r="S3" s="12"/>
    </row>
    <row r="4" spans="1:19" ht="42" customHeight="1">
      <c r="A4" s="5" t="s">
        <v>11</v>
      </c>
      <c r="B4" s="5" t="s">
        <v>12</v>
      </c>
      <c r="C4" s="5" t="s">
        <v>13</v>
      </c>
      <c r="D4" s="5" t="s">
        <v>14</v>
      </c>
      <c r="E4" s="5" t="s">
        <v>15</v>
      </c>
      <c r="F4" s="5" t="s">
        <v>16</v>
      </c>
      <c r="G4" s="5" t="s">
        <v>17</v>
      </c>
      <c r="H4" s="5" t="s">
        <v>18</v>
      </c>
      <c r="I4" s="5" t="s">
        <v>19</v>
      </c>
      <c r="J4" s="5" t="s">
        <v>20</v>
      </c>
      <c r="K4" s="5" t="s">
        <v>21</v>
      </c>
      <c r="L4" s="5" t="s">
        <v>22</v>
      </c>
      <c r="M4" s="5" t="s">
        <v>23</v>
      </c>
      <c r="N4" s="5" t="s">
        <v>24</v>
      </c>
      <c r="O4" s="5" t="s">
        <v>25</v>
      </c>
      <c r="P4" s="5" t="s">
        <v>26</v>
      </c>
      <c r="Q4" s="5" t="s">
        <v>27</v>
      </c>
      <c r="R4" s="5" t="s">
        <v>28</v>
      </c>
      <c r="S4" s="13" t="s">
        <v>29</v>
      </c>
    </row>
    <row r="5" spans="1:19" ht="15">
      <c r="A5" t="s">
        <v>30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/>
      <c r="K5" s="16">
        <v>46148</v>
      </c>
      <c r="L5" s="16">
        <v>46148</v>
      </c>
      <c r="M5" t="s">
        <v>38</v>
      </c>
      <c r="N5" s="16">
        <v>46149</v>
      </c>
      <c r="O5" s="16" t="s">
        <v>39</v>
      </c>
      <c r="P5" t="s">
        <v>40</v>
      </c>
      <c r="Q5" t="s">
        <v>41</v>
      </c>
      <c r="R5" t="s">
        <v>42</v>
      </c>
      <c r="S5" t="s">
        <v>43</v>
      </c>
    </row>
    <row r="6" spans="1:19" ht="15">
      <c r="A6" t="s">
        <v>44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37</v>
      </c>
      <c r="J6"/>
      <c r="K6" s="16">
        <v>46148</v>
      </c>
      <c r="L6" s="16">
        <v>46148</v>
      </c>
      <c r="M6" t="s">
        <v>38</v>
      </c>
      <c r="N6" s="16">
        <v>46149</v>
      </c>
      <c r="O6" s="16" t="s">
        <v>39</v>
      </c>
      <c r="P6" t="s">
        <v>51</v>
      </c>
      <c r="Q6" t="s">
        <v>41</v>
      </c>
      <c r="R6" t="s">
        <v>52</v>
      </c>
      <c r="S6" t="s">
        <v>5</v>
      </c>
    </row>
    <row r="7" spans="1:19" ht="15">
      <c r="A7" t="s">
        <v>53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  <c r="H7" t="s">
        <v>58</v>
      </c>
      <c r="I7" t="s">
        <v>37</v>
      </c>
      <c r="J7"/>
      <c r="K7" s="16">
        <v>46148</v>
      </c>
      <c r="L7" s="16">
        <v>46148</v>
      </c>
      <c r="M7" t="s">
        <v>38</v>
      </c>
      <c r="N7" s="16">
        <v>46168</v>
      </c>
      <c r="O7" s="16" t="s">
        <v>39</v>
      </c>
      <c r="P7" t="s">
        <v>59</v>
      </c>
      <c r="Q7" t="s">
        <v>60</v>
      </c>
      <c r="R7" t="s">
        <v>5</v>
      </c>
      <c r="S7" t="s">
        <v>5</v>
      </c>
    </row>
    <row r="8" spans="1:19" ht="15">
      <c r="A8" t="s">
        <v>61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37</v>
      </c>
      <c r="J8"/>
      <c r="K8" s="16">
        <v>46148</v>
      </c>
      <c r="L8" s="16">
        <v>46148</v>
      </c>
      <c r="M8" t="s">
        <v>38</v>
      </c>
      <c r="N8" s="16">
        <v>46149</v>
      </c>
      <c r="O8" s="16" t="s">
        <v>39</v>
      </c>
      <c r="P8" t="s">
        <v>68</v>
      </c>
      <c r="Q8" t="s">
        <v>60</v>
      </c>
      <c r="R8" t="s">
        <v>69</v>
      </c>
      <c r="S8" t="s">
        <v>5</v>
      </c>
    </row>
    <row r="9" spans="1:19" ht="15">
      <c r="A9" t="s">
        <v>70</v>
      </c>
      <c r="B9" t="s">
        <v>70</v>
      </c>
      <c r="C9" t="s">
        <v>71</v>
      </c>
      <c r="D9" t="s">
        <v>72</v>
      </c>
      <c r="E9" t="s">
        <v>73</v>
      </c>
      <c r="F9" t="s">
        <v>74</v>
      </c>
      <c r="G9" t="s">
        <v>75</v>
      </c>
      <c r="H9" t="s">
        <v>76</v>
      </c>
      <c r="I9" t="s">
        <v>37</v>
      </c>
      <c r="J9"/>
      <c r="K9" s="16">
        <v>46148</v>
      </c>
      <c r="L9" s="16">
        <v>46148</v>
      </c>
      <c r="M9" t="s">
        <v>38</v>
      </c>
      <c r="N9" s="16">
        <v>46149</v>
      </c>
      <c r="O9" s="16" t="s">
        <v>39</v>
      </c>
      <c r="P9" t="s">
        <v>40</v>
      </c>
      <c r="Q9" t="s">
        <v>41</v>
      </c>
      <c r="R9" t="s">
        <v>77</v>
      </c>
      <c r="S9" t="s">
        <v>78</v>
      </c>
    </row>
    <row r="10" spans="1:19" ht="15">
      <c r="A10" t="s">
        <v>79</v>
      </c>
      <c r="B10" t="s">
        <v>80</v>
      </c>
      <c r="C10" t="s">
        <v>81</v>
      </c>
      <c r="D10" t="s">
        <v>82</v>
      </c>
      <c r="E10" t="s">
        <v>83</v>
      </c>
      <c r="F10" t="s">
        <v>84</v>
      </c>
      <c r="G10" t="s">
        <v>85</v>
      </c>
      <c r="H10" t="s">
        <v>85</v>
      </c>
      <c r="I10" t="s">
        <v>37</v>
      </c>
      <c r="J10"/>
      <c r="K10" s="16">
        <v>46148</v>
      </c>
      <c r="L10" s="16">
        <v>46148</v>
      </c>
      <c r="M10" t="s">
        <v>38</v>
      </c>
      <c r="N10" s="16">
        <v>46149</v>
      </c>
      <c r="O10" s="16" t="s">
        <v>39</v>
      </c>
      <c r="P10" t="s">
        <v>68</v>
      </c>
      <c r="Q10" t="s">
        <v>60</v>
      </c>
      <c r="R10" t="s">
        <v>86</v>
      </c>
      <c r="S10" t="s">
        <v>5</v>
      </c>
    </row>
    <row r="11" spans="1:19" ht="15">
      <c r="A11" t="s">
        <v>87</v>
      </c>
      <c r="B11" t="s">
        <v>87</v>
      </c>
      <c r="C11" t="s">
        <v>88</v>
      </c>
      <c r="D11" t="s">
        <v>89</v>
      </c>
      <c r="E11" t="s">
        <v>90</v>
      </c>
      <c r="F11" t="s">
        <v>91</v>
      </c>
      <c r="G11" t="s">
        <v>92</v>
      </c>
      <c r="H11" t="s">
        <v>93</v>
      </c>
      <c r="I11" t="s">
        <v>37</v>
      </c>
      <c r="J11"/>
      <c r="K11" s="16">
        <v>46148</v>
      </c>
      <c r="L11" s="16">
        <v>46148</v>
      </c>
      <c r="M11" t="s">
        <v>94</v>
      </c>
      <c r="N11" s="16">
        <v>46167</v>
      </c>
      <c r="O11" s="16" t="s">
        <v>95</v>
      </c>
      <c r="P11" t="s">
        <v>68</v>
      </c>
      <c r="Q11" t="s">
        <v>60</v>
      </c>
      <c r="R11" t="s">
        <v>96</v>
      </c>
      <c r="S11" t="s">
        <v>5</v>
      </c>
    </row>
    <row r="12" spans="1:19" ht="15">
      <c r="A12" t="s">
        <v>97</v>
      </c>
      <c r="B12" t="s">
        <v>97</v>
      </c>
      <c r="C12" t="s">
        <v>98</v>
      </c>
      <c r="D12" t="s">
        <v>99</v>
      </c>
      <c r="E12" t="s">
        <v>100</v>
      </c>
      <c r="F12" t="s">
        <v>101</v>
      </c>
      <c r="G12" t="s">
        <v>102</v>
      </c>
      <c r="H12" t="s">
        <v>102</v>
      </c>
      <c r="I12" t="s">
        <v>37</v>
      </c>
      <c r="J12"/>
      <c r="K12" s="16">
        <v>46148</v>
      </c>
      <c r="L12" s="16">
        <v>46148</v>
      </c>
      <c r="M12" t="s">
        <v>38</v>
      </c>
      <c r="N12" s="16">
        <v>46149</v>
      </c>
      <c r="O12" s="16" t="s">
        <v>39</v>
      </c>
      <c r="P12" t="s">
        <v>40</v>
      </c>
      <c r="Q12" t="s">
        <v>41</v>
      </c>
      <c r="R12" t="s">
        <v>103</v>
      </c>
      <c r="S12" t="s">
        <v>104</v>
      </c>
    </row>
    <row r="13" spans="1:19" ht="15">
      <c r="A13" t="s">
        <v>105</v>
      </c>
      <c r="B13" t="s">
        <v>105</v>
      </c>
      <c r="C13" t="s">
        <v>106</v>
      </c>
      <c r="D13" t="s">
        <v>107</v>
      </c>
      <c r="E13" t="s">
        <v>108</v>
      </c>
      <c r="F13" t="s">
        <v>57</v>
      </c>
      <c r="G13" t="s">
        <v>109</v>
      </c>
      <c r="H13" t="s">
        <v>58</v>
      </c>
      <c r="I13" t="s">
        <v>37</v>
      </c>
      <c r="J13"/>
      <c r="K13" s="16">
        <v>46149</v>
      </c>
      <c r="L13" s="16">
        <v>46149</v>
      </c>
      <c r="M13" t="s">
        <v>38</v>
      </c>
      <c r="N13" s="16">
        <v>46168</v>
      </c>
      <c r="O13" s="16" t="s">
        <v>39</v>
      </c>
      <c r="P13" t="s">
        <v>59</v>
      </c>
      <c r="Q13" t="s">
        <v>60</v>
      </c>
      <c r="R13" t="s">
        <v>5</v>
      </c>
      <c r="S13" t="s">
        <v>5</v>
      </c>
    </row>
    <row r="14" spans="1:19" ht="15">
      <c r="A14" t="s">
        <v>110</v>
      </c>
      <c r="B14" t="s">
        <v>110</v>
      </c>
      <c r="C14" t="s">
        <v>111</v>
      </c>
      <c r="D14" t="s">
        <v>112</v>
      </c>
      <c r="E14" t="s">
        <v>113</v>
      </c>
      <c r="F14" t="s">
        <v>114</v>
      </c>
      <c r="G14" t="s">
        <v>115</v>
      </c>
      <c r="H14" t="s">
        <v>36</v>
      </c>
      <c r="I14" t="s">
        <v>37</v>
      </c>
      <c r="J14"/>
      <c r="K14" s="16">
        <v>46149</v>
      </c>
      <c r="L14" s="16">
        <v>46149</v>
      </c>
      <c r="M14" t="s">
        <v>38</v>
      </c>
      <c r="N14" s="16">
        <v>46162</v>
      </c>
      <c r="O14" s="16" t="s">
        <v>39</v>
      </c>
      <c r="P14" t="s">
        <v>68</v>
      </c>
      <c r="Q14" t="s">
        <v>60</v>
      </c>
      <c r="R14" t="s">
        <v>116</v>
      </c>
      <c r="S14" t="s">
        <v>5</v>
      </c>
    </row>
    <row r="15" spans="1:19" ht="15">
      <c r="A15" t="s">
        <v>117</v>
      </c>
      <c r="B15" t="s">
        <v>117</v>
      </c>
      <c r="C15" t="s">
        <v>118</v>
      </c>
      <c r="D15" t="s">
        <v>119</v>
      </c>
      <c r="E15" t="s">
        <v>120</v>
      </c>
      <c r="F15" t="s">
        <v>121</v>
      </c>
      <c r="G15" t="s">
        <v>122</v>
      </c>
      <c r="H15" t="s">
        <v>122</v>
      </c>
      <c r="I15" t="s">
        <v>37</v>
      </c>
      <c r="J15"/>
      <c r="K15" s="16">
        <v>46149</v>
      </c>
      <c r="L15" s="16">
        <v>46149</v>
      </c>
      <c r="M15" t="s">
        <v>38</v>
      </c>
      <c r="N15" s="16">
        <v>46161</v>
      </c>
      <c r="O15" s="16" t="s">
        <v>39</v>
      </c>
      <c r="P15" t="s">
        <v>59</v>
      </c>
      <c r="Q15" t="s">
        <v>60</v>
      </c>
      <c r="R15" t="s">
        <v>5</v>
      </c>
      <c r="S15" t="s">
        <v>5</v>
      </c>
    </row>
    <row r="16" spans="1:19" ht="15">
      <c r="A16" t="s">
        <v>123</v>
      </c>
      <c r="B16" t="s">
        <v>123</v>
      </c>
      <c r="C16" t="s">
        <v>123</v>
      </c>
      <c r="D16" t="s">
        <v>124</v>
      </c>
      <c r="E16" t="s">
        <v>125</v>
      </c>
      <c r="F16" t="s">
        <v>126</v>
      </c>
      <c r="G16" t="s">
        <v>127</v>
      </c>
      <c r="H16" t="s">
        <v>128</v>
      </c>
      <c r="I16" t="s">
        <v>37</v>
      </c>
      <c r="J16"/>
      <c r="K16" s="16">
        <v>46149</v>
      </c>
      <c r="L16" s="16">
        <v>46149</v>
      </c>
      <c r="M16" t="s">
        <v>38</v>
      </c>
      <c r="N16" s="16">
        <v>46161</v>
      </c>
      <c r="O16" s="16" t="s">
        <v>39</v>
      </c>
      <c r="P16" t="s">
        <v>129</v>
      </c>
      <c r="Q16" t="s">
        <v>130</v>
      </c>
      <c r="R16" t="s">
        <v>131</v>
      </c>
      <c r="S16" t="s">
        <v>5</v>
      </c>
    </row>
    <row r="17" spans="1:19" ht="15">
      <c r="A17" t="s">
        <v>132</v>
      </c>
      <c r="B17" t="s">
        <v>132</v>
      </c>
      <c r="C17" t="s">
        <v>133</v>
      </c>
      <c r="D17" t="s">
        <v>99</v>
      </c>
      <c r="E17" t="s">
        <v>100</v>
      </c>
      <c r="F17" t="s">
        <v>101</v>
      </c>
      <c r="G17" t="s">
        <v>102</v>
      </c>
      <c r="H17" t="s">
        <v>102</v>
      </c>
      <c r="I17" t="s">
        <v>37</v>
      </c>
      <c r="J17"/>
      <c r="K17" s="16">
        <v>46149</v>
      </c>
      <c r="L17" s="16">
        <v>46149</v>
      </c>
      <c r="M17" t="s">
        <v>38</v>
      </c>
      <c r="N17" s="16">
        <v>46150</v>
      </c>
      <c r="O17" s="16" t="s">
        <v>39</v>
      </c>
      <c r="P17" t="s">
        <v>134</v>
      </c>
      <c r="Q17" t="s">
        <v>60</v>
      </c>
      <c r="R17" t="s">
        <v>135</v>
      </c>
      <c r="S17" t="s">
        <v>136</v>
      </c>
    </row>
    <row r="18" spans="1:19" ht="15">
      <c r="A18" t="s">
        <v>137</v>
      </c>
      <c r="B18" t="s">
        <v>137</v>
      </c>
      <c r="C18" t="s">
        <v>138</v>
      </c>
      <c r="D18" t="s">
        <v>119</v>
      </c>
      <c r="E18" t="s">
        <v>139</v>
      </c>
      <c r="F18" t="s">
        <v>140</v>
      </c>
      <c r="G18" t="s">
        <v>122</v>
      </c>
      <c r="H18" t="s">
        <v>122</v>
      </c>
      <c r="I18" t="s">
        <v>37</v>
      </c>
      <c r="J18"/>
      <c r="K18" s="16">
        <v>46149</v>
      </c>
      <c r="L18" s="16">
        <v>46149</v>
      </c>
      <c r="M18" t="s">
        <v>38</v>
      </c>
      <c r="N18" s="16">
        <v>46161</v>
      </c>
      <c r="O18" s="16" t="s">
        <v>39</v>
      </c>
      <c r="P18" t="s">
        <v>59</v>
      </c>
      <c r="Q18" t="s">
        <v>60</v>
      </c>
      <c r="R18" t="s">
        <v>5</v>
      </c>
      <c r="S18" t="s">
        <v>5</v>
      </c>
    </row>
    <row r="19" spans="1:19" ht="15">
      <c r="A19" t="s">
        <v>110</v>
      </c>
      <c r="B19" t="s">
        <v>110</v>
      </c>
      <c r="C19" t="s">
        <v>111</v>
      </c>
      <c r="D19" t="s">
        <v>112</v>
      </c>
      <c r="E19" t="s">
        <v>113</v>
      </c>
      <c r="F19" t="s">
        <v>114</v>
      </c>
      <c r="G19" t="s">
        <v>115</v>
      </c>
      <c r="H19" t="s">
        <v>36</v>
      </c>
      <c r="I19" t="s">
        <v>37</v>
      </c>
      <c r="J19"/>
      <c r="K19" s="16">
        <v>46149</v>
      </c>
      <c r="L19" s="16">
        <v>46149</v>
      </c>
      <c r="M19" t="s">
        <v>38</v>
      </c>
      <c r="N19" s="16">
        <v>46162</v>
      </c>
      <c r="O19" s="16" t="s">
        <v>39</v>
      </c>
      <c r="P19" t="s">
        <v>68</v>
      </c>
      <c r="Q19" t="s">
        <v>60</v>
      </c>
      <c r="R19" t="s">
        <v>116</v>
      </c>
      <c r="S19" t="s">
        <v>5</v>
      </c>
    </row>
    <row r="20" spans="1:19" ht="15">
      <c r="A20" t="s">
        <v>141</v>
      </c>
      <c r="B20" t="s">
        <v>141</v>
      </c>
      <c r="C20" t="s">
        <v>142</v>
      </c>
      <c r="D20" t="s">
        <v>143</v>
      </c>
      <c r="E20" t="s">
        <v>144</v>
      </c>
      <c r="F20" t="s">
        <v>145</v>
      </c>
      <c r="G20" t="s">
        <v>146</v>
      </c>
      <c r="H20" t="s">
        <v>147</v>
      </c>
      <c r="I20" t="s">
        <v>37</v>
      </c>
      <c r="J20"/>
      <c r="K20" s="16">
        <v>46150</v>
      </c>
      <c r="L20" s="16">
        <v>46150</v>
      </c>
      <c r="M20" t="s">
        <v>94</v>
      </c>
      <c r="N20" s="16">
        <v>46177</v>
      </c>
      <c r="O20" s="16" t="s">
        <v>148</v>
      </c>
      <c r="P20" t="s">
        <v>40</v>
      </c>
      <c r="Q20" t="s">
        <v>60</v>
      </c>
      <c r="R20" t="s">
        <v>149</v>
      </c>
      <c r="S20" t="s">
        <v>150</v>
      </c>
    </row>
    <row r="21" spans="1:19" ht="15">
      <c r="A21" t="s">
        <v>151</v>
      </c>
      <c r="B21" t="s">
        <v>151</v>
      </c>
      <c r="C21" t="s">
        <v>152</v>
      </c>
      <c r="D21" t="s">
        <v>153</v>
      </c>
      <c r="E21" t="s">
        <v>154</v>
      </c>
      <c r="F21" t="s">
        <v>155</v>
      </c>
      <c r="G21" t="s">
        <v>156</v>
      </c>
      <c r="H21" t="s">
        <v>156</v>
      </c>
      <c r="I21" t="s">
        <v>37</v>
      </c>
      <c r="J21"/>
      <c r="K21" s="16">
        <v>46150</v>
      </c>
      <c r="L21" s="16">
        <v>46150</v>
      </c>
      <c r="M21" t="s">
        <v>38</v>
      </c>
      <c r="N21" s="16">
        <v>46153</v>
      </c>
      <c r="O21" s="16" t="s">
        <v>39</v>
      </c>
      <c r="P21" t="s">
        <v>51</v>
      </c>
      <c r="Q21" t="s">
        <v>41</v>
      </c>
      <c r="R21" t="s">
        <v>157</v>
      </c>
      <c r="S21" t="s">
        <v>5</v>
      </c>
    </row>
    <row r="22" spans="1:19" ht="15">
      <c r="A22" t="s">
        <v>158</v>
      </c>
      <c r="B22" t="s">
        <v>158</v>
      </c>
      <c r="C22" t="s">
        <v>159</v>
      </c>
      <c r="D22" t="s">
        <v>160</v>
      </c>
      <c r="E22" t="s">
        <v>161</v>
      </c>
      <c r="F22" t="s">
        <v>162</v>
      </c>
      <c r="G22" t="s">
        <v>163</v>
      </c>
      <c r="H22" t="s">
        <v>164</v>
      </c>
      <c r="I22" t="s">
        <v>37</v>
      </c>
      <c r="J22"/>
      <c r="K22" s="16">
        <v>46150</v>
      </c>
      <c r="L22" s="16">
        <v>46150</v>
      </c>
      <c r="M22" t="s">
        <v>38</v>
      </c>
      <c r="N22" s="16">
        <v>46155</v>
      </c>
      <c r="O22" s="16" t="s">
        <v>39</v>
      </c>
      <c r="P22" t="s">
        <v>51</v>
      </c>
      <c r="Q22" t="s">
        <v>60</v>
      </c>
      <c r="R22" t="s">
        <v>165</v>
      </c>
      <c r="S22" t="s">
        <v>5</v>
      </c>
    </row>
    <row r="23" spans="1:19" ht="15">
      <c r="A23" t="s">
        <v>166</v>
      </c>
      <c r="B23" t="s">
        <v>166</v>
      </c>
      <c r="C23" t="s">
        <v>167</v>
      </c>
      <c r="D23" t="s">
        <v>168</v>
      </c>
      <c r="E23" t="s">
        <v>169</v>
      </c>
      <c r="F23" t="s">
        <v>170</v>
      </c>
      <c r="G23" t="s">
        <v>171</v>
      </c>
      <c r="H23" t="s">
        <v>156</v>
      </c>
      <c r="I23" t="s">
        <v>37</v>
      </c>
      <c r="J23"/>
      <c r="K23" s="16">
        <v>46150</v>
      </c>
      <c r="L23" s="16">
        <v>46150</v>
      </c>
      <c r="M23" t="s">
        <v>38</v>
      </c>
      <c r="N23" s="16">
        <v>46153</v>
      </c>
      <c r="O23" s="16" t="s">
        <v>39</v>
      </c>
      <c r="P23" t="s">
        <v>68</v>
      </c>
      <c r="Q23" t="s">
        <v>60</v>
      </c>
      <c r="R23" t="s">
        <v>172</v>
      </c>
      <c r="S23" t="s">
        <v>5</v>
      </c>
    </row>
    <row r="24" spans="1:19" ht="15">
      <c r="A24" t="s">
        <v>173</v>
      </c>
      <c r="B24" t="s">
        <v>173</v>
      </c>
      <c r="C24" t="s">
        <v>174</v>
      </c>
      <c r="D24" t="s">
        <v>153</v>
      </c>
      <c r="E24" t="s">
        <v>154</v>
      </c>
      <c r="F24" t="s">
        <v>155</v>
      </c>
      <c r="G24" t="s">
        <v>156</v>
      </c>
      <c r="H24" t="s">
        <v>156</v>
      </c>
      <c r="I24" t="s">
        <v>37</v>
      </c>
      <c r="J24"/>
      <c r="K24" s="16">
        <v>46150</v>
      </c>
      <c r="L24" s="16">
        <v>46150</v>
      </c>
      <c r="M24" t="s">
        <v>38</v>
      </c>
      <c r="N24" s="16">
        <v>46153</v>
      </c>
      <c r="O24" s="16" t="s">
        <v>39</v>
      </c>
      <c r="P24" t="s">
        <v>40</v>
      </c>
      <c r="Q24" t="s">
        <v>41</v>
      </c>
      <c r="R24" t="s">
        <v>175</v>
      </c>
      <c r="S24" t="s">
        <v>176</v>
      </c>
    </row>
    <row r="25" spans="1:19" ht="15">
      <c r="A25" t="s">
        <v>177</v>
      </c>
      <c r="B25" t="s">
        <v>177</v>
      </c>
      <c r="C25" t="s">
        <v>178</v>
      </c>
      <c r="D25" t="s">
        <v>179</v>
      </c>
      <c r="E25" t="s">
        <v>180</v>
      </c>
      <c r="F25" t="s">
        <v>181</v>
      </c>
      <c r="G25" t="s">
        <v>182</v>
      </c>
      <c r="H25" t="s">
        <v>183</v>
      </c>
      <c r="I25" t="s">
        <v>37</v>
      </c>
      <c r="J25"/>
      <c r="K25" s="16">
        <v>46150</v>
      </c>
      <c r="L25" s="16">
        <v>46150</v>
      </c>
      <c r="M25" t="s">
        <v>38</v>
      </c>
      <c r="N25" s="16">
        <v>46153</v>
      </c>
      <c r="O25" s="16" t="s">
        <v>39</v>
      </c>
      <c r="P25" t="s">
        <v>184</v>
      </c>
      <c r="Q25" t="s">
        <v>60</v>
      </c>
      <c r="R25" t="s">
        <v>185</v>
      </c>
      <c r="S25" t="s">
        <v>186</v>
      </c>
    </row>
    <row r="26" spans="1:19" ht="15">
      <c r="A26" t="s">
        <v>187</v>
      </c>
      <c r="B26" t="s">
        <v>187</v>
      </c>
      <c r="C26" t="s">
        <v>188</v>
      </c>
      <c r="D26" t="s">
        <v>189</v>
      </c>
      <c r="E26" t="s">
        <v>144</v>
      </c>
      <c r="F26" t="s">
        <v>190</v>
      </c>
      <c r="G26" t="s">
        <v>191</v>
      </c>
      <c r="H26" t="s">
        <v>191</v>
      </c>
      <c r="I26" t="s">
        <v>37</v>
      </c>
      <c r="J26"/>
      <c r="K26" s="16">
        <v>46150</v>
      </c>
      <c r="L26" s="16">
        <v>46150</v>
      </c>
      <c r="M26" t="s">
        <v>192</v>
      </c>
      <c r="N26" s="16">
        <v>46171</v>
      </c>
      <c r="O26" s="16" t="s">
        <v>193</v>
      </c>
      <c r="P26" t="s">
        <v>40</v>
      </c>
      <c r="Q26" t="s">
        <v>60</v>
      </c>
      <c r="R26" t="s">
        <v>194</v>
      </c>
      <c r="S26" t="s">
        <v>195</v>
      </c>
    </row>
    <row r="27" spans="1:19" ht="15">
      <c r="A27" t="s">
        <v>196</v>
      </c>
      <c r="B27" t="s">
        <v>196</v>
      </c>
      <c r="C27" t="s">
        <v>197</v>
      </c>
      <c r="D27" t="s">
        <v>198</v>
      </c>
      <c r="E27" t="s">
        <v>199</v>
      </c>
      <c r="F27" t="s">
        <v>200</v>
      </c>
      <c r="G27" t="s">
        <v>201</v>
      </c>
      <c r="H27" t="s">
        <v>202</v>
      </c>
      <c r="I27" t="s">
        <v>37</v>
      </c>
      <c r="J27"/>
      <c r="K27" s="16">
        <v>46150</v>
      </c>
      <c r="L27" s="16">
        <v>46150</v>
      </c>
      <c r="M27" t="s">
        <v>38</v>
      </c>
      <c r="N27" s="16">
        <v>46153</v>
      </c>
      <c r="O27" s="16" t="s">
        <v>39</v>
      </c>
      <c r="P27" t="s">
        <v>68</v>
      </c>
      <c r="Q27" t="s">
        <v>60</v>
      </c>
      <c r="R27" t="s">
        <v>203</v>
      </c>
      <c r="S27" t="s">
        <v>5</v>
      </c>
    </row>
    <row r="28" spans="1:19" ht="15">
      <c r="A28" t="s">
        <v>204</v>
      </c>
      <c r="B28" t="s">
        <v>204</v>
      </c>
      <c r="C28" t="s">
        <v>205</v>
      </c>
      <c r="D28" t="s">
        <v>153</v>
      </c>
      <c r="E28" t="s">
        <v>154</v>
      </c>
      <c r="F28" t="s">
        <v>155</v>
      </c>
      <c r="G28" t="s">
        <v>156</v>
      </c>
      <c r="H28" t="s">
        <v>156</v>
      </c>
      <c r="I28" t="s">
        <v>37</v>
      </c>
      <c r="J28"/>
      <c r="K28" s="16">
        <v>46150</v>
      </c>
      <c r="L28" s="16">
        <v>46150</v>
      </c>
      <c r="M28" t="s">
        <v>38</v>
      </c>
      <c r="N28" s="16">
        <v>46153</v>
      </c>
      <c r="O28" s="16" t="s">
        <v>39</v>
      </c>
      <c r="P28" t="s">
        <v>51</v>
      </c>
      <c r="Q28" t="s">
        <v>60</v>
      </c>
      <c r="R28" t="s">
        <v>206</v>
      </c>
      <c r="S28" t="s">
        <v>5</v>
      </c>
    </row>
    <row r="29" spans="1:19" ht="15">
      <c r="A29" t="s">
        <v>207</v>
      </c>
      <c r="B29" t="s">
        <v>207</v>
      </c>
      <c r="C29" t="s">
        <v>208</v>
      </c>
      <c r="D29" t="s">
        <v>209</v>
      </c>
      <c r="E29" t="s">
        <v>144</v>
      </c>
      <c r="F29" t="s">
        <v>210</v>
      </c>
      <c r="G29" t="s">
        <v>211</v>
      </c>
      <c r="H29" t="s">
        <v>212</v>
      </c>
      <c r="I29" t="s">
        <v>37</v>
      </c>
      <c r="J29"/>
      <c r="K29" s="16">
        <v>46150</v>
      </c>
      <c r="L29" s="16">
        <v>46150</v>
      </c>
      <c r="M29" t="s">
        <v>38</v>
      </c>
      <c r="N29" s="16">
        <v>46160</v>
      </c>
      <c r="O29" s="16" t="s">
        <v>39</v>
      </c>
      <c r="P29" t="s">
        <v>40</v>
      </c>
      <c r="Q29" t="s">
        <v>60</v>
      </c>
      <c r="R29" t="s">
        <v>213</v>
      </c>
      <c r="S29" t="s">
        <v>214</v>
      </c>
    </row>
    <row r="30" spans="1:19" ht="15">
      <c r="A30" t="s">
        <v>215</v>
      </c>
      <c r="B30" t="s">
        <v>215</v>
      </c>
      <c r="C30" t="s">
        <v>216</v>
      </c>
      <c r="D30" t="s">
        <v>217</v>
      </c>
      <c r="E30" t="s">
        <v>218</v>
      </c>
      <c r="F30" t="s">
        <v>219</v>
      </c>
      <c r="G30" t="s">
        <v>156</v>
      </c>
      <c r="H30" t="s">
        <v>156</v>
      </c>
      <c r="I30" t="s">
        <v>37</v>
      </c>
      <c r="J30"/>
      <c r="K30" s="16">
        <v>46150</v>
      </c>
      <c r="L30" s="16">
        <v>46150</v>
      </c>
      <c r="M30" t="s">
        <v>38</v>
      </c>
      <c r="N30" s="16">
        <v>46153</v>
      </c>
      <c r="O30" s="16" t="s">
        <v>39</v>
      </c>
      <c r="P30" t="s">
        <v>68</v>
      </c>
      <c r="Q30" t="s">
        <v>60</v>
      </c>
      <c r="R30" t="s">
        <v>220</v>
      </c>
      <c r="S30" t="s">
        <v>5</v>
      </c>
    </row>
    <row r="31" spans="1:19" ht="15">
      <c r="A31" t="s">
        <v>221</v>
      </c>
      <c r="B31" t="s">
        <v>221</v>
      </c>
      <c r="C31" t="s">
        <v>222</v>
      </c>
      <c r="D31" t="s">
        <v>223</v>
      </c>
      <c r="E31" t="s">
        <v>144</v>
      </c>
      <c r="F31" t="s">
        <v>224</v>
      </c>
      <c r="G31" t="s">
        <v>225</v>
      </c>
      <c r="H31" t="s">
        <v>226</v>
      </c>
      <c r="I31" t="s">
        <v>37</v>
      </c>
      <c r="J31"/>
      <c r="K31" s="16">
        <v>46150</v>
      </c>
      <c r="L31" s="16">
        <v>46150</v>
      </c>
      <c r="M31" t="s">
        <v>38</v>
      </c>
      <c r="N31" s="16">
        <v>46153</v>
      </c>
      <c r="O31" s="16" t="s">
        <v>39</v>
      </c>
      <c r="P31" t="s">
        <v>40</v>
      </c>
      <c r="Q31" t="s">
        <v>60</v>
      </c>
      <c r="R31" t="s">
        <v>227</v>
      </c>
      <c r="S31" t="s">
        <v>228</v>
      </c>
    </row>
    <row r="32" spans="1:19" ht="15">
      <c r="A32" t="s">
        <v>229</v>
      </c>
      <c r="B32" t="s">
        <v>229</v>
      </c>
      <c r="C32" t="s">
        <v>230</v>
      </c>
      <c r="D32" t="s">
        <v>231</v>
      </c>
      <c r="E32" t="s">
        <v>144</v>
      </c>
      <c r="F32" t="s">
        <v>232</v>
      </c>
      <c r="G32" t="s">
        <v>233</v>
      </c>
      <c r="H32" t="s">
        <v>234</v>
      </c>
      <c r="I32" t="s">
        <v>37</v>
      </c>
      <c r="J32"/>
      <c r="K32" s="16">
        <v>46150</v>
      </c>
      <c r="L32" s="16">
        <v>46150</v>
      </c>
      <c r="M32" t="s">
        <v>38</v>
      </c>
      <c r="N32" s="16">
        <v>46154</v>
      </c>
      <c r="O32" s="16" t="s">
        <v>39</v>
      </c>
      <c r="P32" t="s">
        <v>40</v>
      </c>
      <c r="Q32" t="s">
        <v>60</v>
      </c>
      <c r="R32" t="s">
        <v>235</v>
      </c>
      <c r="S32" t="s">
        <v>236</v>
      </c>
    </row>
    <row r="33" spans="1:19" ht="15">
      <c r="A33" t="s">
        <v>237</v>
      </c>
      <c r="B33" t="s">
        <v>237</v>
      </c>
      <c r="C33" t="s">
        <v>238</v>
      </c>
      <c r="D33" t="s">
        <v>239</v>
      </c>
      <c r="E33" t="s">
        <v>240</v>
      </c>
      <c r="F33" t="s">
        <v>241</v>
      </c>
      <c r="G33" t="s">
        <v>50</v>
      </c>
      <c r="H33" t="s">
        <v>50</v>
      </c>
      <c r="I33" t="s">
        <v>37</v>
      </c>
      <c r="J33"/>
      <c r="K33" s="16">
        <v>46150</v>
      </c>
      <c r="L33" s="16">
        <v>46150</v>
      </c>
      <c r="M33" t="s">
        <v>38</v>
      </c>
      <c r="N33" s="16">
        <v>46153</v>
      </c>
      <c r="O33" s="16" t="s">
        <v>39</v>
      </c>
      <c r="P33" t="s">
        <v>51</v>
      </c>
      <c r="Q33" t="s">
        <v>60</v>
      </c>
      <c r="R33" t="s">
        <v>242</v>
      </c>
      <c r="S33" t="s">
        <v>5</v>
      </c>
    </row>
    <row r="34" spans="1:19" ht="15">
      <c r="A34" t="s">
        <v>243</v>
      </c>
      <c r="B34" t="s">
        <v>243</v>
      </c>
      <c r="C34" t="s">
        <v>244</v>
      </c>
      <c r="D34" t="s">
        <v>112</v>
      </c>
      <c r="E34" t="s">
        <v>113</v>
      </c>
      <c r="F34" t="s">
        <v>114</v>
      </c>
      <c r="G34" t="s">
        <v>115</v>
      </c>
      <c r="H34" t="s">
        <v>36</v>
      </c>
      <c r="I34" t="s">
        <v>37</v>
      </c>
      <c r="J34"/>
      <c r="K34" s="16">
        <v>46150</v>
      </c>
      <c r="L34" s="16">
        <v>46150</v>
      </c>
      <c r="M34" t="s">
        <v>38</v>
      </c>
      <c r="N34" s="16">
        <v>46154</v>
      </c>
      <c r="O34" s="16" t="s">
        <v>39</v>
      </c>
      <c r="P34" t="s">
        <v>40</v>
      </c>
      <c r="Q34" t="s">
        <v>41</v>
      </c>
      <c r="R34" t="s">
        <v>245</v>
      </c>
      <c r="S34" t="s">
        <v>246</v>
      </c>
    </row>
    <row r="35" spans="1:19" ht="15">
      <c r="A35" t="s">
        <v>247</v>
      </c>
      <c r="B35" t="s">
        <v>247</v>
      </c>
      <c r="C35" t="s">
        <v>248</v>
      </c>
      <c r="D35" t="s">
        <v>249</v>
      </c>
      <c r="E35" t="s">
        <v>250</v>
      </c>
      <c r="F35" t="s">
        <v>251</v>
      </c>
      <c r="G35" t="s">
        <v>252</v>
      </c>
      <c r="H35" t="s">
        <v>253</v>
      </c>
      <c r="I35" t="s">
        <v>37</v>
      </c>
      <c r="J35"/>
      <c r="K35" s="16">
        <v>46150</v>
      </c>
      <c r="L35" s="16">
        <v>46150</v>
      </c>
      <c r="M35" t="s">
        <v>38</v>
      </c>
      <c r="N35" s="16">
        <v>46153</v>
      </c>
      <c r="O35" s="16" t="s">
        <v>39</v>
      </c>
      <c r="P35" t="s">
        <v>51</v>
      </c>
      <c r="Q35" t="s">
        <v>60</v>
      </c>
      <c r="R35" t="s">
        <v>254</v>
      </c>
      <c r="S35" t="s">
        <v>5</v>
      </c>
    </row>
    <row r="36" spans="1:19" ht="15">
      <c r="A36" t="s">
        <v>255</v>
      </c>
      <c r="B36" t="s">
        <v>255</v>
      </c>
      <c r="C36" t="s">
        <v>256</v>
      </c>
      <c r="D36" t="s">
        <v>257</v>
      </c>
      <c r="E36" t="s">
        <v>258</v>
      </c>
      <c r="F36" t="s">
        <v>259</v>
      </c>
      <c r="G36" t="s">
        <v>260</v>
      </c>
      <c r="H36" t="s">
        <v>191</v>
      </c>
      <c r="I36" t="s">
        <v>37</v>
      </c>
      <c r="J36"/>
      <c r="K36" s="16">
        <v>46150</v>
      </c>
      <c r="L36" s="16">
        <v>46150</v>
      </c>
      <c r="M36" t="s">
        <v>38</v>
      </c>
      <c r="N36" s="16">
        <v>46153</v>
      </c>
      <c r="O36" s="16" t="s">
        <v>39</v>
      </c>
      <c r="P36" t="s">
        <v>40</v>
      </c>
      <c r="Q36" t="s">
        <v>60</v>
      </c>
      <c r="R36" t="s">
        <v>261</v>
      </c>
      <c r="S36" t="s">
        <v>262</v>
      </c>
    </row>
    <row r="37" spans="1:19" ht="15">
      <c r="A37" t="s">
        <v>263</v>
      </c>
      <c r="B37" t="s">
        <v>264</v>
      </c>
      <c r="C37" t="s">
        <v>265</v>
      </c>
      <c r="D37" t="s">
        <v>124</v>
      </c>
      <c r="E37" t="s">
        <v>125</v>
      </c>
      <c r="F37" t="s">
        <v>126</v>
      </c>
      <c r="G37" t="s">
        <v>127</v>
      </c>
      <c r="H37" t="s">
        <v>128</v>
      </c>
      <c r="I37" t="s">
        <v>37</v>
      </c>
      <c r="J37"/>
      <c r="K37" s="16">
        <v>46150</v>
      </c>
      <c r="L37" s="16">
        <v>46150</v>
      </c>
      <c r="M37" t="s">
        <v>38</v>
      </c>
      <c r="N37" s="16">
        <v>46161</v>
      </c>
      <c r="O37" s="16" t="s">
        <v>39</v>
      </c>
      <c r="P37" t="s">
        <v>129</v>
      </c>
      <c r="Q37" t="s">
        <v>130</v>
      </c>
      <c r="R37" t="s">
        <v>266</v>
      </c>
      <c r="S37" t="s">
        <v>5</v>
      </c>
    </row>
    <row r="38" spans="1:19" ht="15">
      <c r="A38" t="s">
        <v>267</v>
      </c>
      <c r="B38" t="s">
        <v>267</v>
      </c>
      <c r="C38" t="s">
        <v>268</v>
      </c>
      <c r="D38" t="s">
        <v>269</v>
      </c>
      <c r="E38" t="s">
        <v>270</v>
      </c>
      <c r="F38" t="s">
        <v>241</v>
      </c>
      <c r="G38" t="s">
        <v>50</v>
      </c>
      <c r="H38" t="s">
        <v>50</v>
      </c>
      <c r="I38" t="s">
        <v>37</v>
      </c>
      <c r="J38"/>
      <c r="K38" s="16">
        <v>46150</v>
      </c>
      <c r="L38" s="16">
        <v>46150</v>
      </c>
      <c r="M38" t="s">
        <v>38</v>
      </c>
      <c r="N38" s="16">
        <v>46153</v>
      </c>
      <c r="O38" s="16" t="s">
        <v>39</v>
      </c>
      <c r="P38" t="s">
        <v>40</v>
      </c>
      <c r="Q38" t="s">
        <v>60</v>
      </c>
      <c r="R38" t="s">
        <v>271</v>
      </c>
      <c r="S38" t="s">
        <v>272</v>
      </c>
    </row>
    <row r="39" spans="1:19" ht="15">
      <c r="A39" t="s">
        <v>273</v>
      </c>
      <c r="B39" t="s">
        <v>273</v>
      </c>
      <c r="C39" t="s">
        <v>274</v>
      </c>
      <c r="D39" t="s">
        <v>275</v>
      </c>
      <c r="E39" t="s">
        <v>276</v>
      </c>
      <c r="F39" t="s">
        <v>277</v>
      </c>
      <c r="G39" t="s">
        <v>278</v>
      </c>
      <c r="H39" t="s">
        <v>278</v>
      </c>
      <c r="I39" t="s">
        <v>37</v>
      </c>
      <c r="J39"/>
      <c r="K39" s="16">
        <v>46150</v>
      </c>
      <c r="L39" s="16">
        <v>46150</v>
      </c>
      <c r="M39" t="s">
        <v>38</v>
      </c>
      <c r="N39" s="16">
        <v>46154</v>
      </c>
      <c r="O39" s="16" t="s">
        <v>39</v>
      </c>
      <c r="P39" t="s">
        <v>40</v>
      </c>
      <c r="Q39" t="s">
        <v>60</v>
      </c>
      <c r="R39" t="s">
        <v>279</v>
      </c>
      <c r="S39" t="s">
        <v>280</v>
      </c>
    </row>
    <row r="40" spans="1:19" ht="15">
      <c r="A40" t="s">
        <v>281</v>
      </c>
      <c r="B40" t="s">
        <v>281</v>
      </c>
      <c r="C40" t="s">
        <v>281</v>
      </c>
      <c r="D40" t="s">
        <v>124</v>
      </c>
      <c r="E40" t="s">
        <v>125</v>
      </c>
      <c r="F40" t="s">
        <v>126</v>
      </c>
      <c r="G40" t="s">
        <v>127</v>
      </c>
      <c r="H40" t="s">
        <v>128</v>
      </c>
      <c r="I40" t="s">
        <v>37</v>
      </c>
      <c r="J40"/>
      <c r="K40" s="16">
        <v>46150</v>
      </c>
      <c r="L40" s="16">
        <v>46150</v>
      </c>
      <c r="M40" t="s">
        <v>38</v>
      </c>
      <c r="N40" s="16">
        <v>46161</v>
      </c>
      <c r="O40" s="16" t="s">
        <v>39</v>
      </c>
      <c r="P40" t="s">
        <v>129</v>
      </c>
      <c r="Q40" t="s">
        <v>130</v>
      </c>
      <c r="R40" t="s">
        <v>282</v>
      </c>
      <c r="S40" t="s">
        <v>5</v>
      </c>
    </row>
    <row r="41" spans="1:19" ht="15">
      <c r="A41" t="s">
        <v>283</v>
      </c>
      <c r="B41" t="s">
        <v>283</v>
      </c>
      <c r="C41" t="s">
        <v>284</v>
      </c>
      <c r="D41" t="s">
        <v>285</v>
      </c>
      <c r="E41" t="s">
        <v>286</v>
      </c>
      <c r="F41" t="s">
        <v>287</v>
      </c>
      <c r="G41" t="s">
        <v>288</v>
      </c>
      <c r="H41" t="s">
        <v>289</v>
      </c>
      <c r="I41" t="s">
        <v>37</v>
      </c>
      <c r="J41"/>
      <c r="K41" s="16">
        <v>46150</v>
      </c>
      <c r="L41" s="16">
        <v>46150</v>
      </c>
      <c r="M41" t="s">
        <v>38</v>
      </c>
      <c r="N41" s="16">
        <v>46153</v>
      </c>
      <c r="O41" s="16" t="s">
        <v>39</v>
      </c>
      <c r="P41" t="s">
        <v>51</v>
      </c>
      <c r="Q41" t="s">
        <v>60</v>
      </c>
      <c r="R41" t="s">
        <v>290</v>
      </c>
      <c r="S41" t="s">
        <v>5</v>
      </c>
    </row>
    <row r="42" spans="1:19" ht="15">
      <c r="A42" t="s">
        <v>291</v>
      </c>
      <c r="B42" t="s">
        <v>291</v>
      </c>
      <c r="C42" t="s">
        <v>292</v>
      </c>
      <c r="D42" t="s">
        <v>293</v>
      </c>
      <c r="E42" t="s">
        <v>144</v>
      </c>
      <c r="F42" t="s">
        <v>294</v>
      </c>
      <c r="G42" t="s">
        <v>295</v>
      </c>
      <c r="H42" t="s">
        <v>226</v>
      </c>
      <c r="I42" t="s">
        <v>37</v>
      </c>
      <c r="J42"/>
      <c r="K42" s="16">
        <v>46150</v>
      </c>
      <c r="L42" s="16">
        <v>46150</v>
      </c>
      <c r="M42" t="s">
        <v>38</v>
      </c>
      <c r="N42" s="16">
        <v>46153</v>
      </c>
      <c r="O42" s="16" t="s">
        <v>39</v>
      </c>
      <c r="P42" t="s">
        <v>40</v>
      </c>
      <c r="Q42" t="s">
        <v>60</v>
      </c>
      <c r="R42" t="s">
        <v>296</v>
      </c>
      <c r="S42" t="s">
        <v>297</v>
      </c>
    </row>
    <row r="43" spans="1:19" ht="15">
      <c r="A43" t="s">
        <v>298</v>
      </c>
      <c r="B43" t="s">
        <v>298</v>
      </c>
      <c r="C43" t="s">
        <v>299</v>
      </c>
      <c r="D43" t="s">
        <v>153</v>
      </c>
      <c r="E43" t="s">
        <v>154</v>
      </c>
      <c r="F43" t="s">
        <v>155</v>
      </c>
      <c r="G43" t="s">
        <v>156</v>
      </c>
      <c r="H43" t="s">
        <v>156</v>
      </c>
      <c r="I43" t="s">
        <v>37</v>
      </c>
      <c r="J43"/>
      <c r="K43" s="16">
        <v>46150</v>
      </c>
      <c r="L43" s="16">
        <v>46150</v>
      </c>
      <c r="M43" t="s">
        <v>38</v>
      </c>
      <c r="N43" s="16">
        <v>46153</v>
      </c>
      <c r="O43" s="16" t="s">
        <v>39</v>
      </c>
      <c r="P43" t="s">
        <v>40</v>
      </c>
      <c r="Q43" t="s">
        <v>41</v>
      </c>
      <c r="R43" t="s">
        <v>300</v>
      </c>
      <c r="S43" t="s">
        <v>301</v>
      </c>
    </row>
    <row r="44" spans="1:19" ht="15">
      <c r="A44" t="s">
        <v>302</v>
      </c>
      <c r="B44" t="s">
        <v>302</v>
      </c>
      <c r="C44" t="s">
        <v>303</v>
      </c>
      <c r="D44" t="s">
        <v>304</v>
      </c>
      <c r="E44" t="s">
        <v>144</v>
      </c>
      <c r="F44" t="s">
        <v>305</v>
      </c>
      <c r="G44" t="s">
        <v>306</v>
      </c>
      <c r="H44" t="s">
        <v>307</v>
      </c>
      <c r="I44" t="s">
        <v>37</v>
      </c>
      <c r="J44"/>
      <c r="K44" s="16">
        <v>46150</v>
      </c>
      <c r="L44" s="16">
        <v>46150</v>
      </c>
      <c r="M44" t="s">
        <v>38</v>
      </c>
      <c r="N44" s="16">
        <v>46153</v>
      </c>
      <c r="O44" s="16" t="s">
        <v>39</v>
      </c>
      <c r="P44" t="s">
        <v>40</v>
      </c>
      <c r="Q44" t="s">
        <v>60</v>
      </c>
      <c r="R44" t="s">
        <v>308</v>
      </c>
      <c r="S44" t="s">
        <v>309</v>
      </c>
    </row>
    <row r="45" spans="1:19" ht="15">
      <c r="A45" t="s">
        <v>310</v>
      </c>
      <c r="B45" t="s">
        <v>310</v>
      </c>
      <c r="C45" t="s">
        <v>311</v>
      </c>
      <c r="D45" t="s">
        <v>312</v>
      </c>
      <c r="E45" t="s">
        <v>144</v>
      </c>
      <c r="F45" t="s">
        <v>155</v>
      </c>
      <c r="G45" t="s">
        <v>313</v>
      </c>
      <c r="H45" t="s">
        <v>313</v>
      </c>
      <c r="I45" t="s">
        <v>37</v>
      </c>
      <c r="J45"/>
      <c r="K45" s="16">
        <v>46150</v>
      </c>
      <c r="L45" s="16">
        <v>46150</v>
      </c>
      <c r="M45" t="s">
        <v>192</v>
      </c>
      <c r="N45" s="16">
        <v>46176</v>
      </c>
      <c r="O45" s="16" t="s">
        <v>193</v>
      </c>
      <c r="P45" t="s">
        <v>40</v>
      </c>
      <c r="Q45" t="s">
        <v>60</v>
      </c>
      <c r="R45" t="s">
        <v>314</v>
      </c>
      <c r="S45" t="s">
        <v>315</v>
      </c>
    </row>
    <row r="46" spans="1:19" ht="15">
      <c r="A46" t="s">
        <v>316</v>
      </c>
      <c r="B46" t="s">
        <v>316</v>
      </c>
      <c r="C46" t="s">
        <v>317</v>
      </c>
      <c r="D46" t="s">
        <v>318</v>
      </c>
      <c r="E46" t="s">
        <v>319</v>
      </c>
      <c r="F46" t="s">
        <v>320</v>
      </c>
      <c r="G46" t="s">
        <v>321</v>
      </c>
      <c r="H46" t="s">
        <v>321</v>
      </c>
      <c r="I46" t="s">
        <v>37</v>
      </c>
      <c r="J46"/>
      <c r="K46" s="16">
        <v>46150</v>
      </c>
      <c r="L46" s="16">
        <v>46150</v>
      </c>
      <c r="M46" t="s">
        <v>38</v>
      </c>
      <c r="N46" s="16">
        <v>46154</v>
      </c>
      <c r="O46" s="16" t="s">
        <v>39</v>
      </c>
      <c r="P46" t="s">
        <v>68</v>
      </c>
      <c r="Q46" t="s">
        <v>60</v>
      </c>
      <c r="R46" t="s">
        <v>322</v>
      </c>
      <c r="S46" t="s">
        <v>5</v>
      </c>
    </row>
    <row r="47" spans="1:19" ht="15">
      <c r="A47" t="s">
        <v>323</v>
      </c>
      <c r="B47" t="s">
        <v>323</v>
      </c>
      <c r="C47" t="s">
        <v>324</v>
      </c>
      <c r="D47" t="s">
        <v>325</v>
      </c>
      <c r="E47" t="s">
        <v>144</v>
      </c>
      <c r="F47" t="s">
        <v>326</v>
      </c>
      <c r="G47" t="s">
        <v>327</v>
      </c>
      <c r="H47" t="s">
        <v>328</v>
      </c>
      <c r="I47" t="s">
        <v>37</v>
      </c>
      <c r="J47"/>
      <c r="K47" s="16">
        <v>46150</v>
      </c>
      <c r="L47" s="16">
        <v>46150</v>
      </c>
      <c r="M47" t="s">
        <v>38</v>
      </c>
      <c r="N47" s="16">
        <v>46156</v>
      </c>
      <c r="O47" s="16" t="s">
        <v>39</v>
      </c>
      <c r="P47" t="s">
        <v>40</v>
      </c>
      <c r="Q47" t="s">
        <v>60</v>
      </c>
      <c r="R47" t="s">
        <v>329</v>
      </c>
      <c r="S47" t="s">
        <v>330</v>
      </c>
    </row>
    <row r="48" spans="1:19" ht="15">
      <c r="A48" t="s">
        <v>331</v>
      </c>
      <c r="B48" t="s">
        <v>331</v>
      </c>
      <c r="C48" t="s">
        <v>332</v>
      </c>
      <c r="D48" t="s">
        <v>333</v>
      </c>
      <c r="E48" t="s">
        <v>144</v>
      </c>
      <c r="F48" t="s">
        <v>334</v>
      </c>
      <c r="G48" t="s">
        <v>335</v>
      </c>
      <c r="H48" t="s">
        <v>336</v>
      </c>
      <c r="I48" t="s">
        <v>37</v>
      </c>
      <c r="J48"/>
      <c r="K48" s="16">
        <v>46150</v>
      </c>
      <c r="L48" s="16">
        <v>46150</v>
      </c>
      <c r="M48" t="s">
        <v>38</v>
      </c>
      <c r="N48" s="16">
        <v>46154</v>
      </c>
      <c r="O48" s="16" t="s">
        <v>39</v>
      </c>
      <c r="P48" t="s">
        <v>40</v>
      </c>
      <c r="Q48" t="s">
        <v>60</v>
      </c>
      <c r="R48" t="s">
        <v>337</v>
      </c>
      <c r="S48" t="s">
        <v>338</v>
      </c>
    </row>
    <row r="49" spans="1:19" ht="15">
      <c r="A49" t="s">
        <v>339</v>
      </c>
      <c r="B49" t="s">
        <v>339</v>
      </c>
      <c r="C49" t="s">
        <v>340</v>
      </c>
      <c r="D49" t="s">
        <v>341</v>
      </c>
      <c r="E49" t="s">
        <v>144</v>
      </c>
      <c r="F49" t="s">
        <v>342</v>
      </c>
      <c r="G49" t="s">
        <v>343</v>
      </c>
      <c r="H49" t="s">
        <v>336</v>
      </c>
      <c r="I49" t="s">
        <v>37</v>
      </c>
      <c r="J49"/>
      <c r="K49" s="16">
        <v>46150</v>
      </c>
      <c r="L49" s="16">
        <v>46150</v>
      </c>
      <c r="M49" t="s">
        <v>38</v>
      </c>
      <c r="N49" s="16">
        <v>46160</v>
      </c>
      <c r="O49" s="16" t="s">
        <v>39</v>
      </c>
      <c r="P49" t="s">
        <v>40</v>
      </c>
      <c r="Q49" t="s">
        <v>60</v>
      </c>
      <c r="R49" t="s">
        <v>344</v>
      </c>
      <c r="S49" t="s">
        <v>345</v>
      </c>
    </row>
    <row r="50" spans="1:19" ht="15">
      <c r="A50" t="s">
        <v>346</v>
      </c>
      <c r="B50" t="s">
        <v>346</v>
      </c>
      <c r="C50" t="s">
        <v>347</v>
      </c>
      <c r="D50" t="s">
        <v>348</v>
      </c>
      <c r="E50" t="s">
        <v>349</v>
      </c>
      <c r="F50" t="s">
        <v>350</v>
      </c>
      <c r="G50" t="s">
        <v>351</v>
      </c>
      <c r="H50" t="s">
        <v>351</v>
      </c>
      <c r="I50" t="s">
        <v>37</v>
      </c>
      <c r="J50"/>
      <c r="K50" s="16">
        <v>46150</v>
      </c>
      <c r="L50" s="16">
        <v>46150</v>
      </c>
      <c r="M50" t="s">
        <v>38</v>
      </c>
      <c r="N50" s="16">
        <v>46154</v>
      </c>
      <c r="O50" s="16" t="s">
        <v>39</v>
      </c>
      <c r="P50" t="s">
        <v>68</v>
      </c>
      <c r="Q50" t="s">
        <v>60</v>
      </c>
      <c r="R50" t="s">
        <v>352</v>
      </c>
      <c r="S50" t="s">
        <v>5</v>
      </c>
    </row>
    <row r="51" spans="1:19" ht="15">
      <c r="A51" t="s">
        <v>353</v>
      </c>
      <c r="B51" t="s">
        <v>353</v>
      </c>
      <c r="C51" t="s">
        <v>354</v>
      </c>
      <c r="D51" t="s">
        <v>355</v>
      </c>
      <c r="E51" t="s">
        <v>144</v>
      </c>
      <c r="F51" t="s">
        <v>356</v>
      </c>
      <c r="G51" t="s">
        <v>234</v>
      </c>
      <c r="H51" t="s">
        <v>234</v>
      </c>
      <c r="I51" t="s">
        <v>37</v>
      </c>
      <c r="J51"/>
      <c r="K51" s="16">
        <v>46150</v>
      </c>
      <c r="L51" s="16">
        <v>46150</v>
      </c>
      <c r="M51" t="s">
        <v>38</v>
      </c>
      <c r="N51" s="16">
        <v>46156</v>
      </c>
      <c r="O51" s="16" t="s">
        <v>39</v>
      </c>
      <c r="P51" t="s">
        <v>40</v>
      </c>
      <c r="Q51" t="s">
        <v>60</v>
      </c>
      <c r="R51" t="s">
        <v>357</v>
      </c>
      <c r="S51" t="s">
        <v>358</v>
      </c>
    </row>
    <row r="52" spans="1:19" ht="15">
      <c r="A52" t="s">
        <v>359</v>
      </c>
      <c r="B52" t="s">
        <v>359</v>
      </c>
      <c r="C52" t="s">
        <v>360</v>
      </c>
      <c r="D52" t="s">
        <v>361</v>
      </c>
      <c r="E52" t="s">
        <v>144</v>
      </c>
      <c r="F52" t="s">
        <v>362</v>
      </c>
      <c r="G52" t="s">
        <v>363</v>
      </c>
      <c r="H52" t="s">
        <v>364</v>
      </c>
      <c r="I52" t="s">
        <v>37</v>
      </c>
      <c r="J52"/>
      <c r="K52" s="16">
        <v>46150</v>
      </c>
      <c r="L52" s="16">
        <v>46150</v>
      </c>
      <c r="M52" t="s">
        <v>38</v>
      </c>
      <c r="N52" s="16">
        <v>46161</v>
      </c>
      <c r="O52" s="16" t="s">
        <v>39</v>
      </c>
      <c r="P52" t="s">
        <v>40</v>
      </c>
      <c r="Q52" t="s">
        <v>60</v>
      </c>
      <c r="R52" t="s">
        <v>365</v>
      </c>
      <c r="S52" t="s">
        <v>366</v>
      </c>
    </row>
    <row r="53" spans="1:19" ht="15">
      <c r="A53" t="s">
        <v>367</v>
      </c>
      <c r="B53" t="s">
        <v>367</v>
      </c>
      <c r="C53" t="s">
        <v>368</v>
      </c>
      <c r="D53" t="s">
        <v>369</v>
      </c>
      <c r="E53" t="s">
        <v>169</v>
      </c>
      <c r="F53" t="s">
        <v>294</v>
      </c>
      <c r="G53" t="s">
        <v>370</v>
      </c>
      <c r="H53" t="s">
        <v>226</v>
      </c>
      <c r="I53" t="s">
        <v>37</v>
      </c>
      <c r="J53"/>
      <c r="K53" s="16">
        <v>46150</v>
      </c>
      <c r="L53" s="16">
        <v>46150</v>
      </c>
      <c r="M53" t="s">
        <v>38</v>
      </c>
      <c r="N53" s="16">
        <v>46155</v>
      </c>
      <c r="O53" s="16" t="s">
        <v>39</v>
      </c>
      <c r="P53" t="s">
        <v>68</v>
      </c>
      <c r="Q53" t="s">
        <v>60</v>
      </c>
      <c r="R53" t="s">
        <v>371</v>
      </c>
      <c r="S53" t="s">
        <v>5</v>
      </c>
    </row>
    <row r="54" spans="1:19" ht="15">
      <c r="A54" t="s">
        <v>372</v>
      </c>
      <c r="B54" t="s">
        <v>372</v>
      </c>
      <c r="C54" t="s">
        <v>373</v>
      </c>
      <c r="D54" t="s">
        <v>374</v>
      </c>
      <c r="E54" t="s">
        <v>375</v>
      </c>
      <c r="F54" t="s">
        <v>376</v>
      </c>
      <c r="G54" t="s">
        <v>377</v>
      </c>
      <c r="H54" t="s">
        <v>50</v>
      </c>
      <c r="I54" t="s">
        <v>37</v>
      </c>
      <c r="J54"/>
      <c r="K54" s="16">
        <v>46153</v>
      </c>
      <c r="L54" s="16">
        <v>46153</v>
      </c>
      <c r="M54" t="s">
        <v>38</v>
      </c>
      <c r="N54" s="16">
        <v>46154</v>
      </c>
      <c r="O54" s="16" t="s">
        <v>39</v>
      </c>
      <c r="P54" t="s">
        <v>378</v>
      </c>
      <c r="Q54" t="s">
        <v>378</v>
      </c>
      <c r="R54" t="s">
        <v>379</v>
      </c>
      <c r="S54" t="s">
        <v>5</v>
      </c>
    </row>
    <row r="55" spans="1:19" ht="15">
      <c r="A55" t="s">
        <v>380</v>
      </c>
      <c r="B55" t="s">
        <v>380</v>
      </c>
      <c r="C55" t="s">
        <v>381</v>
      </c>
      <c r="D55" t="s">
        <v>382</v>
      </c>
      <c r="E55" t="s">
        <v>383</v>
      </c>
      <c r="F55" t="s">
        <v>384</v>
      </c>
      <c r="G55" t="s">
        <v>385</v>
      </c>
      <c r="H55" t="s">
        <v>50</v>
      </c>
      <c r="I55" t="s">
        <v>37</v>
      </c>
      <c r="J55"/>
      <c r="K55" s="16">
        <v>46154</v>
      </c>
      <c r="L55" s="16">
        <v>46154</v>
      </c>
      <c r="M55" t="s">
        <v>38</v>
      </c>
      <c r="N55" s="16">
        <v>46155</v>
      </c>
      <c r="O55" s="16" t="s">
        <v>39</v>
      </c>
      <c r="P55" t="s">
        <v>386</v>
      </c>
      <c r="Q55" t="s">
        <v>130</v>
      </c>
      <c r="R55" t="s">
        <v>387</v>
      </c>
      <c r="S55" t="s">
        <v>5</v>
      </c>
    </row>
    <row r="56" spans="1:19" ht="15">
      <c r="A56" t="s">
        <v>388</v>
      </c>
      <c r="B56" t="s">
        <v>388</v>
      </c>
      <c r="C56" t="s">
        <v>389</v>
      </c>
      <c r="D56" t="s">
        <v>390</v>
      </c>
      <c r="E56" t="s">
        <v>391</v>
      </c>
      <c r="F56" t="s">
        <v>392</v>
      </c>
      <c r="G56" t="s">
        <v>234</v>
      </c>
      <c r="H56" t="s">
        <v>234</v>
      </c>
      <c r="I56" t="s">
        <v>37</v>
      </c>
      <c r="J56"/>
      <c r="K56" s="16">
        <v>46154</v>
      </c>
      <c r="L56" s="16">
        <v>46154</v>
      </c>
      <c r="M56" t="s">
        <v>38</v>
      </c>
      <c r="N56" s="16">
        <v>46155</v>
      </c>
      <c r="O56" s="16" t="s">
        <v>39</v>
      </c>
      <c r="P56" t="s">
        <v>40</v>
      </c>
      <c r="Q56" t="s">
        <v>60</v>
      </c>
      <c r="R56" t="s">
        <v>393</v>
      </c>
      <c r="S56" t="s">
        <v>394</v>
      </c>
    </row>
    <row r="57" spans="1:19" ht="15">
      <c r="A57" t="s">
        <v>395</v>
      </c>
      <c r="B57" t="s">
        <v>395</v>
      </c>
      <c r="C57" t="s">
        <v>396</v>
      </c>
      <c r="D57" t="s">
        <v>397</v>
      </c>
      <c r="E57" t="s">
        <v>398</v>
      </c>
      <c r="F57" t="s">
        <v>399</v>
      </c>
      <c r="G57" t="s">
        <v>313</v>
      </c>
      <c r="H57" t="s">
        <v>313</v>
      </c>
      <c r="I57" t="s">
        <v>37</v>
      </c>
      <c r="J57"/>
      <c r="K57" s="16">
        <v>46154</v>
      </c>
      <c r="L57" s="16">
        <v>46154</v>
      </c>
      <c r="M57" t="s">
        <v>94</v>
      </c>
      <c r="N57" s="16">
        <v>46160</v>
      </c>
      <c r="O57" s="16" t="s">
        <v>400</v>
      </c>
      <c r="P57" t="s">
        <v>68</v>
      </c>
      <c r="Q57" t="s">
        <v>60</v>
      </c>
      <c r="R57" t="s">
        <v>401</v>
      </c>
      <c r="S57" t="s">
        <v>5</v>
      </c>
    </row>
    <row r="58" spans="1:19" ht="15">
      <c r="A58" t="s">
        <v>402</v>
      </c>
      <c r="B58" t="s">
        <v>402</v>
      </c>
      <c r="C58" t="s">
        <v>403</v>
      </c>
      <c r="D58" t="s">
        <v>404</v>
      </c>
      <c r="E58" t="s">
        <v>405</v>
      </c>
      <c r="F58" t="s">
        <v>406</v>
      </c>
      <c r="G58" t="s">
        <v>407</v>
      </c>
      <c r="H58" t="s">
        <v>408</v>
      </c>
      <c r="I58" t="s">
        <v>37</v>
      </c>
      <c r="J58"/>
      <c r="K58" s="16">
        <v>46154</v>
      </c>
      <c r="L58" s="16">
        <v>46154</v>
      </c>
      <c r="M58" t="s">
        <v>38</v>
      </c>
      <c r="N58" s="16">
        <v>46155</v>
      </c>
      <c r="O58" s="16" t="s">
        <v>39</v>
      </c>
      <c r="P58" t="s">
        <v>51</v>
      </c>
      <c r="Q58" t="s">
        <v>60</v>
      </c>
      <c r="R58" t="s">
        <v>409</v>
      </c>
      <c r="S58" t="s">
        <v>5</v>
      </c>
    </row>
    <row r="59" spans="1:19" ht="15">
      <c r="A59" t="s">
        <v>410</v>
      </c>
      <c r="B59" t="s">
        <v>410</v>
      </c>
      <c r="C59" t="s">
        <v>411</v>
      </c>
      <c r="D59" t="s">
        <v>412</v>
      </c>
      <c r="E59" t="s">
        <v>413</v>
      </c>
      <c r="F59" t="s">
        <v>414</v>
      </c>
      <c r="G59" t="s">
        <v>415</v>
      </c>
      <c r="H59" t="s">
        <v>416</v>
      </c>
      <c r="I59" t="s">
        <v>37</v>
      </c>
      <c r="J59"/>
      <c r="K59" s="16">
        <v>46154</v>
      </c>
      <c r="L59" s="16">
        <v>46154</v>
      </c>
      <c r="M59" t="s">
        <v>38</v>
      </c>
      <c r="N59" s="16">
        <v>46156</v>
      </c>
      <c r="O59" s="16" t="s">
        <v>39</v>
      </c>
      <c r="P59" t="s">
        <v>184</v>
      </c>
      <c r="Q59" t="s">
        <v>60</v>
      </c>
      <c r="R59" t="s">
        <v>417</v>
      </c>
      <c r="S59" t="s">
        <v>418</v>
      </c>
    </row>
    <row r="60" spans="1:19" ht="15">
      <c r="A60" t="s">
        <v>419</v>
      </c>
      <c r="B60" t="s">
        <v>419</v>
      </c>
      <c r="C60" t="s">
        <v>420</v>
      </c>
      <c r="D60" t="s">
        <v>421</v>
      </c>
      <c r="E60" t="s">
        <v>422</v>
      </c>
      <c r="F60" t="s">
        <v>423</v>
      </c>
      <c r="G60" t="s">
        <v>424</v>
      </c>
      <c r="H60" t="s">
        <v>425</v>
      </c>
      <c r="I60" t="s">
        <v>37</v>
      </c>
      <c r="J60"/>
      <c r="K60" s="16">
        <v>46154</v>
      </c>
      <c r="L60" s="16">
        <v>46154</v>
      </c>
      <c r="M60" t="s">
        <v>38</v>
      </c>
      <c r="N60" s="16">
        <v>46170</v>
      </c>
      <c r="O60" s="16" t="s">
        <v>39</v>
      </c>
      <c r="P60" t="s">
        <v>51</v>
      </c>
      <c r="Q60" t="s">
        <v>60</v>
      </c>
      <c r="R60" t="s">
        <v>426</v>
      </c>
      <c r="S60" t="s">
        <v>5</v>
      </c>
    </row>
    <row r="61" spans="1:19" ht="15">
      <c r="A61" t="s">
        <v>427</v>
      </c>
      <c r="B61" t="s">
        <v>427</v>
      </c>
      <c r="C61" t="s">
        <v>428</v>
      </c>
      <c r="D61" t="s">
        <v>429</v>
      </c>
      <c r="E61" t="s">
        <v>430</v>
      </c>
      <c r="F61" t="s">
        <v>431</v>
      </c>
      <c r="G61" t="s">
        <v>432</v>
      </c>
      <c r="H61" t="s">
        <v>433</v>
      </c>
      <c r="I61" t="s">
        <v>37</v>
      </c>
      <c r="J61"/>
      <c r="K61" s="16">
        <v>46154</v>
      </c>
      <c r="L61" s="16">
        <v>46154</v>
      </c>
      <c r="M61" t="s">
        <v>38</v>
      </c>
      <c r="N61" s="16">
        <v>46155</v>
      </c>
      <c r="O61" s="16" t="s">
        <v>39</v>
      </c>
      <c r="P61" t="s">
        <v>40</v>
      </c>
      <c r="Q61" t="s">
        <v>41</v>
      </c>
      <c r="R61" t="s">
        <v>434</v>
      </c>
      <c r="S61" t="s">
        <v>5</v>
      </c>
    </row>
    <row r="62" spans="1:19" ht="15">
      <c r="A62" t="s">
        <v>435</v>
      </c>
      <c r="B62" t="s">
        <v>435</v>
      </c>
      <c r="C62" t="s">
        <v>436</v>
      </c>
      <c r="D62" t="s">
        <v>437</v>
      </c>
      <c r="E62" t="s">
        <v>438</v>
      </c>
      <c r="F62" t="s">
        <v>439</v>
      </c>
      <c r="G62" t="s">
        <v>440</v>
      </c>
      <c r="H62" t="s">
        <v>440</v>
      </c>
      <c r="I62" t="s">
        <v>37</v>
      </c>
      <c r="J62"/>
      <c r="K62" s="16">
        <v>46154</v>
      </c>
      <c r="L62" s="16">
        <v>46154</v>
      </c>
      <c r="M62" t="s">
        <v>38</v>
      </c>
      <c r="N62" s="16">
        <v>46155</v>
      </c>
      <c r="O62" s="16" t="s">
        <v>39</v>
      </c>
      <c r="P62" t="s">
        <v>51</v>
      </c>
      <c r="Q62" t="s">
        <v>60</v>
      </c>
      <c r="R62" t="s">
        <v>441</v>
      </c>
      <c r="S62" t="s">
        <v>5</v>
      </c>
    </row>
    <row r="63" spans="1:19" ht="15">
      <c r="A63" t="s">
        <v>442</v>
      </c>
      <c r="B63" t="s">
        <v>442</v>
      </c>
      <c r="C63" t="s">
        <v>443</v>
      </c>
      <c r="D63" t="s">
        <v>444</v>
      </c>
      <c r="E63" t="s">
        <v>445</v>
      </c>
      <c r="F63" t="s">
        <v>446</v>
      </c>
      <c r="G63" t="s">
        <v>447</v>
      </c>
      <c r="H63" t="s">
        <v>448</v>
      </c>
      <c r="I63" t="s">
        <v>37</v>
      </c>
      <c r="J63"/>
      <c r="K63" s="16">
        <v>46154</v>
      </c>
      <c r="L63" s="16">
        <v>46154</v>
      </c>
      <c r="M63" t="s">
        <v>38</v>
      </c>
      <c r="N63" s="16">
        <v>46157</v>
      </c>
      <c r="O63" s="16" t="s">
        <v>39</v>
      </c>
      <c r="P63" t="s">
        <v>51</v>
      </c>
      <c r="Q63" t="s">
        <v>60</v>
      </c>
      <c r="R63" t="s">
        <v>449</v>
      </c>
      <c r="S63" t="s">
        <v>5</v>
      </c>
    </row>
    <row r="64" spans="1:19" ht="15">
      <c r="A64" t="s">
        <v>450</v>
      </c>
      <c r="B64" t="s">
        <v>450</v>
      </c>
      <c r="C64" t="s">
        <v>451</v>
      </c>
      <c r="D64" t="s">
        <v>452</v>
      </c>
      <c r="E64" t="s">
        <v>453</v>
      </c>
      <c r="F64" t="s">
        <v>376</v>
      </c>
      <c r="G64" t="s">
        <v>377</v>
      </c>
      <c r="H64" t="s">
        <v>50</v>
      </c>
      <c r="I64" t="s">
        <v>37</v>
      </c>
      <c r="J64"/>
      <c r="K64" s="16">
        <v>46155</v>
      </c>
      <c r="L64" s="16">
        <v>46155</v>
      </c>
      <c r="M64" t="s">
        <v>94</v>
      </c>
      <c r="N64" s="16">
        <v>46155</v>
      </c>
      <c r="O64" s="16" t="s">
        <v>454</v>
      </c>
      <c r="P64" t="s">
        <v>455</v>
      </c>
      <c r="Q64" t="s">
        <v>455</v>
      </c>
      <c r="R64" t="s">
        <v>456</v>
      </c>
      <c r="S64" t="s">
        <v>5</v>
      </c>
    </row>
    <row r="65" spans="1:19" ht="15">
      <c r="A65" t="s">
        <v>457</v>
      </c>
      <c r="B65" t="s">
        <v>457</v>
      </c>
      <c r="C65" t="s">
        <v>458</v>
      </c>
      <c r="D65" t="s">
        <v>459</v>
      </c>
      <c r="E65" t="s">
        <v>460</v>
      </c>
      <c r="F65" t="s">
        <v>376</v>
      </c>
      <c r="G65" t="s">
        <v>461</v>
      </c>
      <c r="H65" t="s">
        <v>462</v>
      </c>
      <c r="I65" t="s">
        <v>37</v>
      </c>
      <c r="J65"/>
      <c r="K65" s="16">
        <v>46155</v>
      </c>
      <c r="L65" s="16">
        <v>46155</v>
      </c>
      <c r="M65" t="s">
        <v>38</v>
      </c>
      <c r="N65" s="16">
        <v>46155</v>
      </c>
      <c r="O65" s="16" t="s">
        <v>39</v>
      </c>
      <c r="P65" t="s">
        <v>378</v>
      </c>
      <c r="Q65" t="s">
        <v>378</v>
      </c>
      <c r="R65" t="s">
        <v>463</v>
      </c>
      <c r="S65" t="s">
        <v>5</v>
      </c>
    </row>
    <row r="66" spans="1:19" ht="15">
      <c r="A66" t="s">
        <v>464</v>
      </c>
      <c r="B66" t="s">
        <v>464</v>
      </c>
      <c r="C66" t="s">
        <v>465</v>
      </c>
      <c r="D66" t="s">
        <v>63</v>
      </c>
      <c r="E66" t="s">
        <v>64</v>
      </c>
      <c r="F66" t="s">
        <v>65</v>
      </c>
      <c r="G66" t="s">
        <v>66</v>
      </c>
      <c r="H66" t="s">
        <v>67</v>
      </c>
      <c r="I66" t="s">
        <v>37</v>
      </c>
      <c r="J66"/>
      <c r="K66" s="16">
        <v>46155</v>
      </c>
      <c r="L66" s="16">
        <v>46155</v>
      </c>
      <c r="M66" t="s">
        <v>38</v>
      </c>
      <c r="N66" s="16">
        <v>46156</v>
      </c>
      <c r="O66" s="16" t="s">
        <v>39</v>
      </c>
      <c r="P66" t="s">
        <v>51</v>
      </c>
      <c r="Q66" t="s">
        <v>60</v>
      </c>
      <c r="R66" t="s">
        <v>466</v>
      </c>
      <c r="S66" t="s">
        <v>5</v>
      </c>
    </row>
    <row r="67" spans="1:19" ht="15">
      <c r="A67" t="s">
        <v>467</v>
      </c>
      <c r="B67" t="s">
        <v>468</v>
      </c>
      <c r="C67" t="s">
        <v>469</v>
      </c>
      <c r="D67" t="s">
        <v>341</v>
      </c>
      <c r="E67" t="s">
        <v>470</v>
      </c>
      <c r="F67" t="s">
        <v>342</v>
      </c>
      <c r="G67" t="s">
        <v>343</v>
      </c>
      <c r="H67" t="s">
        <v>336</v>
      </c>
      <c r="I67" t="s">
        <v>37</v>
      </c>
      <c r="J67"/>
      <c r="K67" s="16">
        <v>46155</v>
      </c>
      <c r="L67" s="16">
        <v>46155</v>
      </c>
      <c r="M67" t="s">
        <v>38</v>
      </c>
      <c r="N67" s="16">
        <v>46157</v>
      </c>
      <c r="O67" s="16" t="s">
        <v>39</v>
      </c>
      <c r="P67" t="s">
        <v>40</v>
      </c>
      <c r="Q67" t="s">
        <v>60</v>
      </c>
      <c r="R67" t="s">
        <v>471</v>
      </c>
      <c r="S67" t="s">
        <v>472</v>
      </c>
    </row>
    <row r="68" spans="1:19" ht="15">
      <c r="A68" t="s">
        <v>473</v>
      </c>
      <c r="B68" t="s">
        <v>473</v>
      </c>
      <c r="C68" t="s">
        <v>474</v>
      </c>
      <c r="D68" t="s">
        <v>318</v>
      </c>
      <c r="E68" t="s">
        <v>319</v>
      </c>
      <c r="F68" t="s">
        <v>320</v>
      </c>
      <c r="G68" t="s">
        <v>321</v>
      </c>
      <c r="H68" t="s">
        <v>321</v>
      </c>
      <c r="I68" t="s">
        <v>37</v>
      </c>
      <c r="J68"/>
      <c r="K68" s="16">
        <v>46155</v>
      </c>
      <c r="L68" s="16">
        <v>46155</v>
      </c>
      <c r="M68" t="s">
        <v>38</v>
      </c>
      <c r="N68" s="16">
        <v>46156</v>
      </c>
      <c r="O68" s="16" t="s">
        <v>39</v>
      </c>
      <c r="P68" t="s">
        <v>51</v>
      </c>
      <c r="Q68" t="s">
        <v>41</v>
      </c>
      <c r="R68" t="s">
        <v>475</v>
      </c>
      <c r="S68" t="s">
        <v>5</v>
      </c>
    </row>
    <row r="69" spans="1:19" ht="15">
      <c r="A69" t="s">
        <v>476</v>
      </c>
      <c r="B69" t="s">
        <v>476</v>
      </c>
      <c r="C69" t="s">
        <v>477</v>
      </c>
      <c r="D69" t="s">
        <v>478</v>
      </c>
      <c r="E69" t="s">
        <v>479</v>
      </c>
      <c r="F69" t="s">
        <v>480</v>
      </c>
      <c r="G69" t="s">
        <v>85</v>
      </c>
      <c r="H69" t="s">
        <v>85</v>
      </c>
      <c r="I69" t="s">
        <v>37</v>
      </c>
      <c r="J69"/>
      <c r="K69" s="16">
        <v>46155</v>
      </c>
      <c r="L69" s="16">
        <v>46155</v>
      </c>
      <c r="M69" t="s">
        <v>38</v>
      </c>
      <c r="N69" s="16">
        <v>46156</v>
      </c>
      <c r="O69" s="16" t="s">
        <v>39</v>
      </c>
      <c r="P69" t="s">
        <v>68</v>
      </c>
      <c r="Q69" t="s">
        <v>60</v>
      </c>
      <c r="R69" t="s">
        <v>481</v>
      </c>
      <c r="S69" t="s">
        <v>5</v>
      </c>
    </row>
    <row r="70" spans="1:19" ht="15">
      <c r="A70" t="s">
        <v>482</v>
      </c>
      <c r="B70" t="s">
        <v>482</v>
      </c>
      <c r="C70" t="s">
        <v>483</v>
      </c>
      <c r="D70" t="s">
        <v>369</v>
      </c>
      <c r="E70" t="s">
        <v>169</v>
      </c>
      <c r="F70" t="s">
        <v>294</v>
      </c>
      <c r="G70" t="s">
        <v>295</v>
      </c>
      <c r="H70" t="s">
        <v>226</v>
      </c>
      <c r="I70" t="s">
        <v>37</v>
      </c>
      <c r="J70"/>
      <c r="K70" s="16">
        <v>46155</v>
      </c>
      <c r="L70" s="16">
        <v>46155</v>
      </c>
      <c r="M70" t="s">
        <v>38</v>
      </c>
      <c r="N70" s="16">
        <v>46161</v>
      </c>
      <c r="O70" s="16" t="s">
        <v>39</v>
      </c>
      <c r="P70" t="s">
        <v>68</v>
      </c>
      <c r="Q70" t="s">
        <v>60</v>
      </c>
      <c r="R70" t="s">
        <v>484</v>
      </c>
      <c r="S70" t="s">
        <v>5</v>
      </c>
    </row>
    <row r="71" spans="1:19" ht="15">
      <c r="A71" t="s">
        <v>485</v>
      </c>
      <c r="B71" t="s">
        <v>485</v>
      </c>
      <c r="C71" t="s">
        <v>486</v>
      </c>
      <c r="D71" t="s">
        <v>179</v>
      </c>
      <c r="E71" t="s">
        <v>180</v>
      </c>
      <c r="F71" t="s">
        <v>181</v>
      </c>
      <c r="G71" t="s">
        <v>487</v>
      </c>
      <c r="H71" t="s">
        <v>488</v>
      </c>
      <c r="I71" t="s">
        <v>37</v>
      </c>
      <c r="J71"/>
      <c r="K71" s="16">
        <v>46155</v>
      </c>
      <c r="L71" s="16">
        <v>46155</v>
      </c>
      <c r="M71" t="s">
        <v>38</v>
      </c>
      <c r="N71" s="16">
        <v>46157</v>
      </c>
      <c r="O71" s="16" t="s">
        <v>39</v>
      </c>
      <c r="P71" t="s">
        <v>68</v>
      </c>
      <c r="Q71" t="s">
        <v>60</v>
      </c>
      <c r="R71" t="s">
        <v>489</v>
      </c>
      <c r="S71" t="s">
        <v>5</v>
      </c>
    </row>
    <row r="72" spans="1:19" ht="15">
      <c r="A72" t="s">
        <v>490</v>
      </c>
      <c r="B72" t="s">
        <v>490</v>
      </c>
      <c r="C72" t="s">
        <v>491</v>
      </c>
      <c r="D72" t="s">
        <v>492</v>
      </c>
      <c r="E72" t="s">
        <v>493</v>
      </c>
      <c r="F72" t="s">
        <v>376</v>
      </c>
      <c r="G72" t="s">
        <v>377</v>
      </c>
      <c r="H72" t="s">
        <v>50</v>
      </c>
      <c r="I72" t="s">
        <v>37</v>
      </c>
      <c r="J72"/>
      <c r="K72" s="16">
        <v>46155</v>
      </c>
      <c r="L72" s="16">
        <v>46155</v>
      </c>
      <c r="M72" t="s">
        <v>38</v>
      </c>
      <c r="N72" s="16">
        <v>46161</v>
      </c>
      <c r="O72" s="16" t="s">
        <v>39</v>
      </c>
      <c r="P72" t="s">
        <v>378</v>
      </c>
      <c r="Q72" t="s">
        <v>378</v>
      </c>
      <c r="R72" t="s">
        <v>494</v>
      </c>
      <c r="S72" t="s">
        <v>5</v>
      </c>
    </row>
    <row r="73" spans="1:19" ht="15">
      <c r="A73" t="s">
        <v>495</v>
      </c>
      <c r="B73" t="s">
        <v>495</v>
      </c>
      <c r="C73" t="s">
        <v>496</v>
      </c>
      <c r="D73" t="s">
        <v>497</v>
      </c>
      <c r="E73" t="s">
        <v>498</v>
      </c>
      <c r="F73" t="s">
        <v>499</v>
      </c>
      <c r="G73" t="s">
        <v>500</v>
      </c>
      <c r="H73" t="s">
        <v>501</v>
      </c>
      <c r="I73" t="s">
        <v>37</v>
      </c>
      <c r="J73"/>
      <c r="K73" s="16">
        <v>46155</v>
      </c>
      <c r="L73" s="16">
        <v>46155</v>
      </c>
      <c r="M73" t="s">
        <v>38</v>
      </c>
      <c r="N73" s="16">
        <v>46156</v>
      </c>
      <c r="O73" s="16" t="s">
        <v>39</v>
      </c>
      <c r="P73" t="s">
        <v>68</v>
      </c>
      <c r="Q73" t="s">
        <v>60</v>
      </c>
      <c r="R73" t="s">
        <v>502</v>
      </c>
      <c r="S73" t="s">
        <v>5</v>
      </c>
    </row>
    <row r="74" spans="1:19" ht="15">
      <c r="A74" t="s">
        <v>503</v>
      </c>
      <c r="B74" t="s">
        <v>503</v>
      </c>
      <c r="C74" t="s">
        <v>504</v>
      </c>
      <c r="D74" t="s">
        <v>505</v>
      </c>
      <c r="E74" t="s">
        <v>506</v>
      </c>
      <c r="F74" t="s">
        <v>507</v>
      </c>
      <c r="G74" t="s">
        <v>508</v>
      </c>
      <c r="H74" t="s">
        <v>128</v>
      </c>
      <c r="I74" t="s">
        <v>37</v>
      </c>
      <c r="J74"/>
      <c r="K74" s="16">
        <v>46155</v>
      </c>
      <c r="L74" s="16">
        <v>46155</v>
      </c>
      <c r="M74" t="s">
        <v>38</v>
      </c>
      <c r="N74" s="16">
        <v>46160</v>
      </c>
      <c r="O74" s="16" t="s">
        <v>39</v>
      </c>
      <c r="P74" t="s">
        <v>184</v>
      </c>
      <c r="Q74" t="s">
        <v>60</v>
      </c>
      <c r="R74" t="s">
        <v>509</v>
      </c>
      <c r="S74" t="s">
        <v>510</v>
      </c>
    </row>
    <row r="75" spans="1:19" ht="15">
      <c r="A75" t="s">
        <v>511</v>
      </c>
      <c r="B75" t="s">
        <v>511</v>
      </c>
      <c r="C75" t="s">
        <v>512</v>
      </c>
      <c r="D75" t="s">
        <v>198</v>
      </c>
      <c r="E75" t="s">
        <v>199</v>
      </c>
      <c r="F75" t="s">
        <v>200</v>
      </c>
      <c r="G75" t="s">
        <v>201</v>
      </c>
      <c r="H75" t="s">
        <v>202</v>
      </c>
      <c r="I75" t="s">
        <v>37</v>
      </c>
      <c r="J75"/>
      <c r="K75" s="16">
        <v>46155</v>
      </c>
      <c r="L75" s="16">
        <v>46155</v>
      </c>
      <c r="M75" t="s">
        <v>38</v>
      </c>
      <c r="N75" s="16">
        <v>46160</v>
      </c>
      <c r="O75" s="16" t="s">
        <v>39</v>
      </c>
      <c r="P75" t="s">
        <v>184</v>
      </c>
      <c r="Q75" t="s">
        <v>60</v>
      </c>
      <c r="R75" t="s">
        <v>513</v>
      </c>
      <c r="S75" t="s">
        <v>514</v>
      </c>
    </row>
    <row r="76" spans="1:19" ht="15">
      <c r="A76" t="s">
        <v>515</v>
      </c>
      <c r="B76" t="s">
        <v>516</v>
      </c>
      <c r="C76" t="s">
        <v>517</v>
      </c>
      <c r="D76" t="s">
        <v>341</v>
      </c>
      <c r="E76" t="s">
        <v>470</v>
      </c>
      <c r="F76" t="s">
        <v>342</v>
      </c>
      <c r="G76" t="s">
        <v>343</v>
      </c>
      <c r="H76" t="s">
        <v>336</v>
      </c>
      <c r="I76" t="s">
        <v>37</v>
      </c>
      <c r="J76"/>
      <c r="K76" s="16">
        <v>46155</v>
      </c>
      <c r="L76" s="16">
        <v>46155</v>
      </c>
      <c r="M76" t="s">
        <v>38</v>
      </c>
      <c r="N76" s="16">
        <v>46157</v>
      </c>
      <c r="O76" s="16" t="s">
        <v>39</v>
      </c>
      <c r="P76" t="s">
        <v>40</v>
      </c>
      <c r="Q76" t="s">
        <v>60</v>
      </c>
      <c r="R76" t="s">
        <v>518</v>
      </c>
      <c r="S76" t="s">
        <v>519</v>
      </c>
    </row>
    <row r="77" spans="1:19" ht="15">
      <c r="A77" t="s">
        <v>520</v>
      </c>
      <c r="B77" t="s">
        <v>520</v>
      </c>
      <c r="C77" t="s">
        <v>521</v>
      </c>
      <c r="D77" t="s">
        <v>32</v>
      </c>
      <c r="E77" t="s">
        <v>33</v>
      </c>
      <c r="F77" t="s">
        <v>34</v>
      </c>
      <c r="G77" t="s">
        <v>35</v>
      </c>
      <c r="H77" t="s">
        <v>36</v>
      </c>
      <c r="I77" t="s">
        <v>37</v>
      </c>
      <c r="J77"/>
      <c r="K77" s="16">
        <v>46156</v>
      </c>
      <c r="L77" s="16">
        <v>46156</v>
      </c>
      <c r="M77" t="s">
        <v>38</v>
      </c>
      <c r="N77" s="16">
        <v>46157</v>
      </c>
      <c r="O77" s="16" t="s">
        <v>39</v>
      </c>
      <c r="P77" t="s">
        <v>386</v>
      </c>
      <c r="Q77" t="s">
        <v>130</v>
      </c>
      <c r="R77" t="s">
        <v>522</v>
      </c>
      <c r="S77" t="s">
        <v>5</v>
      </c>
    </row>
    <row r="78" spans="1:19" ht="15">
      <c r="A78" t="s">
        <v>523</v>
      </c>
      <c r="B78" t="s">
        <v>523</v>
      </c>
      <c r="C78" t="s">
        <v>524</v>
      </c>
      <c r="D78" t="s">
        <v>525</v>
      </c>
      <c r="E78" t="s">
        <v>169</v>
      </c>
      <c r="F78" t="s">
        <v>294</v>
      </c>
      <c r="G78" t="s">
        <v>370</v>
      </c>
      <c r="H78" t="s">
        <v>526</v>
      </c>
      <c r="I78" t="s">
        <v>37</v>
      </c>
      <c r="J78"/>
      <c r="K78" s="16">
        <v>46156</v>
      </c>
      <c r="L78" s="16">
        <v>46156</v>
      </c>
      <c r="M78" t="s">
        <v>38</v>
      </c>
      <c r="N78" s="16">
        <v>46161</v>
      </c>
      <c r="O78" s="16" t="s">
        <v>39</v>
      </c>
      <c r="P78" t="s">
        <v>68</v>
      </c>
      <c r="Q78" t="s">
        <v>60</v>
      </c>
      <c r="R78" t="s">
        <v>527</v>
      </c>
      <c r="S78" t="s">
        <v>5</v>
      </c>
    </row>
    <row r="79" spans="1:19" ht="15">
      <c r="A79" t="s">
        <v>528</v>
      </c>
      <c r="B79" t="s">
        <v>528</v>
      </c>
      <c r="C79" t="s">
        <v>529</v>
      </c>
      <c r="D79" t="s">
        <v>530</v>
      </c>
      <c r="E79" t="s">
        <v>531</v>
      </c>
      <c r="F79" t="s">
        <v>532</v>
      </c>
      <c r="G79" t="s">
        <v>533</v>
      </c>
      <c r="H79" t="s">
        <v>534</v>
      </c>
      <c r="I79" t="s">
        <v>535</v>
      </c>
      <c r="J79"/>
      <c r="K79" s="16">
        <v>46156</v>
      </c>
      <c r="L79" s="16">
        <v>46156</v>
      </c>
      <c r="M79" t="s">
        <v>38</v>
      </c>
      <c r="N79" s="16">
        <v>46160</v>
      </c>
      <c r="O79" s="16" t="s">
        <v>39</v>
      </c>
      <c r="P79" t="s">
        <v>536</v>
      </c>
      <c r="Q79" t="s">
        <v>60</v>
      </c>
      <c r="R79" t="s">
        <v>537</v>
      </c>
      <c r="S79" t="s">
        <v>538</v>
      </c>
    </row>
    <row r="80" spans="1:19" ht="15">
      <c r="A80" t="s">
        <v>539</v>
      </c>
      <c r="B80" t="s">
        <v>539</v>
      </c>
      <c r="C80" t="s">
        <v>540</v>
      </c>
      <c r="D80" t="s">
        <v>32</v>
      </c>
      <c r="E80" t="s">
        <v>33</v>
      </c>
      <c r="F80" t="s">
        <v>34</v>
      </c>
      <c r="G80" t="s">
        <v>35</v>
      </c>
      <c r="H80" t="s">
        <v>36</v>
      </c>
      <c r="I80" t="s">
        <v>37</v>
      </c>
      <c r="J80"/>
      <c r="K80" s="16">
        <v>46156</v>
      </c>
      <c r="L80" s="16">
        <v>46156</v>
      </c>
      <c r="M80" t="s">
        <v>38</v>
      </c>
      <c r="N80" s="16">
        <v>46157</v>
      </c>
      <c r="O80" s="16" t="s">
        <v>39</v>
      </c>
      <c r="P80" t="s">
        <v>40</v>
      </c>
      <c r="Q80" t="s">
        <v>41</v>
      </c>
      <c r="R80" t="s">
        <v>541</v>
      </c>
      <c r="S80" t="s">
        <v>542</v>
      </c>
    </row>
    <row r="81" spans="1:19" ht="15">
      <c r="A81" t="s">
        <v>543</v>
      </c>
      <c r="B81" t="s">
        <v>543</v>
      </c>
      <c r="C81" t="s">
        <v>544</v>
      </c>
      <c r="D81" t="s">
        <v>545</v>
      </c>
      <c r="E81" t="s">
        <v>493</v>
      </c>
      <c r="F81" t="s">
        <v>376</v>
      </c>
      <c r="G81" t="s">
        <v>377</v>
      </c>
      <c r="H81" t="s">
        <v>50</v>
      </c>
      <c r="I81" t="s">
        <v>37</v>
      </c>
      <c r="J81"/>
      <c r="K81" s="16">
        <v>46156</v>
      </c>
      <c r="L81" s="16">
        <v>46156</v>
      </c>
      <c r="M81" t="s">
        <v>94</v>
      </c>
      <c r="N81" s="16">
        <v>46156</v>
      </c>
      <c r="O81" s="16" t="s">
        <v>454</v>
      </c>
      <c r="P81" t="s">
        <v>455</v>
      </c>
      <c r="Q81" t="s">
        <v>455</v>
      </c>
      <c r="R81" t="s">
        <v>546</v>
      </c>
      <c r="S81" t="s">
        <v>5</v>
      </c>
    </row>
    <row r="82" spans="1:19" ht="15">
      <c r="A82" t="s">
        <v>547</v>
      </c>
      <c r="B82" t="s">
        <v>547</v>
      </c>
      <c r="C82" t="s">
        <v>548</v>
      </c>
      <c r="D82" t="s">
        <v>549</v>
      </c>
      <c r="E82" t="s">
        <v>550</v>
      </c>
      <c r="F82" t="s">
        <v>376</v>
      </c>
      <c r="G82" t="s">
        <v>377</v>
      </c>
      <c r="H82" t="s">
        <v>50</v>
      </c>
      <c r="I82" t="s">
        <v>37</v>
      </c>
      <c r="J82"/>
      <c r="K82" s="16">
        <v>46157</v>
      </c>
      <c r="L82" s="16">
        <v>46157</v>
      </c>
      <c r="M82" t="s">
        <v>38</v>
      </c>
      <c r="N82" s="16">
        <v>46161</v>
      </c>
      <c r="O82" s="16" t="s">
        <v>39</v>
      </c>
      <c r="P82" t="s">
        <v>378</v>
      </c>
      <c r="Q82" t="s">
        <v>378</v>
      </c>
      <c r="R82" t="s">
        <v>551</v>
      </c>
      <c r="S82" t="s">
        <v>5</v>
      </c>
    </row>
    <row r="83" spans="1:19" ht="15">
      <c r="A83" t="s">
        <v>552</v>
      </c>
      <c r="B83" t="s">
        <v>552</v>
      </c>
      <c r="C83" t="s">
        <v>553</v>
      </c>
      <c r="D83" t="s">
        <v>554</v>
      </c>
      <c r="E83" t="s">
        <v>555</v>
      </c>
      <c r="F83" t="s">
        <v>241</v>
      </c>
      <c r="G83" t="s">
        <v>336</v>
      </c>
      <c r="H83" t="s">
        <v>336</v>
      </c>
      <c r="I83" t="s">
        <v>37</v>
      </c>
      <c r="J83"/>
      <c r="K83" s="16">
        <v>46157</v>
      </c>
      <c r="L83" s="16">
        <v>46157</v>
      </c>
      <c r="M83" t="s">
        <v>38</v>
      </c>
      <c r="N83" s="16">
        <v>46160</v>
      </c>
      <c r="O83" s="16" t="s">
        <v>39</v>
      </c>
      <c r="P83" t="s">
        <v>184</v>
      </c>
      <c r="Q83" t="s">
        <v>60</v>
      </c>
      <c r="R83" t="s">
        <v>556</v>
      </c>
      <c r="S83" t="s">
        <v>557</v>
      </c>
    </row>
    <row r="84" spans="1:19" ht="15">
      <c r="A84" t="s">
        <v>558</v>
      </c>
      <c r="B84" t="s">
        <v>558</v>
      </c>
      <c r="C84" t="s">
        <v>559</v>
      </c>
      <c r="D84" t="s">
        <v>560</v>
      </c>
      <c r="E84" t="s">
        <v>375</v>
      </c>
      <c r="F84" t="s">
        <v>376</v>
      </c>
      <c r="G84" t="s">
        <v>377</v>
      </c>
      <c r="H84" t="s">
        <v>50</v>
      </c>
      <c r="I84" t="s">
        <v>37</v>
      </c>
      <c r="J84"/>
      <c r="K84" s="16">
        <v>46157</v>
      </c>
      <c r="L84" s="16">
        <v>46157</v>
      </c>
      <c r="M84" t="s">
        <v>38</v>
      </c>
      <c r="N84" s="16">
        <v>46160</v>
      </c>
      <c r="O84" s="16" t="s">
        <v>39</v>
      </c>
      <c r="P84" t="s">
        <v>378</v>
      </c>
      <c r="Q84" t="s">
        <v>378</v>
      </c>
      <c r="R84" t="s">
        <v>561</v>
      </c>
      <c r="S84" t="s">
        <v>5</v>
      </c>
    </row>
    <row r="85" spans="1:19" ht="15">
      <c r="A85" t="s">
        <v>562</v>
      </c>
      <c r="B85" t="s">
        <v>563</v>
      </c>
      <c r="C85" t="s">
        <v>564</v>
      </c>
      <c r="D85" t="s">
        <v>565</v>
      </c>
      <c r="E85" t="s">
        <v>566</v>
      </c>
      <c r="F85" t="s">
        <v>567</v>
      </c>
      <c r="G85" t="s">
        <v>568</v>
      </c>
      <c r="H85" t="s">
        <v>569</v>
      </c>
      <c r="I85" t="s">
        <v>37</v>
      </c>
      <c r="J85"/>
      <c r="K85" s="16">
        <v>46160</v>
      </c>
      <c r="L85" s="16">
        <v>46160</v>
      </c>
      <c r="M85" t="s">
        <v>38</v>
      </c>
      <c r="N85" s="16">
        <v>46161</v>
      </c>
      <c r="O85" s="16" t="s">
        <v>39</v>
      </c>
      <c r="P85" t="s">
        <v>51</v>
      </c>
      <c r="Q85" t="s">
        <v>60</v>
      </c>
      <c r="R85" t="s">
        <v>570</v>
      </c>
      <c r="S85" t="s">
        <v>5</v>
      </c>
    </row>
    <row r="86" spans="1:19" ht="15">
      <c r="A86" t="s">
        <v>571</v>
      </c>
      <c r="B86" t="s">
        <v>571</v>
      </c>
      <c r="C86" t="s">
        <v>572</v>
      </c>
      <c r="D86" t="s">
        <v>573</v>
      </c>
      <c r="E86" t="s">
        <v>574</v>
      </c>
      <c r="F86" t="s">
        <v>575</v>
      </c>
      <c r="G86" t="s">
        <v>576</v>
      </c>
      <c r="H86" t="s">
        <v>234</v>
      </c>
      <c r="I86" t="s">
        <v>37</v>
      </c>
      <c r="J86"/>
      <c r="K86" s="16">
        <v>46160</v>
      </c>
      <c r="L86" s="16">
        <v>46160</v>
      </c>
      <c r="M86" t="s">
        <v>38</v>
      </c>
      <c r="N86" s="16">
        <v>46164</v>
      </c>
      <c r="O86" s="16" t="s">
        <v>39</v>
      </c>
      <c r="P86" t="s">
        <v>40</v>
      </c>
      <c r="Q86" t="s">
        <v>60</v>
      </c>
      <c r="R86" t="s">
        <v>577</v>
      </c>
      <c r="S86" t="s">
        <v>578</v>
      </c>
    </row>
    <row r="87" spans="1:19" ht="15">
      <c r="A87" t="s">
        <v>579</v>
      </c>
      <c r="B87" t="s">
        <v>579</v>
      </c>
      <c r="C87" t="s">
        <v>580</v>
      </c>
      <c r="D87" t="s">
        <v>341</v>
      </c>
      <c r="E87" t="s">
        <v>470</v>
      </c>
      <c r="F87" t="s">
        <v>342</v>
      </c>
      <c r="G87" t="s">
        <v>343</v>
      </c>
      <c r="H87" t="s">
        <v>336</v>
      </c>
      <c r="I87" t="s">
        <v>37</v>
      </c>
      <c r="J87"/>
      <c r="K87" s="16">
        <v>46160</v>
      </c>
      <c r="L87" s="16">
        <v>46160</v>
      </c>
      <c r="M87" t="s">
        <v>38</v>
      </c>
      <c r="N87" s="16">
        <v>46164</v>
      </c>
      <c r="O87" s="16" t="s">
        <v>39</v>
      </c>
      <c r="P87" t="s">
        <v>40</v>
      </c>
      <c r="Q87" t="s">
        <v>60</v>
      </c>
      <c r="R87" t="s">
        <v>581</v>
      </c>
      <c r="S87" t="s">
        <v>582</v>
      </c>
    </row>
    <row r="88" spans="1:19" ht="15">
      <c r="A88" t="s">
        <v>583</v>
      </c>
      <c r="B88" t="s">
        <v>584</v>
      </c>
      <c r="C88" t="s">
        <v>585</v>
      </c>
      <c r="D88" t="s">
        <v>586</v>
      </c>
      <c r="E88" t="s">
        <v>587</v>
      </c>
      <c r="F88" t="s">
        <v>588</v>
      </c>
      <c r="G88" t="s">
        <v>589</v>
      </c>
      <c r="H88" t="s">
        <v>336</v>
      </c>
      <c r="I88" t="s">
        <v>37</v>
      </c>
      <c r="J88"/>
      <c r="K88" s="16">
        <v>46160</v>
      </c>
      <c r="L88" s="16">
        <v>46160</v>
      </c>
      <c r="M88" t="s">
        <v>38</v>
      </c>
      <c r="N88" s="16">
        <v>46161</v>
      </c>
      <c r="O88" s="16" t="s">
        <v>39</v>
      </c>
      <c r="P88" t="s">
        <v>51</v>
      </c>
      <c r="Q88" t="s">
        <v>60</v>
      </c>
      <c r="R88" t="s">
        <v>590</v>
      </c>
      <c r="S88" t="s">
        <v>5</v>
      </c>
    </row>
    <row r="89" spans="1:19" ht="15">
      <c r="A89" t="s">
        <v>591</v>
      </c>
      <c r="B89" t="s">
        <v>591</v>
      </c>
      <c r="C89" t="s">
        <v>592</v>
      </c>
      <c r="D89" t="s">
        <v>333</v>
      </c>
      <c r="E89" t="s">
        <v>593</v>
      </c>
      <c r="F89" t="s">
        <v>334</v>
      </c>
      <c r="G89" t="s">
        <v>594</v>
      </c>
      <c r="H89" t="s">
        <v>336</v>
      </c>
      <c r="I89" t="s">
        <v>37</v>
      </c>
      <c r="J89"/>
      <c r="K89" s="16">
        <v>46160</v>
      </c>
      <c r="L89" s="16">
        <v>46160</v>
      </c>
      <c r="M89" t="s">
        <v>38</v>
      </c>
      <c r="N89" s="16">
        <v>46163</v>
      </c>
      <c r="O89" s="16" t="s">
        <v>39</v>
      </c>
      <c r="P89" t="s">
        <v>40</v>
      </c>
      <c r="Q89" t="s">
        <v>60</v>
      </c>
      <c r="R89" t="s">
        <v>595</v>
      </c>
      <c r="S89" t="s">
        <v>596</v>
      </c>
    </row>
    <row r="90" spans="1:19" ht="15">
      <c r="A90" t="s">
        <v>597</v>
      </c>
      <c r="B90" t="s">
        <v>598</v>
      </c>
      <c r="C90" t="s">
        <v>599</v>
      </c>
      <c r="D90" t="s">
        <v>600</v>
      </c>
      <c r="E90" t="s">
        <v>601</v>
      </c>
      <c r="F90" t="s">
        <v>602</v>
      </c>
      <c r="G90" t="s">
        <v>328</v>
      </c>
      <c r="H90" t="s">
        <v>328</v>
      </c>
      <c r="I90" t="s">
        <v>37</v>
      </c>
      <c r="J90"/>
      <c r="K90" s="16">
        <v>46160</v>
      </c>
      <c r="L90" s="16">
        <v>46160</v>
      </c>
      <c r="M90" t="s">
        <v>38</v>
      </c>
      <c r="N90" s="16">
        <v>46164</v>
      </c>
      <c r="O90" s="16" t="s">
        <v>39</v>
      </c>
      <c r="P90" t="s">
        <v>51</v>
      </c>
      <c r="Q90" t="s">
        <v>60</v>
      </c>
      <c r="R90" t="s">
        <v>603</v>
      </c>
      <c r="S90" t="s">
        <v>5</v>
      </c>
    </row>
    <row r="91" spans="1:19" ht="15">
      <c r="A91" t="s">
        <v>604</v>
      </c>
      <c r="B91" t="s">
        <v>605</v>
      </c>
      <c r="C91" t="s">
        <v>606</v>
      </c>
      <c r="D91" t="s">
        <v>607</v>
      </c>
      <c r="E91" t="s">
        <v>608</v>
      </c>
      <c r="F91" t="s">
        <v>609</v>
      </c>
      <c r="G91" t="s">
        <v>610</v>
      </c>
      <c r="H91" t="s">
        <v>212</v>
      </c>
      <c r="I91" t="s">
        <v>37</v>
      </c>
      <c r="J91"/>
      <c r="K91" s="16">
        <v>46160</v>
      </c>
      <c r="L91" s="16">
        <v>46160</v>
      </c>
      <c r="M91" t="s">
        <v>94</v>
      </c>
      <c r="N91" s="16">
        <v>46175</v>
      </c>
      <c r="O91" s="16" t="s">
        <v>95</v>
      </c>
      <c r="P91" t="s">
        <v>51</v>
      </c>
      <c r="Q91" t="s">
        <v>60</v>
      </c>
      <c r="R91" t="s">
        <v>611</v>
      </c>
      <c r="S91" t="s">
        <v>5</v>
      </c>
    </row>
    <row r="92" spans="1:19" ht="15">
      <c r="A92" t="s">
        <v>612</v>
      </c>
      <c r="B92" t="s">
        <v>612</v>
      </c>
      <c r="C92" t="s">
        <v>613</v>
      </c>
      <c r="D92" t="s">
        <v>573</v>
      </c>
      <c r="E92" t="s">
        <v>574</v>
      </c>
      <c r="F92" t="s">
        <v>575</v>
      </c>
      <c r="G92" t="s">
        <v>576</v>
      </c>
      <c r="H92" t="s">
        <v>234</v>
      </c>
      <c r="I92" t="s">
        <v>37</v>
      </c>
      <c r="J92"/>
      <c r="K92" s="16">
        <v>46160</v>
      </c>
      <c r="L92" s="16">
        <v>46160</v>
      </c>
      <c r="M92" t="s">
        <v>38</v>
      </c>
      <c r="N92" s="16">
        <v>46164</v>
      </c>
      <c r="O92" s="16" t="s">
        <v>39</v>
      </c>
      <c r="P92" t="s">
        <v>40</v>
      </c>
      <c r="Q92" t="s">
        <v>60</v>
      </c>
      <c r="R92" t="s">
        <v>614</v>
      </c>
      <c r="S92" t="s">
        <v>615</v>
      </c>
    </row>
    <row r="93" spans="1:19" ht="15">
      <c r="A93" t="s">
        <v>616</v>
      </c>
      <c r="B93" t="s">
        <v>616</v>
      </c>
      <c r="C93" t="s">
        <v>617</v>
      </c>
      <c r="D93" t="s">
        <v>46</v>
      </c>
      <c r="E93" t="s">
        <v>47</v>
      </c>
      <c r="F93" t="s">
        <v>48</v>
      </c>
      <c r="G93" t="s">
        <v>49</v>
      </c>
      <c r="H93" t="s">
        <v>50</v>
      </c>
      <c r="I93" t="s">
        <v>37</v>
      </c>
      <c r="J93"/>
      <c r="K93" s="16">
        <v>46161</v>
      </c>
      <c r="L93" s="16">
        <v>46161</v>
      </c>
      <c r="M93" t="s">
        <v>38</v>
      </c>
      <c r="N93" s="16">
        <v>46163</v>
      </c>
      <c r="O93" s="16" t="s">
        <v>39</v>
      </c>
      <c r="P93" t="s">
        <v>536</v>
      </c>
      <c r="Q93" t="s">
        <v>60</v>
      </c>
      <c r="R93" t="s">
        <v>618</v>
      </c>
      <c r="S93" t="s">
        <v>619</v>
      </c>
    </row>
    <row r="94" spans="1:19" ht="15">
      <c r="A94" t="s">
        <v>620</v>
      </c>
      <c r="B94" t="s">
        <v>620</v>
      </c>
      <c r="C94" t="s">
        <v>621</v>
      </c>
      <c r="D94" t="s">
        <v>112</v>
      </c>
      <c r="E94" t="s">
        <v>113</v>
      </c>
      <c r="F94" t="s">
        <v>114</v>
      </c>
      <c r="G94" t="s">
        <v>115</v>
      </c>
      <c r="H94" t="s">
        <v>36</v>
      </c>
      <c r="I94" t="s">
        <v>37</v>
      </c>
      <c r="J94"/>
      <c r="K94" s="16">
        <v>46161</v>
      </c>
      <c r="L94" s="16">
        <v>46161</v>
      </c>
      <c r="M94" t="s">
        <v>38</v>
      </c>
      <c r="N94" s="16">
        <v>46162</v>
      </c>
      <c r="O94" s="16" t="s">
        <v>39</v>
      </c>
      <c r="P94" t="s">
        <v>40</v>
      </c>
      <c r="Q94" t="s">
        <v>41</v>
      </c>
      <c r="R94" t="s">
        <v>622</v>
      </c>
      <c r="S94" t="s">
        <v>623</v>
      </c>
    </row>
    <row r="95" spans="1:19" ht="15">
      <c r="A95" t="s">
        <v>624</v>
      </c>
      <c r="B95" t="s">
        <v>625</v>
      </c>
      <c r="C95" t="s">
        <v>626</v>
      </c>
      <c r="D95" t="s">
        <v>627</v>
      </c>
      <c r="E95" t="s">
        <v>628</v>
      </c>
      <c r="F95" t="s">
        <v>629</v>
      </c>
      <c r="G95" t="s">
        <v>630</v>
      </c>
      <c r="H95" t="s">
        <v>631</v>
      </c>
      <c r="I95" t="s">
        <v>37</v>
      </c>
      <c r="J95"/>
      <c r="K95" s="16">
        <v>46161</v>
      </c>
      <c r="L95" s="16">
        <v>46161</v>
      </c>
      <c r="M95" t="s">
        <v>38</v>
      </c>
      <c r="N95" s="16">
        <v>46163</v>
      </c>
      <c r="O95" s="16" t="s">
        <v>39</v>
      </c>
      <c r="P95" t="s">
        <v>68</v>
      </c>
      <c r="Q95" t="s">
        <v>60</v>
      </c>
      <c r="R95" t="s">
        <v>632</v>
      </c>
      <c r="S95" t="s">
        <v>5</v>
      </c>
    </row>
    <row r="96" spans="1:19" ht="15">
      <c r="A96" t="s">
        <v>633</v>
      </c>
      <c r="B96" t="s">
        <v>634</v>
      </c>
      <c r="C96" t="s">
        <v>635</v>
      </c>
      <c r="D96" t="s">
        <v>636</v>
      </c>
      <c r="E96" t="s">
        <v>637</v>
      </c>
      <c r="F96" t="s">
        <v>224</v>
      </c>
      <c r="G96" t="s">
        <v>638</v>
      </c>
      <c r="H96" t="s">
        <v>526</v>
      </c>
      <c r="I96" t="s">
        <v>37</v>
      </c>
      <c r="J96"/>
      <c r="K96" s="16">
        <v>46161</v>
      </c>
      <c r="L96" s="16">
        <v>46161</v>
      </c>
      <c r="M96" t="s">
        <v>38</v>
      </c>
      <c r="N96" s="16">
        <v>46163</v>
      </c>
      <c r="O96" s="16" t="s">
        <v>39</v>
      </c>
      <c r="P96" t="s">
        <v>40</v>
      </c>
      <c r="Q96" t="s">
        <v>130</v>
      </c>
      <c r="R96" t="s">
        <v>639</v>
      </c>
      <c r="S96" t="s">
        <v>640</v>
      </c>
    </row>
    <row r="97" spans="1:19" ht="15">
      <c r="A97" t="s">
        <v>616</v>
      </c>
      <c r="B97" t="s">
        <v>616</v>
      </c>
      <c r="C97" t="s">
        <v>617</v>
      </c>
      <c r="D97" t="s">
        <v>46</v>
      </c>
      <c r="E97" t="s">
        <v>47</v>
      </c>
      <c r="F97" t="s">
        <v>48</v>
      </c>
      <c r="G97" t="s">
        <v>49</v>
      </c>
      <c r="H97" t="s">
        <v>50</v>
      </c>
      <c r="I97" t="s">
        <v>37</v>
      </c>
      <c r="J97"/>
      <c r="K97" s="16">
        <v>46161</v>
      </c>
      <c r="L97" s="16">
        <v>46161</v>
      </c>
      <c r="M97" t="s">
        <v>38</v>
      </c>
      <c r="N97" s="16">
        <v>46163</v>
      </c>
      <c r="O97" s="16" t="s">
        <v>39</v>
      </c>
      <c r="P97" t="s">
        <v>536</v>
      </c>
      <c r="Q97" t="s">
        <v>60</v>
      </c>
      <c r="R97" t="s">
        <v>618</v>
      </c>
      <c r="S97" t="s">
        <v>619</v>
      </c>
    </row>
    <row r="98" spans="1:19" ht="15">
      <c r="A98" t="s">
        <v>641</v>
      </c>
      <c r="B98" t="s">
        <v>641</v>
      </c>
      <c r="C98" t="s">
        <v>642</v>
      </c>
      <c r="D98" t="s">
        <v>643</v>
      </c>
      <c r="E98" t="s">
        <v>644</v>
      </c>
      <c r="F98" t="s">
        <v>645</v>
      </c>
      <c r="G98" t="s">
        <v>646</v>
      </c>
      <c r="H98" t="s">
        <v>646</v>
      </c>
      <c r="I98" t="s">
        <v>37</v>
      </c>
      <c r="J98"/>
      <c r="K98" s="16">
        <v>46161</v>
      </c>
      <c r="L98" s="16">
        <v>46161</v>
      </c>
      <c r="M98" t="s">
        <v>94</v>
      </c>
      <c r="N98" s="16">
        <v>46176</v>
      </c>
      <c r="O98" s="16" t="s">
        <v>647</v>
      </c>
      <c r="P98" t="s">
        <v>51</v>
      </c>
      <c r="Q98" t="s">
        <v>130</v>
      </c>
      <c r="R98" t="s">
        <v>648</v>
      </c>
      <c r="S98" t="s">
        <v>5</v>
      </c>
    </row>
    <row r="99" spans="1:19" ht="15">
      <c r="A99" t="s">
        <v>649</v>
      </c>
      <c r="B99" t="s">
        <v>649</v>
      </c>
      <c r="C99" t="s">
        <v>650</v>
      </c>
      <c r="D99" t="s">
        <v>198</v>
      </c>
      <c r="E99" t="s">
        <v>651</v>
      </c>
      <c r="F99" t="s">
        <v>200</v>
      </c>
      <c r="G99" t="s">
        <v>652</v>
      </c>
      <c r="H99" t="s">
        <v>501</v>
      </c>
      <c r="I99" t="s">
        <v>37</v>
      </c>
      <c r="J99"/>
      <c r="K99" s="16">
        <v>46161</v>
      </c>
      <c r="L99" s="16">
        <v>46161</v>
      </c>
      <c r="M99" t="s">
        <v>38</v>
      </c>
      <c r="N99" s="16">
        <v>46163</v>
      </c>
      <c r="O99" s="16" t="s">
        <v>39</v>
      </c>
      <c r="P99" t="s">
        <v>68</v>
      </c>
      <c r="Q99" t="s">
        <v>60</v>
      </c>
      <c r="R99" t="s">
        <v>653</v>
      </c>
      <c r="S99" t="s">
        <v>5</v>
      </c>
    </row>
    <row r="100" spans="1:19" ht="15">
      <c r="A100" t="s">
        <v>654</v>
      </c>
      <c r="B100" t="s">
        <v>654</v>
      </c>
      <c r="C100" t="s">
        <v>655</v>
      </c>
      <c r="D100" t="s">
        <v>656</v>
      </c>
      <c r="E100" t="s">
        <v>258</v>
      </c>
      <c r="F100" t="s">
        <v>259</v>
      </c>
      <c r="G100" t="s">
        <v>260</v>
      </c>
      <c r="H100" t="s">
        <v>191</v>
      </c>
      <c r="I100" t="s">
        <v>37</v>
      </c>
      <c r="J100"/>
      <c r="K100" s="16">
        <v>46161</v>
      </c>
      <c r="L100" s="16">
        <v>46161</v>
      </c>
      <c r="M100" t="s">
        <v>38</v>
      </c>
      <c r="N100" s="16">
        <v>46162</v>
      </c>
      <c r="O100" s="16" t="s">
        <v>39</v>
      </c>
      <c r="P100" t="s">
        <v>40</v>
      </c>
      <c r="Q100" t="s">
        <v>60</v>
      </c>
      <c r="R100" t="s">
        <v>657</v>
      </c>
      <c r="S100" t="s">
        <v>658</v>
      </c>
    </row>
    <row r="101" spans="1:19" ht="15">
      <c r="A101" t="s">
        <v>616</v>
      </c>
      <c r="B101" t="s">
        <v>616</v>
      </c>
      <c r="C101" t="s">
        <v>617</v>
      </c>
      <c r="D101" t="s">
        <v>46</v>
      </c>
      <c r="E101" t="s">
        <v>47</v>
      </c>
      <c r="F101" t="s">
        <v>48</v>
      </c>
      <c r="G101" t="s">
        <v>49</v>
      </c>
      <c r="H101" t="s">
        <v>50</v>
      </c>
      <c r="I101" t="s">
        <v>37</v>
      </c>
      <c r="J101"/>
      <c r="K101" s="16">
        <v>46161</v>
      </c>
      <c r="L101" s="16">
        <v>46161</v>
      </c>
      <c r="M101" t="s">
        <v>38</v>
      </c>
      <c r="N101" s="16">
        <v>46163</v>
      </c>
      <c r="O101" s="16" t="s">
        <v>39</v>
      </c>
      <c r="P101" t="s">
        <v>536</v>
      </c>
      <c r="Q101" t="s">
        <v>60</v>
      </c>
      <c r="R101" t="s">
        <v>618</v>
      </c>
      <c r="S101" t="s">
        <v>619</v>
      </c>
    </row>
    <row r="102" spans="1:19" ht="15">
      <c r="A102" t="s">
        <v>659</v>
      </c>
      <c r="B102" t="s">
        <v>660</v>
      </c>
      <c r="C102" t="s">
        <v>661</v>
      </c>
      <c r="D102" t="s">
        <v>333</v>
      </c>
      <c r="E102" t="s">
        <v>593</v>
      </c>
      <c r="F102" t="s">
        <v>334</v>
      </c>
      <c r="G102" t="s">
        <v>594</v>
      </c>
      <c r="H102" t="s">
        <v>336</v>
      </c>
      <c r="I102" t="s">
        <v>37</v>
      </c>
      <c r="J102"/>
      <c r="K102" s="16">
        <v>46162</v>
      </c>
      <c r="L102" s="16">
        <v>46162</v>
      </c>
      <c r="M102" t="s">
        <v>38</v>
      </c>
      <c r="N102" s="16">
        <v>46163</v>
      </c>
      <c r="O102" s="16" t="s">
        <v>39</v>
      </c>
      <c r="P102" t="s">
        <v>40</v>
      </c>
      <c r="Q102" t="s">
        <v>60</v>
      </c>
      <c r="R102" t="s">
        <v>662</v>
      </c>
      <c r="S102" t="s">
        <v>663</v>
      </c>
    </row>
    <row r="103" spans="1:19" ht="15">
      <c r="A103" t="s">
        <v>664</v>
      </c>
      <c r="B103" t="s">
        <v>664</v>
      </c>
      <c r="C103" t="s">
        <v>665</v>
      </c>
      <c r="D103" t="s">
        <v>666</v>
      </c>
      <c r="E103" t="s">
        <v>667</v>
      </c>
      <c r="F103" t="s">
        <v>668</v>
      </c>
      <c r="G103" t="s">
        <v>102</v>
      </c>
      <c r="H103" t="s">
        <v>102</v>
      </c>
      <c r="I103" t="s">
        <v>37</v>
      </c>
      <c r="J103"/>
      <c r="K103" s="16">
        <v>46162</v>
      </c>
      <c r="L103" s="16">
        <v>46162</v>
      </c>
      <c r="M103" t="s">
        <v>38</v>
      </c>
      <c r="N103" s="16">
        <v>46171</v>
      </c>
      <c r="O103" s="16" t="s">
        <v>39</v>
      </c>
      <c r="P103" t="s">
        <v>68</v>
      </c>
      <c r="Q103" t="s">
        <v>60</v>
      </c>
      <c r="R103" t="s">
        <v>669</v>
      </c>
      <c r="S103" t="s">
        <v>5</v>
      </c>
    </row>
    <row r="104" spans="1:19" ht="15">
      <c r="A104" t="s">
        <v>670</v>
      </c>
      <c r="B104" t="s">
        <v>670</v>
      </c>
      <c r="C104" t="s">
        <v>671</v>
      </c>
      <c r="D104" t="s">
        <v>666</v>
      </c>
      <c r="E104" t="s">
        <v>667</v>
      </c>
      <c r="F104" t="s">
        <v>668</v>
      </c>
      <c r="G104" t="s">
        <v>102</v>
      </c>
      <c r="H104" t="s">
        <v>102</v>
      </c>
      <c r="I104" t="s">
        <v>37</v>
      </c>
      <c r="J104"/>
      <c r="K104" s="16">
        <v>46162</v>
      </c>
      <c r="L104" s="16">
        <v>46162</v>
      </c>
      <c r="M104" t="s">
        <v>38</v>
      </c>
      <c r="N104" s="16">
        <v>46171</v>
      </c>
      <c r="O104" s="16" t="s">
        <v>39</v>
      </c>
      <c r="P104" t="s">
        <v>68</v>
      </c>
      <c r="Q104" t="s">
        <v>60</v>
      </c>
      <c r="R104" t="s">
        <v>672</v>
      </c>
      <c r="S104" t="s">
        <v>5</v>
      </c>
    </row>
    <row r="105" spans="1:19" ht="15">
      <c r="A105" t="s">
        <v>673</v>
      </c>
      <c r="B105" t="s">
        <v>673</v>
      </c>
      <c r="C105" t="s">
        <v>674</v>
      </c>
      <c r="D105" t="s">
        <v>666</v>
      </c>
      <c r="E105" t="s">
        <v>667</v>
      </c>
      <c r="F105" t="s">
        <v>668</v>
      </c>
      <c r="G105" t="s">
        <v>102</v>
      </c>
      <c r="H105" t="s">
        <v>102</v>
      </c>
      <c r="I105" t="s">
        <v>37</v>
      </c>
      <c r="J105"/>
      <c r="K105" s="16">
        <v>46162</v>
      </c>
      <c r="L105" s="16">
        <v>46162</v>
      </c>
      <c r="M105" t="s">
        <v>38</v>
      </c>
      <c r="N105" s="16">
        <v>46170</v>
      </c>
      <c r="O105" s="16" t="s">
        <v>39</v>
      </c>
      <c r="P105" t="s">
        <v>68</v>
      </c>
      <c r="Q105" t="s">
        <v>60</v>
      </c>
      <c r="R105" t="s">
        <v>675</v>
      </c>
      <c r="S105" t="s">
        <v>5</v>
      </c>
    </row>
    <row r="106" spans="1:19" ht="15">
      <c r="A106" t="s">
        <v>676</v>
      </c>
      <c r="B106" t="s">
        <v>676</v>
      </c>
      <c r="C106" t="s">
        <v>677</v>
      </c>
      <c r="D106" t="s">
        <v>124</v>
      </c>
      <c r="E106" t="s">
        <v>125</v>
      </c>
      <c r="F106" t="s">
        <v>126</v>
      </c>
      <c r="G106" t="s">
        <v>127</v>
      </c>
      <c r="H106" t="s">
        <v>128</v>
      </c>
      <c r="I106" t="s">
        <v>37</v>
      </c>
      <c r="J106"/>
      <c r="K106" s="16">
        <v>46162</v>
      </c>
      <c r="L106" s="16">
        <v>46162</v>
      </c>
      <c r="M106" t="s">
        <v>38</v>
      </c>
      <c r="N106" s="16">
        <v>46164</v>
      </c>
      <c r="O106" s="16" t="s">
        <v>39</v>
      </c>
      <c r="P106" t="s">
        <v>678</v>
      </c>
      <c r="Q106" t="s">
        <v>130</v>
      </c>
      <c r="R106" t="s">
        <v>679</v>
      </c>
      <c r="S106" t="s">
        <v>5</v>
      </c>
    </row>
    <row r="107" spans="1:19" ht="15">
      <c r="A107" t="s">
        <v>680</v>
      </c>
      <c r="B107" t="s">
        <v>680</v>
      </c>
      <c r="C107" t="s">
        <v>681</v>
      </c>
      <c r="D107" t="s">
        <v>682</v>
      </c>
      <c r="E107" t="s">
        <v>683</v>
      </c>
      <c r="F107" t="s">
        <v>684</v>
      </c>
      <c r="G107" t="s">
        <v>685</v>
      </c>
      <c r="H107" t="s">
        <v>686</v>
      </c>
      <c r="I107" t="s">
        <v>37</v>
      </c>
      <c r="J107"/>
      <c r="K107" s="16">
        <v>46162</v>
      </c>
      <c r="L107" s="16">
        <v>46162</v>
      </c>
      <c r="M107" t="s">
        <v>38</v>
      </c>
      <c r="N107" s="16">
        <v>46164</v>
      </c>
      <c r="O107" s="16" t="s">
        <v>39</v>
      </c>
      <c r="P107" t="s">
        <v>68</v>
      </c>
      <c r="Q107" t="s">
        <v>60</v>
      </c>
      <c r="R107" t="s">
        <v>687</v>
      </c>
      <c r="S107" t="s">
        <v>5</v>
      </c>
    </row>
    <row r="108" spans="1:19" ht="15">
      <c r="A108" t="s">
        <v>688</v>
      </c>
      <c r="B108" t="s">
        <v>689</v>
      </c>
      <c r="C108" t="s">
        <v>690</v>
      </c>
      <c r="D108" t="s">
        <v>124</v>
      </c>
      <c r="E108" t="s">
        <v>125</v>
      </c>
      <c r="F108" t="s">
        <v>126</v>
      </c>
      <c r="G108" t="s">
        <v>127</v>
      </c>
      <c r="H108" t="s">
        <v>128</v>
      </c>
      <c r="I108" t="s">
        <v>37</v>
      </c>
      <c r="J108"/>
      <c r="K108" s="16">
        <v>46162</v>
      </c>
      <c r="L108" s="16">
        <v>46162</v>
      </c>
      <c r="M108" t="s">
        <v>38</v>
      </c>
      <c r="N108" s="16">
        <v>46164</v>
      </c>
      <c r="O108" s="16" t="s">
        <v>39</v>
      </c>
      <c r="P108" t="s">
        <v>678</v>
      </c>
      <c r="Q108" t="s">
        <v>130</v>
      </c>
      <c r="R108" t="s">
        <v>691</v>
      </c>
      <c r="S108" t="s">
        <v>5</v>
      </c>
    </row>
    <row r="109" spans="1:19" ht="15">
      <c r="A109" t="s">
        <v>692</v>
      </c>
      <c r="B109" t="s">
        <v>692</v>
      </c>
      <c r="C109" t="s">
        <v>693</v>
      </c>
      <c r="D109" t="s">
        <v>666</v>
      </c>
      <c r="E109" t="s">
        <v>667</v>
      </c>
      <c r="F109" t="s">
        <v>668</v>
      </c>
      <c r="G109" t="s">
        <v>102</v>
      </c>
      <c r="H109" t="s">
        <v>102</v>
      </c>
      <c r="I109" t="s">
        <v>37</v>
      </c>
      <c r="J109"/>
      <c r="K109" s="16">
        <v>46162</v>
      </c>
      <c r="L109" s="16">
        <v>46162</v>
      </c>
      <c r="M109" t="s">
        <v>38</v>
      </c>
      <c r="N109" s="16">
        <v>46169</v>
      </c>
      <c r="O109" s="16" t="s">
        <v>39</v>
      </c>
      <c r="P109" t="s">
        <v>68</v>
      </c>
      <c r="Q109" t="s">
        <v>60</v>
      </c>
      <c r="R109" t="s">
        <v>694</v>
      </c>
      <c r="S109" t="s">
        <v>5</v>
      </c>
    </row>
    <row r="110" spans="1:19" ht="15">
      <c r="A110" t="s">
        <v>695</v>
      </c>
      <c r="B110" t="s">
        <v>695</v>
      </c>
      <c r="C110" t="s">
        <v>696</v>
      </c>
      <c r="D110" t="s">
        <v>697</v>
      </c>
      <c r="E110" t="s">
        <v>276</v>
      </c>
      <c r="F110" t="s">
        <v>277</v>
      </c>
      <c r="G110" t="s">
        <v>278</v>
      </c>
      <c r="H110" t="s">
        <v>278</v>
      </c>
      <c r="I110" t="s">
        <v>37</v>
      </c>
      <c r="J110"/>
      <c r="K110" s="16">
        <v>46162</v>
      </c>
      <c r="L110" s="16">
        <v>46162</v>
      </c>
      <c r="M110" t="s">
        <v>38</v>
      </c>
      <c r="N110" s="16">
        <v>46164</v>
      </c>
      <c r="O110" s="16" t="s">
        <v>39</v>
      </c>
      <c r="P110" t="s">
        <v>68</v>
      </c>
      <c r="Q110" t="s">
        <v>60</v>
      </c>
      <c r="R110" t="s">
        <v>698</v>
      </c>
      <c r="S110" t="s">
        <v>5</v>
      </c>
    </row>
    <row r="111" spans="1:19" ht="15">
      <c r="A111" t="s">
        <v>699</v>
      </c>
      <c r="B111" t="s">
        <v>699</v>
      </c>
      <c r="C111" t="s">
        <v>700</v>
      </c>
      <c r="D111" t="s">
        <v>666</v>
      </c>
      <c r="E111" t="s">
        <v>667</v>
      </c>
      <c r="F111" t="s">
        <v>668</v>
      </c>
      <c r="G111" t="s">
        <v>102</v>
      </c>
      <c r="H111" t="s">
        <v>102</v>
      </c>
      <c r="I111" t="s">
        <v>37</v>
      </c>
      <c r="J111"/>
      <c r="K111" s="16">
        <v>46162</v>
      </c>
      <c r="L111" s="16">
        <v>46162</v>
      </c>
      <c r="M111" t="s">
        <v>38</v>
      </c>
      <c r="N111" s="16">
        <v>46171</v>
      </c>
      <c r="O111" s="16" t="s">
        <v>39</v>
      </c>
      <c r="P111" t="s">
        <v>68</v>
      </c>
      <c r="Q111" t="s">
        <v>60</v>
      </c>
      <c r="R111" t="s">
        <v>701</v>
      </c>
      <c r="S111" t="s">
        <v>5</v>
      </c>
    </row>
    <row r="112" spans="1:19" ht="15">
      <c r="A112" t="s">
        <v>702</v>
      </c>
      <c r="B112" t="s">
        <v>702</v>
      </c>
      <c r="C112" t="s">
        <v>703</v>
      </c>
      <c r="D112" t="s">
        <v>124</v>
      </c>
      <c r="E112" t="s">
        <v>125</v>
      </c>
      <c r="F112" t="s">
        <v>126</v>
      </c>
      <c r="G112" t="s">
        <v>127</v>
      </c>
      <c r="H112" t="s">
        <v>128</v>
      </c>
      <c r="I112" t="s">
        <v>37</v>
      </c>
      <c r="J112"/>
      <c r="K112" s="16">
        <v>46162</v>
      </c>
      <c r="L112" s="16">
        <v>46162</v>
      </c>
      <c r="M112" t="s">
        <v>38</v>
      </c>
      <c r="N112" s="16">
        <v>46164</v>
      </c>
      <c r="O112" s="16" t="s">
        <v>39</v>
      </c>
      <c r="P112" t="s">
        <v>678</v>
      </c>
      <c r="Q112" t="s">
        <v>130</v>
      </c>
      <c r="R112" t="s">
        <v>704</v>
      </c>
      <c r="S112" t="s">
        <v>5</v>
      </c>
    </row>
    <row r="113" spans="1:19" ht="15">
      <c r="A113" t="s">
        <v>705</v>
      </c>
      <c r="B113" t="s">
        <v>705</v>
      </c>
      <c r="C113" t="s">
        <v>706</v>
      </c>
      <c r="D113" t="s">
        <v>666</v>
      </c>
      <c r="E113" t="s">
        <v>667</v>
      </c>
      <c r="F113" t="s">
        <v>668</v>
      </c>
      <c r="G113" t="s">
        <v>102</v>
      </c>
      <c r="H113" t="s">
        <v>102</v>
      </c>
      <c r="I113" t="s">
        <v>37</v>
      </c>
      <c r="J113"/>
      <c r="K113" s="16">
        <v>46162</v>
      </c>
      <c r="L113" s="16">
        <v>46162</v>
      </c>
      <c r="M113" t="s">
        <v>38</v>
      </c>
      <c r="N113" s="16">
        <v>46170</v>
      </c>
      <c r="O113" s="16" t="s">
        <v>39</v>
      </c>
      <c r="P113" t="s">
        <v>68</v>
      </c>
      <c r="Q113" t="s">
        <v>60</v>
      </c>
      <c r="R113" t="s">
        <v>707</v>
      </c>
      <c r="S113" t="s">
        <v>5</v>
      </c>
    </row>
    <row r="114" spans="1:19" ht="15">
      <c r="A114" t="s">
        <v>708</v>
      </c>
      <c r="B114" t="s">
        <v>708</v>
      </c>
      <c r="C114" t="s">
        <v>709</v>
      </c>
      <c r="D114" t="s">
        <v>369</v>
      </c>
      <c r="E114" t="s">
        <v>169</v>
      </c>
      <c r="F114" t="s">
        <v>294</v>
      </c>
      <c r="G114" t="s">
        <v>295</v>
      </c>
      <c r="H114" t="s">
        <v>226</v>
      </c>
      <c r="I114" t="s">
        <v>37</v>
      </c>
      <c r="J114"/>
      <c r="K114" s="16">
        <v>46162</v>
      </c>
      <c r="L114" s="16">
        <v>46162</v>
      </c>
      <c r="M114" t="s">
        <v>94</v>
      </c>
      <c r="N114" s="16">
        <v>46169</v>
      </c>
      <c r="O114" s="16" t="s">
        <v>710</v>
      </c>
      <c r="P114" t="s">
        <v>68</v>
      </c>
      <c r="Q114" t="s">
        <v>60</v>
      </c>
      <c r="R114" t="s">
        <v>711</v>
      </c>
      <c r="S114" t="s">
        <v>5</v>
      </c>
    </row>
    <row r="115" spans="1:19" ht="15">
      <c r="A115" t="s">
        <v>712</v>
      </c>
      <c r="B115" t="s">
        <v>712</v>
      </c>
      <c r="C115" t="s">
        <v>713</v>
      </c>
      <c r="D115" t="s">
        <v>666</v>
      </c>
      <c r="E115" t="s">
        <v>667</v>
      </c>
      <c r="F115" t="s">
        <v>668</v>
      </c>
      <c r="G115" t="s">
        <v>102</v>
      </c>
      <c r="H115" t="s">
        <v>102</v>
      </c>
      <c r="I115" t="s">
        <v>37</v>
      </c>
      <c r="J115"/>
      <c r="K115" s="16">
        <v>46162</v>
      </c>
      <c r="L115" s="16">
        <v>46162</v>
      </c>
      <c r="M115" t="s">
        <v>38</v>
      </c>
      <c r="N115" s="16">
        <v>46171</v>
      </c>
      <c r="O115" s="16" t="s">
        <v>39</v>
      </c>
      <c r="P115" t="s">
        <v>68</v>
      </c>
      <c r="Q115" t="s">
        <v>60</v>
      </c>
      <c r="R115" t="s">
        <v>714</v>
      </c>
      <c r="S115" t="s">
        <v>5</v>
      </c>
    </row>
    <row r="116" spans="1:19" ht="15">
      <c r="A116" t="s">
        <v>676</v>
      </c>
      <c r="B116" t="s">
        <v>676</v>
      </c>
      <c r="C116" t="s">
        <v>677</v>
      </c>
      <c r="D116" t="s">
        <v>124</v>
      </c>
      <c r="E116" t="s">
        <v>125</v>
      </c>
      <c r="F116" t="s">
        <v>126</v>
      </c>
      <c r="G116" t="s">
        <v>127</v>
      </c>
      <c r="H116" t="s">
        <v>128</v>
      </c>
      <c r="I116" t="s">
        <v>37</v>
      </c>
      <c r="J116"/>
      <c r="K116" s="16">
        <v>46161</v>
      </c>
      <c r="L116" s="16">
        <v>46162</v>
      </c>
      <c r="M116" t="s">
        <v>38</v>
      </c>
      <c r="N116" s="16">
        <v>46164</v>
      </c>
      <c r="O116" s="16" t="s">
        <v>39</v>
      </c>
      <c r="P116" t="s">
        <v>678</v>
      </c>
      <c r="Q116" t="s">
        <v>130</v>
      </c>
      <c r="R116" t="s">
        <v>679</v>
      </c>
      <c r="S116" t="s">
        <v>5</v>
      </c>
    </row>
    <row r="117" spans="1:19" ht="15">
      <c r="A117" t="s">
        <v>715</v>
      </c>
      <c r="B117" t="s">
        <v>715</v>
      </c>
      <c r="C117" t="s">
        <v>716</v>
      </c>
      <c r="D117" t="s">
        <v>573</v>
      </c>
      <c r="E117" t="s">
        <v>574</v>
      </c>
      <c r="F117" t="s">
        <v>575</v>
      </c>
      <c r="G117" t="s">
        <v>576</v>
      </c>
      <c r="H117" t="s">
        <v>234</v>
      </c>
      <c r="I117" t="s">
        <v>37</v>
      </c>
      <c r="J117"/>
      <c r="K117" s="16">
        <v>46162</v>
      </c>
      <c r="L117" s="16">
        <v>46162</v>
      </c>
      <c r="M117" t="s">
        <v>38</v>
      </c>
      <c r="N117" s="16">
        <v>46164</v>
      </c>
      <c r="O117" s="16" t="s">
        <v>39</v>
      </c>
      <c r="P117" t="s">
        <v>40</v>
      </c>
      <c r="Q117" t="s">
        <v>60</v>
      </c>
      <c r="R117" t="s">
        <v>717</v>
      </c>
      <c r="S117" t="s">
        <v>718</v>
      </c>
    </row>
    <row r="118" spans="1:19" ht="15">
      <c r="A118" t="s">
        <v>719</v>
      </c>
      <c r="B118" t="s">
        <v>719</v>
      </c>
      <c r="C118" t="s">
        <v>720</v>
      </c>
      <c r="D118" t="s">
        <v>666</v>
      </c>
      <c r="E118" t="s">
        <v>667</v>
      </c>
      <c r="F118" t="s">
        <v>668</v>
      </c>
      <c r="G118" t="s">
        <v>102</v>
      </c>
      <c r="H118" t="s">
        <v>102</v>
      </c>
      <c r="I118" t="s">
        <v>37</v>
      </c>
      <c r="J118"/>
      <c r="K118" s="16">
        <v>46162</v>
      </c>
      <c r="L118" s="16">
        <v>46162</v>
      </c>
      <c r="M118" t="s">
        <v>38</v>
      </c>
      <c r="N118" s="16">
        <v>46169</v>
      </c>
      <c r="O118" s="16" t="s">
        <v>39</v>
      </c>
      <c r="P118" t="s">
        <v>68</v>
      </c>
      <c r="Q118" t="s">
        <v>60</v>
      </c>
      <c r="R118" t="s">
        <v>721</v>
      </c>
      <c r="S118" t="s">
        <v>5</v>
      </c>
    </row>
    <row r="119" spans="1:19" ht="15">
      <c r="A119" t="s">
        <v>722</v>
      </c>
      <c r="B119" t="s">
        <v>722</v>
      </c>
      <c r="C119" t="s">
        <v>723</v>
      </c>
      <c r="D119" t="s">
        <v>724</v>
      </c>
      <c r="E119" t="s">
        <v>725</v>
      </c>
      <c r="F119" t="s">
        <v>726</v>
      </c>
      <c r="G119" t="s">
        <v>234</v>
      </c>
      <c r="H119" t="s">
        <v>234</v>
      </c>
      <c r="I119" t="s">
        <v>37</v>
      </c>
      <c r="J119"/>
      <c r="K119" s="16">
        <v>46163</v>
      </c>
      <c r="L119" s="16">
        <v>46163</v>
      </c>
      <c r="M119" t="s">
        <v>94</v>
      </c>
      <c r="N119" s="16">
        <v>46175</v>
      </c>
      <c r="O119" s="16" t="s">
        <v>95</v>
      </c>
      <c r="P119" t="s">
        <v>51</v>
      </c>
      <c r="Q119" t="s">
        <v>60</v>
      </c>
      <c r="R119" t="s">
        <v>727</v>
      </c>
      <c r="S119" t="s">
        <v>5</v>
      </c>
    </row>
    <row r="120" spans="1:19" ht="15">
      <c r="A120" t="s">
        <v>728</v>
      </c>
      <c r="B120" t="s">
        <v>728</v>
      </c>
      <c r="C120" t="s">
        <v>729</v>
      </c>
      <c r="D120" t="s">
        <v>730</v>
      </c>
      <c r="E120" t="s">
        <v>731</v>
      </c>
      <c r="F120" t="s">
        <v>732</v>
      </c>
      <c r="G120" t="s">
        <v>733</v>
      </c>
      <c r="H120" t="s">
        <v>734</v>
      </c>
      <c r="I120" t="s">
        <v>735</v>
      </c>
      <c r="J120"/>
      <c r="K120" s="16">
        <v>46163</v>
      </c>
      <c r="L120" s="16">
        <v>46163</v>
      </c>
      <c r="M120" t="s">
        <v>38</v>
      </c>
      <c r="N120" s="16">
        <v>46174</v>
      </c>
      <c r="O120" s="16" t="s">
        <v>39</v>
      </c>
      <c r="P120" t="s">
        <v>51</v>
      </c>
      <c r="Q120" t="s">
        <v>60</v>
      </c>
      <c r="R120" t="s">
        <v>736</v>
      </c>
      <c r="S120" t="s">
        <v>5</v>
      </c>
    </row>
    <row r="121" spans="1:19" ht="15">
      <c r="A121" t="s">
        <v>737</v>
      </c>
      <c r="B121" t="s">
        <v>737</v>
      </c>
      <c r="C121" t="s">
        <v>738</v>
      </c>
      <c r="D121" t="s">
        <v>179</v>
      </c>
      <c r="E121" t="s">
        <v>180</v>
      </c>
      <c r="F121" t="s">
        <v>181</v>
      </c>
      <c r="G121" t="s">
        <v>182</v>
      </c>
      <c r="H121" t="s">
        <v>183</v>
      </c>
      <c r="I121" t="s">
        <v>37</v>
      </c>
      <c r="J121"/>
      <c r="K121" s="16">
        <v>46163</v>
      </c>
      <c r="L121" s="16">
        <v>46163</v>
      </c>
      <c r="M121" t="s">
        <v>38</v>
      </c>
      <c r="N121" s="16">
        <v>46164</v>
      </c>
      <c r="O121" s="16" t="s">
        <v>39</v>
      </c>
      <c r="P121" t="s">
        <v>68</v>
      </c>
      <c r="Q121" t="s">
        <v>60</v>
      </c>
      <c r="R121" t="s">
        <v>739</v>
      </c>
      <c r="S121" t="s">
        <v>5</v>
      </c>
    </row>
    <row r="122" spans="1:19" ht="15">
      <c r="A122" t="s">
        <v>740</v>
      </c>
      <c r="B122" t="s">
        <v>740</v>
      </c>
      <c r="C122" t="s">
        <v>741</v>
      </c>
      <c r="D122" t="s">
        <v>32</v>
      </c>
      <c r="E122" t="s">
        <v>33</v>
      </c>
      <c r="F122" t="s">
        <v>34</v>
      </c>
      <c r="G122" t="s">
        <v>35</v>
      </c>
      <c r="H122" t="s">
        <v>36</v>
      </c>
      <c r="I122" t="s">
        <v>37</v>
      </c>
      <c r="J122"/>
      <c r="K122" s="16">
        <v>46163</v>
      </c>
      <c r="L122" s="16">
        <v>46163</v>
      </c>
      <c r="M122" t="s">
        <v>38</v>
      </c>
      <c r="N122" s="16">
        <v>46164</v>
      </c>
      <c r="O122" s="16" t="s">
        <v>39</v>
      </c>
      <c r="P122" t="s">
        <v>40</v>
      </c>
      <c r="Q122" t="s">
        <v>41</v>
      </c>
      <c r="R122" t="s">
        <v>742</v>
      </c>
      <c r="S122" t="s">
        <v>743</v>
      </c>
    </row>
    <row r="123" spans="1:19" ht="15">
      <c r="A123" t="s">
        <v>744</v>
      </c>
      <c r="B123" t="s">
        <v>744</v>
      </c>
      <c r="C123" t="s">
        <v>745</v>
      </c>
      <c r="D123" t="s">
        <v>746</v>
      </c>
      <c r="E123" t="s">
        <v>747</v>
      </c>
      <c r="F123" t="s">
        <v>748</v>
      </c>
      <c r="G123" t="s">
        <v>336</v>
      </c>
      <c r="H123" t="s">
        <v>336</v>
      </c>
      <c r="I123" t="s">
        <v>37</v>
      </c>
      <c r="J123"/>
      <c r="K123" s="16">
        <v>46163</v>
      </c>
      <c r="L123" s="16">
        <v>46163</v>
      </c>
      <c r="M123" t="s">
        <v>38</v>
      </c>
      <c r="N123" s="16">
        <v>46164</v>
      </c>
      <c r="O123" s="16" t="s">
        <v>39</v>
      </c>
      <c r="P123" t="s">
        <v>51</v>
      </c>
      <c r="Q123" t="s">
        <v>60</v>
      </c>
      <c r="R123" t="s">
        <v>749</v>
      </c>
      <c r="S123" t="s">
        <v>5</v>
      </c>
    </row>
    <row r="124" spans="1:19" ht="15">
      <c r="A124" t="s">
        <v>750</v>
      </c>
      <c r="B124" t="s">
        <v>750</v>
      </c>
      <c r="C124" t="s">
        <v>751</v>
      </c>
      <c r="D124" t="s">
        <v>63</v>
      </c>
      <c r="E124" t="s">
        <v>64</v>
      </c>
      <c r="F124" t="s">
        <v>65</v>
      </c>
      <c r="G124" t="s">
        <v>66</v>
      </c>
      <c r="H124" t="s">
        <v>67</v>
      </c>
      <c r="I124" t="s">
        <v>37</v>
      </c>
      <c r="J124"/>
      <c r="K124" s="16">
        <v>46163</v>
      </c>
      <c r="L124" s="16">
        <v>46163</v>
      </c>
      <c r="M124" t="s">
        <v>38</v>
      </c>
      <c r="N124" s="16">
        <v>46167</v>
      </c>
      <c r="O124" s="16" t="s">
        <v>39</v>
      </c>
      <c r="P124" t="s">
        <v>51</v>
      </c>
      <c r="Q124" t="s">
        <v>60</v>
      </c>
      <c r="R124" t="s">
        <v>752</v>
      </c>
      <c r="S124" t="s">
        <v>5</v>
      </c>
    </row>
    <row r="125" spans="1:19" ht="15">
      <c r="A125" t="s">
        <v>753</v>
      </c>
      <c r="B125" t="s">
        <v>753</v>
      </c>
      <c r="C125" t="s">
        <v>754</v>
      </c>
      <c r="D125" t="s">
        <v>724</v>
      </c>
      <c r="E125" t="s">
        <v>725</v>
      </c>
      <c r="F125" t="s">
        <v>726</v>
      </c>
      <c r="G125" t="s">
        <v>631</v>
      </c>
      <c r="H125" t="s">
        <v>631</v>
      </c>
      <c r="I125" t="s">
        <v>37</v>
      </c>
      <c r="J125"/>
      <c r="K125" s="16">
        <v>46164</v>
      </c>
      <c r="L125" s="16">
        <v>46164</v>
      </c>
      <c r="M125" t="s">
        <v>38</v>
      </c>
      <c r="N125" s="16">
        <v>46168</v>
      </c>
      <c r="O125" s="16" t="s">
        <v>39</v>
      </c>
      <c r="P125" t="s">
        <v>51</v>
      </c>
      <c r="Q125" t="s">
        <v>60</v>
      </c>
      <c r="R125" t="s">
        <v>755</v>
      </c>
      <c r="S125" t="s">
        <v>5</v>
      </c>
    </row>
    <row r="126" spans="1:19" ht="15">
      <c r="A126" t="s">
        <v>756</v>
      </c>
      <c r="B126" t="s">
        <v>757</v>
      </c>
      <c r="C126" t="s">
        <v>758</v>
      </c>
      <c r="D126" t="s">
        <v>341</v>
      </c>
      <c r="E126" t="s">
        <v>470</v>
      </c>
      <c r="F126" t="s">
        <v>342</v>
      </c>
      <c r="G126" t="s">
        <v>343</v>
      </c>
      <c r="H126" t="s">
        <v>336</v>
      </c>
      <c r="I126" t="s">
        <v>37</v>
      </c>
      <c r="J126"/>
      <c r="K126" s="16">
        <v>46164</v>
      </c>
      <c r="L126" s="16">
        <v>46164</v>
      </c>
      <c r="M126" t="s">
        <v>38</v>
      </c>
      <c r="N126" s="16">
        <v>46167</v>
      </c>
      <c r="O126" s="16" t="s">
        <v>39</v>
      </c>
      <c r="P126" t="s">
        <v>40</v>
      </c>
      <c r="Q126" t="s">
        <v>60</v>
      </c>
      <c r="R126" t="s">
        <v>759</v>
      </c>
      <c r="S126" t="s">
        <v>760</v>
      </c>
    </row>
    <row r="127" spans="1:19" ht="15">
      <c r="A127" t="s">
        <v>761</v>
      </c>
      <c r="B127" t="s">
        <v>761</v>
      </c>
      <c r="C127" t="s">
        <v>762</v>
      </c>
      <c r="D127" t="s">
        <v>763</v>
      </c>
      <c r="E127" t="s">
        <v>764</v>
      </c>
      <c r="F127" t="s">
        <v>765</v>
      </c>
      <c r="G127" t="s">
        <v>766</v>
      </c>
      <c r="H127" t="s">
        <v>766</v>
      </c>
      <c r="I127" t="s">
        <v>37</v>
      </c>
      <c r="J127"/>
      <c r="K127" s="16">
        <v>46168</v>
      </c>
      <c r="L127" s="16">
        <v>46168</v>
      </c>
      <c r="M127" t="s">
        <v>38</v>
      </c>
      <c r="N127" s="16">
        <v>46169</v>
      </c>
      <c r="O127" s="16" t="s">
        <v>39</v>
      </c>
      <c r="P127" t="s">
        <v>68</v>
      </c>
      <c r="Q127" t="s">
        <v>60</v>
      </c>
      <c r="R127" t="s">
        <v>767</v>
      </c>
      <c r="S127" t="s">
        <v>5</v>
      </c>
    </row>
    <row r="128" spans="1:19" ht="15">
      <c r="A128" t="s">
        <v>768</v>
      </c>
      <c r="B128" t="s">
        <v>768</v>
      </c>
      <c r="C128" t="s">
        <v>769</v>
      </c>
      <c r="D128" t="s">
        <v>573</v>
      </c>
      <c r="E128" t="s">
        <v>574</v>
      </c>
      <c r="F128" t="s">
        <v>575</v>
      </c>
      <c r="G128" t="s">
        <v>576</v>
      </c>
      <c r="H128" t="s">
        <v>234</v>
      </c>
      <c r="I128" t="s">
        <v>37</v>
      </c>
      <c r="J128"/>
      <c r="K128" s="16">
        <v>46168</v>
      </c>
      <c r="L128" s="16">
        <v>46168</v>
      </c>
      <c r="M128" t="s">
        <v>38</v>
      </c>
      <c r="N128" s="16">
        <v>46169</v>
      </c>
      <c r="O128" s="16" t="s">
        <v>39</v>
      </c>
      <c r="P128" t="s">
        <v>40</v>
      </c>
      <c r="Q128" t="s">
        <v>60</v>
      </c>
      <c r="R128" t="s">
        <v>770</v>
      </c>
      <c r="S128" t="s">
        <v>771</v>
      </c>
    </row>
    <row r="129" spans="1:19" ht="15">
      <c r="A129" t="s">
        <v>772</v>
      </c>
      <c r="B129" t="s">
        <v>772</v>
      </c>
      <c r="C129" t="s">
        <v>773</v>
      </c>
      <c r="D129" t="s">
        <v>774</v>
      </c>
      <c r="E129" t="s">
        <v>775</v>
      </c>
      <c r="F129" t="s">
        <v>170</v>
      </c>
      <c r="G129" t="s">
        <v>171</v>
      </c>
      <c r="H129" t="s">
        <v>156</v>
      </c>
      <c r="I129" t="s">
        <v>37</v>
      </c>
      <c r="J129"/>
      <c r="K129" s="16">
        <v>46168</v>
      </c>
      <c r="L129" s="16">
        <v>46168</v>
      </c>
      <c r="M129" t="s">
        <v>38</v>
      </c>
      <c r="N129" s="16">
        <v>46169</v>
      </c>
      <c r="O129" s="16" t="s">
        <v>39</v>
      </c>
      <c r="P129" t="s">
        <v>68</v>
      </c>
      <c r="Q129" t="s">
        <v>60</v>
      </c>
      <c r="R129" t="s">
        <v>776</v>
      </c>
      <c r="S129" t="s">
        <v>5</v>
      </c>
    </row>
    <row r="130" spans="1:19" ht="15">
      <c r="A130" t="s">
        <v>777</v>
      </c>
      <c r="B130" t="s">
        <v>778</v>
      </c>
      <c r="C130" t="s">
        <v>779</v>
      </c>
      <c r="D130" t="s">
        <v>780</v>
      </c>
      <c r="E130" t="s">
        <v>781</v>
      </c>
      <c r="F130" t="s">
        <v>782</v>
      </c>
      <c r="G130" t="s">
        <v>783</v>
      </c>
      <c r="H130" t="s">
        <v>278</v>
      </c>
      <c r="I130" t="s">
        <v>37</v>
      </c>
      <c r="J130"/>
      <c r="K130" s="16">
        <v>46168</v>
      </c>
      <c r="L130" s="16">
        <v>46168</v>
      </c>
      <c r="M130" t="s">
        <v>38</v>
      </c>
      <c r="N130" s="16">
        <v>46170</v>
      </c>
      <c r="O130" s="16" t="s">
        <v>39</v>
      </c>
      <c r="P130" t="s">
        <v>536</v>
      </c>
      <c r="Q130" t="s">
        <v>60</v>
      </c>
      <c r="R130" t="s">
        <v>784</v>
      </c>
      <c r="S130" t="s">
        <v>785</v>
      </c>
    </row>
    <row r="131" spans="1:19" ht="15">
      <c r="A131" t="s">
        <v>786</v>
      </c>
      <c r="B131" t="s">
        <v>787</v>
      </c>
      <c r="C131" t="s">
        <v>788</v>
      </c>
      <c r="D131" t="s">
        <v>789</v>
      </c>
      <c r="E131" t="s">
        <v>790</v>
      </c>
      <c r="F131" t="s">
        <v>791</v>
      </c>
      <c r="G131" t="s">
        <v>792</v>
      </c>
      <c r="H131" t="s">
        <v>793</v>
      </c>
      <c r="I131" t="s">
        <v>37</v>
      </c>
      <c r="J131"/>
      <c r="K131" s="16">
        <v>46168</v>
      </c>
      <c r="L131" s="16">
        <v>46168</v>
      </c>
      <c r="M131" t="s">
        <v>38</v>
      </c>
      <c r="N131" s="16">
        <v>46169</v>
      </c>
      <c r="O131" s="16" t="s">
        <v>39</v>
      </c>
      <c r="P131" t="s">
        <v>51</v>
      </c>
      <c r="Q131" t="s">
        <v>60</v>
      </c>
      <c r="R131" t="s">
        <v>794</v>
      </c>
      <c r="S131" t="s">
        <v>5</v>
      </c>
    </row>
    <row r="132" spans="1:19" ht="15">
      <c r="A132" t="s">
        <v>761</v>
      </c>
      <c r="B132" t="s">
        <v>761</v>
      </c>
      <c r="C132" t="s">
        <v>762</v>
      </c>
      <c r="D132" t="s">
        <v>763</v>
      </c>
      <c r="E132" t="s">
        <v>764</v>
      </c>
      <c r="F132" t="s">
        <v>765</v>
      </c>
      <c r="G132" t="s">
        <v>766</v>
      </c>
      <c r="H132" t="s">
        <v>766</v>
      </c>
      <c r="I132" t="s">
        <v>37</v>
      </c>
      <c r="J132"/>
      <c r="K132" s="16">
        <v>46168</v>
      </c>
      <c r="L132" s="16">
        <v>46168</v>
      </c>
      <c r="M132" t="s">
        <v>38</v>
      </c>
      <c r="N132" s="16">
        <v>46169</v>
      </c>
      <c r="O132" s="16" t="s">
        <v>39</v>
      </c>
      <c r="P132" t="s">
        <v>68</v>
      </c>
      <c r="Q132" t="s">
        <v>60</v>
      </c>
      <c r="R132" t="s">
        <v>767</v>
      </c>
      <c r="S132" t="s">
        <v>5</v>
      </c>
    </row>
    <row r="133" spans="1:19" ht="15">
      <c r="A133" t="s">
        <v>761</v>
      </c>
      <c r="B133" t="s">
        <v>761</v>
      </c>
      <c r="C133" t="s">
        <v>762</v>
      </c>
      <c r="D133" t="s">
        <v>763</v>
      </c>
      <c r="E133" t="s">
        <v>764</v>
      </c>
      <c r="F133" t="s">
        <v>765</v>
      </c>
      <c r="G133" t="s">
        <v>766</v>
      </c>
      <c r="H133" t="s">
        <v>766</v>
      </c>
      <c r="I133" t="s">
        <v>37</v>
      </c>
      <c r="J133"/>
      <c r="K133" s="16">
        <v>46168</v>
      </c>
      <c r="L133" s="16">
        <v>46168</v>
      </c>
      <c r="M133" t="s">
        <v>38</v>
      </c>
      <c r="N133" s="16">
        <v>46169</v>
      </c>
      <c r="O133" s="16" t="s">
        <v>39</v>
      </c>
      <c r="P133" t="s">
        <v>68</v>
      </c>
      <c r="Q133" t="s">
        <v>60</v>
      </c>
      <c r="R133" t="s">
        <v>767</v>
      </c>
      <c r="S133" t="s">
        <v>5</v>
      </c>
    </row>
    <row r="134" spans="1:19" ht="15">
      <c r="A134" t="s">
        <v>795</v>
      </c>
      <c r="B134" t="s">
        <v>795</v>
      </c>
      <c r="C134" t="s">
        <v>796</v>
      </c>
      <c r="D134" t="s">
        <v>797</v>
      </c>
      <c r="E134" t="s">
        <v>798</v>
      </c>
      <c r="F134" t="s">
        <v>799</v>
      </c>
      <c r="G134" t="s">
        <v>800</v>
      </c>
      <c r="H134" t="s">
        <v>801</v>
      </c>
      <c r="I134" t="s">
        <v>37</v>
      </c>
      <c r="J134"/>
      <c r="K134" s="16">
        <v>46168</v>
      </c>
      <c r="L134" s="16">
        <v>46169</v>
      </c>
      <c r="M134" t="s">
        <v>38</v>
      </c>
      <c r="N134" s="16">
        <v>46175</v>
      </c>
      <c r="O134" s="16" t="s">
        <v>39</v>
      </c>
      <c r="P134" t="s">
        <v>536</v>
      </c>
      <c r="Q134" t="s">
        <v>60</v>
      </c>
      <c r="R134" t="s">
        <v>802</v>
      </c>
      <c r="S134" t="s">
        <v>803</v>
      </c>
    </row>
    <row r="135" spans="1:19" ht="15">
      <c r="A135" t="s">
        <v>804</v>
      </c>
      <c r="B135" t="s">
        <v>804</v>
      </c>
      <c r="C135" t="s">
        <v>805</v>
      </c>
      <c r="D135" t="s">
        <v>549</v>
      </c>
      <c r="E135" t="s">
        <v>550</v>
      </c>
      <c r="F135" t="s">
        <v>376</v>
      </c>
      <c r="G135" t="s">
        <v>377</v>
      </c>
      <c r="H135" t="s">
        <v>50</v>
      </c>
      <c r="I135" t="s">
        <v>37</v>
      </c>
      <c r="J135"/>
      <c r="K135" s="16">
        <v>46169</v>
      </c>
      <c r="L135" s="16">
        <v>46169</v>
      </c>
      <c r="M135" t="s">
        <v>38</v>
      </c>
      <c r="N135" s="16">
        <v>46169</v>
      </c>
      <c r="O135" s="16" t="s">
        <v>39</v>
      </c>
      <c r="P135" t="s">
        <v>378</v>
      </c>
      <c r="Q135" t="s">
        <v>378</v>
      </c>
      <c r="R135" t="s">
        <v>806</v>
      </c>
      <c r="S135" t="s">
        <v>5</v>
      </c>
    </row>
    <row r="136" spans="1:19" ht="15">
      <c r="A136" t="s">
        <v>795</v>
      </c>
      <c r="B136" t="s">
        <v>795</v>
      </c>
      <c r="C136" t="s">
        <v>796</v>
      </c>
      <c r="D136" t="s">
        <v>797</v>
      </c>
      <c r="E136" t="s">
        <v>798</v>
      </c>
      <c r="F136" t="s">
        <v>799</v>
      </c>
      <c r="G136" t="s">
        <v>800</v>
      </c>
      <c r="H136" t="s">
        <v>801</v>
      </c>
      <c r="I136" t="s">
        <v>37</v>
      </c>
      <c r="J136"/>
      <c r="K136" s="16">
        <v>46168</v>
      </c>
      <c r="L136" s="16">
        <v>46169</v>
      </c>
      <c r="M136" t="s">
        <v>38</v>
      </c>
      <c r="N136" s="16">
        <v>46175</v>
      </c>
      <c r="O136" s="16" t="s">
        <v>39</v>
      </c>
      <c r="P136" t="s">
        <v>536</v>
      </c>
      <c r="Q136" t="s">
        <v>60</v>
      </c>
      <c r="R136" t="s">
        <v>802</v>
      </c>
      <c r="S136" t="s">
        <v>803</v>
      </c>
    </row>
    <row r="137" spans="1:19" ht="15">
      <c r="A137" t="s">
        <v>807</v>
      </c>
      <c r="B137" t="s">
        <v>807</v>
      </c>
      <c r="C137" t="s">
        <v>808</v>
      </c>
      <c r="D137" t="s">
        <v>809</v>
      </c>
      <c r="E137" t="s">
        <v>810</v>
      </c>
      <c r="F137" t="s">
        <v>811</v>
      </c>
      <c r="G137" t="s">
        <v>812</v>
      </c>
      <c r="H137" t="s">
        <v>50</v>
      </c>
      <c r="I137" t="s">
        <v>37</v>
      </c>
      <c r="J137"/>
      <c r="K137" s="16">
        <v>46170</v>
      </c>
      <c r="L137" s="16">
        <v>46170</v>
      </c>
      <c r="M137" t="s">
        <v>38</v>
      </c>
      <c r="N137" s="16">
        <v>46175</v>
      </c>
      <c r="O137" s="16" t="s">
        <v>39</v>
      </c>
      <c r="P137" t="s">
        <v>536</v>
      </c>
      <c r="Q137" t="s">
        <v>60</v>
      </c>
      <c r="R137" t="s">
        <v>813</v>
      </c>
      <c r="S137" t="s">
        <v>814</v>
      </c>
    </row>
    <row r="138" spans="1:19" ht="15">
      <c r="A138" t="s">
        <v>815</v>
      </c>
      <c r="B138" t="s">
        <v>815</v>
      </c>
      <c r="C138" t="s">
        <v>816</v>
      </c>
      <c r="D138" t="s">
        <v>817</v>
      </c>
      <c r="E138" t="s">
        <v>818</v>
      </c>
      <c r="F138" t="s">
        <v>819</v>
      </c>
      <c r="G138" t="s">
        <v>820</v>
      </c>
      <c r="H138" t="s">
        <v>820</v>
      </c>
      <c r="I138" t="s">
        <v>37</v>
      </c>
      <c r="J138"/>
      <c r="K138" s="16">
        <v>46170</v>
      </c>
      <c r="L138" s="16">
        <v>46170</v>
      </c>
      <c r="M138" t="s">
        <v>38</v>
      </c>
      <c r="N138" s="16">
        <v>46171</v>
      </c>
      <c r="O138" s="16" t="s">
        <v>39</v>
      </c>
      <c r="P138" t="s">
        <v>68</v>
      </c>
      <c r="Q138" t="s">
        <v>60</v>
      </c>
      <c r="R138" t="s">
        <v>821</v>
      </c>
      <c r="S138" t="s">
        <v>5</v>
      </c>
    </row>
    <row r="139" spans="1:19" ht="15">
      <c r="A139" t="s">
        <v>822</v>
      </c>
      <c r="B139" t="s">
        <v>822</v>
      </c>
      <c r="C139" t="s">
        <v>823</v>
      </c>
      <c r="D139" t="s">
        <v>348</v>
      </c>
      <c r="E139" t="s">
        <v>824</v>
      </c>
      <c r="F139" t="s">
        <v>350</v>
      </c>
      <c r="G139" t="s">
        <v>351</v>
      </c>
      <c r="H139" t="s">
        <v>351</v>
      </c>
      <c r="I139" t="s">
        <v>37</v>
      </c>
      <c r="J139"/>
      <c r="K139" s="16">
        <v>46170</v>
      </c>
      <c r="L139" s="16">
        <v>46170</v>
      </c>
      <c r="M139" t="s">
        <v>38</v>
      </c>
      <c r="N139" s="16">
        <v>46174</v>
      </c>
      <c r="O139" s="16" t="s">
        <v>39</v>
      </c>
      <c r="P139" t="s">
        <v>184</v>
      </c>
      <c r="Q139" t="s">
        <v>60</v>
      </c>
      <c r="R139" t="s">
        <v>825</v>
      </c>
      <c r="S139" t="s">
        <v>826</v>
      </c>
    </row>
    <row r="140" spans="1:19" ht="15">
      <c r="A140" t="s">
        <v>827</v>
      </c>
      <c r="B140" t="s">
        <v>827</v>
      </c>
      <c r="C140" t="s">
        <v>828</v>
      </c>
      <c r="D140" t="s">
        <v>829</v>
      </c>
      <c r="E140" t="s">
        <v>830</v>
      </c>
      <c r="F140" t="s">
        <v>831</v>
      </c>
      <c r="G140" t="s">
        <v>631</v>
      </c>
      <c r="H140" t="s">
        <v>631</v>
      </c>
      <c r="I140" t="s">
        <v>37</v>
      </c>
      <c r="J140"/>
      <c r="K140" s="16">
        <v>46170</v>
      </c>
      <c r="L140" s="16">
        <v>46170</v>
      </c>
      <c r="M140" t="s">
        <v>38</v>
      </c>
      <c r="N140" s="16">
        <v>46174</v>
      </c>
      <c r="O140" s="16" t="s">
        <v>39</v>
      </c>
      <c r="P140" t="s">
        <v>184</v>
      </c>
      <c r="Q140" t="s">
        <v>60</v>
      </c>
      <c r="R140" t="s">
        <v>832</v>
      </c>
      <c r="S140" t="s">
        <v>833</v>
      </c>
    </row>
    <row r="141" spans="1:19" ht="15">
      <c r="A141" t="s">
        <v>834</v>
      </c>
      <c r="B141" t="s">
        <v>834</v>
      </c>
      <c r="C141" t="s">
        <v>835</v>
      </c>
      <c r="D141" t="s">
        <v>369</v>
      </c>
      <c r="E141" t="s">
        <v>169</v>
      </c>
      <c r="F141" t="s">
        <v>294</v>
      </c>
      <c r="G141" t="s">
        <v>295</v>
      </c>
      <c r="H141" t="s">
        <v>226</v>
      </c>
      <c r="I141" t="s">
        <v>37</v>
      </c>
      <c r="J141"/>
      <c r="K141" s="16">
        <v>46170</v>
      </c>
      <c r="L141" s="16">
        <v>46170</v>
      </c>
      <c r="M141" t="s">
        <v>38</v>
      </c>
      <c r="N141" s="16">
        <v>46174</v>
      </c>
      <c r="O141" s="16" t="s">
        <v>39</v>
      </c>
      <c r="P141" t="s">
        <v>68</v>
      </c>
      <c r="Q141" t="s">
        <v>60</v>
      </c>
      <c r="R141" t="s">
        <v>836</v>
      </c>
      <c r="S141" t="s">
        <v>5</v>
      </c>
    </row>
    <row r="142" spans="1:19" ht="15">
      <c r="A142" t="s">
        <v>837</v>
      </c>
      <c r="B142" t="s">
        <v>837</v>
      </c>
      <c r="C142" t="s">
        <v>838</v>
      </c>
      <c r="D142" t="s">
        <v>839</v>
      </c>
      <c r="E142" t="s">
        <v>840</v>
      </c>
      <c r="F142" t="s">
        <v>841</v>
      </c>
      <c r="G142" t="s">
        <v>631</v>
      </c>
      <c r="H142" t="s">
        <v>631</v>
      </c>
      <c r="I142" t="s">
        <v>37</v>
      </c>
      <c r="J142"/>
      <c r="K142" s="16">
        <v>46170</v>
      </c>
      <c r="L142" s="16">
        <v>46170</v>
      </c>
      <c r="M142" t="s">
        <v>38</v>
      </c>
      <c r="N142" s="16">
        <v>46171</v>
      </c>
      <c r="O142" s="16" t="s">
        <v>39</v>
      </c>
      <c r="P142" t="s">
        <v>184</v>
      </c>
      <c r="Q142" t="s">
        <v>60</v>
      </c>
      <c r="R142" t="s">
        <v>842</v>
      </c>
      <c r="S142" t="s">
        <v>843</v>
      </c>
    </row>
    <row r="143" spans="1:19" ht="15">
      <c r="A143" t="s">
        <v>844</v>
      </c>
      <c r="B143" t="s">
        <v>845</v>
      </c>
      <c r="C143" t="s">
        <v>846</v>
      </c>
      <c r="D143" t="s">
        <v>789</v>
      </c>
      <c r="E143" t="s">
        <v>790</v>
      </c>
      <c r="F143" t="s">
        <v>791</v>
      </c>
      <c r="G143" t="s">
        <v>792</v>
      </c>
      <c r="H143" t="s">
        <v>793</v>
      </c>
      <c r="I143" t="s">
        <v>37</v>
      </c>
      <c r="J143"/>
      <c r="K143" s="16">
        <v>46170</v>
      </c>
      <c r="L143" s="16">
        <v>46170</v>
      </c>
      <c r="M143" t="s">
        <v>38</v>
      </c>
      <c r="N143" s="16">
        <v>46171</v>
      </c>
      <c r="O143" s="16" t="s">
        <v>39</v>
      </c>
      <c r="P143" t="s">
        <v>51</v>
      </c>
      <c r="Q143" t="s">
        <v>60</v>
      </c>
      <c r="R143" t="s">
        <v>847</v>
      </c>
      <c r="S143" t="s">
        <v>5</v>
      </c>
    </row>
    <row r="144" spans="1:19" ht="15">
      <c r="A144" t="s">
        <v>848</v>
      </c>
      <c r="B144" t="s">
        <v>848</v>
      </c>
      <c r="C144" t="s">
        <v>849</v>
      </c>
      <c r="D144" t="s">
        <v>850</v>
      </c>
      <c r="E144" t="s">
        <v>851</v>
      </c>
      <c r="F144" t="s">
        <v>852</v>
      </c>
      <c r="G144" t="s">
        <v>853</v>
      </c>
      <c r="H144" t="s">
        <v>854</v>
      </c>
      <c r="I144" t="s">
        <v>37</v>
      </c>
      <c r="J144"/>
      <c r="K144" s="16">
        <v>46170</v>
      </c>
      <c r="L144" s="16">
        <v>46170</v>
      </c>
      <c r="M144" t="s">
        <v>38</v>
      </c>
      <c r="N144" s="16">
        <v>46174</v>
      </c>
      <c r="O144" s="16" t="s">
        <v>39</v>
      </c>
      <c r="P144" t="s">
        <v>68</v>
      </c>
      <c r="Q144" t="s">
        <v>60</v>
      </c>
      <c r="R144" t="s">
        <v>855</v>
      </c>
      <c r="S144" t="s">
        <v>5</v>
      </c>
    </row>
    <row r="145" spans="1:19" ht="15">
      <c r="A145" t="s">
        <v>856</v>
      </c>
      <c r="B145" t="s">
        <v>856</v>
      </c>
      <c r="C145" t="s">
        <v>857</v>
      </c>
      <c r="D145" t="s">
        <v>858</v>
      </c>
      <c r="E145" t="s">
        <v>859</v>
      </c>
      <c r="F145" t="s">
        <v>860</v>
      </c>
      <c r="G145" t="s">
        <v>861</v>
      </c>
      <c r="H145" t="s">
        <v>862</v>
      </c>
      <c r="I145" t="s">
        <v>37</v>
      </c>
      <c r="J145"/>
      <c r="K145" s="16">
        <v>46170</v>
      </c>
      <c r="L145" s="16">
        <v>46170</v>
      </c>
      <c r="M145" t="s">
        <v>38</v>
      </c>
      <c r="N145" s="16">
        <v>46171</v>
      </c>
      <c r="O145" s="16" t="s">
        <v>39</v>
      </c>
      <c r="P145" t="s">
        <v>184</v>
      </c>
      <c r="Q145" t="s">
        <v>60</v>
      </c>
      <c r="R145" t="s">
        <v>863</v>
      </c>
      <c r="S145" t="s">
        <v>864</v>
      </c>
    </row>
    <row r="146" spans="1:19" ht="15">
      <c r="A146" t="s">
        <v>865</v>
      </c>
      <c r="B146" t="s">
        <v>865</v>
      </c>
      <c r="C146" t="s">
        <v>866</v>
      </c>
      <c r="D146" t="s">
        <v>421</v>
      </c>
      <c r="E146" t="s">
        <v>867</v>
      </c>
      <c r="F146" t="s">
        <v>868</v>
      </c>
      <c r="G146" t="s">
        <v>869</v>
      </c>
      <c r="H146" t="s">
        <v>425</v>
      </c>
      <c r="I146" t="s">
        <v>37</v>
      </c>
      <c r="J146"/>
      <c r="K146" s="16">
        <v>46170</v>
      </c>
      <c r="L146" s="16">
        <v>46170</v>
      </c>
      <c r="M146" t="s">
        <v>38</v>
      </c>
      <c r="N146" s="16">
        <v>46175</v>
      </c>
      <c r="O146" s="16" t="s">
        <v>39</v>
      </c>
      <c r="P146" t="s">
        <v>184</v>
      </c>
      <c r="Q146" t="s">
        <v>60</v>
      </c>
      <c r="R146" t="s">
        <v>870</v>
      </c>
      <c r="S146" t="s">
        <v>871</v>
      </c>
    </row>
    <row r="147" spans="1:19" ht="15">
      <c r="A147" t="s">
        <v>872</v>
      </c>
      <c r="B147" t="s">
        <v>872</v>
      </c>
      <c r="C147" t="s">
        <v>873</v>
      </c>
      <c r="D147" t="s">
        <v>874</v>
      </c>
      <c r="E147" t="s">
        <v>637</v>
      </c>
      <c r="F147" t="s">
        <v>875</v>
      </c>
      <c r="G147" t="s">
        <v>876</v>
      </c>
      <c r="H147" t="s">
        <v>631</v>
      </c>
      <c r="I147" t="s">
        <v>37</v>
      </c>
      <c r="J147"/>
      <c r="K147" s="16">
        <v>46170</v>
      </c>
      <c r="L147" s="16">
        <v>46170</v>
      </c>
      <c r="M147" t="s">
        <v>94</v>
      </c>
      <c r="N147" s="16">
        <v>46171</v>
      </c>
      <c r="O147" s="16" t="s">
        <v>378</v>
      </c>
      <c r="P147" t="s">
        <v>68</v>
      </c>
      <c r="Q147" t="s">
        <v>60</v>
      </c>
      <c r="R147" t="s">
        <v>877</v>
      </c>
      <c r="S147" t="s">
        <v>5</v>
      </c>
    </row>
    <row r="148" spans="1:19" ht="15">
      <c r="A148" t="s">
        <v>878</v>
      </c>
      <c r="B148" t="s">
        <v>878</v>
      </c>
      <c r="C148" t="s">
        <v>879</v>
      </c>
      <c r="D148" t="s">
        <v>874</v>
      </c>
      <c r="E148" t="s">
        <v>637</v>
      </c>
      <c r="F148" t="s">
        <v>875</v>
      </c>
      <c r="G148" t="s">
        <v>876</v>
      </c>
      <c r="H148" t="s">
        <v>631</v>
      </c>
      <c r="I148" t="s">
        <v>37</v>
      </c>
      <c r="J148"/>
      <c r="K148" s="16">
        <v>46170</v>
      </c>
      <c r="L148" s="16">
        <v>46170</v>
      </c>
      <c r="M148" t="s">
        <v>38</v>
      </c>
      <c r="N148" s="16">
        <v>46177</v>
      </c>
      <c r="O148" s="16" t="s">
        <v>39</v>
      </c>
      <c r="P148" t="s">
        <v>68</v>
      </c>
      <c r="Q148" t="s">
        <v>60</v>
      </c>
      <c r="R148" t="s">
        <v>880</v>
      </c>
      <c r="S148" t="s">
        <v>5</v>
      </c>
    </row>
    <row r="149" spans="1:19" ht="15">
      <c r="A149" t="s">
        <v>881</v>
      </c>
      <c r="B149" t="s">
        <v>881</v>
      </c>
      <c r="C149" t="s">
        <v>882</v>
      </c>
      <c r="D149" t="s">
        <v>883</v>
      </c>
      <c r="E149" t="s">
        <v>884</v>
      </c>
      <c r="F149" t="s">
        <v>885</v>
      </c>
      <c r="G149" t="s">
        <v>886</v>
      </c>
      <c r="H149" t="s">
        <v>887</v>
      </c>
      <c r="I149" t="s">
        <v>37</v>
      </c>
      <c r="J149"/>
      <c r="K149" s="16">
        <v>46170</v>
      </c>
      <c r="L149" s="16">
        <v>46170</v>
      </c>
      <c r="M149" t="s">
        <v>38</v>
      </c>
      <c r="N149" s="16">
        <v>46174</v>
      </c>
      <c r="O149" s="16" t="s">
        <v>39</v>
      </c>
      <c r="P149" t="s">
        <v>184</v>
      </c>
      <c r="Q149" t="s">
        <v>60</v>
      </c>
      <c r="R149" t="s">
        <v>888</v>
      </c>
      <c r="S149" t="s">
        <v>889</v>
      </c>
    </row>
    <row r="150" spans="1:19" ht="15">
      <c r="A150" t="s">
        <v>890</v>
      </c>
      <c r="B150" t="s">
        <v>890</v>
      </c>
      <c r="C150" t="s">
        <v>891</v>
      </c>
      <c r="D150" t="s">
        <v>198</v>
      </c>
      <c r="E150" t="s">
        <v>892</v>
      </c>
      <c r="F150" t="s">
        <v>200</v>
      </c>
      <c r="G150" t="s">
        <v>893</v>
      </c>
      <c r="H150" t="s">
        <v>501</v>
      </c>
      <c r="I150" t="s">
        <v>37</v>
      </c>
      <c r="J150"/>
      <c r="K150" s="16">
        <v>46170</v>
      </c>
      <c r="L150" s="16">
        <v>46170</v>
      </c>
      <c r="M150" t="s">
        <v>38</v>
      </c>
      <c r="N150" s="16">
        <v>46175</v>
      </c>
      <c r="O150" s="16" t="s">
        <v>39</v>
      </c>
      <c r="P150" t="s">
        <v>184</v>
      </c>
      <c r="Q150" t="s">
        <v>60</v>
      </c>
      <c r="R150" t="s">
        <v>894</v>
      </c>
      <c r="S150" t="s">
        <v>895</v>
      </c>
    </row>
    <row r="151" spans="1:19" ht="15">
      <c r="A151" t="s">
        <v>896</v>
      </c>
      <c r="B151" t="s">
        <v>896</v>
      </c>
      <c r="C151" t="s">
        <v>897</v>
      </c>
      <c r="D151" t="s">
        <v>898</v>
      </c>
      <c r="E151" t="s">
        <v>899</v>
      </c>
      <c r="F151" t="s">
        <v>900</v>
      </c>
      <c r="G151" t="s">
        <v>901</v>
      </c>
      <c r="H151" t="s">
        <v>686</v>
      </c>
      <c r="I151" t="s">
        <v>37</v>
      </c>
      <c r="J151"/>
      <c r="K151" s="16">
        <v>46170</v>
      </c>
      <c r="L151" s="16">
        <v>46170</v>
      </c>
      <c r="M151" t="s">
        <v>38</v>
      </c>
      <c r="N151" s="16">
        <v>46174</v>
      </c>
      <c r="O151" s="16" t="s">
        <v>39</v>
      </c>
      <c r="P151" t="s">
        <v>184</v>
      </c>
      <c r="Q151" t="s">
        <v>60</v>
      </c>
      <c r="R151" t="s">
        <v>902</v>
      </c>
      <c r="S151" t="s">
        <v>903</v>
      </c>
    </row>
    <row r="152" spans="1:19" ht="15">
      <c r="A152" t="s">
        <v>904</v>
      </c>
      <c r="B152" t="s">
        <v>904</v>
      </c>
      <c r="C152" t="s">
        <v>905</v>
      </c>
      <c r="D152" t="s">
        <v>160</v>
      </c>
      <c r="E152" t="s">
        <v>906</v>
      </c>
      <c r="F152" t="s">
        <v>162</v>
      </c>
      <c r="G152" t="s">
        <v>163</v>
      </c>
      <c r="H152" t="s">
        <v>907</v>
      </c>
      <c r="I152" t="s">
        <v>37</v>
      </c>
      <c r="J152"/>
      <c r="K152" s="16">
        <v>46170</v>
      </c>
      <c r="L152" s="16">
        <v>46170</v>
      </c>
      <c r="M152" t="s">
        <v>38</v>
      </c>
      <c r="N152" s="16">
        <v>46175</v>
      </c>
      <c r="O152" s="16" t="s">
        <v>39</v>
      </c>
      <c r="P152" t="s">
        <v>184</v>
      </c>
      <c r="Q152" t="s">
        <v>60</v>
      </c>
      <c r="R152" t="s">
        <v>908</v>
      </c>
      <c r="S152" t="s">
        <v>909</v>
      </c>
    </row>
    <row r="153" spans="1:19" ht="15">
      <c r="A153" t="s">
        <v>910</v>
      </c>
      <c r="B153" t="s">
        <v>910</v>
      </c>
      <c r="C153" t="s">
        <v>911</v>
      </c>
      <c r="D153" t="s">
        <v>874</v>
      </c>
      <c r="E153" t="s">
        <v>637</v>
      </c>
      <c r="F153" t="s">
        <v>875</v>
      </c>
      <c r="G153" t="s">
        <v>876</v>
      </c>
      <c r="H153" t="s">
        <v>631</v>
      </c>
      <c r="I153" t="s">
        <v>37</v>
      </c>
      <c r="J153"/>
      <c r="K153" s="16">
        <v>46170</v>
      </c>
      <c r="L153" s="16">
        <v>46170</v>
      </c>
      <c r="M153" t="s">
        <v>38</v>
      </c>
      <c r="N153" s="16">
        <v>46175</v>
      </c>
      <c r="O153" s="16" t="s">
        <v>39</v>
      </c>
      <c r="P153" t="s">
        <v>68</v>
      </c>
      <c r="Q153" t="s">
        <v>60</v>
      </c>
      <c r="R153" t="s">
        <v>912</v>
      </c>
      <c r="S153" t="s">
        <v>5</v>
      </c>
    </row>
    <row r="154" spans="1:19" ht="15">
      <c r="A154" t="s">
        <v>913</v>
      </c>
      <c r="B154" t="s">
        <v>913</v>
      </c>
      <c r="C154" t="s">
        <v>914</v>
      </c>
      <c r="D154" t="s">
        <v>573</v>
      </c>
      <c r="E154" t="s">
        <v>775</v>
      </c>
      <c r="F154" t="s">
        <v>575</v>
      </c>
      <c r="G154" t="s">
        <v>915</v>
      </c>
      <c r="H154" t="s">
        <v>631</v>
      </c>
      <c r="I154" t="s">
        <v>37</v>
      </c>
      <c r="J154"/>
      <c r="K154" s="16">
        <v>46170</v>
      </c>
      <c r="L154" s="16">
        <v>46170</v>
      </c>
      <c r="M154" t="s">
        <v>94</v>
      </c>
      <c r="N154" s="16">
        <v>46171</v>
      </c>
      <c r="O154" s="16" t="s">
        <v>148</v>
      </c>
      <c r="P154" t="s">
        <v>40</v>
      </c>
      <c r="Q154" t="s">
        <v>60</v>
      </c>
      <c r="R154" t="s">
        <v>916</v>
      </c>
      <c r="S154" t="s">
        <v>917</v>
      </c>
    </row>
    <row r="155" spans="1:19" ht="15">
      <c r="A155" t="s">
        <v>918</v>
      </c>
      <c r="B155" t="s">
        <v>918</v>
      </c>
      <c r="C155" t="s">
        <v>919</v>
      </c>
      <c r="D155" t="s">
        <v>920</v>
      </c>
      <c r="E155" t="s">
        <v>921</v>
      </c>
      <c r="F155" t="s">
        <v>922</v>
      </c>
      <c r="G155" t="s">
        <v>923</v>
      </c>
      <c r="H155" t="s">
        <v>923</v>
      </c>
      <c r="I155" t="s">
        <v>37</v>
      </c>
      <c r="J155"/>
      <c r="K155" s="16">
        <v>46170</v>
      </c>
      <c r="L155" s="16">
        <v>46170</v>
      </c>
      <c r="M155" t="s">
        <v>38</v>
      </c>
      <c r="N155" s="16">
        <v>46174</v>
      </c>
      <c r="O155" s="16" t="s">
        <v>39</v>
      </c>
      <c r="P155" t="s">
        <v>68</v>
      </c>
      <c r="Q155" t="s">
        <v>60</v>
      </c>
      <c r="R155" t="s">
        <v>924</v>
      </c>
      <c r="S155" t="s">
        <v>5</v>
      </c>
    </row>
    <row r="156" spans="1:19" ht="15">
      <c r="A156" t="s">
        <v>925</v>
      </c>
      <c r="B156" t="s">
        <v>925</v>
      </c>
      <c r="C156" t="s">
        <v>926</v>
      </c>
      <c r="D156" t="s">
        <v>927</v>
      </c>
      <c r="E156" t="s">
        <v>928</v>
      </c>
      <c r="F156" t="s">
        <v>929</v>
      </c>
      <c r="G156" t="s">
        <v>930</v>
      </c>
      <c r="H156" t="s">
        <v>931</v>
      </c>
      <c r="I156" t="s">
        <v>37</v>
      </c>
      <c r="J156"/>
      <c r="K156" s="16">
        <v>46170</v>
      </c>
      <c r="L156" s="16">
        <v>46170</v>
      </c>
      <c r="M156" t="s">
        <v>38</v>
      </c>
      <c r="N156" s="16">
        <v>46174</v>
      </c>
      <c r="O156" s="16" t="s">
        <v>39</v>
      </c>
      <c r="P156" t="s">
        <v>68</v>
      </c>
      <c r="Q156" t="s">
        <v>60</v>
      </c>
      <c r="R156" t="s">
        <v>932</v>
      </c>
      <c r="S156" t="s">
        <v>5</v>
      </c>
    </row>
    <row r="157" spans="1:19" ht="15">
      <c r="A157" t="s">
        <v>933</v>
      </c>
      <c r="B157" t="s">
        <v>933</v>
      </c>
      <c r="C157" t="s">
        <v>934</v>
      </c>
      <c r="D157" t="s">
        <v>935</v>
      </c>
      <c r="E157" t="s">
        <v>936</v>
      </c>
      <c r="F157" t="s">
        <v>937</v>
      </c>
      <c r="G157" t="s">
        <v>156</v>
      </c>
      <c r="H157" t="s">
        <v>156</v>
      </c>
      <c r="I157" t="s">
        <v>37</v>
      </c>
      <c r="J157"/>
      <c r="K157" s="16">
        <v>46170</v>
      </c>
      <c r="L157" s="16">
        <v>46170</v>
      </c>
      <c r="M157" t="s">
        <v>38</v>
      </c>
      <c r="N157" s="16">
        <v>46174</v>
      </c>
      <c r="O157" s="16" t="s">
        <v>39</v>
      </c>
      <c r="P157" t="s">
        <v>184</v>
      </c>
      <c r="Q157" t="s">
        <v>60</v>
      </c>
      <c r="R157" t="s">
        <v>938</v>
      </c>
      <c r="S157" t="s">
        <v>939</v>
      </c>
    </row>
    <row r="158" spans="1:19" ht="15">
      <c r="A158" t="s">
        <v>940</v>
      </c>
      <c r="B158" t="s">
        <v>940</v>
      </c>
      <c r="C158" t="s">
        <v>941</v>
      </c>
      <c r="D158" t="s">
        <v>942</v>
      </c>
      <c r="E158" t="s">
        <v>943</v>
      </c>
      <c r="F158" t="s">
        <v>944</v>
      </c>
      <c r="G158" t="s">
        <v>440</v>
      </c>
      <c r="H158" t="s">
        <v>440</v>
      </c>
      <c r="I158" t="s">
        <v>37</v>
      </c>
      <c r="J158"/>
      <c r="K158" s="16">
        <v>46170</v>
      </c>
      <c r="L158" s="16">
        <v>46170</v>
      </c>
      <c r="M158" t="s">
        <v>38</v>
      </c>
      <c r="N158" s="16">
        <v>46171</v>
      </c>
      <c r="O158" s="16" t="s">
        <v>39</v>
      </c>
      <c r="P158" t="s">
        <v>68</v>
      </c>
      <c r="Q158" t="s">
        <v>60</v>
      </c>
      <c r="R158" t="s">
        <v>945</v>
      </c>
      <c r="S158" t="s">
        <v>5</v>
      </c>
    </row>
    <row r="159" spans="1:19" ht="15">
      <c r="A159" t="s">
        <v>946</v>
      </c>
      <c r="B159" t="s">
        <v>946</v>
      </c>
      <c r="C159" t="s">
        <v>947</v>
      </c>
      <c r="D159" t="s">
        <v>948</v>
      </c>
      <c r="E159" t="s">
        <v>949</v>
      </c>
      <c r="F159" t="s">
        <v>950</v>
      </c>
      <c r="G159" t="s">
        <v>951</v>
      </c>
      <c r="H159" t="s">
        <v>952</v>
      </c>
      <c r="I159" t="s">
        <v>37</v>
      </c>
      <c r="J159"/>
      <c r="K159" s="16">
        <v>46170</v>
      </c>
      <c r="L159" s="16">
        <v>46170</v>
      </c>
      <c r="M159" t="s">
        <v>38</v>
      </c>
      <c r="N159" s="16">
        <v>46176</v>
      </c>
      <c r="O159" s="16" t="s">
        <v>39</v>
      </c>
      <c r="P159" t="s">
        <v>184</v>
      </c>
      <c r="Q159" t="s">
        <v>60</v>
      </c>
      <c r="R159" t="s">
        <v>953</v>
      </c>
      <c r="S159" t="s">
        <v>954</v>
      </c>
    </row>
    <row r="160" spans="1:19" ht="15">
      <c r="A160" t="s">
        <v>955</v>
      </c>
      <c r="B160" t="s">
        <v>955</v>
      </c>
      <c r="C160" t="s">
        <v>956</v>
      </c>
      <c r="D160" t="s">
        <v>957</v>
      </c>
      <c r="E160" t="s">
        <v>958</v>
      </c>
      <c r="F160" t="s">
        <v>959</v>
      </c>
      <c r="G160" t="s">
        <v>960</v>
      </c>
      <c r="H160" t="s">
        <v>862</v>
      </c>
      <c r="I160" t="s">
        <v>37</v>
      </c>
      <c r="J160"/>
      <c r="K160" s="16">
        <v>46170</v>
      </c>
      <c r="L160" s="16">
        <v>46170</v>
      </c>
      <c r="M160" t="s">
        <v>38</v>
      </c>
      <c r="N160" s="16">
        <v>46174</v>
      </c>
      <c r="O160" s="16" t="s">
        <v>39</v>
      </c>
      <c r="P160" t="s">
        <v>184</v>
      </c>
      <c r="Q160" t="s">
        <v>60</v>
      </c>
      <c r="R160" t="s">
        <v>961</v>
      </c>
      <c r="S160" t="s">
        <v>962</v>
      </c>
    </row>
    <row r="161" spans="1:19" ht="15">
      <c r="A161" t="s">
        <v>963</v>
      </c>
      <c r="B161" t="s">
        <v>963</v>
      </c>
      <c r="C161" t="s">
        <v>964</v>
      </c>
      <c r="D161" t="s">
        <v>965</v>
      </c>
      <c r="E161" t="s">
        <v>966</v>
      </c>
      <c r="F161" t="s">
        <v>967</v>
      </c>
      <c r="G161" t="s">
        <v>968</v>
      </c>
      <c r="H161" t="s">
        <v>526</v>
      </c>
      <c r="I161" t="s">
        <v>37</v>
      </c>
      <c r="J161"/>
      <c r="K161" s="16">
        <v>46170</v>
      </c>
      <c r="L161" s="16">
        <v>46170</v>
      </c>
      <c r="M161" t="s">
        <v>38</v>
      </c>
      <c r="N161" s="16">
        <v>46175</v>
      </c>
      <c r="O161" s="16" t="s">
        <v>39</v>
      </c>
      <c r="P161" t="s">
        <v>184</v>
      </c>
      <c r="Q161" t="s">
        <v>60</v>
      </c>
      <c r="R161" t="s">
        <v>969</v>
      </c>
      <c r="S161" t="s">
        <v>970</v>
      </c>
    </row>
    <row r="162" spans="1:19" ht="15">
      <c r="A162" t="s">
        <v>971</v>
      </c>
      <c r="B162" t="s">
        <v>971</v>
      </c>
      <c r="C162" t="s">
        <v>972</v>
      </c>
      <c r="D162" t="s">
        <v>874</v>
      </c>
      <c r="E162" t="s">
        <v>637</v>
      </c>
      <c r="F162" t="s">
        <v>875</v>
      </c>
      <c r="G162" t="s">
        <v>876</v>
      </c>
      <c r="H162" t="s">
        <v>631</v>
      </c>
      <c r="I162" t="s">
        <v>37</v>
      </c>
      <c r="J162"/>
      <c r="K162" s="16">
        <v>46170</v>
      </c>
      <c r="L162" s="16">
        <v>46170</v>
      </c>
      <c r="M162" t="s">
        <v>38</v>
      </c>
      <c r="N162" s="16">
        <v>46175</v>
      </c>
      <c r="O162" s="16" t="s">
        <v>39</v>
      </c>
      <c r="P162" t="s">
        <v>68</v>
      </c>
      <c r="Q162" t="s">
        <v>60</v>
      </c>
      <c r="R162" t="s">
        <v>973</v>
      </c>
      <c r="S162" t="s">
        <v>5</v>
      </c>
    </row>
    <row r="163" spans="1:19" ht="15">
      <c r="A163" t="s">
        <v>974</v>
      </c>
      <c r="B163" t="s">
        <v>974</v>
      </c>
      <c r="C163" t="s">
        <v>975</v>
      </c>
      <c r="D163" t="s">
        <v>72</v>
      </c>
      <c r="E163" t="s">
        <v>976</v>
      </c>
      <c r="F163" t="s">
        <v>74</v>
      </c>
      <c r="G163" t="s">
        <v>977</v>
      </c>
      <c r="H163" t="s">
        <v>76</v>
      </c>
      <c r="I163" t="s">
        <v>37</v>
      </c>
      <c r="J163"/>
      <c r="K163" s="16">
        <v>46171</v>
      </c>
      <c r="L163" s="16">
        <v>46171</v>
      </c>
      <c r="M163" t="s">
        <v>38</v>
      </c>
      <c r="N163" s="16">
        <v>46174</v>
      </c>
      <c r="O163" s="16" t="s">
        <v>39</v>
      </c>
      <c r="P163" t="s">
        <v>184</v>
      </c>
      <c r="Q163" t="s">
        <v>60</v>
      </c>
      <c r="R163" t="s">
        <v>978</v>
      </c>
      <c r="S163" t="s">
        <v>979</v>
      </c>
    </row>
    <row r="164" spans="1:19" ht="15">
      <c r="A164" t="s">
        <v>980</v>
      </c>
      <c r="B164" t="s">
        <v>980</v>
      </c>
      <c r="C164" t="s">
        <v>981</v>
      </c>
      <c r="D164" t="s">
        <v>982</v>
      </c>
      <c r="E164" t="s">
        <v>983</v>
      </c>
      <c r="F164" t="s">
        <v>48</v>
      </c>
      <c r="G164" t="s">
        <v>49</v>
      </c>
      <c r="H164" t="s">
        <v>50</v>
      </c>
      <c r="I164" t="s">
        <v>37</v>
      </c>
      <c r="J164"/>
      <c r="K164" s="16">
        <v>46171</v>
      </c>
      <c r="L164" s="16">
        <v>46171</v>
      </c>
      <c r="M164" t="s">
        <v>38</v>
      </c>
      <c r="N164" s="16">
        <v>46174</v>
      </c>
      <c r="O164" s="16" t="s">
        <v>39</v>
      </c>
      <c r="P164" t="s">
        <v>184</v>
      </c>
      <c r="Q164" t="s">
        <v>60</v>
      </c>
      <c r="R164" t="s">
        <v>984</v>
      </c>
      <c r="S164" t="s">
        <v>985</v>
      </c>
    </row>
    <row r="165" spans="1:19" ht="15">
      <c r="A165" t="s">
        <v>986</v>
      </c>
      <c r="B165" t="s">
        <v>986</v>
      </c>
      <c r="C165" t="s">
        <v>987</v>
      </c>
      <c r="D165" t="s">
        <v>333</v>
      </c>
      <c r="E165" t="s">
        <v>593</v>
      </c>
      <c r="F165" t="s">
        <v>334</v>
      </c>
      <c r="G165" t="s">
        <v>594</v>
      </c>
      <c r="H165" t="s">
        <v>50</v>
      </c>
      <c r="I165" t="s">
        <v>37</v>
      </c>
      <c r="J165"/>
      <c r="K165" s="16">
        <v>46171</v>
      </c>
      <c r="L165" s="16">
        <v>46171</v>
      </c>
      <c r="M165" t="s">
        <v>94</v>
      </c>
      <c r="N165" s="16">
        <v>46175</v>
      </c>
      <c r="O165" s="16" t="s">
        <v>148</v>
      </c>
      <c r="P165" t="s">
        <v>40</v>
      </c>
      <c r="Q165" t="s">
        <v>60</v>
      </c>
      <c r="R165" t="s">
        <v>988</v>
      </c>
      <c r="S165" t="s">
        <v>989</v>
      </c>
    </row>
    <row r="166" spans="1:19" ht="15">
      <c r="A166" t="s">
        <v>990</v>
      </c>
      <c r="B166" t="s">
        <v>990</v>
      </c>
      <c r="C166" t="s">
        <v>991</v>
      </c>
      <c r="D166" t="s">
        <v>153</v>
      </c>
      <c r="E166" t="s">
        <v>154</v>
      </c>
      <c r="F166" t="s">
        <v>155</v>
      </c>
      <c r="G166" t="s">
        <v>156</v>
      </c>
      <c r="H166" t="s">
        <v>156</v>
      </c>
      <c r="I166" t="s">
        <v>37</v>
      </c>
      <c r="J166"/>
      <c r="K166" s="16">
        <v>46171</v>
      </c>
      <c r="L166" s="16">
        <v>46171</v>
      </c>
      <c r="M166" t="s">
        <v>38</v>
      </c>
      <c r="N166" s="16">
        <v>46174</v>
      </c>
      <c r="O166" s="16" t="s">
        <v>39</v>
      </c>
      <c r="P166" t="s">
        <v>40</v>
      </c>
      <c r="Q166" t="s">
        <v>41</v>
      </c>
      <c r="R166" t="s">
        <v>992</v>
      </c>
      <c r="S166" t="s">
        <v>993</v>
      </c>
    </row>
    <row r="167" spans="1:19" ht="15">
      <c r="A167" t="s">
        <v>994</v>
      </c>
      <c r="B167" t="s">
        <v>994</v>
      </c>
      <c r="C167" t="s">
        <v>995</v>
      </c>
      <c r="D167" t="s">
        <v>965</v>
      </c>
      <c r="E167" t="s">
        <v>966</v>
      </c>
      <c r="F167" t="s">
        <v>967</v>
      </c>
      <c r="G167" t="s">
        <v>968</v>
      </c>
      <c r="H167" t="s">
        <v>526</v>
      </c>
      <c r="I167" t="s">
        <v>37</v>
      </c>
      <c r="J167"/>
      <c r="K167" s="16">
        <v>46171</v>
      </c>
      <c r="L167" s="16">
        <v>46171</v>
      </c>
      <c r="M167" t="s">
        <v>38</v>
      </c>
      <c r="N167" s="16">
        <v>46177</v>
      </c>
      <c r="O167" s="16" t="s">
        <v>39</v>
      </c>
      <c r="P167" t="s">
        <v>184</v>
      </c>
      <c r="Q167" t="s">
        <v>60</v>
      </c>
      <c r="R167" t="s">
        <v>996</v>
      </c>
      <c r="S167" t="s">
        <v>997</v>
      </c>
    </row>
    <row r="168" spans="1:19" ht="15">
      <c r="A168" t="s">
        <v>998</v>
      </c>
      <c r="B168" t="s">
        <v>998</v>
      </c>
      <c r="C168" t="s">
        <v>999</v>
      </c>
      <c r="D168" t="s">
        <v>839</v>
      </c>
      <c r="E168" t="s">
        <v>840</v>
      </c>
      <c r="F168" t="s">
        <v>841</v>
      </c>
      <c r="G168" t="s">
        <v>631</v>
      </c>
      <c r="H168" t="s">
        <v>631</v>
      </c>
      <c r="I168" t="s">
        <v>37</v>
      </c>
      <c r="J168"/>
      <c r="K168" s="16">
        <v>46171</v>
      </c>
      <c r="L168" s="16">
        <v>46171</v>
      </c>
      <c r="M168" t="s">
        <v>38</v>
      </c>
      <c r="N168" s="16">
        <v>46174</v>
      </c>
      <c r="O168" s="16" t="s">
        <v>39</v>
      </c>
      <c r="P168" t="s">
        <v>184</v>
      </c>
      <c r="Q168" t="s">
        <v>60</v>
      </c>
      <c r="R168" t="s">
        <v>1000</v>
      </c>
      <c r="S168" t="s">
        <v>1001</v>
      </c>
    </row>
    <row r="169" spans="1:19" ht="15">
      <c r="A169" t="s">
        <v>1002</v>
      </c>
      <c r="B169" t="s">
        <v>1002</v>
      </c>
      <c r="C169" t="s">
        <v>1003</v>
      </c>
      <c r="D169" t="s">
        <v>1004</v>
      </c>
      <c r="E169" t="s">
        <v>775</v>
      </c>
      <c r="F169" t="s">
        <v>875</v>
      </c>
      <c r="G169" t="s">
        <v>876</v>
      </c>
      <c r="H169" t="s">
        <v>631</v>
      </c>
      <c r="I169" t="s">
        <v>37</v>
      </c>
      <c r="J169"/>
      <c r="K169" s="16">
        <v>46171</v>
      </c>
      <c r="L169" s="16">
        <v>46171</v>
      </c>
      <c r="M169" t="s">
        <v>94</v>
      </c>
      <c r="N169" s="16">
        <v>46174</v>
      </c>
      <c r="O169" s="16" t="s">
        <v>378</v>
      </c>
      <c r="P169" t="s">
        <v>68</v>
      </c>
      <c r="Q169" t="s">
        <v>60</v>
      </c>
      <c r="R169" t="s">
        <v>1005</v>
      </c>
      <c r="S169" t="s">
        <v>5</v>
      </c>
    </row>
    <row r="170" spans="1:19" ht="15">
      <c r="A170" t="s">
        <v>1006</v>
      </c>
      <c r="B170" t="s">
        <v>1006</v>
      </c>
      <c r="C170" t="s">
        <v>1007</v>
      </c>
      <c r="D170" t="s">
        <v>1008</v>
      </c>
      <c r="E170" t="s">
        <v>1009</v>
      </c>
      <c r="F170" t="s">
        <v>1010</v>
      </c>
      <c r="G170" t="s">
        <v>93</v>
      </c>
      <c r="H170" t="s">
        <v>93</v>
      </c>
      <c r="I170" t="s">
        <v>37</v>
      </c>
      <c r="J170"/>
      <c r="K170" s="16">
        <v>46171</v>
      </c>
      <c r="L170" s="16">
        <v>46171</v>
      </c>
      <c r="M170" t="s">
        <v>38</v>
      </c>
      <c r="N170" s="16">
        <v>46174</v>
      </c>
      <c r="O170" s="16" t="s">
        <v>39</v>
      </c>
      <c r="P170" t="s">
        <v>68</v>
      </c>
      <c r="Q170" t="s">
        <v>60</v>
      </c>
      <c r="R170" t="s">
        <v>1011</v>
      </c>
      <c r="S170" t="s">
        <v>5</v>
      </c>
    </row>
    <row r="171" spans="1:19" ht="15">
      <c r="A171" t="s">
        <v>1012</v>
      </c>
      <c r="B171" t="s">
        <v>1012</v>
      </c>
      <c r="C171" t="s">
        <v>1013</v>
      </c>
      <c r="D171" t="s">
        <v>817</v>
      </c>
      <c r="E171" t="s">
        <v>818</v>
      </c>
      <c r="F171" t="s">
        <v>819</v>
      </c>
      <c r="G171" t="s">
        <v>820</v>
      </c>
      <c r="H171" t="s">
        <v>820</v>
      </c>
      <c r="I171" t="s">
        <v>37</v>
      </c>
      <c r="J171"/>
      <c r="K171" s="16">
        <v>46171</v>
      </c>
      <c r="L171" s="16">
        <v>46171</v>
      </c>
      <c r="M171" t="s">
        <v>38</v>
      </c>
      <c r="N171" s="16">
        <v>46174</v>
      </c>
      <c r="O171" s="16" t="s">
        <v>39</v>
      </c>
      <c r="P171" t="s">
        <v>68</v>
      </c>
      <c r="Q171" t="s">
        <v>60</v>
      </c>
      <c r="R171" t="s">
        <v>1014</v>
      </c>
      <c r="S171" t="s">
        <v>5</v>
      </c>
    </row>
    <row r="172" spans="1:19" ht="15">
      <c r="A172" t="s">
        <v>1015</v>
      </c>
      <c r="B172" t="s">
        <v>1015</v>
      </c>
      <c r="C172" t="s">
        <v>1016</v>
      </c>
      <c r="D172" t="s">
        <v>46</v>
      </c>
      <c r="E172" t="s">
        <v>47</v>
      </c>
      <c r="F172" t="s">
        <v>48</v>
      </c>
      <c r="G172" t="s">
        <v>49</v>
      </c>
      <c r="H172" t="s">
        <v>50</v>
      </c>
      <c r="I172" t="s">
        <v>37</v>
      </c>
      <c r="J172"/>
      <c r="K172" s="16">
        <v>46171</v>
      </c>
      <c r="L172" s="16">
        <v>46171</v>
      </c>
      <c r="M172" t="s">
        <v>38</v>
      </c>
      <c r="N172" s="16">
        <v>46174</v>
      </c>
      <c r="O172" s="16" t="s">
        <v>39</v>
      </c>
      <c r="P172" t="s">
        <v>51</v>
      </c>
      <c r="Q172" t="s">
        <v>60</v>
      </c>
      <c r="R172" t="s">
        <v>1017</v>
      </c>
      <c r="S172" t="s">
        <v>5</v>
      </c>
    </row>
    <row r="173" spans="1:19" ht="15">
      <c r="A173" t="s">
        <v>1018</v>
      </c>
      <c r="B173" t="s">
        <v>1018</v>
      </c>
      <c r="C173" t="s">
        <v>1019</v>
      </c>
      <c r="D173" t="s">
        <v>1020</v>
      </c>
      <c r="E173" t="s">
        <v>1021</v>
      </c>
      <c r="F173" t="s">
        <v>1022</v>
      </c>
      <c r="G173" t="s">
        <v>1023</v>
      </c>
      <c r="H173" t="s">
        <v>1023</v>
      </c>
      <c r="I173" t="s">
        <v>37</v>
      </c>
      <c r="J173"/>
      <c r="K173" s="16">
        <v>46171</v>
      </c>
      <c r="L173" s="16">
        <v>46171</v>
      </c>
      <c r="M173" t="s">
        <v>38</v>
      </c>
      <c r="N173" s="16">
        <v>46174</v>
      </c>
      <c r="O173" s="16" t="s">
        <v>39</v>
      </c>
      <c r="P173" t="s">
        <v>68</v>
      </c>
      <c r="Q173" t="s">
        <v>60</v>
      </c>
      <c r="R173" t="s">
        <v>1024</v>
      </c>
      <c r="S173" t="s">
        <v>5</v>
      </c>
    </row>
    <row r="174" spans="1:19" ht="15">
      <c r="A174" t="s">
        <v>1025</v>
      </c>
      <c r="B174" t="s">
        <v>1025</v>
      </c>
      <c r="C174" t="s">
        <v>1026</v>
      </c>
      <c r="D174" t="s">
        <v>1027</v>
      </c>
      <c r="E174" t="s">
        <v>775</v>
      </c>
      <c r="F174" t="s">
        <v>1028</v>
      </c>
      <c r="G174" t="s">
        <v>1029</v>
      </c>
      <c r="H174" t="s">
        <v>58</v>
      </c>
      <c r="I174" t="s">
        <v>37</v>
      </c>
      <c r="J174"/>
      <c r="K174" s="16">
        <v>46171</v>
      </c>
      <c r="L174" s="16">
        <v>46171</v>
      </c>
      <c r="M174" t="s">
        <v>94</v>
      </c>
      <c r="N174" s="16">
        <v>46174</v>
      </c>
      <c r="O174" s="16" t="s">
        <v>1030</v>
      </c>
      <c r="P174" t="s">
        <v>59</v>
      </c>
      <c r="Q174" t="s">
        <v>60</v>
      </c>
      <c r="R174" t="s">
        <v>5</v>
      </c>
      <c r="S174" t="s">
        <v>5</v>
      </c>
    </row>
    <row r="175" spans="1:19" ht="15">
      <c r="A175" t="s">
        <v>1031</v>
      </c>
      <c r="B175" t="s">
        <v>1031</v>
      </c>
      <c r="C175" t="s">
        <v>1032</v>
      </c>
      <c r="D175" t="s">
        <v>285</v>
      </c>
      <c r="E175" t="s">
        <v>286</v>
      </c>
      <c r="F175" t="s">
        <v>287</v>
      </c>
      <c r="G175" t="s">
        <v>288</v>
      </c>
      <c r="H175" t="s">
        <v>289</v>
      </c>
      <c r="I175" t="s">
        <v>37</v>
      </c>
      <c r="J175"/>
      <c r="K175" s="16">
        <v>46171</v>
      </c>
      <c r="L175" s="16">
        <v>46171</v>
      </c>
      <c r="M175" t="s">
        <v>38</v>
      </c>
      <c r="N175" s="16">
        <v>46174</v>
      </c>
      <c r="O175" s="16" t="s">
        <v>39</v>
      </c>
      <c r="P175" t="s">
        <v>68</v>
      </c>
      <c r="Q175" t="s">
        <v>60</v>
      </c>
      <c r="R175" t="s">
        <v>1033</v>
      </c>
      <c r="S175" t="s">
        <v>5</v>
      </c>
    </row>
    <row r="176" spans="1:19" ht="15">
      <c r="A176" t="s">
        <v>1034</v>
      </c>
      <c r="B176" t="s">
        <v>1034</v>
      </c>
      <c r="C176" t="s">
        <v>1035</v>
      </c>
      <c r="D176" t="s">
        <v>1036</v>
      </c>
      <c r="E176" t="s">
        <v>1037</v>
      </c>
      <c r="F176" t="s">
        <v>1038</v>
      </c>
      <c r="G176" t="s">
        <v>1039</v>
      </c>
      <c r="H176" t="s">
        <v>631</v>
      </c>
      <c r="I176" t="s">
        <v>37</v>
      </c>
      <c r="J176"/>
      <c r="K176" s="16">
        <v>46171</v>
      </c>
      <c r="L176" s="16">
        <v>46171</v>
      </c>
      <c r="M176" t="s">
        <v>38</v>
      </c>
      <c r="N176" s="16">
        <v>46174</v>
      </c>
      <c r="O176" s="16" t="s">
        <v>39</v>
      </c>
      <c r="P176" t="s">
        <v>134</v>
      </c>
      <c r="Q176" t="s">
        <v>60</v>
      </c>
      <c r="R176" t="s">
        <v>1040</v>
      </c>
      <c r="S176" t="s">
        <v>1041</v>
      </c>
    </row>
    <row r="177" spans="1:19" ht="15">
      <c r="A177" t="s">
        <v>1042</v>
      </c>
      <c r="B177" t="s">
        <v>1042</v>
      </c>
      <c r="C177" t="s">
        <v>1043</v>
      </c>
      <c r="D177" t="s">
        <v>573</v>
      </c>
      <c r="E177" t="s">
        <v>574</v>
      </c>
      <c r="F177" t="s">
        <v>575</v>
      </c>
      <c r="G177" t="s">
        <v>1044</v>
      </c>
      <c r="H177" t="s">
        <v>631</v>
      </c>
      <c r="I177" t="s">
        <v>37</v>
      </c>
      <c r="J177"/>
      <c r="K177" s="16">
        <v>46171</v>
      </c>
      <c r="L177" s="16">
        <v>46171</v>
      </c>
      <c r="M177" t="s">
        <v>38</v>
      </c>
      <c r="N177" s="16">
        <v>46174</v>
      </c>
      <c r="O177" s="16" t="s">
        <v>39</v>
      </c>
      <c r="P177" t="s">
        <v>40</v>
      </c>
      <c r="Q177" t="s">
        <v>60</v>
      </c>
      <c r="R177" t="s">
        <v>1045</v>
      </c>
      <c r="S177" t="s">
        <v>1046</v>
      </c>
    </row>
    <row r="178" spans="1:19" ht="15">
      <c r="A178" t="s">
        <v>1047</v>
      </c>
      <c r="B178" t="s">
        <v>1047</v>
      </c>
      <c r="C178" t="s">
        <v>1048</v>
      </c>
      <c r="D178" t="s">
        <v>341</v>
      </c>
      <c r="E178" t="s">
        <v>470</v>
      </c>
      <c r="F178" t="s">
        <v>342</v>
      </c>
      <c r="G178" t="s">
        <v>1049</v>
      </c>
      <c r="H178" t="s">
        <v>50</v>
      </c>
      <c r="I178" t="s">
        <v>37</v>
      </c>
      <c r="J178"/>
      <c r="K178" s="16">
        <v>46171</v>
      </c>
      <c r="L178" s="16">
        <v>46171</v>
      </c>
      <c r="M178" t="s">
        <v>38</v>
      </c>
      <c r="N178" s="16">
        <v>46177</v>
      </c>
      <c r="O178" s="16" t="s">
        <v>39</v>
      </c>
      <c r="P178" t="s">
        <v>40</v>
      </c>
      <c r="Q178" t="s">
        <v>60</v>
      </c>
      <c r="R178" t="s">
        <v>1050</v>
      </c>
      <c r="S178" t="s">
        <v>1051</v>
      </c>
    </row>
    <row r="179" spans="1:19" ht="15">
      <c r="A179" t="s">
        <v>1052</v>
      </c>
      <c r="B179" t="s">
        <v>1052</v>
      </c>
      <c r="C179" t="s">
        <v>1053</v>
      </c>
      <c r="D179" t="s">
        <v>1004</v>
      </c>
      <c r="E179" t="s">
        <v>775</v>
      </c>
      <c r="F179" t="s">
        <v>875</v>
      </c>
      <c r="G179" t="s">
        <v>876</v>
      </c>
      <c r="H179" t="s">
        <v>631</v>
      </c>
      <c r="I179" t="s">
        <v>37</v>
      </c>
      <c r="J179"/>
      <c r="K179" s="16">
        <v>46171</v>
      </c>
      <c r="L179" s="16">
        <v>46171</v>
      </c>
      <c r="M179" t="s">
        <v>94</v>
      </c>
      <c r="N179" s="16">
        <v>46175</v>
      </c>
      <c r="O179" s="16" t="s">
        <v>378</v>
      </c>
      <c r="P179" t="s">
        <v>68</v>
      </c>
      <c r="Q179" t="s">
        <v>60</v>
      </c>
      <c r="R179" t="s">
        <v>1054</v>
      </c>
      <c r="S179" t="s">
        <v>5</v>
      </c>
    </row>
    <row r="180" spans="1:19" ht="15">
      <c r="A180" t="s">
        <v>1055</v>
      </c>
      <c r="B180" t="s">
        <v>1055</v>
      </c>
      <c r="C180" t="s">
        <v>1056</v>
      </c>
      <c r="D180" t="s">
        <v>119</v>
      </c>
      <c r="E180" t="s">
        <v>1057</v>
      </c>
      <c r="F180" t="s">
        <v>121</v>
      </c>
      <c r="G180" t="s">
        <v>122</v>
      </c>
      <c r="H180" t="s">
        <v>122</v>
      </c>
      <c r="I180" t="s">
        <v>37</v>
      </c>
      <c r="J180"/>
      <c r="K180" s="16">
        <v>46171</v>
      </c>
      <c r="L180" s="16">
        <v>46171</v>
      </c>
      <c r="M180" t="s">
        <v>94</v>
      </c>
      <c r="N180" s="16">
        <v>46171</v>
      </c>
      <c r="O180" s="16" t="s">
        <v>454</v>
      </c>
      <c r="P180" t="s">
        <v>59</v>
      </c>
      <c r="Q180" t="s">
        <v>60</v>
      </c>
      <c r="R180" t="s">
        <v>5</v>
      </c>
      <c r="S180" t="s">
        <v>5</v>
      </c>
    </row>
    <row r="181" spans="1:19" ht="15">
      <c r="A181" t="s">
        <v>1058</v>
      </c>
      <c r="B181" t="s">
        <v>1058</v>
      </c>
      <c r="C181" t="s">
        <v>1059</v>
      </c>
      <c r="D181" t="s">
        <v>63</v>
      </c>
      <c r="E181" t="s">
        <v>1060</v>
      </c>
      <c r="F181" t="s">
        <v>65</v>
      </c>
      <c r="G181" t="s">
        <v>66</v>
      </c>
      <c r="H181" t="s">
        <v>67</v>
      </c>
      <c r="I181" t="s">
        <v>37</v>
      </c>
      <c r="J181"/>
      <c r="K181" s="16">
        <v>46171</v>
      </c>
      <c r="L181" s="16">
        <v>46171</v>
      </c>
      <c r="M181" t="s">
        <v>38</v>
      </c>
      <c r="N181" s="16">
        <v>46174</v>
      </c>
      <c r="O181" s="16" t="s">
        <v>39</v>
      </c>
      <c r="P181" t="s">
        <v>184</v>
      </c>
      <c r="Q181" t="s">
        <v>60</v>
      </c>
      <c r="R181" t="s">
        <v>1061</v>
      </c>
      <c r="S181" t="s">
        <v>1062</v>
      </c>
    </row>
    <row r="182" spans="1:19" ht="15">
      <c r="A182" t="s">
        <v>1063</v>
      </c>
      <c r="B182" t="s">
        <v>1063</v>
      </c>
      <c r="C182" t="s">
        <v>1064</v>
      </c>
      <c r="D182" t="s">
        <v>1065</v>
      </c>
      <c r="E182" t="s">
        <v>1066</v>
      </c>
      <c r="F182" t="s">
        <v>1067</v>
      </c>
      <c r="G182" t="s">
        <v>854</v>
      </c>
      <c r="H182" t="s">
        <v>854</v>
      </c>
      <c r="I182" t="s">
        <v>37</v>
      </c>
      <c r="J182"/>
      <c r="K182" s="16">
        <v>46174</v>
      </c>
      <c r="L182" s="16">
        <v>46174</v>
      </c>
      <c r="M182" t="s">
        <v>38</v>
      </c>
      <c r="N182" s="16">
        <v>46176</v>
      </c>
      <c r="O182" s="16" t="s">
        <v>39</v>
      </c>
      <c r="P182" t="s">
        <v>68</v>
      </c>
      <c r="Q182" t="s">
        <v>60</v>
      </c>
      <c r="R182" t="s">
        <v>1068</v>
      </c>
      <c r="S182" t="s">
        <v>5</v>
      </c>
    </row>
    <row r="183" spans="1:19" ht="15">
      <c r="A183" t="s">
        <v>1069</v>
      </c>
      <c r="B183" t="s">
        <v>1069</v>
      </c>
      <c r="C183" t="s">
        <v>1070</v>
      </c>
      <c r="D183" t="s">
        <v>1027</v>
      </c>
      <c r="E183" t="s">
        <v>775</v>
      </c>
      <c r="F183" t="s">
        <v>1028</v>
      </c>
      <c r="G183" t="s">
        <v>1029</v>
      </c>
      <c r="H183" t="s">
        <v>58</v>
      </c>
      <c r="I183" t="s">
        <v>37</v>
      </c>
      <c r="J183"/>
      <c r="K183" s="16">
        <v>46174</v>
      </c>
      <c r="L183" s="16">
        <v>46174</v>
      </c>
      <c r="M183" t="s">
        <v>94</v>
      </c>
      <c r="N183" s="16">
        <v>46174</v>
      </c>
      <c r="O183" s="16" t="s">
        <v>454</v>
      </c>
      <c r="P183" t="s">
        <v>59</v>
      </c>
      <c r="Q183" t="s">
        <v>60</v>
      </c>
      <c r="R183" t="s">
        <v>5</v>
      </c>
      <c r="S183" t="s">
        <v>5</v>
      </c>
    </row>
    <row r="184" spans="1:19" ht="15">
      <c r="A184" t="s">
        <v>1071</v>
      </c>
      <c r="B184" t="s">
        <v>1071</v>
      </c>
      <c r="C184" t="s">
        <v>1072</v>
      </c>
      <c r="D184" t="s">
        <v>1027</v>
      </c>
      <c r="E184" t="s">
        <v>775</v>
      </c>
      <c r="F184" t="s">
        <v>1028</v>
      </c>
      <c r="G184" t="s">
        <v>1029</v>
      </c>
      <c r="H184" t="s">
        <v>58</v>
      </c>
      <c r="I184" t="s">
        <v>37</v>
      </c>
      <c r="J184"/>
      <c r="K184" s="16">
        <v>46174</v>
      </c>
      <c r="L184" s="16">
        <v>46174</v>
      </c>
      <c r="M184" t="s">
        <v>94</v>
      </c>
      <c r="N184" s="16">
        <v>46174</v>
      </c>
      <c r="O184" s="16" t="s">
        <v>454</v>
      </c>
      <c r="P184" t="s">
        <v>59</v>
      </c>
      <c r="Q184" t="s">
        <v>60</v>
      </c>
      <c r="R184" t="s">
        <v>5</v>
      </c>
      <c r="S184" t="s">
        <v>5</v>
      </c>
    </row>
    <row r="185" spans="1:19" ht="15">
      <c r="A185" t="s">
        <v>1073</v>
      </c>
      <c r="B185" t="s">
        <v>1073</v>
      </c>
      <c r="C185" t="s">
        <v>1074</v>
      </c>
      <c r="D185" t="s">
        <v>1027</v>
      </c>
      <c r="E185" t="s">
        <v>775</v>
      </c>
      <c r="F185" t="s">
        <v>1028</v>
      </c>
      <c r="G185" t="s">
        <v>1029</v>
      </c>
      <c r="H185" t="s">
        <v>58</v>
      </c>
      <c r="I185" t="s">
        <v>37</v>
      </c>
      <c r="J185"/>
      <c r="K185" s="16">
        <v>46174</v>
      </c>
      <c r="L185" s="16">
        <v>46174</v>
      </c>
      <c r="M185" t="s">
        <v>94</v>
      </c>
      <c r="N185" s="16">
        <v>46174</v>
      </c>
      <c r="O185" s="16" t="s">
        <v>454</v>
      </c>
      <c r="P185" t="s">
        <v>59</v>
      </c>
      <c r="Q185" t="s">
        <v>60</v>
      </c>
      <c r="R185" t="s">
        <v>5</v>
      </c>
      <c r="S185" t="s">
        <v>5</v>
      </c>
    </row>
    <row r="186" spans="1:19" ht="15">
      <c r="A186" t="s">
        <v>1075</v>
      </c>
      <c r="B186" t="s">
        <v>1075</v>
      </c>
      <c r="C186" t="s">
        <v>1076</v>
      </c>
      <c r="D186" t="s">
        <v>217</v>
      </c>
      <c r="E186" t="s">
        <v>1077</v>
      </c>
      <c r="F186" t="s">
        <v>219</v>
      </c>
      <c r="G186" t="s">
        <v>156</v>
      </c>
      <c r="H186" t="s">
        <v>156</v>
      </c>
      <c r="I186" t="s">
        <v>37</v>
      </c>
      <c r="J186"/>
      <c r="K186" s="16">
        <v>46174</v>
      </c>
      <c r="L186" s="16">
        <v>46174</v>
      </c>
      <c r="M186" t="s">
        <v>38</v>
      </c>
      <c r="N186" s="16">
        <v>46175</v>
      </c>
      <c r="O186" s="16" t="s">
        <v>39</v>
      </c>
      <c r="P186" t="s">
        <v>184</v>
      </c>
      <c r="Q186" t="s">
        <v>60</v>
      </c>
      <c r="R186" t="s">
        <v>1078</v>
      </c>
      <c r="S186" t="s">
        <v>1079</v>
      </c>
    </row>
    <row r="187" spans="1:19" ht="15">
      <c r="A187" t="s">
        <v>1080</v>
      </c>
      <c r="B187" t="s">
        <v>1080</v>
      </c>
      <c r="C187" t="s">
        <v>1081</v>
      </c>
      <c r="D187" t="s">
        <v>1082</v>
      </c>
      <c r="E187" t="s">
        <v>250</v>
      </c>
      <c r="F187" t="s">
        <v>251</v>
      </c>
      <c r="G187" t="s">
        <v>252</v>
      </c>
      <c r="H187" t="s">
        <v>253</v>
      </c>
      <c r="I187" t="s">
        <v>37</v>
      </c>
      <c r="J187"/>
      <c r="K187" s="16">
        <v>46174</v>
      </c>
      <c r="L187" s="16">
        <v>46174</v>
      </c>
      <c r="M187" t="s">
        <v>38</v>
      </c>
      <c r="N187" s="16">
        <v>46175</v>
      </c>
      <c r="O187" s="16" t="s">
        <v>39</v>
      </c>
      <c r="P187" t="s">
        <v>68</v>
      </c>
      <c r="Q187" t="s">
        <v>60</v>
      </c>
      <c r="R187" t="s">
        <v>1083</v>
      </c>
      <c r="S187" t="s">
        <v>5</v>
      </c>
    </row>
    <row r="188" spans="1:19" ht="15">
      <c r="A188" t="s">
        <v>1084</v>
      </c>
      <c r="B188" t="s">
        <v>1084</v>
      </c>
      <c r="C188" t="s">
        <v>1085</v>
      </c>
      <c r="D188" t="s">
        <v>1086</v>
      </c>
      <c r="E188" t="s">
        <v>1087</v>
      </c>
      <c r="F188" t="s">
        <v>1088</v>
      </c>
      <c r="G188" t="s">
        <v>1089</v>
      </c>
      <c r="H188" t="s">
        <v>1090</v>
      </c>
      <c r="I188" t="s">
        <v>37</v>
      </c>
      <c r="J188"/>
      <c r="K188" s="16">
        <v>46174</v>
      </c>
      <c r="L188" s="16">
        <v>46174</v>
      </c>
      <c r="M188" t="s">
        <v>38</v>
      </c>
      <c r="N188" s="16">
        <v>46176</v>
      </c>
      <c r="O188" s="16" t="s">
        <v>39</v>
      </c>
      <c r="P188" t="s">
        <v>184</v>
      </c>
      <c r="Q188" t="s">
        <v>60</v>
      </c>
      <c r="R188" t="s">
        <v>1091</v>
      </c>
      <c r="S188" t="s">
        <v>1092</v>
      </c>
    </row>
    <row r="189" spans="1:19" ht="15">
      <c r="A189" t="s">
        <v>1093</v>
      </c>
      <c r="B189" t="s">
        <v>1093</v>
      </c>
      <c r="C189" t="s">
        <v>1094</v>
      </c>
      <c r="D189" t="s">
        <v>1027</v>
      </c>
      <c r="E189" t="s">
        <v>775</v>
      </c>
      <c r="F189" t="s">
        <v>1028</v>
      </c>
      <c r="G189" t="s">
        <v>1029</v>
      </c>
      <c r="H189" t="s">
        <v>58</v>
      </c>
      <c r="I189" t="s">
        <v>37</v>
      </c>
      <c r="J189"/>
      <c r="K189" s="16">
        <v>46174</v>
      </c>
      <c r="L189" s="16">
        <v>46174</v>
      </c>
      <c r="M189" t="s">
        <v>94</v>
      </c>
      <c r="N189" s="16">
        <v>46174</v>
      </c>
      <c r="O189" s="16" t="s">
        <v>454</v>
      </c>
      <c r="P189" t="s">
        <v>59</v>
      </c>
      <c r="Q189" t="s">
        <v>60</v>
      </c>
      <c r="R189" t="s">
        <v>5</v>
      </c>
      <c r="S189" t="s">
        <v>5</v>
      </c>
    </row>
    <row r="190" spans="1:19" ht="15">
      <c r="A190" t="s">
        <v>1095</v>
      </c>
      <c r="B190" t="s">
        <v>1095</v>
      </c>
      <c r="C190" t="s">
        <v>1096</v>
      </c>
      <c r="D190" t="s">
        <v>573</v>
      </c>
      <c r="E190" t="s">
        <v>637</v>
      </c>
      <c r="F190" t="s">
        <v>575</v>
      </c>
      <c r="G190" t="s">
        <v>576</v>
      </c>
      <c r="H190" t="s">
        <v>234</v>
      </c>
      <c r="I190" t="s">
        <v>37</v>
      </c>
      <c r="J190"/>
      <c r="K190" s="16">
        <v>46175</v>
      </c>
      <c r="L190" s="16">
        <v>46175</v>
      </c>
      <c r="M190" t="s">
        <v>94</v>
      </c>
      <c r="N190" s="16">
        <v>46176</v>
      </c>
      <c r="O190" s="16" t="s">
        <v>148</v>
      </c>
      <c r="P190" t="s">
        <v>40</v>
      </c>
      <c r="Q190" t="s">
        <v>60</v>
      </c>
      <c r="R190" t="s">
        <v>1097</v>
      </c>
      <c r="S190" t="s">
        <v>1098</v>
      </c>
    </row>
    <row r="191" spans="1:19" ht="15">
      <c r="A191" t="s">
        <v>1099</v>
      </c>
      <c r="B191" t="s">
        <v>1099</v>
      </c>
      <c r="C191" t="s">
        <v>1100</v>
      </c>
      <c r="D191" t="s">
        <v>89</v>
      </c>
      <c r="E191" t="s">
        <v>1101</v>
      </c>
      <c r="F191" t="s">
        <v>91</v>
      </c>
      <c r="G191" t="s">
        <v>92</v>
      </c>
      <c r="H191" t="s">
        <v>93</v>
      </c>
      <c r="I191" t="s">
        <v>37</v>
      </c>
      <c r="J191"/>
      <c r="K191" s="16">
        <v>46175</v>
      </c>
      <c r="L191" s="16">
        <v>46175</v>
      </c>
      <c r="M191" t="s">
        <v>38</v>
      </c>
      <c r="N191" s="16">
        <v>46176</v>
      </c>
      <c r="O191" s="16" t="s">
        <v>39</v>
      </c>
      <c r="P191" t="s">
        <v>68</v>
      </c>
      <c r="Q191" t="s">
        <v>60</v>
      </c>
      <c r="R191" t="s">
        <v>1102</v>
      </c>
      <c r="S191" t="s">
        <v>5</v>
      </c>
    </row>
    <row r="192" spans="1:19" ht="15">
      <c r="A192" t="s">
        <v>1099</v>
      </c>
      <c r="B192" t="s">
        <v>1099</v>
      </c>
      <c r="C192" t="s">
        <v>1100</v>
      </c>
      <c r="D192" t="s">
        <v>89</v>
      </c>
      <c r="E192" t="s">
        <v>1101</v>
      </c>
      <c r="F192" t="s">
        <v>91</v>
      </c>
      <c r="G192" t="s">
        <v>92</v>
      </c>
      <c r="H192" t="s">
        <v>93</v>
      </c>
      <c r="I192" t="s">
        <v>37</v>
      </c>
      <c r="J192"/>
      <c r="K192" s="16">
        <v>46175</v>
      </c>
      <c r="L192" s="16">
        <v>46175</v>
      </c>
      <c r="M192" t="s">
        <v>38</v>
      </c>
      <c r="N192" s="16">
        <v>46176</v>
      </c>
      <c r="O192" s="16" t="s">
        <v>39</v>
      </c>
      <c r="P192" t="s">
        <v>68</v>
      </c>
      <c r="Q192" t="s">
        <v>60</v>
      </c>
      <c r="R192" t="s">
        <v>1102</v>
      </c>
      <c r="S192" t="s">
        <v>5</v>
      </c>
    </row>
    <row r="193" spans="1:19" ht="15">
      <c r="A193" t="s">
        <v>1103</v>
      </c>
      <c r="B193" t="s">
        <v>1103</v>
      </c>
      <c r="C193" t="s">
        <v>1104</v>
      </c>
      <c r="D193" t="s">
        <v>1105</v>
      </c>
      <c r="E193" t="s">
        <v>1106</v>
      </c>
      <c r="F193" t="s">
        <v>1107</v>
      </c>
      <c r="G193" t="s">
        <v>1108</v>
      </c>
      <c r="H193" t="s">
        <v>1109</v>
      </c>
      <c r="I193" t="s">
        <v>37</v>
      </c>
      <c r="J193"/>
      <c r="K193" s="16">
        <v>46175</v>
      </c>
      <c r="L193" s="16">
        <v>46175</v>
      </c>
      <c r="M193" t="s">
        <v>94</v>
      </c>
      <c r="N193" s="16">
        <v>46177</v>
      </c>
      <c r="O193" s="16" t="s">
        <v>1110</v>
      </c>
      <c r="P193" t="s">
        <v>40</v>
      </c>
      <c r="Q193" t="s">
        <v>60</v>
      </c>
      <c r="R193" t="s">
        <v>1111</v>
      </c>
      <c r="S193" t="s">
        <v>1112</v>
      </c>
    </row>
    <row r="194" spans="1:19" ht="15">
      <c r="A194" t="s">
        <v>1113</v>
      </c>
      <c r="B194" t="s">
        <v>1113</v>
      </c>
      <c r="C194" t="s">
        <v>1114</v>
      </c>
      <c r="D194" t="s">
        <v>168</v>
      </c>
      <c r="E194" t="s">
        <v>775</v>
      </c>
      <c r="F194" t="s">
        <v>170</v>
      </c>
      <c r="G194" t="s">
        <v>171</v>
      </c>
      <c r="H194" t="s">
        <v>156</v>
      </c>
      <c r="I194" t="s">
        <v>37</v>
      </c>
      <c r="J194"/>
      <c r="K194" s="16">
        <v>46175</v>
      </c>
      <c r="L194" s="16">
        <v>46175</v>
      </c>
      <c r="M194" t="s">
        <v>38</v>
      </c>
      <c r="N194" s="16">
        <v>46177</v>
      </c>
      <c r="O194" s="16" t="s">
        <v>39</v>
      </c>
      <c r="P194" t="s">
        <v>68</v>
      </c>
      <c r="Q194" t="s">
        <v>60</v>
      </c>
      <c r="R194" t="s">
        <v>1115</v>
      </c>
      <c r="S194" t="s">
        <v>5</v>
      </c>
    </row>
    <row r="195" spans="1:19" ht="15">
      <c r="A195" t="s">
        <v>1099</v>
      </c>
      <c r="B195" t="s">
        <v>1099</v>
      </c>
      <c r="C195" t="s">
        <v>1100</v>
      </c>
      <c r="D195" t="s">
        <v>89</v>
      </c>
      <c r="E195" t="s">
        <v>1101</v>
      </c>
      <c r="F195" t="s">
        <v>91</v>
      </c>
      <c r="G195" t="s">
        <v>92</v>
      </c>
      <c r="H195" t="s">
        <v>93</v>
      </c>
      <c r="I195" t="s">
        <v>37</v>
      </c>
      <c r="J195"/>
      <c r="K195" s="16">
        <v>46175</v>
      </c>
      <c r="L195" s="16">
        <v>46175</v>
      </c>
      <c r="M195" t="s">
        <v>38</v>
      </c>
      <c r="N195" s="16">
        <v>46176</v>
      </c>
      <c r="O195" s="16" t="s">
        <v>39</v>
      </c>
      <c r="P195" t="s">
        <v>68</v>
      </c>
      <c r="Q195" t="s">
        <v>60</v>
      </c>
      <c r="R195" t="s">
        <v>1102</v>
      </c>
      <c r="S195" t="s">
        <v>5</v>
      </c>
    </row>
    <row r="196" spans="1:19" ht="15">
      <c r="A196" t="s">
        <v>1116</v>
      </c>
      <c r="B196" t="s">
        <v>1116</v>
      </c>
      <c r="C196" t="s">
        <v>1117</v>
      </c>
      <c r="D196" t="s">
        <v>1118</v>
      </c>
      <c r="E196" t="s">
        <v>775</v>
      </c>
      <c r="F196" t="s">
        <v>170</v>
      </c>
      <c r="G196" t="s">
        <v>171</v>
      </c>
      <c r="H196" t="s">
        <v>156</v>
      </c>
      <c r="I196" t="s">
        <v>37</v>
      </c>
      <c r="J196"/>
      <c r="K196" s="16">
        <v>46175</v>
      </c>
      <c r="L196" s="16">
        <v>46175</v>
      </c>
      <c r="M196" t="s">
        <v>38</v>
      </c>
      <c r="N196" s="16">
        <v>46177</v>
      </c>
      <c r="O196" s="16" t="s">
        <v>39</v>
      </c>
      <c r="P196" t="s">
        <v>68</v>
      </c>
      <c r="Q196" t="s">
        <v>60</v>
      </c>
      <c r="R196" t="s">
        <v>1119</v>
      </c>
      <c r="S196" t="s">
        <v>5</v>
      </c>
    </row>
    <row r="197" spans="1:19" ht="15">
      <c r="A197" t="s">
        <v>1120</v>
      </c>
      <c r="B197" t="s">
        <v>1120</v>
      </c>
      <c r="C197" t="s">
        <v>1121</v>
      </c>
      <c r="D197" t="s">
        <v>643</v>
      </c>
      <c r="E197" t="s">
        <v>644</v>
      </c>
      <c r="F197" t="s">
        <v>645</v>
      </c>
      <c r="G197" t="s">
        <v>646</v>
      </c>
      <c r="H197" t="s">
        <v>646</v>
      </c>
      <c r="I197" t="s">
        <v>37</v>
      </c>
      <c r="J197"/>
      <c r="K197" s="16">
        <v>46176</v>
      </c>
      <c r="L197" s="16">
        <v>46176</v>
      </c>
      <c r="M197" t="s">
        <v>38</v>
      </c>
      <c r="N197" s="16">
        <v>46177</v>
      </c>
      <c r="O197" s="16" t="s">
        <v>39</v>
      </c>
      <c r="P197" t="s">
        <v>40</v>
      </c>
      <c r="Q197" t="s">
        <v>130</v>
      </c>
      <c r="R197" t="s">
        <v>1122</v>
      </c>
      <c r="S197" t="s">
        <v>1123</v>
      </c>
    </row>
    <row r="198" spans="1:19" ht="15">
      <c r="A198" t="s">
        <v>1124</v>
      </c>
      <c r="B198" t="s">
        <v>1124</v>
      </c>
      <c r="C198" t="s">
        <v>1125</v>
      </c>
      <c r="D198" t="s">
        <v>1126</v>
      </c>
      <c r="E198" t="s">
        <v>413</v>
      </c>
      <c r="F198" t="s">
        <v>414</v>
      </c>
      <c r="G198" t="s">
        <v>415</v>
      </c>
      <c r="H198" t="s">
        <v>1109</v>
      </c>
      <c r="I198" t="s">
        <v>37</v>
      </c>
      <c r="J198"/>
      <c r="K198" s="16">
        <v>46176</v>
      </c>
      <c r="L198" s="16">
        <v>46176</v>
      </c>
      <c r="M198" t="s">
        <v>38</v>
      </c>
      <c r="N198" s="16">
        <v>46177</v>
      </c>
      <c r="O198" s="16" t="s">
        <v>39</v>
      </c>
      <c r="P198" t="s">
        <v>184</v>
      </c>
      <c r="Q198" t="s">
        <v>60</v>
      </c>
      <c r="R198" t="s">
        <v>1127</v>
      </c>
      <c r="S198" t="s">
        <v>1128</v>
      </c>
    </row>
    <row r="199" spans="1:19" ht="15">
      <c r="A199" t="s">
        <v>1129</v>
      </c>
      <c r="B199" t="s">
        <v>1129</v>
      </c>
      <c r="C199" t="s">
        <v>1130</v>
      </c>
      <c r="D199" t="s">
        <v>179</v>
      </c>
      <c r="E199" t="s">
        <v>180</v>
      </c>
      <c r="F199" t="s">
        <v>181</v>
      </c>
      <c r="G199" t="s">
        <v>182</v>
      </c>
      <c r="H199" t="s">
        <v>183</v>
      </c>
      <c r="I199" t="s">
        <v>37</v>
      </c>
      <c r="J199"/>
      <c r="K199" s="16">
        <v>46176</v>
      </c>
      <c r="L199" s="16">
        <v>46176</v>
      </c>
      <c r="M199" t="s">
        <v>38</v>
      </c>
      <c r="N199" s="16">
        <v>46177</v>
      </c>
      <c r="O199" s="16" t="s">
        <v>39</v>
      </c>
      <c r="P199" t="s">
        <v>184</v>
      </c>
      <c r="Q199" t="s">
        <v>60</v>
      </c>
      <c r="R199" t="s">
        <v>1131</v>
      </c>
      <c r="S199" t="s">
        <v>1132</v>
      </c>
    </row>
    <row r="200" spans="1:19" ht="15">
      <c r="A200" t="s">
        <v>1133</v>
      </c>
      <c r="B200" t="s">
        <v>1133</v>
      </c>
      <c r="C200" t="s">
        <v>1134</v>
      </c>
      <c r="D200" t="s">
        <v>1135</v>
      </c>
      <c r="E200" t="s">
        <v>1136</v>
      </c>
      <c r="F200" t="s">
        <v>241</v>
      </c>
      <c r="G200" t="s">
        <v>336</v>
      </c>
      <c r="H200" t="s">
        <v>336</v>
      </c>
      <c r="I200" t="s">
        <v>37</v>
      </c>
      <c r="J200"/>
      <c r="K200" s="16">
        <v>46176</v>
      </c>
      <c r="L200" s="16">
        <v>46176</v>
      </c>
      <c r="M200" t="s">
        <v>38</v>
      </c>
      <c r="N200" s="16">
        <v>46177</v>
      </c>
      <c r="O200" s="16" t="s">
        <v>39</v>
      </c>
      <c r="P200" t="s">
        <v>40</v>
      </c>
      <c r="Q200" t="s">
        <v>60</v>
      </c>
      <c r="R200" t="s">
        <v>1137</v>
      </c>
      <c r="S200" t="s">
        <v>1138</v>
      </c>
    </row>
    <row r="201" spans="1:19" ht="15">
      <c r="A201" t="s">
        <v>1139</v>
      </c>
      <c r="B201" t="s">
        <v>1139</v>
      </c>
      <c r="C201" t="s">
        <v>1140</v>
      </c>
      <c r="D201" t="s">
        <v>656</v>
      </c>
      <c r="E201" t="s">
        <v>258</v>
      </c>
      <c r="F201" t="s">
        <v>259</v>
      </c>
      <c r="G201" t="s">
        <v>260</v>
      </c>
      <c r="H201" t="s">
        <v>191</v>
      </c>
      <c r="I201" t="s">
        <v>37</v>
      </c>
      <c r="J201"/>
      <c r="K201" s="16">
        <v>46176</v>
      </c>
      <c r="L201" s="16">
        <v>46176</v>
      </c>
      <c r="M201" t="s">
        <v>38</v>
      </c>
      <c r="N201" s="16">
        <v>46177</v>
      </c>
      <c r="O201" s="16" t="s">
        <v>39</v>
      </c>
      <c r="P201" t="s">
        <v>40</v>
      </c>
      <c r="Q201" t="s">
        <v>60</v>
      </c>
      <c r="R201" t="s">
        <v>1141</v>
      </c>
      <c r="S201" t="s">
        <v>1142</v>
      </c>
    </row>
    <row r="202" spans="1:19" ht="15">
      <c r="A202" t="s">
        <v>1143</v>
      </c>
      <c r="B202" t="s">
        <v>1143</v>
      </c>
      <c r="C202" t="s">
        <v>1144</v>
      </c>
      <c r="D202" t="s">
        <v>369</v>
      </c>
      <c r="E202" t="s">
        <v>775</v>
      </c>
      <c r="F202" t="s">
        <v>294</v>
      </c>
      <c r="G202" t="s">
        <v>370</v>
      </c>
      <c r="H202" t="s">
        <v>526</v>
      </c>
      <c r="I202" t="s">
        <v>37</v>
      </c>
      <c r="J202"/>
      <c r="K202" s="16">
        <v>46176</v>
      </c>
      <c r="L202" s="16">
        <v>46176</v>
      </c>
      <c r="M202" t="s">
        <v>94</v>
      </c>
      <c r="N202" s="16">
        <v>46176</v>
      </c>
      <c r="O202" s="16" t="s">
        <v>1145</v>
      </c>
      <c r="P202" t="s">
        <v>68</v>
      </c>
      <c r="Q202" t="s">
        <v>60</v>
      </c>
      <c r="R202" t="s">
        <v>1146</v>
      </c>
      <c r="S202" t="s">
        <v>5</v>
      </c>
    </row>
    <row r="203" spans="1:19" ht="15">
      <c r="A203" t="s">
        <v>1147</v>
      </c>
      <c r="B203" t="s">
        <v>1147</v>
      </c>
      <c r="C203" t="s">
        <v>1148</v>
      </c>
      <c r="D203" t="s">
        <v>1149</v>
      </c>
      <c r="E203" t="s">
        <v>391</v>
      </c>
      <c r="F203" t="s">
        <v>392</v>
      </c>
      <c r="G203" t="s">
        <v>234</v>
      </c>
      <c r="H203" t="s">
        <v>234</v>
      </c>
      <c r="I203" t="s">
        <v>37</v>
      </c>
      <c r="J203"/>
      <c r="K203" s="16">
        <v>46176</v>
      </c>
      <c r="L203" s="16">
        <v>46176</v>
      </c>
      <c r="M203" t="s">
        <v>38</v>
      </c>
      <c r="N203" s="16">
        <v>46177</v>
      </c>
      <c r="O203" s="16" t="s">
        <v>39</v>
      </c>
      <c r="P203" t="s">
        <v>40</v>
      </c>
      <c r="Q203" t="s">
        <v>60</v>
      </c>
      <c r="R203" t="s">
        <v>1150</v>
      </c>
      <c r="S203" t="s">
        <v>1151</v>
      </c>
    </row>
    <row r="204" spans="1:19" ht="15">
      <c r="A204" t="s">
        <v>1152</v>
      </c>
      <c r="B204" t="s">
        <v>1152</v>
      </c>
      <c r="C204" t="s">
        <v>1153</v>
      </c>
      <c r="D204" t="s">
        <v>217</v>
      </c>
      <c r="E204" t="s">
        <v>218</v>
      </c>
      <c r="F204" t="s">
        <v>219</v>
      </c>
      <c r="G204" t="s">
        <v>156</v>
      </c>
      <c r="H204" t="s">
        <v>156</v>
      </c>
      <c r="I204" t="s">
        <v>37</v>
      </c>
      <c r="J204"/>
      <c r="K204" s="16">
        <v>46177</v>
      </c>
      <c r="L204" s="16">
        <v>46177</v>
      </c>
      <c r="M204" t="s">
        <v>94</v>
      </c>
      <c r="N204" s="16">
        <v>46177</v>
      </c>
      <c r="O204" s="16" t="s">
        <v>454</v>
      </c>
      <c r="P204" t="s">
        <v>40</v>
      </c>
      <c r="Q204" t="s">
        <v>41</v>
      </c>
      <c r="R204" t="s">
        <v>1154</v>
      </c>
      <c r="S204" t="s">
        <v>1155</v>
      </c>
    </row>
    <row r="205" spans="1:19" ht="15">
      <c r="A205" t="s">
        <v>1156</v>
      </c>
      <c r="B205" t="s">
        <v>1156</v>
      </c>
      <c r="C205" t="s">
        <v>1157</v>
      </c>
      <c r="D205" t="s">
        <v>549</v>
      </c>
      <c r="E205" t="s">
        <v>550</v>
      </c>
      <c r="F205" t="s">
        <v>376</v>
      </c>
      <c r="G205" t="s">
        <v>377</v>
      </c>
      <c r="H205" t="s">
        <v>50</v>
      </c>
      <c r="I205" t="s">
        <v>37</v>
      </c>
      <c r="J205"/>
      <c r="K205" s="16">
        <v>46177</v>
      </c>
      <c r="L205" s="16">
        <v>46177</v>
      </c>
      <c r="M205" t="s">
        <v>94</v>
      </c>
      <c r="N205" s="16">
        <v>46177</v>
      </c>
      <c r="O205" s="16" t="s">
        <v>454</v>
      </c>
      <c r="P205" t="s">
        <v>378</v>
      </c>
      <c r="Q205" t="s">
        <v>378</v>
      </c>
      <c r="R205" t="s">
        <v>1158</v>
      </c>
      <c r="S205" t="s">
        <v>5</v>
      </c>
    </row>
    <row r="206" spans="1:19">
      <c r="K206" s="6"/>
      <c r="L206" s="6"/>
      <c r="N206" s="6"/>
    </row>
  </sheetData>
  <mergeCells count="2">
    <mergeCell ref="A2:Q2"/>
    <mergeCell ref="A3:Q3"/>
  </mergeCells>
  <pageMargins left="0.7" right="0.7" top="0.75" bottom="0.75" header="0.3" footer="0.3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6"/>
  <sheetViews>
    <sheetView workbookViewId="0"/>
  </sheetViews>
  <sheetFormatPr defaultColWidth="11.42578125" defaultRowHeight="15"/>
  <sheetData>
    <row r="1" spans="1:26">
      <c r="A1" s="14" t="s">
        <v>1159</v>
      </c>
      <c r="B1" s="14" t="s">
        <v>1160</v>
      </c>
      <c r="C1" s="14" t="s">
        <v>1160</v>
      </c>
      <c r="D1" s="14" t="s">
        <v>1160</v>
      </c>
      <c r="E1" s="14" t="s">
        <v>1160</v>
      </c>
      <c r="F1" s="14" t="s">
        <v>1160</v>
      </c>
      <c r="G1" s="14" t="s">
        <v>1160</v>
      </c>
      <c r="H1" s="14" t="s">
        <v>1</v>
      </c>
      <c r="I1" s="14" t="s">
        <v>1</v>
      </c>
      <c r="J1" s="14" t="s">
        <v>1</v>
      </c>
      <c r="K1" s="14" t="s">
        <v>1</v>
      </c>
      <c r="L1" s="14" t="s">
        <v>1</v>
      </c>
      <c r="M1" s="14" t="s">
        <v>1</v>
      </c>
      <c r="N1" s="14" t="s">
        <v>1</v>
      </c>
      <c r="O1" s="14" t="s">
        <v>1</v>
      </c>
      <c r="P1" s="14" t="s">
        <v>1</v>
      </c>
      <c r="Q1" s="14" t="s">
        <v>1</v>
      </c>
      <c r="R1" s="14" t="s">
        <v>1</v>
      </c>
      <c r="S1" s="14" t="s">
        <v>1</v>
      </c>
      <c r="T1" s="14" t="s">
        <v>1</v>
      </c>
      <c r="U1" s="14" t="s">
        <v>1</v>
      </c>
      <c r="V1" s="14" t="s">
        <v>1</v>
      </c>
      <c r="W1" s="14" t="s">
        <v>1</v>
      </c>
      <c r="X1" s="14" t="s">
        <v>1</v>
      </c>
      <c r="Y1" s="14" t="s">
        <v>1</v>
      </c>
      <c r="Z1" s="14" t="s">
        <v>1</v>
      </c>
    </row>
    <row r="2" spans="1:26">
      <c r="H2" s="14" t="s">
        <v>8</v>
      </c>
    </row>
    <row r="3" spans="1:26">
      <c r="H3" s="14" t="s">
        <v>1161</v>
      </c>
    </row>
    <row r="4" spans="1:26">
      <c r="B4" s="14" t="s">
        <v>1162</v>
      </c>
      <c r="H4" s="14" t="s">
        <v>1163</v>
      </c>
    </row>
    <row r="5" spans="1:26">
      <c r="H5" s="14" t="s">
        <v>11</v>
      </c>
      <c r="I5" s="14" t="s">
        <v>12</v>
      </c>
      <c r="J5" s="14" t="s">
        <v>13</v>
      </c>
      <c r="K5" s="14" t="s">
        <v>14</v>
      </c>
      <c r="L5" s="14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4" t="s">
        <v>21</v>
      </c>
      <c r="S5" s="14" t="s">
        <v>22</v>
      </c>
      <c r="T5" s="14" t="s">
        <v>23</v>
      </c>
      <c r="U5" s="14" t="s">
        <v>24</v>
      </c>
      <c r="V5" s="14" t="s">
        <v>25</v>
      </c>
      <c r="W5" s="14" t="s">
        <v>26</v>
      </c>
      <c r="X5" s="14" t="s">
        <v>27</v>
      </c>
      <c r="Y5" s="14" t="s">
        <v>28</v>
      </c>
      <c r="Z5" s="14" t="s">
        <v>29</v>
      </c>
    </row>
    <row r="6" spans="1:26" ht="409.5">
      <c r="B6" s="14" t="s">
        <v>1164</v>
      </c>
      <c r="C6" s="14" t="s">
        <v>1165</v>
      </c>
      <c r="D6" s="15" t="s">
        <v>1166</v>
      </c>
      <c r="E6" s="14" t="s">
        <v>1167</v>
      </c>
      <c r="F6" s="14" t="s">
        <v>1168</v>
      </c>
      <c r="G6" s="14" t="s">
        <v>1169</v>
      </c>
      <c r="H6" s="14" t="s">
        <v>1170</v>
      </c>
      <c r="I6" s="14" t="s">
        <v>1171</v>
      </c>
      <c r="J6" s="14" t="s">
        <v>1172</v>
      </c>
      <c r="K6" s="14" t="s">
        <v>1173</v>
      </c>
      <c r="L6" s="14" t="s">
        <v>1174</v>
      </c>
      <c r="M6" s="14" t="s">
        <v>1175</v>
      </c>
      <c r="N6" s="14" t="s">
        <v>1176</v>
      </c>
      <c r="O6" s="14" t="s">
        <v>1177</v>
      </c>
      <c r="P6" s="14" t="s">
        <v>1178</v>
      </c>
      <c r="Q6" s="14" t="s">
        <v>1179</v>
      </c>
      <c r="R6" s="14" t="s">
        <v>1180</v>
      </c>
      <c r="S6" s="14" t="s">
        <v>1181</v>
      </c>
      <c r="T6" s="14" t="s">
        <v>1182</v>
      </c>
      <c r="U6" s="14" t="s">
        <v>1183</v>
      </c>
      <c r="V6" s="14" t="s">
        <v>1184</v>
      </c>
      <c r="W6" s="14" t="s">
        <v>1185</v>
      </c>
      <c r="X6" s="14" t="s">
        <v>1186</v>
      </c>
      <c r="Y6" s="14" t="s">
        <v>1187</v>
      </c>
      <c r="Z6" s="14" t="s">
        <v>1188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6"/>
  <sheetViews>
    <sheetView workbookViewId="0"/>
  </sheetViews>
  <sheetFormatPr defaultColWidth="11.42578125" defaultRowHeight="15"/>
  <sheetData>
    <row r="1" spans="1:26">
      <c r="A1" s="14" t="s">
        <v>1159</v>
      </c>
      <c r="B1" s="14" t="s">
        <v>1160</v>
      </c>
      <c r="C1" s="14" t="s">
        <v>1160</v>
      </c>
      <c r="D1" s="14" t="s">
        <v>1160</v>
      </c>
      <c r="E1" s="14" t="s">
        <v>1160</v>
      </c>
      <c r="F1" s="14" t="s">
        <v>1160</v>
      </c>
      <c r="G1" s="14" t="s">
        <v>1160</v>
      </c>
      <c r="H1" s="14" t="s">
        <v>1</v>
      </c>
      <c r="I1" s="14" t="s">
        <v>1</v>
      </c>
      <c r="J1" s="14" t="s">
        <v>1</v>
      </c>
      <c r="K1" s="14" t="s">
        <v>1</v>
      </c>
      <c r="L1" s="14" t="s">
        <v>1</v>
      </c>
      <c r="M1" s="14" t="s">
        <v>1</v>
      </c>
      <c r="N1" s="14" t="s">
        <v>1</v>
      </c>
      <c r="O1" s="14" t="s">
        <v>1</v>
      </c>
      <c r="P1" s="14" t="s">
        <v>1</v>
      </c>
      <c r="Q1" s="14" t="s">
        <v>1</v>
      </c>
      <c r="R1" s="14" t="s">
        <v>1</v>
      </c>
      <c r="S1" s="14" t="s">
        <v>1</v>
      </c>
      <c r="T1" s="14" t="s">
        <v>1</v>
      </c>
      <c r="U1" s="14" t="s">
        <v>1</v>
      </c>
      <c r="V1" s="14" t="s">
        <v>1</v>
      </c>
      <c r="W1" s="14" t="s">
        <v>1</v>
      </c>
      <c r="X1" s="14" t="s">
        <v>1</v>
      </c>
      <c r="Y1" s="14" t="s">
        <v>1</v>
      </c>
      <c r="Z1" s="14" t="s">
        <v>1</v>
      </c>
    </row>
    <row r="2" spans="1:26">
      <c r="H2" s="14" t="s">
        <v>8</v>
      </c>
    </row>
    <row r="3" spans="1:26">
      <c r="H3" s="14" t="s">
        <v>1189</v>
      </c>
    </row>
    <row r="4" spans="1:26">
      <c r="B4" s="14" t="s">
        <v>1190</v>
      </c>
      <c r="H4" s="14" t="s">
        <v>1191</v>
      </c>
    </row>
    <row r="5" spans="1:26">
      <c r="H5" s="14" t="s">
        <v>11</v>
      </c>
      <c r="I5" s="14" t="s">
        <v>12</v>
      </c>
      <c r="J5" s="14" t="s">
        <v>13</v>
      </c>
      <c r="K5" s="14" t="s">
        <v>14</v>
      </c>
      <c r="L5" s="14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4" t="s">
        <v>21</v>
      </c>
      <c r="S5" s="14" t="s">
        <v>22</v>
      </c>
      <c r="T5" s="14" t="s">
        <v>23</v>
      </c>
      <c r="U5" s="14" t="s">
        <v>24</v>
      </c>
      <c r="V5" s="14" t="s">
        <v>25</v>
      </c>
      <c r="W5" s="14" t="s">
        <v>26</v>
      </c>
      <c r="X5" s="14" t="s">
        <v>27</v>
      </c>
      <c r="Y5" s="14" t="s">
        <v>28</v>
      </c>
      <c r="Z5" s="14" t="s">
        <v>29</v>
      </c>
    </row>
    <row r="6" spans="1:26" ht="409.5">
      <c r="B6" s="14" t="s">
        <v>1192</v>
      </c>
      <c r="C6" s="14" t="s">
        <v>1193</v>
      </c>
      <c r="D6" s="15" t="s">
        <v>1194</v>
      </c>
      <c r="E6" s="14" t="s">
        <v>1195</v>
      </c>
      <c r="F6" s="14" t="s">
        <v>1196</v>
      </c>
      <c r="G6" s="14" t="s">
        <v>1197</v>
      </c>
      <c r="H6" s="14" t="s">
        <v>1198</v>
      </c>
      <c r="I6" s="14" t="s">
        <v>1199</v>
      </c>
      <c r="J6" s="14" t="s">
        <v>1200</v>
      </c>
      <c r="K6" s="14" t="s">
        <v>1201</v>
      </c>
      <c r="L6" s="14" t="s">
        <v>1202</v>
      </c>
      <c r="M6" s="14" t="s">
        <v>1203</v>
      </c>
      <c r="N6" s="14" t="s">
        <v>1204</v>
      </c>
      <c r="O6" s="14" t="s">
        <v>1205</v>
      </c>
      <c r="P6" s="14" t="s">
        <v>1206</v>
      </c>
      <c r="Q6" s="14" t="s">
        <v>1207</v>
      </c>
      <c r="R6" s="14" t="s">
        <v>1208</v>
      </c>
      <c r="S6" s="14" t="s">
        <v>1209</v>
      </c>
      <c r="T6" s="14" t="s">
        <v>1210</v>
      </c>
      <c r="U6" s="14" t="s">
        <v>1211</v>
      </c>
      <c r="V6" s="14" t="s">
        <v>1212</v>
      </c>
      <c r="W6" s="14" t="s">
        <v>1213</v>
      </c>
      <c r="X6" s="14" t="s">
        <v>1214</v>
      </c>
      <c r="Y6" s="14" t="s">
        <v>1215</v>
      </c>
      <c r="Z6" s="14" t="s">
        <v>1216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24"/>
  <sheetViews>
    <sheetView workbookViewId="0"/>
  </sheetViews>
  <sheetFormatPr defaultColWidth="11.42578125" defaultRowHeight="15"/>
  <sheetData>
    <row r="1" spans="1:26">
      <c r="A1" s="14" t="s">
        <v>1217</v>
      </c>
      <c r="B1" s="14" t="s">
        <v>1160</v>
      </c>
      <c r="C1" s="14" t="s">
        <v>1160</v>
      </c>
      <c r="D1" s="14" t="s">
        <v>1160</v>
      </c>
      <c r="E1" s="14" t="s">
        <v>1160</v>
      </c>
      <c r="F1" s="14" t="s">
        <v>1160</v>
      </c>
      <c r="G1" s="14" t="s">
        <v>1160</v>
      </c>
      <c r="H1" s="14" t="s">
        <v>1</v>
      </c>
      <c r="I1" s="14" t="s">
        <v>1</v>
      </c>
      <c r="J1" s="14" t="s">
        <v>1</v>
      </c>
      <c r="K1" s="14" t="s">
        <v>1</v>
      </c>
      <c r="L1" s="14" t="s">
        <v>1</v>
      </c>
      <c r="M1" s="14" t="s">
        <v>1</v>
      </c>
      <c r="N1" s="14" t="s">
        <v>1</v>
      </c>
      <c r="O1" s="14" t="s">
        <v>1</v>
      </c>
      <c r="P1" s="14" t="s">
        <v>1</v>
      </c>
      <c r="Q1" s="14" t="s">
        <v>1</v>
      </c>
      <c r="R1" s="14" t="s">
        <v>1</v>
      </c>
      <c r="S1" s="14" t="s">
        <v>1</v>
      </c>
      <c r="T1" s="14" t="s">
        <v>1</v>
      </c>
      <c r="U1" s="14" t="s">
        <v>1</v>
      </c>
      <c r="V1" s="14" t="s">
        <v>1</v>
      </c>
      <c r="W1" s="14" t="s">
        <v>1</v>
      </c>
      <c r="X1" s="14" t="s">
        <v>1</v>
      </c>
      <c r="Y1" s="14" t="s">
        <v>1</v>
      </c>
      <c r="Z1" s="14" t="s">
        <v>1</v>
      </c>
    </row>
    <row r="2" spans="1:26">
      <c r="H2" s="14" t="s">
        <v>8</v>
      </c>
    </row>
    <row r="3" spans="1:26">
      <c r="H3" s="14" t="s">
        <v>1161</v>
      </c>
    </row>
    <row r="4" spans="1:26">
      <c r="B4" s="14" t="s">
        <v>1162</v>
      </c>
      <c r="H4" s="14" t="s">
        <v>1163</v>
      </c>
    </row>
    <row r="5" spans="1:26">
      <c r="H5" s="14" t="s">
        <v>11</v>
      </c>
      <c r="I5" s="14" t="s">
        <v>12</v>
      </c>
      <c r="J5" s="14" t="s">
        <v>13</v>
      </c>
      <c r="K5" s="14" t="s">
        <v>14</v>
      </c>
      <c r="L5" s="14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4" t="s">
        <v>21</v>
      </c>
      <c r="S5" s="14" t="s">
        <v>22</v>
      </c>
      <c r="T5" s="14" t="s">
        <v>23</v>
      </c>
      <c r="U5" s="14" t="s">
        <v>24</v>
      </c>
      <c r="V5" s="14" t="s">
        <v>25</v>
      </c>
      <c r="W5" s="14" t="s">
        <v>26</v>
      </c>
      <c r="X5" s="14" t="s">
        <v>27</v>
      </c>
      <c r="Y5" s="14" t="s">
        <v>28</v>
      </c>
      <c r="Z5" s="14" t="s">
        <v>29</v>
      </c>
    </row>
    <row r="6" spans="1:26" ht="409.5">
      <c r="B6" s="14" t="s">
        <v>1164</v>
      </c>
      <c r="C6" s="14" t="s">
        <v>1165</v>
      </c>
      <c r="D6" s="15" t="s">
        <v>1166</v>
      </c>
      <c r="E6" s="14" t="s">
        <v>1167</v>
      </c>
      <c r="F6" s="14" t="s">
        <v>1168</v>
      </c>
      <c r="G6" s="14" t="s">
        <v>1169</v>
      </c>
      <c r="H6" s="14" t="s">
        <v>1170</v>
      </c>
      <c r="I6" s="14" t="s">
        <v>1171</v>
      </c>
      <c r="J6" s="14" t="s">
        <v>1172</v>
      </c>
      <c r="K6" s="14" t="s">
        <v>1173</v>
      </c>
      <c r="L6" s="14" t="s">
        <v>1174</v>
      </c>
      <c r="M6" s="14" t="s">
        <v>1175</v>
      </c>
      <c r="N6" s="14" t="s">
        <v>1176</v>
      </c>
      <c r="O6" s="14" t="s">
        <v>1177</v>
      </c>
      <c r="P6" s="14" t="s">
        <v>1178</v>
      </c>
      <c r="Q6" s="14" t="s">
        <v>1179</v>
      </c>
      <c r="R6" s="14" t="s">
        <v>1180</v>
      </c>
      <c r="S6" s="14" t="s">
        <v>1181</v>
      </c>
      <c r="T6" s="14" t="s">
        <v>1182</v>
      </c>
      <c r="U6" s="14" t="s">
        <v>1183</v>
      </c>
      <c r="V6" s="14" t="s">
        <v>1184</v>
      </c>
      <c r="W6" s="14" t="s">
        <v>1185</v>
      </c>
      <c r="X6" s="14" t="s">
        <v>1186</v>
      </c>
      <c r="Y6" s="14" t="s">
        <v>1187</v>
      </c>
      <c r="Z6" s="14" t="s">
        <v>1188</v>
      </c>
    </row>
    <row r="7" spans="1:26" ht="409.5">
      <c r="A7" s="14" t="s">
        <v>1218</v>
      </c>
      <c r="B7" s="14" t="s">
        <v>1219</v>
      </c>
      <c r="C7" s="14" t="s">
        <v>1220</v>
      </c>
      <c r="D7" s="15" t="s">
        <v>1221</v>
      </c>
      <c r="E7" s="14" t="s">
        <v>1222</v>
      </c>
      <c r="F7" s="14" t="s">
        <v>1223</v>
      </c>
      <c r="G7" s="14" t="s">
        <v>1224</v>
      </c>
      <c r="H7" s="14" t="s">
        <v>1225</v>
      </c>
      <c r="I7" s="14" t="s">
        <v>1226</v>
      </c>
      <c r="J7" s="14" t="s">
        <v>1227</v>
      </c>
      <c r="K7" s="14" t="s">
        <v>1228</v>
      </c>
      <c r="L7" s="14" t="s">
        <v>1229</v>
      </c>
      <c r="M7" s="14" t="s">
        <v>1230</v>
      </c>
      <c r="N7" s="14" t="s">
        <v>1231</v>
      </c>
      <c r="O7" s="14" t="s">
        <v>1232</v>
      </c>
      <c r="P7" s="14" t="s">
        <v>1233</v>
      </c>
      <c r="Q7" s="14" t="s">
        <v>1234</v>
      </c>
      <c r="R7" s="14" t="s">
        <v>1235</v>
      </c>
      <c r="S7" s="14" t="s">
        <v>1236</v>
      </c>
      <c r="T7" s="14" t="s">
        <v>1237</v>
      </c>
      <c r="U7" s="14" t="s">
        <v>1238</v>
      </c>
      <c r="V7" s="14" t="s">
        <v>1239</v>
      </c>
      <c r="W7" s="14" t="s">
        <v>1240</v>
      </c>
      <c r="X7" s="14" t="s">
        <v>1241</v>
      </c>
      <c r="Y7" s="14" t="s">
        <v>1242</v>
      </c>
      <c r="Z7" s="14" t="s">
        <v>1243</v>
      </c>
    </row>
    <row r="8" spans="1:26" ht="409.5">
      <c r="A8" s="14" t="s">
        <v>1218</v>
      </c>
      <c r="B8" s="14" t="s">
        <v>1244</v>
      </c>
      <c r="C8" s="14" t="s">
        <v>1245</v>
      </c>
      <c r="D8" s="15" t="s">
        <v>1246</v>
      </c>
      <c r="E8" s="14" t="s">
        <v>1247</v>
      </c>
      <c r="F8" s="14" t="s">
        <v>1248</v>
      </c>
      <c r="G8" s="14" t="s">
        <v>1249</v>
      </c>
      <c r="H8" s="14" t="s">
        <v>1250</v>
      </c>
      <c r="I8" s="14" t="s">
        <v>1251</v>
      </c>
      <c r="J8" s="14" t="s">
        <v>1252</v>
      </c>
      <c r="K8" s="14" t="s">
        <v>1253</v>
      </c>
      <c r="L8" s="14" t="s">
        <v>1254</v>
      </c>
      <c r="M8" s="14" t="s">
        <v>1255</v>
      </c>
      <c r="N8" s="14" t="s">
        <v>1256</v>
      </c>
      <c r="O8" s="14" t="s">
        <v>1257</v>
      </c>
      <c r="P8" s="14" t="s">
        <v>1258</v>
      </c>
      <c r="Q8" s="14" t="s">
        <v>1259</v>
      </c>
      <c r="R8" s="14" t="s">
        <v>1260</v>
      </c>
      <c r="S8" s="14" t="s">
        <v>1261</v>
      </c>
      <c r="T8" s="14" t="s">
        <v>1262</v>
      </c>
      <c r="U8" s="14" t="s">
        <v>1263</v>
      </c>
      <c r="V8" s="14" t="s">
        <v>1264</v>
      </c>
      <c r="W8" s="14" t="s">
        <v>1265</v>
      </c>
      <c r="X8" s="14" t="s">
        <v>1266</v>
      </c>
      <c r="Y8" s="14" t="s">
        <v>1267</v>
      </c>
      <c r="Z8" s="14" t="s">
        <v>1268</v>
      </c>
    </row>
    <row r="9" spans="1:26" ht="409.5">
      <c r="A9" s="14" t="s">
        <v>1218</v>
      </c>
      <c r="B9" s="14" t="s">
        <v>1269</v>
      </c>
      <c r="C9" s="14" t="s">
        <v>1270</v>
      </c>
      <c r="D9" s="15" t="s">
        <v>1271</v>
      </c>
      <c r="E9" s="14" t="s">
        <v>1272</v>
      </c>
      <c r="F9" s="14" t="s">
        <v>1273</v>
      </c>
      <c r="G9" s="14" t="s">
        <v>1274</v>
      </c>
      <c r="H9" s="14" t="s">
        <v>1275</v>
      </c>
      <c r="I9" s="14" t="s">
        <v>1276</v>
      </c>
      <c r="J9" s="14" t="s">
        <v>1277</v>
      </c>
      <c r="K9" s="14" t="s">
        <v>1278</v>
      </c>
      <c r="L9" s="14" t="s">
        <v>1279</v>
      </c>
      <c r="M9" s="14" t="s">
        <v>1280</v>
      </c>
      <c r="N9" s="14" t="s">
        <v>1281</v>
      </c>
      <c r="O9" s="14" t="s">
        <v>1282</v>
      </c>
      <c r="P9" s="14" t="s">
        <v>1283</v>
      </c>
      <c r="Q9" s="14" t="s">
        <v>1284</v>
      </c>
      <c r="R9" s="14" t="s">
        <v>1285</v>
      </c>
      <c r="S9" s="14" t="s">
        <v>1286</v>
      </c>
      <c r="T9" s="14" t="s">
        <v>1287</v>
      </c>
      <c r="U9" s="14" t="s">
        <v>1288</v>
      </c>
      <c r="V9" s="14" t="s">
        <v>1289</v>
      </c>
      <c r="W9" s="14" t="s">
        <v>1290</v>
      </c>
      <c r="X9" s="14" t="s">
        <v>1291</v>
      </c>
      <c r="Y9" s="14" t="s">
        <v>1292</v>
      </c>
      <c r="Z9" s="14" t="s">
        <v>1293</v>
      </c>
    </row>
    <row r="10" spans="1:26" ht="409.5">
      <c r="A10" s="14" t="s">
        <v>1218</v>
      </c>
      <c r="B10" s="14" t="s">
        <v>1294</v>
      </c>
      <c r="C10" s="14" t="s">
        <v>1295</v>
      </c>
      <c r="D10" s="15" t="s">
        <v>1296</v>
      </c>
      <c r="E10" s="14" t="s">
        <v>1297</v>
      </c>
      <c r="F10" s="14" t="s">
        <v>1298</v>
      </c>
      <c r="G10" s="14" t="s">
        <v>1299</v>
      </c>
      <c r="H10" s="14" t="s">
        <v>1300</v>
      </c>
      <c r="I10" s="14" t="s">
        <v>1301</v>
      </c>
      <c r="J10" s="14" t="s">
        <v>1302</v>
      </c>
      <c r="K10" s="14" t="s">
        <v>1303</v>
      </c>
      <c r="L10" s="14" t="s">
        <v>1304</v>
      </c>
      <c r="M10" s="14" t="s">
        <v>1305</v>
      </c>
      <c r="N10" s="14" t="s">
        <v>1306</v>
      </c>
      <c r="O10" s="14" t="s">
        <v>1307</v>
      </c>
      <c r="P10" s="14" t="s">
        <v>1308</v>
      </c>
      <c r="Q10" s="14" t="s">
        <v>1309</v>
      </c>
      <c r="R10" s="14" t="s">
        <v>1310</v>
      </c>
      <c r="S10" s="14" t="s">
        <v>1311</v>
      </c>
      <c r="T10" s="14" t="s">
        <v>1312</v>
      </c>
      <c r="U10" s="14" t="s">
        <v>1313</v>
      </c>
      <c r="V10" s="14" t="s">
        <v>1314</v>
      </c>
      <c r="W10" s="14" t="s">
        <v>1315</v>
      </c>
      <c r="X10" s="14" t="s">
        <v>1316</v>
      </c>
      <c r="Y10" s="14" t="s">
        <v>1317</v>
      </c>
      <c r="Z10" s="14" t="s">
        <v>1318</v>
      </c>
    </row>
    <row r="11" spans="1:26" ht="409.5">
      <c r="A11" s="14" t="s">
        <v>1218</v>
      </c>
      <c r="B11" s="14" t="s">
        <v>1319</v>
      </c>
      <c r="C11" s="14" t="s">
        <v>1320</v>
      </c>
      <c r="D11" s="15" t="s">
        <v>1321</v>
      </c>
      <c r="E11" s="14" t="s">
        <v>1322</v>
      </c>
      <c r="F11" s="14" t="s">
        <v>1323</v>
      </c>
      <c r="G11" s="14" t="s">
        <v>1324</v>
      </c>
      <c r="H11" s="14" t="s">
        <v>1325</v>
      </c>
      <c r="I11" s="14" t="s">
        <v>1326</v>
      </c>
      <c r="J11" s="14" t="s">
        <v>1327</v>
      </c>
      <c r="K11" s="14" t="s">
        <v>1328</v>
      </c>
      <c r="L11" s="14" t="s">
        <v>1329</v>
      </c>
      <c r="M11" s="14" t="s">
        <v>1330</v>
      </c>
      <c r="N11" s="14" t="s">
        <v>1331</v>
      </c>
      <c r="O11" s="14" t="s">
        <v>1332</v>
      </c>
      <c r="P11" s="14" t="s">
        <v>1333</v>
      </c>
      <c r="Q11" s="14" t="s">
        <v>1334</v>
      </c>
      <c r="R11" s="14" t="s">
        <v>1335</v>
      </c>
      <c r="S11" s="14" t="s">
        <v>1336</v>
      </c>
      <c r="T11" s="14" t="s">
        <v>1337</v>
      </c>
      <c r="U11" s="14" t="s">
        <v>1338</v>
      </c>
      <c r="V11" s="14" t="s">
        <v>1339</v>
      </c>
      <c r="W11" s="14" t="s">
        <v>1340</v>
      </c>
      <c r="X11" s="14" t="s">
        <v>1341</v>
      </c>
      <c r="Y11" s="14" t="s">
        <v>1342</v>
      </c>
      <c r="Z11" s="14" t="s">
        <v>1343</v>
      </c>
    </row>
    <row r="12" spans="1:26" ht="409.5">
      <c r="A12" s="14" t="s">
        <v>1218</v>
      </c>
      <c r="B12" s="14" t="s">
        <v>1344</v>
      </c>
      <c r="C12" s="14" t="s">
        <v>1345</v>
      </c>
      <c r="D12" s="15" t="s">
        <v>1346</v>
      </c>
      <c r="E12" s="14" t="s">
        <v>1347</v>
      </c>
      <c r="F12" s="14" t="s">
        <v>1348</v>
      </c>
      <c r="G12" s="14" t="s">
        <v>1349</v>
      </c>
      <c r="H12" s="14" t="s">
        <v>1350</v>
      </c>
      <c r="I12" s="14" t="s">
        <v>1351</v>
      </c>
      <c r="J12" s="14" t="s">
        <v>1352</v>
      </c>
      <c r="K12" s="14" t="s">
        <v>1353</v>
      </c>
      <c r="L12" s="14" t="s">
        <v>1354</v>
      </c>
      <c r="M12" s="14" t="s">
        <v>1355</v>
      </c>
      <c r="N12" s="14" t="s">
        <v>1356</v>
      </c>
      <c r="O12" s="14" t="s">
        <v>1357</v>
      </c>
      <c r="P12" s="14" t="s">
        <v>1358</v>
      </c>
      <c r="Q12" s="14" t="s">
        <v>1359</v>
      </c>
      <c r="R12" s="14" t="s">
        <v>1360</v>
      </c>
      <c r="S12" s="14" t="s">
        <v>1361</v>
      </c>
      <c r="T12" s="14" t="s">
        <v>1362</v>
      </c>
      <c r="U12" s="14" t="s">
        <v>1363</v>
      </c>
      <c r="V12" s="14" t="s">
        <v>1364</v>
      </c>
      <c r="W12" s="14" t="s">
        <v>1365</v>
      </c>
      <c r="X12" s="14" t="s">
        <v>1366</v>
      </c>
      <c r="Y12" s="14" t="s">
        <v>1367</v>
      </c>
      <c r="Z12" s="14" t="s">
        <v>1368</v>
      </c>
    </row>
    <row r="13" spans="1:26" ht="409.5">
      <c r="A13" s="14" t="s">
        <v>1218</v>
      </c>
      <c r="B13" s="14" t="s">
        <v>1369</v>
      </c>
      <c r="C13" s="14" t="s">
        <v>1370</v>
      </c>
      <c r="D13" s="15" t="s">
        <v>1371</v>
      </c>
      <c r="E13" s="14" t="s">
        <v>1372</v>
      </c>
      <c r="F13" s="14" t="s">
        <v>1373</v>
      </c>
      <c r="G13" s="14" t="s">
        <v>1374</v>
      </c>
      <c r="H13" s="14" t="s">
        <v>1375</v>
      </c>
      <c r="I13" s="14" t="s">
        <v>1376</v>
      </c>
      <c r="J13" s="14" t="s">
        <v>1377</v>
      </c>
      <c r="K13" s="14" t="s">
        <v>1378</v>
      </c>
      <c r="L13" s="14" t="s">
        <v>1379</v>
      </c>
      <c r="M13" s="14" t="s">
        <v>1380</v>
      </c>
      <c r="N13" s="14" t="s">
        <v>1381</v>
      </c>
      <c r="O13" s="14" t="s">
        <v>1382</v>
      </c>
      <c r="P13" s="14" t="s">
        <v>1383</v>
      </c>
      <c r="Q13" s="14" t="s">
        <v>1384</v>
      </c>
      <c r="R13" s="14" t="s">
        <v>1385</v>
      </c>
      <c r="S13" s="14" t="s">
        <v>1386</v>
      </c>
      <c r="T13" s="14" t="s">
        <v>1387</v>
      </c>
      <c r="U13" s="14" t="s">
        <v>1388</v>
      </c>
      <c r="V13" s="14" t="s">
        <v>1389</v>
      </c>
      <c r="W13" s="14" t="s">
        <v>1390</v>
      </c>
      <c r="X13" s="14" t="s">
        <v>1391</v>
      </c>
      <c r="Y13" s="14" t="s">
        <v>1392</v>
      </c>
      <c r="Z13" s="14" t="s">
        <v>1393</v>
      </c>
    </row>
    <row r="14" spans="1:26" ht="409.5">
      <c r="A14" s="14" t="s">
        <v>1218</v>
      </c>
      <c r="B14" s="14" t="s">
        <v>1394</v>
      </c>
      <c r="C14" s="14" t="s">
        <v>1395</v>
      </c>
      <c r="D14" s="15" t="s">
        <v>1396</v>
      </c>
      <c r="E14" s="14" t="s">
        <v>1397</v>
      </c>
      <c r="F14" s="14" t="s">
        <v>1398</v>
      </c>
      <c r="G14" s="14" t="s">
        <v>1399</v>
      </c>
      <c r="H14" s="14" t="s">
        <v>1400</v>
      </c>
      <c r="I14" s="14" t="s">
        <v>1401</v>
      </c>
      <c r="J14" s="14" t="s">
        <v>1402</v>
      </c>
      <c r="K14" s="14" t="s">
        <v>1403</v>
      </c>
      <c r="L14" s="14" t="s">
        <v>1404</v>
      </c>
      <c r="M14" s="14" t="s">
        <v>1405</v>
      </c>
      <c r="N14" s="14" t="s">
        <v>1406</v>
      </c>
      <c r="O14" s="14" t="s">
        <v>1407</v>
      </c>
      <c r="P14" s="14" t="s">
        <v>1408</v>
      </c>
      <c r="Q14" s="14" t="s">
        <v>1409</v>
      </c>
      <c r="R14" s="14" t="s">
        <v>1410</v>
      </c>
      <c r="S14" s="14" t="s">
        <v>1411</v>
      </c>
      <c r="T14" s="14" t="s">
        <v>1412</v>
      </c>
      <c r="U14" s="14" t="s">
        <v>1413</v>
      </c>
      <c r="V14" s="14" t="s">
        <v>1414</v>
      </c>
      <c r="W14" s="14" t="s">
        <v>1415</v>
      </c>
      <c r="X14" s="14" t="s">
        <v>1416</v>
      </c>
      <c r="Y14" s="14" t="s">
        <v>1417</v>
      </c>
      <c r="Z14" s="14" t="s">
        <v>1418</v>
      </c>
    </row>
    <row r="15" spans="1:26" ht="409.5">
      <c r="A15" s="14" t="s">
        <v>1218</v>
      </c>
      <c r="B15" s="14" t="s">
        <v>1419</v>
      </c>
      <c r="C15" s="14" t="s">
        <v>1420</v>
      </c>
      <c r="D15" s="15" t="s">
        <v>1421</v>
      </c>
      <c r="E15" s="14" t="s">
        <v>1422</v>
      </c>
      <c r="F15" s="14" t="s">
        <v>1423</v>
      </c>
      <c r="G15" s="14" t="s">
        <v>1424</v>
      </c>
      <c r="H15" s="14" t="s">
        <v>1425</v>
      </c>
      <c r="I15" s="14" t="s">
        <v>1426</v>
      </c>
      <c r="J15" s="14" t="s">
        <v>1427</v>
      </c>
      <c r="K15" s="14" t="s">
        <v>1428</v>
      </c>
      <c r="L15" s="14" t="s">
        <v>1429</v>
      </c>
      <c r="M15" s="14" t="s">
        <v>1430</v>
      </c>
      <c r="N15" s="14" t="s">
        <v>1431</v>
      </c>
      <c r="O15" s="14" t="s">
        <v>1432</v>
      </c>
      <c r="P15" s="14" t="s">
        <v>1433</v>
      </c>
      <c r="Q15" s="14" t="s">
        <v>1434</v>
      </c>
      <c r="R15" s="14" t="s">
        <v>1435</v>
      </c>
      <c r="S15" s="14" t="s">
        <v>1436</v>
      </c>
      <c r="T15" s="14" t="s">
        <v>1437</v>
      </c>
      <c r="U15" s="14" t="s">
        <v>1438</v>
      </c>
      <c r="V15" s="14" t="s">
        <v>1439</v>
      </c>
      <c r="W15" s="14" t="s">
        <v>1440</v>
      </c>
      <c r="X15" s="14" t="s">
        <v>1441</v>
      </c>
      <c r="Y15" s="14" t="s">
        <v>1442</v>
      </c>
      <c r="Z15" s="14" t="s">
        <v>1443</v>
      </c>
    </row>
    <row r="16" spans="1:26" ht="409.5">
      <c r="A16" s="14" t="s">
        <v>1218</v>
      </c>
      <c r="B16" s="14" t="s">
        <v>1444</v>
      </c>
      <c r="C16" s="14" t="s">
        <v>1445</v>
      </c>
      <c r="D16" s="15" t="s">
        <v>1446</v>
      </c>
      <c r="E16" s="14" t="s">
        <v>1447</v>
      </c>
      <c r="F16" s="14" t="s">
        <v>1448</v>
      </c>
      <c r="G16" s="14" t="s">
        <v>1449</v>
      </c>
      <c r="H16" s="14" t="s">
        <v>1450</v>
      </c>
      <c r="I16" s="14" t="s">
        <v>1451</v>
      </c>
      <c r="J16" s="14" t="s">
        <v>1452</v>
      </c>
      <c r="K16" s="14" t="s">
        <v>1453</v>
      </c>
      <c r="L16" s="14" t="s">
        <v>1454</v>
      </c>
      <c r="M16" s="14" t="s">
        <v>1455</v>
      </c>
      <c r="N16" s="14" t="s">
        <v>1456</v>
      </c>
      <c r="O16" s="14" t="s">
        <v>1457</v>
      </c>
      <c r="P16" s="14" t="s">
        <v>1458</v>
      </c>
      <c r="Q16" s="14" t="s">
        <v>1459</v>
      </c>
      <c r="R16" s="14" t="s">
        <v>1460</v>
      </c>
      <c r="S16" s="14" t="s">
        <v>1461</v>
      </c>
      <c r="T16" s="14" t="s">
        <v>1462</v>
      </c>
      <c r="U16" s="14" t="s">
        <v>1463</v>
      </c>
      <c r="V16" s="14" t="s">
        <v>1464</v>
      </c>
      <c r="W16" s="14" t="s">
        <v>1465</v>
      </c>
      <c r="X16" s="14" t="s">
        <v>1466</v>
      </c>
      <c r="Y16" s="14" t="s">
        <v>1467</v>
      </c>
      <c r="Z16" s="14" t="s">
        <v>1468</v>
      </c>
    </row>
    <row r="17" spans="1:26" ht="409.5">
      <c r="A17" s="14" t="s">
        <v>1218</v>
      </c>
      <c r="B17" s="14" t="s">
        <v>1469</v>
      </c>
      <c r="C17" s="14" t="s">
        <v>1470</v>
      </c>
      <c r="D17" s="15" t="s">
        <v>1471</v>
      </c>
      <c r="E17" s="14" t="s">
        <v>1472</v>
      </c>
      <c r="F17" s="14" t="s">
        <v>1473</v>
      </c>
      <c r="G17" s="14" t="s">
        <v>1474</v>
      </c>
      <c r="H17" s="14" t="s">
        <v>1475</v>
      </c>
      <c r="I17" s="14" t="s">
        <v>1476</v>
      </c>
      <c r="J17" s="14" t="s">
        <v>1477</v>
      </c>
      <c r="K17" s="14" t="s">
        <v>1478</v>
      </c>
      <c r="L17" s="14" t="s">
        <v>1479</v>
      </c>
      <c r="M17" s="14" t="s">
        <v>1480</v>
      </c>
      <c r="N17" s="14" t="s">
        <v>1481</v>
      </c>
      <c r="O17" s="14" t="s">
        <v>1482</v>
      </c>
      <c r="P17" s="14" t="s">
        <v>1483</v>
      </c>
      <c r="Q17" s="14" t="s">
        <v>1484</v>
      </c>
      <c r="R17" s="14" t="s">
        <v>1485</v>
      </c>
      <c r="S17" s="14" t="s">
        <v>1486</v>
      </c>
      <c r="T17" s="14" t="s">
        <v>1487</v>
      </c>
      <c r="U17" s="14" t="s">
        <v>1488</v>
      </c>
      <c r="V17" s="14" t="s">
        <v>1489</v>
      </c>
      <c r="W17" s="14" t="s">
        <v>1490</v>
      </c>
      <c r="X17" s="14" t="s">
        <v>1491</v>
      </c>
      <c r="Y17" s="14" t="s">
        <v>1492</v>
      </c>
      <c r="Z17" s="14" t="s">
        <v>1493</v>
      </c>
    </row>
    <row r="18" spans="1:26" ht="409.5">
      <c r="A18" s="14" t="s">
        <v>1218</v>
      </c>
      <c r="B18" s="14" t="s">
        <v>1494</v>
      </c>
      <c r="C18" s="14" t="s">
        <v>1495</v>
      </c>
      <c r="D18" s="15" t="s">
        <v>1496</v>
      </c>
      <c r="E18" s="14" t="s">
        <v>1497</v>
      </c>
      <c r="F18" s="14" t="s">
        <v>1498</v>
      </c>
      <c r="G18" s="14" t="s">
        <v>1499</v>
      </c>
      <c r="H18" s="14" t="s">
        <v>1500</v>
      </c>
      <c r="I18" s="14" t="s">
        <v>1501</v>
      </c>
      <c r="J18" s="14" t="s">
        <v>1502</v>
      </c>
      <c r="K18" s="14" t="s">
        <v>1503</v>
      </c>
      <c r="L18" s="14" t="s">
        <v>1504</v>
      </c>
      <c r="M18" s="14" t="s">
        <v>1505</v>
      </c>
      <c r="N18" s="14" t="s">
        <v>1506</v>
      </c>
      <c r="O18" s="14" t="s">
        <v>1507</v>
      </c>
      <c r="P18" s="14" t="s">
        <v>1508</v>
      </c>
      <c r="Q18" s="14" t="s">
        <v>1509</v>
      </c>
      <c r="R18" s="14" t="s">
        <v>1510</v>
      </c>
      <c r="S18" s="14" t="s">
        <v>1511</v>
      </c>
      <c r="T18" s="14" t="s">
        <v>1512</v>
      </c>
      <c r="U18" s="14" t="s">
        <v>1513</v>
      </c>
      <c r="V18" s="14" t="s">
        <v>1514</v>
      </c>
      <c r="W18" s="14" t="s">
        <v>1515</v>
      </c>
      <c r="X18" s="14" t="s">
        <v>1516</v>
      </c>
      <c r="Y18" s="14" t="s">
        <v>1517</v>
      </c>
      <c r="Z18" s="14" t="s">
        <v>1518</v>
      </c>
    </row>
    <row r="19" spans="1:26" ht="409.5">
      <c r="A19" s="14" t="s">
        <v>1218</v>
      </c>
      <c r="B19" s="14" t="s">
        <v>1519</v>
      </c>
      <c r="C19" s="14" t="s">
        <v>1520</v>
      </c>
      <c r="D19" s="15" t="s">
        <v>1521</v>
      </c>
      <c r="E19" s="14" t="s">
        <v>1522</v>
      </c>
      <c r="F19" s="14" t="s">
        <v>1523</v>
      </c>
      <c r="G19" s="14" t="s">
        <v>1524</v>
      </c>
      <c r="H19" s="14" t="s">
        <v>1525</v>
      </c>
      <c r="I19" s="14" t="s">
        <v>1526</v>
      </c>
      <c r="J19" s="14" t="s">
        <v>1527</v>
      </c>
      <c r="K19" s="14" t="s">
        <v>1528</v>
      </c>
      <c r="L19" s="14" t="s">
        <v>1529</v>
      </c>
      <c r="M19" s="14" t="s">
        <v>1530</v>
      </c>
      <c r="N19" s="14" t="s">
        <v>1531</v>
      </c>
      <c r="O19" s="14" t="s">
        <v>1532</v>
      </c>
      <c r="P19" s="14" t="s">
        <v>1533</v>
      </c>
      <c r="Q19" s="14" t="s">
        <v>1534</v>
      </c>
      <c r="R19" s="14" t="s">
        <v>1535</v>
      </c>
      <c r="S19" s="14" t="s">
        <v>1536</v>
      </c>
      <c r="T19" s="14" t="s">
        <v>1537</v>
      </c>
      <c r="U19" s="14" t="s">
        <v>1538</v>
      </c>
      <c r="V19" s="14" t="s">
        <v>1539</v>
      </c>
      <c r="W19" s="14" t="s">
        <v>1540</v>
      </c>
      <c r="X19" s="14" t="s">
        <v>1541</v>
      </c>
      <c r="Y19" s="14" t="s">
        <v>1542</v>
      </c>
      <c r="Z19" s="14" t="s">
        <v>1543</v>
      </c>
    </row>
    <row r="20" spans="1:26" ht="409.5">
      <c r="A20" s="14" t="s">
        <v>1218</v>
      </c>
      <c r="B20" s="14" t="s">
        <v>1544</v>
      </c>
      <c r="C20" s="14" t="s">
        <v>1545</v>
      </c>
      <c r="D20" s="15" t="s">
        <v>1546</v>
      </c>
      <c r="E20" s="14" t="s">
        <v>1547</v>
      </c>
      <c r="F20" s="14" t="s">
        <v>1548</v>
      </c>
      <c r="G20" s="14" t="s">
        <v>1549</v>
      </c>
      <c r="H20" s="14" t="s">
        <v>1550</v>
      </c>
      <c r="I20" s="14" t="s">
        <v>1551</v>
      </c>
      <c r="J20" s="14" t="s">
        <v>1552</v>
      </c>
      <c r="K20" s="14" t="s">
        <v>1553</v>
      </c>
      <c r="L20" s="14" t="s">
        <v>1554</v>
      </c>
      <c r="M20" s="14" t="s">
        <v>1555</v>
      </c>
      <c r="N20" s="14" t="s">
        <v>1556</v>
      </c>
      <c r="O20" s="14" t="s">
        <v>1557</v>
      </c>
      <c r="P20" s="14" t="s">
        <v>1558</v>
      </c>
      <c r="Q20" s="14" t="s">
        <v>1559</v>
      </c>
      <c r="R20" s="14" t="s">
        <v>1560</v>
      </c>
      <c r="S20" s="14" t="s">
        <v>1561</v>
      </c>
      <c r="T20" s="14" t="s">
        <v>1562</v>
      </c>
      <c r="U20" s="14" t="s">
        <v>1563</v>
      </c>
      <c r="V20" s="14" t="s">
        <v>1564</v>
      </c>
      <c r="W20" s="14" t="s">
        <v>1565</v>
      </c>
      <c r="X20" s="14" t="s">
        <v>1566</v>
      </c>
      <c r="Y20" s="14" t="s">
        <v>1567</v>
      </c>
      <c r="Z20" s="14" t="s">
        <v>1568</v>
      </c>
    </row>
    <row r="21" spans="1:26" ht="409.5">
      <c r="A21" s="14" t="s">
        <v>1218</v>
      </c>
      <c r="B21" s="14" t="s">
        <v>1569</v>
      </c>
      <c r="C21" s="14" t="s">
        <v>1570</v>
      </c>
      <c r="D21" s="15" t="s">
        <v>1571</v>
      </c>
      <c r="E21" s="14" t="s">
        <v>1572</v>
      </c>
      <c r="F21" s="14" t="s">
        <v>1573</v>
      </c>
      <c r="G21" s="14" t="s">
        <v>1574</v>
      </c>
      <c r="H21" s="14" t="s">
        <v>1575</v>
      </c>
      <c r="I21" s="14" t="s">
        <v>1576</v>
      </c>
      <c r="J21" s="14" t="s">
        <v>1577</v>
      </c>
      <c r="K21" s="14" t="s">
        <v>1578</v>
      </c>
      <c r="L21" s="14" t="s">
        <v>1579</v>
      </c>
      <c r="M21" s="14" t="s">
        <v>1580</v>
      </c>
      <c r="N21" s="14" t="s">
        <v>1581</v>
      </c>
      <c r="O21" s="14" t="s">
        <v>1582</v>
      </c>
      <c r="P21" s="14" t="s">
        <v>1583</v>
      </c>
      <c r="Q21" s="14" t="s">
        <v>1584</v>
      </c>
      <c r="R21" s="14" t="s">
        <v>1585</v>
      </c>
      <c r="S21" s="14" t="s">
        <v>1586</v>
      </c>
      <c r="T21" s="14" t="s">
        <v>1587</v>
      </c>
      <c r="U21" s="14" t="s">
        <v>1588</v>
      </c>
      <c r="V21" s="14" t="s">
        <v>1589</v>
      </c>
      <c r="W21" s="14" t="s">
        <v>1590</v>
      </c>
      <c r="X21" s="14" t="s">
        <v>1591</v>
      </c>
      <c r="Y21" s="14" t="s">
        <v>1592</v>
      </c>
      <c r="Z21" s="14" t="s">
        <v>1593</v>
      </c>
    </row>
    <row r="22" spans="1:26" ht="409.5">
      <c r="A22" s="14" t="s">
        <v>1218</v>
      </c>
      <c r="B22" s="14" t="s">
        <v>1594</v>
      </c>
      <c r="C22" s="14" t="s">
        <v>1595</v>
      </c>
      <c r="D22" s="15" t="s">
        <v>1596</v>
      </c>
      <c r="E22" s="14" t="s">
        <v>1597</v>
      </c>
      <c r="F22" s="14" t="s">
        <v>1598</v>
      </c>
      <c r="G22" s="14" t="s">
        <v>1599</v>
      </c>
      <c r="H22" s="14" t="s">
        <v>1600</v>
      </c>
      <c r="I22" s="14" t="s">
        <v>1601</v>
      </c>
      <c r="J22" s="14" t="s">
        <v>1602</v>
      </c>
      <c r="K22" s="14" t="s">
        <v>1603</v>
      </c>
      <c r="L22" s="14" t="s">
        <v>1604</v>
      </c>
      <c r="M22" s="14" t="s">
        <v>1605</v>
      </c>
      <c r="N22" s="14" t="s">
        <v>1606</v>
      </c>
      <c r="O22" s="14" t="s">
        <v>1607</v>
      </c>
      <c r="P22" s="14" t="s">
        <v>1608</v>
      </c>
      <c r="Q22" s="14" t="s">
        <v>1609</v>
      </c>
      <c r="R22" s="14" t="s">
        <v>1610</v>
      </c>
      <c r="S22" s="14" t="s">
        <v>1611</v>
      </c>
      <c r="T22" s="14" t="s">
        <v>1612</v>
      </c>
      <c r="U22" s="14" t="s">
        <v>1613</v>
      </c>
      <c r="V22" s="14" t="s">
        <v>1614</v>
      </c>
      <c r="W22" s="14" t="s">
        <v>1615</v>
      </c>
      <c r="X22" s="14" t="s">
        <v>1616</v>
      </c>
      <c r="Y22" s="14" t="s">
        <v>1617</v>
      </c>
      <c r="Z22" s="14" t="s">
        <v>1618</v>
      </c>
    </row>
    <row r="23" spans="1:26" ht="409.5">
      <c r="A23" s="14" t="s">
        <v>1218</v>
      </c>
      <c r="B23" s="14" t="s">
        <v>1619</v>
      </c>
      <c r="C23" s="14" t="s">
        <v>1620</v>
      </c>
      <c r="D23" s="15" t="s">
        <v>1621</v>
      </c>
      <c r="E23" s="14" t="s">
        <v>1622</v>
      </c>
      <c r="F23" s="14" t="s">
        <v>1623</v>
      </c>
      <c r="G23" s="14" t="s">
        <v>1624</v>
      </c>
      <c r="H23" s="14" t="s">
        <v>1625</v>
      </c>
      <c r="I23" s="14" t="s">
        <v>1626</v>
      </c>
      <c r="J23" s="14" t="s">
        <v>1627</v>
      </c>
      <c r="K23" s="14" t="s">
        <v>1628</v>
      </c>
      <c r="L23" s="14" t="s">
        <v>1629</v>
      </c>
      <c r="M23" s="14" t="s">
        <v>1630</v>
      </c>
      <c r="N23" s="14" t="s">
        <v>1631</v>
      </c>
      <c r="O23" s="14" t="s">
        <v>1632</v>
      </c>
      <c r="P23" s="14" t="s">
        <v>1633</v>
      </c>
      <c r="Q23" s="14" t="s">
        <v>1634</v>
      </c>
      <c r="R23" s="14" t="s">
        <v>1635</v>
      </c>
      <c r="S23" s="14" t="s">
        <v>1636</v>
      </c>
      <c r="T23" s="14" t="s">
        <v>1637</v>
      </c>
      <c r="U23" s="14" t="s">
        <v>1638</v>
      </c>
      <c r="V23" s="14" t="s">
        <v>1639</v>
      </c>
      <c r="W23" s="14" t="s">
        <v>1640</v>
      </c>
      <c r="X23" s="14" t="s">
        <v>1641</v>
      </c>
      <c r="Y23" s="14" t="s">
        <v>1642</v>
      </c>
      <c r="Z23" s="14" t="s">
        <v>1643</v>
      </c>
    </row>
    <row r="24" spans="1:26" ht="409.5">
      <c r="A24" s="14" t="s">
        <v>1218</v>
      </c>
      <c r="B24" s="14" t="s">
        <v>1644</v>
      </c>
      <c r="C24" s="14" t="s">
        <v>1645</v>
      </c>
      <c r="D24" s="15" t="s">
        <v>1646</v>
      </c>
      <c r="E24" s="14" t="s">
        <v>1647</v>
      </c>
      <c r="F24" s="14" t="s">
        <v>1648</v>
      </c>
      <c r="G24" s="14" t="s">
        <v>1649</v>
      </c>
      <c r="H24" s="14" t="s">
        <v>1650</v>
      </c>
      <c r="I24" s="14" t="s">
        <v>1651</v>
      </c>
      <c r="J24" s="14" t="s">
        <v>1652</v>
      </c>
      <c r="K24" s="14" t="s">
        <v>1653</v>
      </c>
      <c r="L24" s="14" t="s">
        <v>1654</v>
      </c>
      <c r="M24" s="14" t="s">
        <v>1655</v>
      </c>
      <c r="N24" s="14" t="s">
        <v>1656</v>
      </c>
      <c r="O24" s="14" t="s">
        <v>1657</v>
      </c>
      <c r="P24" s="14" t="s">
        <v>1658</v>
      </c>
      <c r="Q24" s="14" t="s">
        <v>1659</v>
      </c>
      <c r="R24" s="14" t="s">
        <v>1660</v>
      </c>
      <c r="S24" s="14" t="s">
        <v>1661</v>
      </c>
      <c r="T24" s="14" t="s">
        <v>1662</v>
      </c>
      <c r="U24" s="14" t="s">
        <v>1663</v>
      </c>
      <c r="V24" s="14" t="s">
        <v>1664</v>
      </c>
      <c r="W24" s="14" t="s">
        <v>1665</v>
      </c>
      <c r="X24" s="14" t="s">
        <v>1666</v>
      </c>
      <c r="Y24" s="14" t="s">
        <v>1667</v>
      </c>
      <c r="Z24" s="14" t="s">
        <v>1668</v>
      </c>
    </row>
    <row r="25" spans="1:26" ht="409.5">
      <c r="A25" s="14" t="s">
        <v>1218</v>
      </c>
      <c r="B25" s="14" t="s">
        <v>1669</v>
      </c>
      <c r="C25" s="14" t="s">
        <v>1670</v>
      </c>
      <c r="D25" s="15" t="s">
        <v>1671</v>
      </c>
      <c r="E25" s="14" t="s">
        <v>1672</v>
      </c>
      <c r="F25" s="14" t="s">
        <v>1673</v>
      </c>
      <c r="G25" s="14" t="s">
        <v>1674</v>
      </c>
      <c r="H25" s="14" t="s">
        <v>1675</v>
      </c>
      <c r="I25" s="14" t="s">
        <v>1676</v>
      </c>
      <c r="J25" s="14" t="s">
        <v>1677</v>
      </c>
      <c r="K25" s="14" t="s">
        <v>1678</v>
      </c>
      <c r="L25" s="14" t="s">
        <v>1679</v>
      </c>
      <c r="M25" s="14" t="s">
        <v>1680</v>
      </c>
      <c r="N25" s="14" t="s">
        <v>1681</v>
      </c>
      <c r="O25" s="14" t="s">
        <v>1682</v>
      </c>
      <c r="P25" s="14" t="s">
        <v>1683</v>
      </c>
      <c r="Q25" s="14" t="s">
        <v>1684</v>
      </c>
      <c r="R25" s="14" t="s">
        <v>1685</v>
      </c>
      <c r="S25" s="14" t="s">
        <v>1686</v>
      </c>
      <c r="T25" s="14" t="s">
        <v>1687</v>
      </c>
      <c r="U25" s="14" t="s">
        <v>1688</v>
      </c>
      <c r="V25" s="14" t="s">
        <v>1689</v>
      </c>
      <c r="W25" s="14" t="s">
        <v>1690</v>
      </c>
      <c r="X25" s="14" t="s">
        <v>1691</v>
      </c>
      <c r="Y25" s="14" t="s">
        <v>1692</v>
      </c>
      <c r="Z25" s="14" t="s">
        <v>1693</v>
      </c>
    </row>
    <row r="26" spans="1:26" ht="409.5">
      <c r="A26" s="14" t="s">
        <v>1218</v>
      </c>
      <c r="B26" s="14" t="s">
        <v>1694</v>
      </c>
      <c r="C26" s="14" t="s">
        <v>1695</v>
      </c>
      <c r="D26" s="15" t="s">
        <v>1696</v>
      </c>
      <c r="E26" s="14" t="s">
        <v>1697</v>
      </c>
      <c r="F26" s="14" t="s">
        <v>1698</v>
      </c>
      <c r="G26" s="14" t="s">
        <v>1699</v>
      </c>
      <c r="H26" s="14" t="s">
        <v>1700</v>
      </c>
      <c r="I26" s="14" t="s">
        <v>1701</v>
      </c>
      <c r="J26" s="14" t="s">
        <v>1702</v>
      </c>
      <c r="K26" s="14" t="s">
        <v>1703</v>
      </c>
      <c r="L26" s="14" t="s">
        <v>1704</v>
      </c>
      <c r="M26" s="14" t="s">
        <v>1705</v>
      </c>
      <c r="N26" s="14" t="s">
        <v>1706</v>
      </c>
      <c r="O26" s="14" t="s">
        <v>1707</v>
      </c>
      <c r="P26" s="14" t="s">
        <v>1708</v>
      </c>
      <c r="Q26" s="14" t="s">
        <v>1709</v>
      </c>
      <c r="R26" s="14" t="s">
        <v>1710</v>
      </c>
      <c r="S26" s="14" t="s">
        <v>1711</v>
      </c>
      <c r="T26" s="14" t="s">
        <v>1712</v>
      </c>
      <c r="U26" s="14" t="s">
        <v>1713</v>
      </c>
      <c r="V26" s="14" t="s">
        <v>1714</v>
      </c>
      <c r="W26" s="14" t="s">
        <v>1715</v>
      </c>
      <c r="X26" s="14" t="s">
        <v>1716</v>
      </c>
      <c r="Y26" s="14" t="s">
        <v>1717</v>
      </c>
      <c r="Z26" s="14" t="s">
        <v>1718</v>
      </c>
    </row>
    <row r="27" spans="1:26" ht="409.5">
      <c r="A27" s="14" t="s">
        <v>1218</v>
      </c>
      <c r="B27" s="14" t="s">
        <v>1719</v>
      </c>
      <c r="C27" s="14" t="s">
        <v>1720</v>
      </c>
      <c r="D27" s="15" t="s">
        <v>1721</v>
      </c>
      <c r="E27" s="14" t="s">
        <v>1722</v>
      </c>
      <c r="F27" s="14" t="s">
        <v>1723</v>
      </c>
      <c r="G27" s="14" t="s">
        <v>1724</v>
      </c>
      <c r="H27" s="14" t="s">
        <v>1725</v>
      </c>
      <c r="I27" s="14" t="s">
        <v>1726</v>
      </c>
      <c r="J27" s="14" t="s">
        <v>1727</v>
      </c>
      <c r="K27" s="14" t="s">
        <v>1728</v>
      </c>
      <c r="L27" s="14" t="s">
        <v>1729</v>
      </c>
      <c r="M27" s="14" t="s">
        <v>1730</v>
      </c>
      <c r="N27" s="14" t="s">
        <v>1731</v>
      </c>
      <c r="O27" s="14" t="s">
        <v>1732</v>
      </c>
      <c r="P27" s="14" t="s">
        <v>1733</v>
      </c>
      <c r="Q27" s="14" t="s">
        <v>1734</v>
      </c>
      <c r="R27" s="14" t="s">
        <v>1735</v>
      </c>
      <c r="S27" s="14" t="s">
        <v>1736</v>
      </c>
      <c r="T27" s="14" t="s">
        <v>1737</v>
      </c>
      <c r="U27" s="14" t="s">
        <v>1738</v>
      </c>
      <c r="V27" s="14" t="s">
        <v>1739</v>
      </c>
      <c r="W27" s="14" t="s">
        <v>1740</v>
      </c>
      <c r="X27" s="14" t="s">
        <v>1741</v>
      </c>
      <c r="Y27" s="14" t="s">
        <v>1742</v>
      </c>
      <c r="Z27" s="14" t="s">
        <v>1743</v>
      </c>
    </row>
    <row r="28" spans="1:26" ht="409.5">
      <c r="A28" s="14" t="s">
        <v>1218</v>
      </c>
      <c r="B28" s="14" t="s">
        <v>1744</v>
      </c>
      <c r="C28" s="14" t="s">
        <v>1745</v>
      </c>
      <c r="D28" s="15" t="s">
        <v>1746</v>
      </c>
      <c r="E28" s="14" t="s">
        <v>1747</v>
      </c>
      <c r="F28" s="14" t="s">
        <v>1748</v>
      </c>
      <c r="G28" s="14" t="s">
        <v>1749</v>
      </c>
      <c r="H28" s="14" t="s">
        <v>1750</v>
      </c>
      <c r="I28" s="14" t="s">
        <v>1751</v>
      </c>
      <c r="J28" s="14" t="s">
        <v>1752</v>
      </c>
      <c r="K28" s="14" t="s">
        <v>1753</v>
      </c>
      <c r="L28" s="14" t="s">
        <v>1754</v>
      </c>
      <c r="M28" s="14" t="s">
        <v>1755</v>
      </c>
      <c r="N28" s="14" t="s">
        <v>1756</v>
      </c>
      <c r="O28" s="14" t="s">
        <v>1757</v>
      </c>
      <c r="P28" s="14" t="s">
        <v>1758</v>
      </c>
      <c r="Q28" s="14" t="s">
        <v>1759</v>
      </c>
      <c r="R28" s="14" t="s">
        <v>1760</v>
      </c>
      <c r="S28" s="14" t="s">
        <v>1761</v>
      </c>
      <c r="T28" s="14" t="s">
        <v>1762</v>
      </c>
      <c r="U28" s="14" t="s">
        <v>1763</v>
      </c>
      <c r="V28" s="14" t="s">
        <v>1764</v>
      </c>
      <c r="W28" s="14" t="s">
        <v>1765</v>
      </c>
      <c r="X28" s="14" t="s">
        <v>1766</v>
      </c>
      <c r="Y28" s="14" t="s">
        <v>1767</v>
      </c>
      <c r="Z28" s="14" t="s">
        <v>1768</v>
      </c>
    </row>
    <row r="29" spans="1:26" ht="409.5">
      <c r="A29" s="14" t="s">
        <v>1218</v>
      </c>
      <c r="B29" s="14" t="s">
        <v>1769</v>
      </c>
      <c r="C29" s="14" t="s">
        <v>1770</v>
      </c>
      <c r="D29" s="15" t="s">
        <v>1771</v>
      </c>
      <c r="E29" s="14" t="s">
        <v>1772</v>
      </c>
      <c r="F29" s="14" t="s">
        <v>1773</v>
      </c>
      <c r="G29" s="14" t="s">
        <v>1774</v>
      </c>
      <c r="H29" s="14" t="s">
        <v>1775</v>
      </c>
      <c r="I29" s="14" t="s">
        <v>1776</v>
      </c>
      <c r="J29" s="14" t="s">
        <v>1777</v>
      </c>
      <c r="K29" s="14" t="s">
        <v>1778</v>
      </c>
      <c r="L29" s="14" t="s">
        <v>1779</v>
      </c>
      <c r="M29" s="14" t="s">
        <v>1780</v>
      </c>
      <c r="N29" s="14" t="s">
        <v>1781</v>
      </c>
      <c r="O29" s="14" t="s">
        <v>1782</v>
      </c>
      <c r="P29" s="14" t="s">
        <v>1783</v>
      </c>
      <c r="Q29" s="14" t="s">
        <v>1784</v>
      </c>
      <c r="R29" s="14" t="s">
        <v>1785</v>
      </c>
      <c r="S29" s="14" t="s">
        <v>1786</v>
      </c>
      <c r="T29" s="14" t="s">
        <v>1787</v>
      </c>
      <c r="U29" s="14" t="s">
        <v>1788</v>
      </c>
      <c r="V29" s="14" t="s">
        <v>1789</v>
      </c>
      <c r="W29" s="14" t="s">
        <v>1790</v>
      </c>
      <c r="X29" s="14" t="s">
        <v>1791</v>
      </c>
      <c r="Y29" s="14" t="s">
        <v>1792</v>
      </c>
      <c r="Z29" s="14" t="s">
        <v>1793</v>
      </c>
    </row>
    <row r="30" spans="1:26" ht="409.5">
      <c r="A30" s="14" t="s">
        <v>1218</v>
      </c>
      <c r="B30" s="14" t="s">
        <v>1794</v>
      </c>
      <c r="C30" s="14" t="s">
        <v>1795</v>
      </c>
      <c r="D30" s="15" t="s">
        <v>1796</v>
      </c>
      <c r="E30" s="14" t="s">
        <v>1797</v>
      </c>
      <c r="F30" s="14" t="s">
        <v>1798</v>
      </c>
      <c r="G30" s="14" t="s">
        <v>1799</v>
      </c>
      <c r="H30" s="14" t="s">
        <v>1800</v>
      </c>
      <c r="I30" s="14" t="s">
        <v>1801</v>
      </c>
      <c r="J30" s="14" t="s">
        <v>1802</v>
      </c>
      <c r="K30" s="14" t="s">
        <v>1803</v>
      </c>
      <c r="L30" s="14" t="s">
        <v>1804</v>
      </c>
      <c r="M30" s="14" t="s">
        <v>1805</v>
      </c>
      <c r="N30" s="14" t="s">
        <v>1806</v>
      </c>
      <c r="O30" s="14" t="s">
        <v>1807</v>
      </c>
      <c r="P30" s="14" t="s">
        <v>1808</v>
      </c>
      <c r="Q30" s="14" t="s">
        <v>1809</v>
      </c>
      <c r="R30" s="14" t="s">
        <v>1810</v>
      </c>
      <c r="S30" s="14" t="s">
        <v>1811</v>
      </c>
      <c r="T30" s="14" t="s">
        <v>1812</v>
      </c>
      <c r="U30" s="14" t="s">
        <v>1813</v>
      </c>
      <c r="V30" s="14" t="s">
        <v>1814</v>
      </c>
      <c r="W30" s="14" t="s">
        <v>1815</v>
      </c>
      <c r="X30" s="14" t="s">
        <v>1816</v>
      </c>
      <c r="Y30" s="14" t="s">
        <v>1817</v>
      </c>
      <c r="Z30" s="14" t="s">
        <v>1818</v>
      </c>
    </row>
    <row r="31" spans="1:26" ht="409.5">
      <c r="A31" s="14" t="s">
        <v>1218</v>
      </c>
      <c r="B31" s="14" t="s">
        <v>1819</v>
      </c>
      <c r="C31" s="14" t="s">
        <v>1820</v>
      </c>
      <c r="D31" s="15" t="s">
        <v>1821</v>
      </c>
      <c r="E31" s="14" t="s">
        <v>1822</v>
      </c>
      <c r="F31" s="14" t="s">
        <v>1823</v>
      </c>
      <c r="G31" s="14" t="s">
        <v>1824</v>
      </c>
      <c r="H31" s="14" t="s">
        <v>1825</v>
      </c>
      <c r="I31" s="14" t="s">
        <v>1826</v>
      </c>
      <c r="J31" s="14" t="s">
        <v>1827</v>
      </c>
      <c r="K31" s="14" t="s">
        <v>1828</v>
      </c>
      <c r="L31" s="14" t="s">
        <v>1829</v>
      </c>
      <c r="M31" s="14" t="s">
        <v>1830</v>
      </c>
      <c r="N31" s="14" t="s">
        <v>1831</v>
      </c>
      <c r="O31" s="14" t="s">
        <v>1832</v>
      </c>
      <c r="P31" s="14" t="s">
        <v>1833</v>
      </c>
      <c r="Q31" s="14" t="s">
        <v>1834</v>
      </c>
      <c r="R31" s="14" t="s">
        <v>1835</v>
      </c>
      <c r="S31" s="14" t="s">
        <v>1836</v>
      </c>
      <c r="T31" s="14" t="s">
        <v>1837</v>
      </c>
      <c r="U31" s="14" t="s">
        <v>1838</v>
      </c>
      <c r="V31" s="14" t="s">
        <v>1839</v>
      </c>
      <c r="W31" s="14" t="s">
        <v>1840</v>
      </c>
      <c r="X31" s="14" t="s">
        <v>1841</v>
      </c>
      <c r="Y31" s="14" t="s">
        <v>1842</v>
      </c>
      <c r="Z31" s="14" t="s">
        <v>1843</v>
      </c>
    </row>
    <row r="32" spans="1:26" ht="409.5">
      <c r="A32" s="14" t="s">
        <v>1218</v>
      </c>
      <c r="B32" s="14" t="s">
        <v>1844</v>
      </c>
      <c r="C32" s="14" t="s">
        <v>1845</v>
      </c>
      <c r="D32" s="15" t="s">
        <v>1846</v>
      </c>
      <c r="E32" s="14" t="s">
        <v>1847</v>
      </c>
      <c r="F32" s="14" t="s">
        <v>1848</v>
      </c>
      <c r="G32" s="14" t="s">
        <v>1849</v>
      </c>
      <c r="H32" s="14" t="s">
        <v>1850</v>
      </c>
      <c r="I32" s="14" t="s">
        <v>1851</v>
      </c>
      <c r="J32" s="14" t="s">
        <v>1852</v>
      </c>
      <c r="K32" s="14" t="s">
        <v>1853</v>
      </c>
      <c r="L32" s="14" t="s">
        <v>1854</v>
      </c>
      <c r="M32" s="14" t="s">
        <v>1855</v>
      </c>
      <c r="N32" s="14" t="s">
        <v>1856</v>
      </c>
      <c r="O32" s="14" t="s">
        <v>1857</v>
      </c>
      <c r="P32" s="14" t="s">
        <v>1858</v>
      </c>
      <c r="Q32" s="14" t="s">
        <v>1859</v>
      </c>
      <c r="R32" s="14" t="s">
        <v>1860</v>
      </c>
      <c r="S32" s="14" t="s">
        <v>1861</v>
      </c>
      <c r="T32" s="14" t="s">
        <v>1862</v>
      </c>
      <c r="U32" s="14" t="s">
        <v>1863</v>
      </c>
      <c r="V32" s="14" t="s">
        <v>1864</v>
      </c>
      <c r="W32" s="14" t="s">
        <v>1865</v>
      </c>
      <c r="X32" s="14" t="s">
        <v>1866</v>
      </c>
      <c r="Y32" s="14" t="s">
        <v>1867</v>
      </c>
      <c r="Z32" s="14" t="s">
        <v>1868</v>
      </c>
    </row>
    <row r="33" spans="1:26" ht="409.5">
      <c r="A33" s="14" t="s">
        <v>1218</v>
      </c>
      <c r="B33" s="14" t="s">
        <v>1869</v>
      </c>
      <c r="C33" s="14" t="s">
        <v>1870</v>
      </c>
      <c r="D33" s="15" t="s">
        <v>1871</v>
      </c>
      <c r="E33" s="14" t="s">
        <v>1872</v>
      </c>
      <c r="F33" s="14" t="s">
        <v>1873</v>
      </c>
      <c r="G33" s="14" t="s">
        <v>1874</v>
      </c>
      <c r="H33" s="14" t="s">
        <v>1875</v>
      </c>
      <c r="I33" s="14" t="s">
        <v>1876</v>
      </c>
      <c r="J33" s="14" t="s">
        <v>1877</v>
      </c>
      <c r="K33" s="14" t="s">
        <v>1878</v>
      </c>
      <c r="L33" s="14" t="s">
        <v>1879</v>
      </c>
      <c r="M33" s="14" t="s">
        <v>1880</v>
      </c>
      <c r="N33" s="14" t="s">
        <v>1881</v>
      </c>
      <c r="O33" s="14" t="s">
        <v>1882</v>
      </c>
      <c r="P33" s="14" t="s">
        <v>1883</v>
      </c>
      <c r="Q33" s="14" t="s">
        <v>1884</v>
      </c>
      <c r="R33" s="14" t="s">
        <v>1885</v>
      </c>
      <c r="S33" s="14" t="s">
        <v>1886</v>
      </c>
      <c r="T33" s="14" t="s">
        <v>1887</v>
      </c>
      <c r="U33" s="14" t="s">
        <v>1888</v>
      </c>
      <c r="V33" s="14" t="s">
        <v>1889</v>
      </c>
      <c r="W33" s="14" t="s">
        <v>1890</v>
      </c>
      <c r="X33" s="14" t="s">
        <v>1891</v>
      </c>
      <c r="Y33" s="14" t="s">
        <v>1892</v>
      </c>
      <c r="Z33" s="14" t="s">
        <v>1893</v>
      </c>
    </row>
    <row r="34" spans="1:26" ht="409.5">
      <c r="A34" s="14" t="s">
        <v>1218</v>
      </c>
      <c r="B34" s="14" t="s">
        <v>1894</v>
      </c>
      <c r="C34" s="14" t="s">
        <v>1895</v>
      </c>
      <c r="D34" s="15" t="s">
        <v>1896</v>
      </c>
      <c r="E34" s="14" t="s">
        <v>1897</v>
      </c>
      <c r="F34" s="14" t="s">
        <v>1898</v>
      </c>
      <c r="G34" s="14" t="s">
        <v>1899</v>
      </c>
      <c r="H34" s="14" t="s">
        <v>1900</v>
      </c>
      <c r="I34" s="14" t="s">
        <v>1901</v>
      </c>
      <c r="J34" s="14" t="s">
        <v>1902</v>
      </c>
      <c r="K34" s="14" t="s">
        <v>1903</v>
      </c>
      <c r="L34" s="14" t="s">
        <v>1904</v>
      </c>
      <c r="M34" s="14" t="s">
        <v>1905</v>
      </c>
      <c r="N34" s="14" t="s">
        <v>1906</v>
      </c>
      <c r="O34" s="14" t="s">
        <v>1907</v>
      </c>
      <c r="P34" s="14" t="s">
        <v>1908</v>
      </c>
      <c r="Q34" s="14" t="s">
        <v>1909</v>
      </c>
      <c r="R34" s="14" t="s">
        <v>1910</v>
      </c>
      <c r="S34" s="14" t="s">
        <v>1911</v>
      </c>
      <c r="T34" s="14" t="s">
        <v>1912</v>
      </c>
      <c r="U34" s="14" t="s">
        <v>1913</v>
      </c>
      <c r="V34" s="14" t="s">
        <v>1914</v>
      </c>
      <c r="W34" s="14" t="s">
        <v>1915</v>
      </c>
      <c r="X34" s="14" t="s">
        <v>1916</v>
      </c>
      <c r="Y34" s="14" t="s">
        <v>1917</v>
      </c>
      <c r="Z34" s="14" t="s">
        <v>1918</v>
      </c>
    </row>
    <row r="35" spans="1:26" ht="409.5">
      <c r="A35" s="14" t="s">
        <v>1218</v>
      </c>
      <c r="B35" s="14" t="s">
        <v>1919</v>
      </c>
      <c r="C35" s="14" t="s">
        <v>1920</v>
      </c>
      <c r="D35" s="15" t="s">
        <v>1921</v>
      </c>
      <c r="E35" s="14" t="s">
        <v>1922</v>
      </c>
      <c r="F35" s="14" t="s">
        <v>1923</v>
      </c>
      <c r="G35" s="14" t="s">
        <v>1924</v>
      </c>
      <c r="H35" s="14" t="s">
        <v>1925</v>
      </c>
      <c r="I35" s="14" t="s">
        <v>1926</v>
      </c>
      <c r="J35" s="14" t="s">
        <v>1927</v>
      </c>
      <c r="K35" s="14" t="s">
        <v>1928</v>
      </c>
      <c r="L35" s="14" t="s">
        <v>1929</v>
      </c>
      <c r="M35" s="14" t="s">
        <v>1930</v>
      </c>
      <c r="N35" s="14" t="s">
        <v>1931</v>
      </c>
      <c r="O35" s="14" t="s">
        <v>1932</v>
      </c>
      <c r="P35" s="14" t="s">
        <v>1933</v>
      </c>
      <c r="Q35" s="14" t="s">
        <v>1934</v>
      </c>
      <c r="R35" s="14" t="s">
        <v>1935</v>
      </c>
      <c r="S35" s="14" t="s">
        <v>1936</v>
      </c>
      <c r="T35" s="14" t="s">
        <v>1937</v>
      </c>
      <c r="U35" s="14" t="s">
        <v>1938</v>
      </c>
      <c r="V35" s="14" t="s">
        <v>1939</v>
      </c>
      <c r="W35" s="14" t="s">
        <v>1940</v>
      </c>
      <c r="X35" s="14" t="s">
        <v>1941</v>
      </c>
      <c r="Y35" s="14" t="s">
        <v>1942</v>
      </c>
      <c r="Z35" s="14" t="s">
        <v>1943</v>
      </c>
    </row>
    <row r="36" spans="1:26" ht="409.5">
      <c r="A36" s="14" t="s">
        <v>1218</v>
      </c>
      <c r="B36" s="14" t="s">
        <v>1944</v>
      </c>
      <c r="C36" s="14" t="s">
        <v>1945</v>
      </c>
      <c r="D36" s="15" t="s">
        <v>1946</v>
      </c>
      <c r="E36" s="14" t="s">
        <v>1947</v>
      </c>
      <c r="F36" s="14" t="s">
        <v>1948</v>
      </c>
      <c r="G36" s="14" t="s">
        <v>1949</v>
      </c>
      <c r="H36" s="14" t="s">
        <v>1950</v>
      </c>
      <c r="I36" s="14" t="s">
        <v>1951</v>
      </c>
      <c r="J36" s="14" t="s">
        <v>1952</v>
      </c>
      <c r="K36" s="14" t="s">
        <v>1953</v>
      </c>
      <c r="L36" s="14" t="s">
        <v>1954</v>
      </c>
      <c r="M36" s="14" t="s">
        <v>1955</v>
      </c>
      <c r="N36" s="14" t="s">
        <v>1956</v>
      </c>
      <c r="O36" s="14" t="s">
        <v>1957</v>
      </c>
      <c r="P36" s="14" t="s">
        <v>1958</v>
      </c>
      <c r="Q36" s="14" t="s">
        <v>1959</v>
      </c>
      <c r="R36" s="14" t="s">
        <v>1960</v>
      </c>
      <c r="S36" s="14" t="s">
        <v>1961</v>
      </c>
      <c r="T36" s="14" t="s">
        <v>1962</v>
      </c>
      <c r="U36" s="14" t="s">
        <v>1963</v>
      </c>
      <c r="V36" s="14" t="s">
        <v>1964</v>
      </c>
      <c r="W36" s="14" t="s">
        <v>1965</v>
      </c>
      <c r="X36" s="14" t="s">
        <v>1966</v>
      </c>
      <c r="Y36" s="14" t="s">
        <v>1967</v>
      </c>
      <c r="Z36" s="14" t="s">
        <v>1968</v>
      </c>
    </row>
    <row r="37" spans="1:26" ht="409.5">
      <c r="A37" s="14" t="s">
        <v>1218</v>
      </c>
      <c r="B37" s="14" t="s">
        <v>1969</v>
      </c>
      <c r="C37" s="14" t="s">
        <v>1970</v>
      </c>
      <c r="D37" s="15" t="s">
        <v>1971</v>
      </c>
      <c r="E37" s="14" t="s">
        <v>1972</v>
      </c>
      <c r="F37" s="14" t="s">
        <v>1973</v>
      </c>
      <c r="G37" s="14" t="s">
        <v>1974</v>
      </c>
      <c r="H37" s="14" t="s">
        <v>1975</v>
      </c>
      <c r="I37" s="14" t="s">
        <v>1976</v>
      </c>
      <c r="J37" s="14" t="s">
        <v>1977</v>
      </c>
      <c r="K37" s="14" t="s">
        <v>1978</v>
      </c>
      <c r="L37" s="14" t="s">
        <v>1979</v>
      </c>
      <c r="M37" s="14" t="s">
        <v>1980</v>
      </c>
      <c r="N37" s="14" t="s">
        <v>1981</v>
      </c>
      <c r="O37" s="14" t="s">
        <v>1982</v>
      </c>
      <c r="P37" s="14" t="s">
        <v>1983</v>
      </c>
      <c r="Q37" s="14" t="s">
        <v>1984</v>
      </c>
      <c r="R37" s="14" t="s">
        <v>1985</v>
      </c>
      <c r="S37" s="14" t="s">
        <v>1986</v>
      </c>
      <c r="T37" s="14" t="s">
        <v>1987</v>
      </c>
      <c r="U37" s="14" t="s">
        <v>1988</v>
      </c>
      <c r="V37" s="14" t="s">
        <v>1989</v>
      </c>
      <c r="W37" s="14" t="s">
        <v>1990</v>
      </c>
      <c r="X37" s="14" t="s">
        <v>1991</v>
      </c>
      <c r="Y37" s="14" t="s">
        <v>1992</v>
      </c>
      <c r="Z37" s="14" t="s">
        <v>1993</v>
      </c>
    </row>
    <row r="38" spans="1:26" ht="409.5">
      <c r="A38" s="14" t="s">
        <v>1218</v>
      </c>
      <c r="B38" s="14" t="s">
        <v>1994</v>
      </c>
      <c r="C38" s="14" t="s">
        <v>1995</v>
      </c>
      <c r="D38" s="15" t="s">
        <v>1996</v>
      </c>
      <c r="E38" s="14" t="s">
        <v>1997</v>
      </c>
      <c r="F38" s="14" t="s">
        <v>1998</v>
      </c>
      <c r="G38" s="14" t="s">
        <v>1999</v>
      </c>
      <c r="H38" s="14" t="s">
        <v>2000</v>
      </c>
      <c r="I38" s="14" t="s">
        <v>2001</v>
      </c>
      <c r="J38" s="14" t="s">
        <v>2002</v>
      </c>
      <c r="K38" s="14" t="s">
        <v>2003</v>
      </c>
      <c r="L38" s="14" t="s">
        <v>2004</v>
      </c>
      <c r="M38" s="14" t="s">
        <v>2005</v>
      </c>
      <c r="N38" s="14" t="s">
        <v>2006</v>
      </c>
      <c r="O38" s="14" t="s">
        <v>2007</v>
      </c>
      <c r="P38" s="14" t="s">
        <v>2008</v>
      </c>
      <c r="Q38" s="14" t="s">
        <v>2009</v>
      </c>
      <c r="R38" s="14" t="s">
        <v>2010</v>
      </c>
      <c r="S38" s="14" t="s">
        <v>2011</v>
      </c>
      <c r="T38" s="14" t="s">
        <v>2012</v>
      </c>
      <c r="U38" s="14" t="s">
        <v>2013</v>
      </c>
      <c r="V38" s="14" t="s">
        <v>2014</v>
      </c>
      <c r="W38" s="14" t="s">
        <v>2015</v>
      </c>
      <c r="X38" s="14" t="s">
        <v>2016</v>
      </c>
      <c r="Y38" s="14" t="s">
        <v>2017</v>
      </c>
      <c r="Z38" s="14" t="s">
        <v>2018</v>
      </c>
    </row>
    <row r="39" spans="1:26" ht="409.5">
      <c r="A39" s="14" t="s">
        <v>1218</v>
      </c>
      <c r="B39" s="14" t="s">
        <v>2019</v>
      </c>
      <c r="C39" s="14" t="s">
        <v>2020</v>
      </c>
      <c r="D39" s="15" t="s">
        <v>2021</v>
      </c>
      <c r="E39" s="14" t="s">
        <v>2022</v>
      </c>
      <c r="F39" s="14" t="s">
        <v>2023</v>
      </c>
      <c r="G39" s="14" t="s">
        <v>2024</v>
      </c>
      <c r="H39" s="14" t="s">
        <v>2025</v>
      </c>
      <c r="I39" s="14" t="s">
        <v>2026</v>
      </c>
      <c r="J39" s="14" t="s">
        <v>2027</v>
      </c>
      <c r="K39" s="14" t="s">
        <v>2028</v>
      </c>
      <c r="L39" s="14" t="s">
        <v>2029</v>
      </c>
      <c r="M39" s="14" t="s">
        <v>2030</v>
      </c>
      <c r="N39" s="14" t="s">
        <v>2031</v>
      </c>
      <c r="O39" s="14" t="s">
        <v>2032</v>
      </c>
      <c r="P39" s="14" t="s">
        <v>2033</v>
      </c>
      <c r="Q39" s="14" t="s">
        <v>2034</v>
      </c>
      <c r="R39" s="14" t="s">
        <v>2035</v>
      </c>
      <c r="S39" s="14" t="s">
        <v>2036</v>
      </c>
      <c r="T39" s="14" t="s">
        <v>2037</v>
      </c>
      <c r="U39" s="14" t="s">
        <v>2038</v>
      </c>
      <c r="V39" s="14" t="s">
        <v>2039</v>
      </c>
      <c r="W39" s="14" t="s">
        <v>2040</v>
      </c>
      <c r="X39" s="14" t="s">
        <v>2041</v>
      </c>
      <c r="Y39" s="14" t="s">
        <v>2042</v>
      </c>
      <c r="Z39" s="14" t="s">
        <v>2043</v>
      </c>
    </row>
    <row r="40" spans="1:26" ht="409.5">
      <c r="A40" s="14" t="s">
        <v>1218</v>
      </c>
      <c r="B40" s="14" t="s">
        <v>2044</v>
      </c>
      <c r="C40" s="14" t="s">
        <v>2045</v>
      </c>
      <c r="D40" s="15" t="s">
        <v>2046</v>
      </c>
      <c r="E40" s="14" t="s">
        <v>2047</v>
      </c>
      <c r="F40" s="14" t="s">
        <v>2048</v>
      </c>
      <c r="G40" s="14" t="s">
        <v>2049</v>
      </c>
      <c r="H40" s="14" t="s">
        <v>2050</v>
      </c>
      <c r="I40" s="14" t="s">
        <v>2051</v>
      </c>
      <c r="J40" s="14" t="s">
        <v>2052</v>
      </c>
      <c r="K40" s="14" t="s">
        <v>2053</v>
      </c>
      <c r="L40" s="14" t="s">
        <v>2054</v>
      </c>
      <c r="M40" s="14" t="s">
        <v>2055</v>
      </c>
      <c r="N40" s="14" t="s">
        <v>2056</v>
      </c>
      <c r="O40" s="14" t="s">
        <v>2057</v>
      </c>
      <c r="P40" s="14" t="s">
        <v>2058</v>
      </c>
      <c r="Q40" s="14" t="s">
        <v>2059</v>
      </c>
      <c r="R40" s="14" t="s">
        <v>2060</v>
      </c>
      <c r="S40" s="14" t="s">
        <v>2061</v>
      </c>
      <c r="T40" s="14" t="s">
        <v>2062</v>
      </c>
      <c r="U40" s="14" t="s">
        <v>2063</v>
      </c>
      <c r="V40" s="14" t="s">
        <v>2064</v>
      </c>
      <c r="W40" s="14" t="s">
        <v>2065</v>
      </c>
      <c r="X40" s="14" t="s">
        <v>2066</v>
      </c>
      <c r="Y40" s="14" t="s">
        <v>2067</v>
      </c>
      <c r="Z40" s="14" t="s">
        <v>2068</v>
      </c>
    </row>
    <row r="41" spans="1:26" ht="409.5">
      <c r="A41" s="14" t="s">
        <v>1218</v>
      </c>
      <c r="B41" s="14" t="s">
        <v>2069</v>
      </c>
      <c r="C41" s="14" t="s">
        <v>2070</v>
      </c>
      <c r="D41" s="15" t="s">
        <v>2071</v>
      </c>
      <c r="E41" s="14" t="s">
        <v>2072</v>
      </c>
      <c r="F41" s="14" t="s">
        <v>2073</v>
      </c>
      <c r="G41" s="14" t="s">
        <v>2074</v>
      </c>
      <c r="H41" s="14" t="s">
        <v>2075</v>
      </c>
      <c r="I41" s="14" t="s">
        <v>2076</v>
      </c>
      <c r="J41" s="14" t="s">
        <v>2077</v>
      </c>
      <c r="K41" s="14" t="s">
        <v>2078</v>
      </c>
      <c r="L41" s="14" t="s">
        <v>2079</v>
      </c>
      <c r="M41" s="14" t="s">
        <v>2080</v>
      </c>
      <c r="N41" s="14" t="s">
        <v>2081</v>
      </c>
      <c r="O41" s="14" t="s">
        <v>2082</v>
      </c>
      <c r="P41" s="14" t="s">
        <v>2083</v>
      </c>
      <c r="Q41" s="14" t="s">
        <v>2084</v>
      </c>
      <c r="R41" s="14" t="s">
        <v>2085</v>
      </c>
      <c r="S41" s="14" t="s">
        <v>2086</v>
      </c>
      <c r="T41" s="14" t="s">
        <v>2087</v>
      </c>
      <c r="U41" s="14" t="s">
        <v>2088</v>
      </c>
      <c r="V41" s="14" t="s">
        <v>2089</v>
      </c>
      <c r="W41" s="14" t="s">
        <v>2090</v>
      </c>
      <c r="X41" s="14" t="s">
        <v>2091</v>
      </c>
      <c r="Y41" s="14" t="s">
        <v>2092</v>
      </c>
      <c r="Z41" s="14" t="s">
        <v>2093</v>
      </c>
    </row>
    <row r="42" spans="1:26" ht="409.5">
      <c r="A42" s="14" t="s">
        <v>1218</v>
      </c>
      <c r="B42" s="14" t="s">
        <v>2094</v>
      </c>
      <c r="C42" s="14" t="s">
        <v>2095</v>
      </c>
      <c r="D42" s="15" t="s">
        <v>2096</v>
      </c>
      <c r="E42" s="14" t="s">
        <v>2097</v>
      </c>
      <c r="F42" s="14" t="s">
        <v>2098</v>
      </c>
      <c r="G42" s="14" t="s">
        <v>2099</v>
      </c>
      <c r="H42" s="14" t="s">
        <v>2100</v>
      </c>
      <c r="I42" s="14" t="s">
        <v>2101</v>
      </c>
      <c r="J42" s="14" t="s">
        <v>2102</v>
      </c>
      <c r="K42" s="14" t="s">
        <v>2103</v>
      </c>
      <c r="L42" s="14" t="s">
        <v>2104</v>
      </c>
      <c r="M42" s="14" t="s">
        <v>2105</v>
      </c>
      <c r="N42" s="14" t="s">
        <v>2106</v>
      </c>
      <c r="O42" s="14" t="s">
        <v>2107</v>
      </c>
      <c r="P42" s="14" t="s">
        <v>2108</v>
      </c>
      <c r="Q42" s="14" t="s">
        <v>2109</v>
      </c>
      <c r="R42" s="14" t="s">
        <v>2110</v>
      </c>
      <c r="S42" s="14" t="s">
        <v>2111</v>
      </c>
      <c r="T42" s="14" t="s">
        <v>2112</v>
      </c>
      <c r="U42" s="14" t="s">
        <v>2113</v>
      </c>
      <c r="V42" s="14" t="s">
        <v>2114</v>
      </c>
      <c r="W42" s="14" t="s">
        <v>2115</v>
      </c>
      <c r="X42" s="14" t="s">
        <v>2116</v>
      </c>
      <c r="Y42" s="14" t="s">
        <v>2117</v>
      </c>
      <c r="Z42" s="14" t="s">
        <v>2118</v>
      </c>
    </row>
    <row r="43" spans="1:26" ht="409.5">
      <c r="A43" s="14" t="s">
        <v>1218</v>
      </c>
      <c r="B43" s="14" t="s">
        <v>2119</v>
      </c>
      <c r="C43" s="14" t="s">
        <v>2120</v>
      </c>
      <c r="D43" s="15" t="s">
        <v>2121</v>
      </c>
      <c r="E43" s="14" t="s">
        <v>2122</v>
      </c>
      <c r="F43" s="14" t="s">
        <v>2123</v>
      </c>
      <c r="G43" s="14" t="s">
        <v>2124</v>
      </c>
      <c r="H43" s="14" t="s">
        <v>2125</v>
      </c>
      <c r="I43" s="14" t="s">
        <v>2126</v>
      </c>
      <c r="J43" s="14" t="s">
        <v>2127</v>
      </c>
      <c r="K43" s="14" t="s">
        <v>2128</v>
      </c>
      <c r="L43" s="14" t="s">
        <v>2129</v>
      </c>
      <c r="M43" s="14" t="s">
        <v>2130</v>
      </c>
      <c r="N43" s="14" t="s">
        <v>2131</v>
      </c>
      <c r="O43" s="14" t="s">
        <v>2132</v>
      </c>
      <c r="P43" s="14" t="s">
        <v>2133</v>
      </c>
      <c r="Q43" s="14" t="s">
        <v>2134</v>
      </c>
      <c r="R43" s="14" t="s">
        <v>2135</v>
      </c>
      <c r="S43" s="14" t="s">
        <v>2136</v>
      </c>
      <c r="T43" s="14" t="s">
        <v>2137</v>
      </c>
      <c r="U43" s="14" t="s">
        <v>2138</v>
      </c>
      <c r="V43" s="14" t="s">
        <v>2139</v>
      </c>
      <c r="W43" s="14" t="s">
        <v>2140</v>
      </c>
      <c r="X43" s="14" t="s">
        <v>2141</v>
      </c>
      <c r="Y43" s="14" t="s">
        <v>2142</v>
      </c>
      <c r="Z43" s="14" t="s">
        <v>2143</v>
      </c>
    </row>
    <row r="44" spans="1:26" ht="409.5">
      <c r="A44" s="14" t="s">
        <v>1218</v>
      </c>
      <c r="B44" s="14" t="s">
        <v>2144</v>
      </c>
      <c r="C44" s="14" t="s">
        <v>2145</v>
      </c>
      <c r="D44" s="15" t="s">
        <v>2146</v>
      </c>
      <c r="E44" s="14" t="s">
        <v>2147</v>
      </c>
      <c r="F44" s="14" t="s">
        <v>2148</v>
      </c>
      <c r="G44" s="14" t="s">
        <v>2149</v>
      </c>
      <c r="H44" s="14" t="s">
        <v>2150</v>
      </c>
      <c r="I44" s="14" t="s">
        <v>2151</v>
      </c>
      <c r="J44" s="14" t="s">
        <v>2152</v>
      </c>
      <c r="K44" s="14" t="s">
        <v>2153</v>
      </c>
      <c r="L44" s="14" t="s">
        <v>2154</v>
      </c>
      <c r="M44" s="14" t="s">
        <v>2155</v>
      </c>
      <c r="N44" s="14" t="s">
        <v>2156</v>
      </c>
      <c r="O44" s="14" t="s">
        <v>2157</v>
      </c>
      <c r="P44" s="14" t="s">
        <v>2158</v>
      </c>
      <c r="Q44" s="14" t="s">
        <v>2159</v>
      </c>
      <c r="R44" s="14" t="s">
        <v>2160</v>
      </c>
      <c r="S44" s="14" t="s">
        <v>2161</v>
      </c>
      <c r="T44" s="14" t="s">
        <v>2162</v>
      </c>
      <c r="U44" s="14" t="s">
        <v>2163</v>
      </c>
      <c r="V44" s="14" t="s">
        <v>2164</v>
      </c>
      <c r="W44" s="14" t="s">
        <v>2165</v>
      </c>
      <c r="X44" s="14" t="s">
        <v>2166</v>
      </c>
      <c r="Y44" s="14" t="s">
        <v>2167</v>
      </c>
      <c r="Z44" s="14" t="s">
        <v>2168</v>
      </c>
    </row>
    <row r="45" spans="1:26" ht="409.5">
      <c r="A45" s="14" t="s">
        <v>1218</v>
      </c>
      <c r="B45" s="14" t="s">
        <v>2169</v>
      </c>
      <c r="C45" s="14" t="s">
        <v>2170</v>
      </c>
      <c r="D45" s="15" t="s">
        <v>2171</v>
      </c>
      <c r="E45" s="14" t="s">
        <v>2172</v>
      </c>
      <c r="F45" s="14" t="s">
        <v>2173</v>
      </c>
      <c r="G45" s="14" t="s">
        <v>2174</v>
      </c>
      <c r="H45" s="14" t="s">
        <v>2175</v>
      </c>
      <c r="I45" s="14" t="s">
        <v>2176</v>
      </c>
      <c r="J45" s="14" t="s">
        <v>2177</v>
      </c>
      <c r="K45" s="14" t="s">
        <v>2178</v>
      </c>
      <c r="L45" s="14" t="s">
        <v>2179</v>
      </c>
      <c r="M45" s="14" t="s">
        <v>2180</v>
      </c>
      <c r="N45" s="14" t="s">
        <v>2181</v>
      </c>
      <c r="O45" s="14" t="s">
        <v>2182</v>
      </c>
      <c r="P45" s="14" t="s">
        <v>2183</v>
      </c>
      <c r="Q45" s="14" t="s">
        <v>2184</v>
      </c>
      <c r="R45" s="14" t="s">
        <v>2185</v>
      </c>
      <c r="S45" s="14" t="s">
        <v>2186</v>
      </c>
      <c r="T45" s="14" t="s">
        <v>2187</v>
      </c>
      <c r="U45" s="14" t="s">
        <v>2188</v>
      </c>
      <c r="V45" s="14" t="s">
        <v>2189</v>
      </c>
      <c r="W45" s="14" t="s">
        <v>2190</v>
      </c>
      <c r="X45" s="14" t="s">
        <v>2191</v>
      </c>
      <c r="Y45" s="14" t="s">
        <v>2192</v>
      </c>
      <c r="Z45" s="14" t="s">
        <v>2193</v>
      </c>
    </row>
    <row r="46" spans="1:26" ht="409.5">
      <c r="A46" s="14" t="s">
        <v>1218</v>
      </c>
      <c r="B46" s="14" t="s">
        <v>2194</v>
      </c>
      <c r="C46" s="14" t="s">
        <v>2195</v>
      </c>
      <c r="D46" s="15" t="s">
        <v>2196</v>
      </c>
      <c r="E46" s="14" t="s">
        <v>2197</v>
      </c>
      <c r="F46" s="14" t="s">
        <v>2198</v>
      </c>
      <c r="G46" s="14" t="s">
        <v>2199</v>
      </c>
      <c r="H46" s="14" t="s">
        <v>2200</v>
      </c>
      <c r="I46" s="14" t="s">
        <v>2201</v>
      </c>
      <c r="J46" s="14" t="s">
        <v>2202</v>
      </c>
      <c r="K46" s="14" t="s">
        <v>2203</v>
      </c>
      <c r="L46" s="14" t="s">
        <v>2204</v>
      </c>
      <c r="M46" s="14" t="s">
        <v>2205</v>
      </c>
      <c r="N46" s="14" t="s">
        <v>2206</v>
      </c>
      <c r="O46" s="14" t="s">
        <v>2207</v>
      </c>
      <c r="P46" s="14" t="s">
        <v>2208</v>
      </c>
      <c r="Q46" s="14" t="s">
        <v>2209</v>
      </c>
      <c r="R46" s="14" t="s">
        <v>2210</v>
      </c>
      <c r="S46" s="14" t="s">
        <v>2211</v>
      </c>
      <c r="T46" s="14" t="s">
        <v>2212</v>
      </c>
      <c r="U46" s="14" t="s">
        <v>2213</v>
      </c>
      <c r="V46" s="14" t="s">
        <v>2214</v>
      </c>
      <c r="W46" s="14" t="s">
        <v>2215</v>
      </c>
      <c r="X46" s="14" t="s">
        <v>2216</v>
      </c>
      <c r="Y46" s="14" t="s">
        <v>2217</v>
      </c>
      <c r="Z46" s="14" t="s">
        <v>2218</v>
      </c>
    </row>
    <row r="47" spans="1:26" ht="409.5">
      <c r="A47" s="14" t="s">
        <v>1218</v>
      </c>
      <c r="B47" s="14" t="s">
        <v>2219</v>
      </c>
      <c r="C47" s="14" t="s">
        <v>2220</v>
      </c>
      <c r="D47" s="15" t="s">
        <v>2221</v>
      </c>
      <c r="E47" s="14" t="s">
        <v>2222</v>
      </c>
      <c r="F47" s="14" t="s">
        <v>2223</v>
      </c>
      <c r="G47" s="14" t="s">
        <v>2224</v>
      </c>
      <c r="H47" s="14" t="s">
        <v>2225</v>
      </c>
      <c r="I47" s="14" t="s">
        <v>2226</v>
      </c>
      <c r="J47" s="14" t="s">
        <v>2227</v>
      </c>
      <c r="K47" s="14" t="s">
        <v>2228</v>
      </c>
      <c r="L47" s="14" t="s">
        <v>2229</v>
      </c>
      <c r="M47" s="14" t="s">
        <v>2230</v>
      </c>
      <c r="N47" s="14" t="s">
        <v>2231</v>
      </c>
      <c r="O47" s="14" t="s">
        <v>2232</v>
      </c>
      <c r="P47" s="14" t="s">
        <v>2233</v>
      </c>
      <c r="Q47" s="14" t="s">
        <v>2234</v>
      </c>
      <c r="R47" s="14" t="s">
        <v>2235</v>
      </c>
      <c r="S47" s="14" t="s">
        <v>2236</v>
      </c>
      <c r="T47" s="14" t="s">
        <v>2237</v>
      </c>
      <c r="U47" s="14" t="s">
        <v>2238</v>
      </c>
      <c r="V47" s="14" t="s">
        <v>2239</v>
      </c>
      <c r="W47" s="14" t="s">
        <v>2240</v>
      </c>
      <c r="X47" s="14" t="s">
        <v>2241</v>
      </c>
      <c r="Y47" s="14" t="s">
        <v>2242</v>
      </c>
      <c r="Z47" s="14" t="s">
        <v>2243</v>
      </c>
    </row>
    <row r="48" spans="1:26" ht="409.5">
      <c r="A48" s="14" t="s">
        <v>1218</v>
      </c>
      <c r="B48" s="14" t="s">
        <v>2244</v>
      </c>
      <c r="C48" s="14" t="s">
        <v>2245</v>
      </c>
      <c r="D48" s="15" t="s">
        <v>2246</v>
      </c>
      <c r="E48" s="14" t="s">
        <v>2247</v>
      </c>
      <c r="F48" s="14" t="s">
        <v>2248</v>
      </c>
      <c r="G48" s="14" t="s">
        <v>2249</v>
      </c>
      <c r="H48" s="14" t="s">
        <v>2250</v>
      </c>
      <c r="I48" s="14" t="s">
        <v>2251</v>
      </c>
      <c r="J48" s="14" t="s">
        <v>2252</v>
      </c>
      <c r="K48" s="14" t="s">
        <v>2253</v>
      </c>
      <c r="L48" s="14" t="s">
        <v>2254</v>
      </c>
      <c r="M48" s="14" t="s">
        <v>2255</v>
      </c>
      <c r="N48" s="14" t="s">
        <v>2256</v>
      </c>
      <c r="O48" s="14" t="s">
        <v>2257</v>
      </c>
      <c r="P48" s="14" t="s">
        <v>2258</v>
      </c>
      <c r="Q48" s="14" t="s">
        <v>2259</v>
      </c>
      <c r="R48" s="14" t="s">
        <v>2260</v>
      </c>
      <c r="S48" s="14" t="s">
        <v>2261</v>
      </c>
      <c r="T48" s="14" t="s">
        <v>2262</v>
      </c>
      <c r="U48" s="14" t="s">
        <v>2263</v>
      </c>
      <c r="V48" s="14" t="s">
        <v>2264</v>
      </c>
      <c r="W48" s="14" t="s">
        <v>2265</v>
      </c>
      <c r="X48" s="14" t="s">
        <v>2266</v>
      </c>
      <c r="Y48" s="14" t="s">
        <v>2267</v>
      </c>
      <c r="Z48" s="14" t="s">
        <v>2268</v>
      </c>
    </row>
    <row r="49" spans="1:26" ht="409.5">
      <c r="A49" s="14" t="s">
        <v>1218</v>
      </c>
      <c r="B49" s="14" t="s">
        <v>2269</v>
      </c>
      <c r="C49" s="14" t="s">
        <v>2270</v>
      </c>
      <c r="D49" s="15" t="s">
        <v>2271</v>
      </c>
      <c r="E49" s="14" t="s">
        <v>2272</v>
      </c>
      <c r="F49" s="14" t="s">
        <v>2273</v>
      </c>
      <c r="G49" s="14" t="s">
        <v>2274</v>
      </c>
      <c r="H49" s="14" t="s">
        <v>2275</v>
      </c>
      <c r="I49" s="14" t="s">
        <v>2276</v>
      </c>
      <c r="J49" s="14" t="s">
        <v>2277</v>
      </c>
      <c r="K49" s="14" t="s">
        <v>2278</v>
      </c>
      <c r="L49" s="14" t="s">
        <v>2279</v>
      </c>
      <c r="M49" s="14" t="s">
        <v>2280</v>
      </c>
      <c r="N49" s="14" t="s">
        <v>2281</v>
      </c>
      <c r="O49" s="14" t="s">
        <v>2282</v>
      </c>
      <c r="P49" s="14" t="s">
        <v>2283</v>
      </c>
      <c r="Q49" s="14" t="s">
        <v>2284</v>
      </c>
      <c r="R49" s="14" t="s">
        <v>2285</v>
      </c>
      <c r="S49" s="14" t="s">
        <v>2286</v>
      </c>
      <c r="T49" s="14" t="s">
        <v>2287</v>
      </c>
      <c r="U49" s="14" t="s">
        <v>2288</v>
      </c>
      <c r="V49" s="14" t="s">
        <v>2289</v>
      </c>
      <c r="W49" s="14" t="s">
        <v>2290</v>
      </c>
      <c r="X49" s="14" t="s">
        <v>2291</v>
      </c>
      <c r="Y49" s="14" t="s">
        <v>2292</v>
      </c>
      <c r="Z49" s="14" t="s">
        <v>2293</v>
      </c>
    </row>
    <row r="50" spans="1:26" ht="409.5">
      <c r="A50" s="14" t="s">
        <v>1218</v>
      </c>
      <c r="B50" s="14" t="s">
        <v>2294</v>
      </c>
      <c r="C50" s="14" t="s">
        <v>2295</v>
      </c>
      <c r="D50" s="15" t="s">
        <v>2296</v>
      </c>
      <c r="E50" s="14" t="s">
        <v>2297</v>
      </c>
      <c r="F50" s="14" t="s">
        <v>2298</v>
      </c>
      <c r="G50" s="14" t="s">
        <v>2299</v>
      </c>
      <c r="H50" s="14" t="s">
        <v>2300</v>
      </c>
      <c r="I50" s="14" t="s">
        <v>2301</v>
      </c>
      <c r="J50" s="14" t="s">
        <v>2302</v>
      </c>
      <c r="K50" s="14" t="s">
        <v>2303</v>
      </c>
      <c r="L50" s="14" t="s">
        <v>2304</v>
      </c>
      <c r="M50" s="14" t="s">
        <v>2305</v>
      </c>
      <c r="N50" s="14" t="s">
        <v>2306</v>
      </c>
      <c r="O50" s="14" t="s">
        <v>2307</v>
      </c>
      <c r="P50" s="14" t="s">
        <v>2308</v>
      </c>
      <c r="Q50" s="14" t="s">
        <v>2309</v>
      </c>
      <c r="R50" s="14" t="s">
        <v>2310</v>
      </c>
      <c r="S50" s="14" t="s">
        <v>2311</v>
      </c>
      <c r="T50" s="14" t="s">
        <v>2312</v>
      </c>
      <c r="U50" s="14" t="s">
        <v>2313</v>
      </c>
      <c r="V50" s="14" t="s">
        <v>2314</v>
      </c>
      <c r="W50" s="14" t="s">
        <v>2315</v>
      </c>
      <c r="X50" s="14" t="s">
        <v>2316</v>
      </c>
      <c r="Y50" s="14" t="s">
        <v>2317</v>
      </c>
      <c r="Z50" s="14" t="s">
        <v>2318</v>
      </c>
    </row>
    <row r="51" spans="1:26" ht="409.5">
      <c r="A51" s="14" t="s">
        <v>1218</v>
      </c>
      <c r="B51" s="14" t="s">
        <v>2319</v>
      </c>
      <c r="C51" s="14" t="s">
        <v>2320</v>
      </c>
      <c r="D51" s="15" t="s">
        <v>2321</v>
      </c>
      <c r="E51" s="14" t="s">
        <v>2322</v>
      </c>
      <c r="F51" s="14" t="s">
        <v>2323</v>
      </c>
      <c r="G51" s="14" t="s">
        <v>2324</v>
      </c>
      <c r="H51" s="14" t="s">
        <v>2325</v>
      </c>
      <c r="I51" s="14" t="s">
        <v>2326</v>
      </c>
      <c r="J51" s="14" t="s">
        <v>2327</v>
      </c>
      <c r="K51" s="14" t="s">
        <v>2328</v>
      </c>
      <c r="L51" s="14" t="s">
        <v>2329</v>
      </c>
      <c r="M51" s="14" t="s">
        <v>2330</v>
      </c>
      <c r="N51" s="14" t="s">
        <v>2331</v>
      </c>
      <c r="O51" s="14" t="s">
        <v>2332</v>
      </c>
      <c r="P51" s="14" t="s">
        <v>2333</v>
      </c>
      <c r="Q51" s="14" t="s">
        <v>2334</v>
      </c>
      <c r="R51" s="14" t="s">
        <v>2335</v>
      </c>
      <c r="S51" s="14" t="s">
        <v>2336</v>
      </c>
      <c r="T51" s="14" t="s">
        <v>2337</v>
      </c>
      <c r="U51" s="14" t="s">
        <v>2338</v>
      </c>
      <c r="V51" s="14" t="s">
        <v>2339</v>
      </c>
      <c r="W51" s="14" t="s">
        <v>2340</v>
      </c>
      <c r="X51" s="14" t="s">
        <v>2341</v>
      </c>
      <c r="Y51" s="14" t="s">
        <v>2342</v>
      </c>
      <c r="Z51" s="14" t="s">
        <v>2343</v>
      </c>
    </row>
    <row r="52" spans="1:26" ht="409.5">
      <c r="A52" s="14" t="s">
        <v>1218</v>
      </c>
      <c r="B52" s="14" t="s">
        <v>2344</v>
      </c>
      <c r="C52" s="14" t="s">
        <v>2345</v>
      </c>
      <c r="D52" s="15" t="s">
        <v>2346</v>
      </c>
      <c r="E52" s="14" t="s">
        <v>2347</v>
      </c>
      <c r="F52" s="14" t="s">
        <v>2348</v>
      </c>
      <c r="G52" s="14" t="s">
        <v>2349</v>
      </c>
      <c r="H52" s="14" t="s">
        <v>2350</v>
      </c>
      <c r="I52" s="14" t="s">
        <v>2351</v>
      </c>
      <c r="J52" s="14" t="s">
        <v>2352</v>
      </c>
      <c r="K52" s="14" t="s">
        <v>2353</v>
      </c>
      <c r="L52" s="14" t="s">
        <v>2354</v>
      </c>
      <c r="M52" s="14" t="s">
        <v>2355</v>
      </c>
      <c r="N52" s="14" t="s">
        <v>2356</v>
      </c>
      <c r="O52" s="14" t="s">
        <v>2357</v>
      </c>
      <c r="P52" s="14" t="s">
        <v>2358</v>
      </c>
      <c r="Q52" s="14" t="s">
        <v>2359</v>
      </c>
      <c r="R52" s="14" t="s">
        <v>2360</v>
      </c>
      <c r="S52" s="14" t="s">
        <v>2361</v>
      </c>
      <c r="T52" s="14" t="s">
        <v>2362</v>
      </c>
      <c r="U52" s="14" t="s">
        <v>2363</v>
      </c>
      <c r="V52" s="14" t="s">
        <v>2364</v>
      </c>
      <c r="W52" s="14" t="s">
        <v>2365</v>
      </c>
      <c r="X52" s="14" t="s">
        <v>2366</v>
      </c>
      <c r="Y52" s="14" t="s">
        <v>2367</v>
      </c>
      <c r="Z52" s="14" t="s">
        <v>2368</v>
      </c>
    </row>
    <row r="53" spans="1:26" ht="409.5">
      <c r="A53" s="14" t="s">
        <v>1218</v>
      </c>
      <c r="B53" s="14" t="s">
        <v>2369</v>
      </c>
      <c r="C53" s="14" t="s">
        <v>2370</v>
      </c>
      <c r="D53" s="15" t="s">
        <v>2371</v>
      </c>
      <c r="E53" s="14" t="s">
        <v>2372</v>
      </c>
      <c r="F53" s="14" t="s">
        <v>2373</v>
      </c>
      <c r="G53" s="14" t="s">
        <v>2374</v>
      </c>
      <c r="H53" s="14" t="s">
        <v>2375</v>
      </c>
      <c r="I53" s="14" t="s">
        <v>2376</v>
      </c>
      <c r="J53" s="14" t="s">
        <v>2377</v>
      </c>
      <c r="K53" s="14" t="s">
        <v>2378</v>
      </c>
      <c r="L53" s="14" t="s">
        <v>2379</v>
      </c>
      <c r="M53" s="14" t="s">
        <v>2380</v>
      </c>
      <c r="N53" s="14" t="s">
        <v>2381</v>
      </c>
      <c r="O53" s="14" t="s">
        <v>2382</v>
      </c>
      <c r="P53" s="14" t="s">
        <v>2383</v>
      </c>
      <c r="Q53" s="14" t="s">
        <v>2384</v>
      </c>
      <c r="R53" s="14" t="s">
        <v>2385</v>
      </c>
      <c r="S53" s="14" t="s">
        <v>2386</v>
      </c>
      <c r="T53" s="14" t="s">
        <v>2387</v>
      </c>
      <c r="U53" s="14" t="s">
        <v>2388</v>
      </c>
      <c r="V53" s="14" t="s">
        <v>2389</v>
      </c>
      <c r="W53" s="14" t="s">
        <v>2390</v>
      </c>
      <c r="X53" s="14" t="s">
        <v>2391</v>
      </c>
      <c r="Y53" s="14" t="s">
        <v>2392</v>
      </c>
      <c r="Z53" s="14" t="s">
        <v>2393</v>
      </c>
    </row>
    <row r="54" spans="1:26" ht="409.5">
      <c r="A54" s="14" t="s">
        <v>1218</v>
      </c>
      <c r="B54" s="14" t="s">
        <v>2394</v>
      </c>
      <c r="C54" s="14" t="s">
        <v>2395</v>
      </c>
      <c r="D54" s="15" t="s">
        <v>2396</v>
      </c>
      <c r="E54" s="14" t="s">
        <v>2397</v>
      </c>
      <c r="F54" s="14" t="s">
        <v>2398</v>
      </c>
      <c r="G54" s="14" t="s">
        <v>2399</v>
      </c>
      <c r="H54" s="14" t="s">
        <v>2400</v>
      </c>
      <c r="I54" s="14" t="s">
        <v>2401</v>
      </c>
      <c r="J54" s="14" t="s">
        <v>2402</v>
      </c>
      <c r="K54" s="14" t="s">
        <v>2403</v>
      </c>
      <c r="L54" s="14" t="s">
        <v>2404</v>
      </c>
      <c r="M54" s="14" t="s">
        <v>2405</v>
      </c>
      <c r="N54" s="14" t="s">
        <v>2406</v>
      </c>
      <c r="O54" s="14" t="s">
        <v>2407</v>
      </c>
      <c r="P54" s="14" t="s">
        <v>2408</v>
      </c>
      <c r="Q54" s="14" t="s">
        <v>2409</v>
      </c>
      <c r="R54" s="14" t="s">
        <v>2410</v>
      </c>
      <c r="S54" s="14" t="s">
        <v>2411</v>
      </c>
      <c r="T54" s="14" t="s">
        <v>2412</v>
      </c>
      <c r="U54" s="14" t="s">
        <v>2413</v>
      </c>
      <c r="V54" s="14" t="s">
        <v>2414</v>
      </c>
      <c r="W54" s="14" t="s">
        <v>2415</v>
      </c>
      <c r="X54" s="14" t="s">
        <v>2416</v>
      </c>
      <c r="Y54" s="14" t="s">
        <v>2417</v>
      </c>
      <c r="Z54" s="14" t="s">
        <v>2418</v>
      </c>
    </row>
    <row r="55" spans="1:26" ht="409.5">
      <c r="A55" s="14" t="s">
        <v>1218</v>
      </c>
      <c r="B55" s="14" t="s">
        <v>2419</v>
      </c>
      <c r="C55" s="14" t="s">
        <v>2420</v>
      </c>
      <c r="D55" s="15" t="s">
        <v>2421</v>
      </c>
      <c r="E55" s="14" t="s">
        <v>2422</v>
      </c>
      <c r="F55" s="14" t="s">
        <v>2423</v>
      </c>
      <c r="G55" s="14" t="s">
        <v>2424</v>
      </c>
      <c r="H55" s="14" t="s">
        <v>2425</v>
      </c>
      <c r="I55" s="14" t="s">
        <v>2426</v>
      </c>
      <c r="J55" s="14" t="s">
        <v>2427</v>
      </c>
      <c r="K55" s="14" t="s">
        <v>2428</v>
      </c>
      <c r="L55" s="14" t="s">
        <v>2429</v>
      </c>
      <c r="M55" s="14" t="s">
        <v>2430</v>
      </c>
      <c r="N55" s="14" t="s">
        <v>2431</v>
      </c>
      <c r="O55" s="14" t="s">
        <v>2432</v>
      </c>
      <c r="P55" s="14" t="s">
        <v>2433</v>
      </c>
      <c r="Q55" s="14" t="s">
        <v>2434</v>
      </c>
      <c r="R55" s="14" t="s">
        <v>2435</v>
      </c>
      <c r="S55" s="14" t="s">
        <v>2436</v>
      </c>
      <c r="T55" s="14" t="s">
        <v>2437</v>
      </c>
      <c r="U55" s="14" t="s">
        <v>2438</v>
      </c>
      <c r="V55" s="14" t="s">
        <v>2439</v>
      </c>
      <c r="W55" s="14" t="s">
        <v>2440</v>
      </c>
      <c r="X55" s="14" t="s">
        <v>2441</v>
      </c>
      <c r="Y55" s="14" t="s">
        <v>2442</v>
      </c>
      <c r="Z55" s="14" t="s">
        <v>2443</v>
      </c>
    </row>
    <row r="56" spans="1:26" ht="409.5">
      <c r="A56" s="14" t="s">
        <v>1218</v>
      </c>
      <c r="B56" s="14" t="s">
        <v>2444</v>
      </c>
      <c r="C56" s="14" t="s">
        <v>2445</v>
      </c>
      <c r="D56" s="15" t="s">
        <v>2446</v>
      </c>
      <c r="E56" s="14" t="s">
        <v>2447</v>
      </c>
      <c r="F56" s="14" t="s">
        <v>2448</v>
      </c>
      <c r="G56" s="14" t="s">
        <v>2449</v>
      </c>
      <c r="H56" s="14" t="s">
        <v>2450</v>
      </c>
      <c r="I56" s="14" t="s">
        <v>2451</v>
      </c>
      <c r="J56" s="14" t="s">
        <v>2452</v>
      </c>
      <c r="K56" s="14" t="s">
        <v>2453</v>
      </c>
      <c r="L56" s="14" t="s">
        <v>2454</v>
      </c>
      <c r="M56" s="14" t="s">
        <v>2455</v>
      </c>
      <c r="N56" s="14" t="s">
        <v>2456</v>
      </c>
      <c r="O56" s="14" t="s">
        <v>2457</v>
      </c>
      <c r="P56" s="14" t="s">
        <v>2458</v>
      </c>
      <c r="Q56" s="14" t="s">
        <v>2459</v>
      </c>
      <c r="R56" s="14" t="s">
        <v>2460</v>
      </c>
      <c r="S56" s="14" t="s">
        <v>2461</v>
      </c>
      <c r="T56" s="14" t="s">
        <v>2462</v>
      </c>
      <c r="U56" s="14" t="s">
        <v>2463</v>
      </c>
      <c r="V56" s="14" t="s">
        <v>2464</v>
      </c>
      <c r="W56" s="14" t="s">
        <v>2465</v>
      </c>
      <c r="X56" s="14" t="s">
        <v>2466</v>
      </c>
      <c r="Y56" s="14" t="s">
        <v>2467</v>
      </c>
      <c r="Z56" s="14" t="s">
        <v>2468</v>
      </c>
    </row>
    <row r="57" spans="1:26" ht="409.5">
      <c r="A57" s="14" t="s">
        <v>1218</v>
      </c>
      <c r="B57" s="14" t="s">
        <v>2469</v>
      </c>
      <c r="C57" s="14" t="s">
        <v>2470</v>
      </c>
      <c r="D57" s="15" t="s">
        <v>2471</v>
      </c>
      <c r="E57" s="14" t="s">
        <v>2472</v>
      </c>
      <c r="F57" s="14" t="s">
        <v>2473</v>
      </c>
      <c r="G57" s="14" t="s">
        <v>2474</v>
      </c>
      <c r="H57" s="14" t="s">
        <v>2475</v>
      </c>
      <c r="I57" s="14" t="s">
        <v>2476</v>
      </c>
      <c r="J57" s="14" t="s">
        <v>2477</v>
      </c>
      <c r="K57" s="14" t="s">
        <v>2478</v>
      </c>
      <c r="L57" s="14" t="s">
        <v>2479</v>
      </c>
      <c r="M57" s="14" t="s">
        <v>2480</v>
      </c>
      <c r="N57" s="14" t="s">
        <v>2481</v>
      </c>
      <c r="O57" s="14" t="s">
        <v>2482</v>
      </c>
      <c r="P57" s="14" t="s">
        <v>2483</v>
      </c>
      <c r="Q57" s="14" t="s">
        <v>2484</v>
      </c>
      <c r="R57" s="14" t="s">
        <v>2485</v>
      </c>
      <c r="S57" s="14" t="s">
        <v>2486</v>
      </c>
      <c r="T57" s="14" t="s">
        <v>2487</v>
      </c>
      <c r="U57" s="14" t="s">
        <v>2488</v>
      </c>
      <c r="V57" s="14" t="s">
        <v>2489</v>
      </c>
      <c r="W57" s="14" t="s">
        <v>2490</v>
      </c>
      <c r="X57" s="14" t="s">
        <v>2491</v>
      </c>
      <c r="Y57" s="14" t="s">
        <v>2492</v>
      </c>
      <c r="Z57" s="14" t="s">
        <v>2493</v>
      </c>
    </row>
    <row r="58" spans="1:26" ht="409.5">
      <c r="A58" s="14" t="s">
        <v>1218</v>
      </c>
      <c r="B58" s="14" t="s">
        <v>2494</v>
      </c>
      <c r="C58" s="14" t="s">
        <v>2495</v>
      </c>
      <c r="D58" s="15" t="s">
        <v>2496</v>
      </c>
      <c r="E58" s="14" t="s">
        <v>2497</v>
      </c>
      <c r="F58" s="14" t="s">
        <v>2498</v>
      </c>
      <c r="G58" s="14" t="s">
        <v>2499</v>
      </c>
      <c r="H58" s="14" t="s">
        <v>2500</v>
      </c>
      <c r="I58" s="14" t="s">
        <v>2501</v>
      </c>
      <c r="J58" s="14" t="s">
        <v>2502</v>
      </c>
      <c r="K58" s="14" t="s">
        <v>2503</v>
      </c>
      <c r="L58" s="14" t="s">
        <v>2504</v>
      </c>
      <c r="M58" s="14" t="s">
        <v>2505</v>
      </c>
      <c r="N58" s="14" t="s">
        <v>2506</v>
      </c>
      <c r="O58" s="14" t="s">
        <v>2507</v>
      </c>
      <c r="P58" s="14" t="s">
        <v>2508</v>
      </c>
      <c r="Q58" s="14" t="s">
        <v>2509</v>
      </c>
      <c r="R58" s="14" t="s">
        <v>2510</v>
      </c>
      <c r="S58" s="14" t="s">
        <v>2511</v>
      </c>
      <c r="T58" s="14" t="s">
        <v>2512</v>
      </c>
      <c r="U58" s="14" t="s">
        <v>2513</v>
      </c>
      <c r="V58" s="14" t="s">
        <v>2514</v>
      </c>
      <c r="W58" s="14" t="s">
        <v>2515</v>
      </c>
      <c r="X58" s="14" t="s">
        <v>2516</v>
      </c>
      <c r="Y58" s="14" t="s">
        <v>2517</v>
      </c>
      <c r="Z58" s="14" t="s">
        <v>2518</v>
      </c>
    </row>
    <row r="59" spans="1:26" ht="409.5">
      <c r="A59" s="14" t="s">
        <v>1218</v>
      </c>
      <c r="B59" s="14" t="s">
        <v>2519</v>
      </c>
      <c r="C59" s="14" t="s">
        <v>2520</v>
      </c>
      <c r="D59" s="15" t="s">
        <v>2521</v>
      </c>
      <c r="E59" s="14" t="s">
        <v>2522</v>
      </c>
      <c r="F59" s="14" t="s">
        <v>2523</v>
      </c>
      <c r="G59" s="14" t="s">
        <v>2524</v>
      </c>
      <c r="H59" s="14" t="s">
        <v>2525</v>
      </c>
      <c r="I59" s="14" t="s">
        <v>2526</v>
      </c>
      <c r="J59" s="14" t="s">
        <v>2527</v>
      </c>
      <c r="K59" s="14" t="s">
        <v>2528</v>
      </c>
      <c r="L59" s="14" t="s">
        <v>2529</v>
      </c>
      <c r="M59" s="14" t="s">
        <v>2530</v>
      </c>
      <c r="N59" s="14" t="s">
        <v>2531</v>
      </c>
      <c r="O59" s="14" t="s">
        <v>2532</v>
      </c>
      <c r="P59" s="14" t="s">
        <v>2533</v>
      </c>
      <c r="Q59" s="14" t="s">
        <v>2534</v>
      </c>
      <c r="R59" s="14" t="s">
        <v>2535</v>
      </c>
      <c r="S59" s="14" t="s">
        <v>2536</v>
      </c>
      <c r="T59" s="14" t="s">
        <v>2537</v>
      </c>
      <c r="U59" s="14" t="s">
        <v>2538</v>
      </c>
      <c r="V59" s="14" t="s">
        <v>2539</v>
      </c>
      <c r="W59" s="14" t="s">
        <v>2540</v>
      </c>
      <c r="X59" s="14" t="s">
        <v>2541</v>
      </c>
      <c r="Y59" s="14" t="s">
        <v>2542</v>
      </c>
      <c r="Z59" s="14" t="s">
        <v>2543</v>
      </c>
    </row>
    <row r="60" spans="1:26" ht="409.5">
      <c r="A60" s="14" t="s">
        <v>1218</v>
      </c>
      <c r="B60" s="14" t="s">
        <v>2544</v>
      </c>
      <c r="C60" s="14" t="s">
        <v>2545</v>
      </c>
      <c r="D60" s="15" t="s">
        <v>2546</v>
      </c>
      <c r="E60" s="14" t="s">
        <v>2547</v>
      </c>
      <c r="F60" s="14" t="s">
        <v>2548</v>
      </c>
      <c r="G60" s="14" t="s">
        <v>2549</v>
      </c>
      <c r="H60" s="14" t="s">
        <v>2550</v>
      </c>
      <c r="I60" s="14" t="s">
        <v>2551</v>
      </c>
      <c r="J60" s="14" t="s">
        <v>2552</v>
      </c>
      <c r="K60" s="14" t="s">
        <v>2553</v>
      </c>
      <c r="L60" s="14" t="s">
        <v>2554</v>
      </c>
      <c r="M60" s="14" t="s">
        <v>2555</v>
      </c>
      <c r="N60" s="14" t="s">
        <v>2556</v>
      </c>
      <c r="O60" s="14" t="s">
        <v>2557</v>
      </c>
      <c r="P60" s="14" t="s">
        <v>2558</v>
      </c>
      <c r="Q60" s="14" t="s">
        <v>2559</v>
      </c>
      <c r="R60" s="14" t="s">
        <v>2560</v>
      </c>
      <c r="S60" s="14" t="s">
        <v>2561</v>
      </c>
      <c r="T60" s="14" t="s">
        <v>2562</v>
      </c>
      <c r="U60" s="14" t="s">
        <v>2563</v>
      </c>
      <c r="V60" s="14" t="s">
        <v>2564</v>
      </c>
      <c r="W60" s="14" t="s">
        <v>2565</v>
      </c>
      <c r="X60" s="14" t="s">
        <v>2566</v>
      </c>
      <c r="Y60" s="14" t="s">
        <v>2567</v>
      </c>
      <c r="Z60" s="14" t="s">
        <v>2568</v>
      </c>
    </row>
    <row r="61" spans="1:26" ht="409.5">
      <c r="A61" s="14" t="s">
        <v>1218</v>
      </c>
      <c r="B61" s="14" t="s">
        <v>2569</v>
      </c>
      <c r="C61" s="14" t="s">
        <v>2570</v>
      </c>
      <c r="D61" s="15" t="s">
        <v>2571</v>
      </c>
      <c r="E61" s="14" t="s">
        <v>2572</v>
      </c>
      <c r="F61" s="14" t="s">
        <v>2573</v>
      </c>
      <c r="G61" s="14" t="s">
        <v>2574</v>
      </c>
      <c r="H61" s="14" t="s">
        <v>2575</v>
      </c>
      <c r="I61" s="14" t="s">
        <v>2576</v>
      </c>
      <c r="J61" s="14" t="s">
        <v>2577</v>
      </c>
      <c r="K61" s="14" t="s">
        <v>2578</v>
      </c>
      <c r="L61" s="14" t="s">
        <v>2579</v>
      </c>
      <c r="M61" s="14" t="s">
        <v>2580</v>
      </c>
      <c r="N61" s="14" t="s">
        <v>2581</v>
      </c>
      <c r="O61" s="14" t="s">
        <v>2582</v>
      </c>
      <c r="P61" s="14" t="s">
        <v>2583</v>
      </c>
      <c r="Q61" s="14" t="s">
        <v>2584</v>
      </c>
      <c r="R61" s="14" t="s">
        <v>2585</v>
      </c>
      <c r="S61" s="14" t="s">
        <v>2586</v>
      </c>
      <c r="T61" s="14" t="s">
        <v>2587</v>
      </c>
      <c r="U61" s="14" t="s">
        <v>2588</v>
      </c>
      <c r="V61" s="14" t="s">
        <v>2589</v>
      </c>
      <c r="W61" s="14" t="s">
        <v>2590</v>
      </c>
      <c r="X61" s="14" t="s">
        <v>2591</v>
      </c>
      <c r="Y61" s="14" t="s">
        <v>2592</v>
      </c>
      <c r="Z61" s="14" t="s">
        <v>2593</v>
      </c>
    </row>
    <row r="62" spans="1:26" ht="409.5">
      <c r="A62" s="14" t="s">
        <v>1218</v>
      </c>
      <c r="B62" s="14" t="s">
        <v>2594</v>
      </c>
      <c r="C62" s="14" t="s">
        <v>2595</v>
      </c>
      <c r="D62" s="15" t="s">
        <v>2596</v>
      </c>
      <c r="E62" s="14" t="s">
        <v>2597</v>
      </c>
      <c r="F62" s="14" t="s">
        <v>2598</v>
      </c>
      <c r="G62" s="14" t="s">
        <v>2599</v>
      </c>
      <c r="H62" s="14" t="s">
        <v>2600</v>
      </c>
      <c r="I62" s="14" t="s">
        <v>2601</v>
      </c>
      <c r="J62" s="14" t="s">
        <v>2602</v>
      </c>
      <c r="K62" s="14" t="s">
        <v>2603</v>
      </c>
      <c r="L62" s="14" t="s">
        <v>2604</v>
      </c>
      <c r="M62" s="14" t="s">
        <v>2605</v>
      </c>
      <c r="N62" s="14" t="s">
        <v>2606</v>
      </c>
      <c r="O62" s="14" t="s">
        <v>2607</v>
      </c>
      <c r="P62" s="14" t="s">
        <v>2608</v>
      </c>
      <c r="Q62" s="14" t="s">
        <v>2609</v>
      </c>
      <c r="R62" s="14" t="s">
        <v>2610</v>
      </c>
      <c r="S62" s="14" t="s">
        <v>2611</v>
      </c>
      <c r="T62" s="14" t="s">
        <v>2612</v>
      </c>
      <c r="U62" s="14" t="s">
        <v>2613</v>
      </c>
      <c r="V62" s="14" t="s">
        <v>2614</v>
      </c>
      <c r="W62" s="14" t="s">
        <v>2615</v>
      </c>
      <c r="X62" s="14" t="s">
        <v>2616</v>
      </c>
      <c r="Y62" s="14" t="s">
        <v>2617</v>
      </c>
      <c r="Z62" s="14" t="s">
        <v>2618</v>
      </c>
    </row>
    <row r="63" spans="1:26" ht="409.5">
      <c r="A63" s="14" t="s">
        <v>1218</v>
      </c>
      <c r="B63" s="14" t="s">
        <v>2619</v>
      </c>
      <c r="C63" s="14" t="s">
        <v>2620</v>
      </c>
      <c r="D63" s="15" t="s">
        <v>2621</v>
      </c>
      <c r="E63" s="14" t="s">
        <v>2622</v>
      </c>
      <c r="F63" s="14" t="s">
        <v>2623</v>
      </c>
      <c r="G63" s="14" t="s">
        <v>2624</v>
      </c>
      <c r="H63" s="14" t="s">
        <v>2625</v>
      </c>
      <c r="I63" s="14" t="s">
        <v>2626</v>
      </c>
      <c r="J63" s="14" t="s">
        <v>2627</v>
      </c>
      <c r="K63" s="14" t="s">
        <v>2628</v>
      </c>
      <c r="L63" s="14" t="s">
        <v>2629</v>
      </c>
      <c r="M63" s="14" t="s">
        <v>2630</v>
      </c>
      <c r="N63" s="14" t="s">
        <v>2631</v>
      </c>
      <c r="O63" s="14" t="s">
        <v>2632</v>
      </c>
      <c r="P63" s="14" t="s">
        <v>2633</v>
      </c>
      <c r="Q63" s="14" t="s">
        <v>2634</v>
      </c>
      <c r="R63" s="14" t="s">
        <v>2635</v>
      </c>
      <c r="S63" s="14" t="s">
        <v>2636</v>
      </c>
      <c r="T63" s="14" t="s">
        <v>2637</v>
      </c>
      <c r="U63" s="14" t="s">
        <v>2638</v>
      </c>
      <c r="V63" s="14" t="s">
        <v>2639</v>
      </c>
      <c r="W63" s="14" t="s">
        <v>2640</v>
      </c>
      <c r="X63" s="14" t="s">
        <v>2641</v>
      </c>
      <c r="Y63" s="14" t="s">
        <v>2642</v>
      </c>
      <c r="Z63" s="14" t="s">
        <v>2643</v>
      </c>
    </row>
    <row r="64" spans="1:26" ht="409.5">
      <c r="A64" s="14" t="s">
        <v>1218</v>
      </c>
      <c r="B64" s="14" t="s">
        <v>2644</v>
      </c>
      <c r="C64" s="14" t="s">
        <v>2645</v>
      </c>
      <c r="D64" s="15" t="s">
        <v>2646</v>
      </c>
      <c r="E64" s="14" t="s">
        <v>2647</v>
      </c>
      <c r="F64" s="14" t="s">
        <v>2648</v>
      </c>
      <c r="G64" s="14" t="s">
        <v>2649</v>
      </c>
      <c r="H64" s="14" t="s">
        <v>2650</v>
      </c>
      <c r="I64" s="14" t="s">
        <v>2651</v>
      </c>
      <c r="J64" s="14" t="s">
        <v>2652</v>
      </c>
      <c r="K64" s="14" t="s">
        <v>2653</v>
      </c>
      <c r="L64" s="14" t="s">
        <v>2654</v>
      </c>
      <c r="M64" s="14" t="s">
        <v>2655</v>
      </c>
      <c r="N64" s="14" t="s">
        <v>2656</v>
      </c>
      <c r="O64" s="14" t="s">
        <v>2657</v>
      </c>
      <c r="P64" s="14" t="s">
        <v>2658</v>
      </c>
      <c r="Q64" s="14" t="s">
        <v>2659</v>
      </c>
      <c r="R64" s="14" t="s">
        <v>2660</v>
      </c>
      <c r="S64" s="14" t="s">
        <v>2661</v>
      </c>
      <c r="T64" s="14" t="s">
        <v>2662</v>
      </c>
      <c r="U64" s="14" t="s">
        <v>2663</v>
      </c>
      <c r="V64" s="14" t="s">
        <v>2664</v>
      </c>
      <c r="W64" s="14" t="s">
        <v>2665</v>
      </c>
      <c r="X64" s="14" t="s">
        <v>2666</v>
      </c>
      <c r="Y64" s="14" t="s">
        <v>2667</v>
      </c>
      <c r="Z64" s="14" t="s">
        <v>2668</v>
      </c>
    </row>
    <row r="65" spans="1:26" ht="409.5">
      <c r="A65" s="14" t="s">
        <v>1218</v>
      </c>
      <c r="B65" s="14" t="s">
        <v>2669</v>
      </c>
      <c r="C65" s="14" t="s">
        <v>2670</v>
      </c>
      <c r="D65" s="15" t="s">
        <v>2671</v>
      </c>
      <c r="E65" s="14" t="s">
        <v>2672</v>
      </c>
      <c r="F65" s="14" t="s">
        <v>2673</v>
      </c>
      <c r="G65" s="14" t="s">
        <v>2674</v>
      </c>
      <c r="H65" s="14" t="s">
        <v>2675</v>
      </c>
      <c r="I65" s="14" t="s">
        <v>2676</v>
      </c>
      <c r="J65" s="14" t="s">
        <v>2677</v>
      </c>
      <c r="K65" s="14" t="s">
        <v>2678</v>
      </c>
      <c r="L65" s="14" t="s">
        <v>2679</v>
      </c>
      <c r="M65" s="14" t="s">
        <v>2680</v>
      </c>
      <c r="N65" s="14" t="s">
        <v>2681</v>
      </c>
      <c r="O65" s="14" t="s">
        <v>2682</v>
      </c>
      <c r="P65" s="14" t="s">
        <v>2683</v>
      </c>
      <c r="Q65" s="14" t="s">
        <v>2684</v>
      </c>
      <c r="R65" s="14" t="s">
        <v>2685</v>
      </c>
      <c r="S65" s="14" t="s">
        <v>2686</v>
      </c>
      <c r="T65" s="14" t="s">
        <v>2687</v>
      </c>
      <c r="U65" s="14" t="s">
        <v>2688</v>
      </c>
      <c r="V65" s="14" t="s">
        <v>2689</v>
      </c>
      <c r="W65" s="14" t="s">
        <v>2690</v>
      </c>
      <c r="X65" s="14" t="s">
        <v>2691</v>
      </c>
      <c r="Y65" s="14" t="s">
        <v>2692</v>
      </c>
      <c r="Z65" s="14" t="s">
        <v>2693</v>
      </c>
    </row>
    <row r="66" spans="1:26" ht="409.5">
      <c r="A66" s="14" t="s">
        <v>1218</v>
      </c>
      <c r="B66" s="14" t="s">
        <v>2694</v>
      </c>
      <c r="C66" s="14" t="s">
        <v>2695</v>
      </c>
      <c r="D66" s="15" t="s">
        <v>2696</v>
      </c>
      <c r="E66" s="14" t="s">
        <v>2697</v>
      </c>
      <c r="F66" s="14" t="s">
        <v>2698</v>
      </c>
      <c r="G66" s="14" t="s">
        <v>2699</v>
      </c>
      <c r="H66" s="14" t="s">
        <v>2700</v>
      </c>
      <c r="I66" s="14" t="s">
        <v>2701</v>
      </c>
      <c r="J66" s="14" t="s">
        <v>2702</v>
      </c>
      <c r="K66" s="14" t="s">
        <v>2703</v>
      </c>
      <c r="L66" s="14" t="s">
        <v>2704</v>
      </c>
      <c r="M66" s="14" t="s">
        <v>2705</v>
      </c>
      <c r="N66" s="14" t="s">
        <v>2706</v>
      </c>
      <c r="O66" s="14" t="s">
        <v>2707</v>
      </c>
      <c r="P66" s="14" t="s">
        <v>2708</v>
      </c>
      <c r="Q66" s="14" t="s">
        <v>2709</v>
      </c>
      <c r="R66" s="14" t="s">
        <v>2710</v>
      </c>
      <c r="S66" s="14" t="s">
        <v>2711</v>
      </c>
      <c r="T66" s="14" t="s">
        <v>2712</v>
      </c>
      <c r="U66" s="14" t="s">
        <v>2713</v>
      </c>
      <c r="V66" s="14" t="s">
        <v>2714</v>
      </c>
      <c r="W66" s="14" t="s">
        <v>2715</v>
      </c>
      <c r="X66" s="14" t="s">
        <v>2716</v>
      </c>
      <c r="Y66" s="14" t="s">
        <v>2717</v>
      </c>
      <c r="Z66" s="14" t="s">
        <v>2718</v>
      </c>
    </row>
    <row r="67" spans="1:26" ht="409.5">
      <c r="A67" s="14" t="s">
        <v>1218</v>
      </c>
      <c r="B67" s="14" t="s">
        <v>2719</v>
      </c>
      <c r="C67" s="14" t="s">
        <v>2720</v>
      </c>
      <c r="D67" s="15" t="s">
        <v>2721</v>
      </c>
      <c r="E67" s="14" t="s">
        <v>2722</v>
      </c>
      <c r="F67" s="14" t="s">
        <v>2723</v>
      </c>
      <c r="G67" s="14" t="s">
        <v>2724</v>
      </c>
      <c r="H67" s="14" t="s">
        <v>2725</v>
      </c>
      <c r="I67" s="14" t="s">
        <v>2726</v>
      </c>
      <c r="J67" s="14" t="s">
        <v>2727</v>
      </c>
      <c r="K67" s="14" t="s">
        <v>2728</v>
      </c>
      <c r="L67" s="14" t="s">
        <v>2729</v>
      </c>
      <c r="M67" s="14" t="s">
        <v>2730</v>
      </c>
      <c r="N67" s="14" t="s">
        <v>2731</v>
      </c>
      <c r="O67" s="14" t="s">
        <v>2732</v>
      </c>
      <c r="P67" s="14" t="s">
        <v>2733</v>
      </c>
      <c r="Q67" s="14" t="s">
        <v>2734</v>
      </c>
      <c r="R67" s="14" t="s">
        <v>2735</v>
      </c>
      <c r="S67" s="14" t="s">
        <v>2736</v>
      </c>
      <c r="T67" s="14" t="s">
        <v>2737</v>
      </c>
      <c r="U67" s="14" t="s">
        <v>2738</v>
      </c>
      <c r="V67" s="14" t="s">
        <v>2739</v>
      </c>
      <c r="W67" s="14" t="s">
        <v>2740</v>
      </c>
      <c r="X67" s="14" t="s">
        <v>2741</v>
      </c>
      <c r="Y67" s="14" t="s">
        <v>2742</v>
      </c>
      <c r="Z67" s="14" t="s">
        <v>2743</v>
      </c>
    </row>
    <row r="68" spans="1:26" ht="409.5">
      <c r="A68" s="14" t="s">
        <v>1218</v>
      </c>
      <c r="B68" s="14" t="s">
        <v>2744</v>
      </c>
      <c r="C68" s="14" t="s">
        <v>2745</v>
      </c>
      <c r="D68" s="15" t="s">
        <v>2746</v>
      </c>
      <c r="E68" s="14" t="s">
        <v>2747</v>
      </c>
      <c r="F68" s="14" t="s">
        <v>2748</v>
      </c>
      <c r="G68" s="14" t="s">
        <v>2749</v>
      </c>
      <c r="H68" s="14" t="s">
        <v>2750</v>
      </c>
      <c r="I68" s="14" t="s">
        <v>2751</v>
      </c>
      <c r="J68" s="14" t="s">
        <v>2752</v>
      </c>
      <c r="K68" s="14" t="s">
        <v>2753</v>
      </c>
      <c r="L68" s="14" t="s">
        <v>2754</v>
      </c>
      <c r="M68" s="14" t="s">
        <v>2755</v>
      </c>
      <c r="N68" s="14" t="s">
        <v>2756</v>
      </c>
      <c r="O68" s="14" t="s">
        <v>2757</v>
      </c>
      <c r="P68" s="14" t="s">
        <v>2758</v>
      </c>
      <c r="Q68" s="14" t="s">
        <v>2759</v>
      </c>
      <c r="R68" s="14" t="s">
        <v>2760</v>
      </c>
      <c r="S68" s="14" t="s">
        <v>2761</v>
      </c>
      <c r="T68" s="14" t="s">
        <v>2762</v>
      </c>
      <c r="U68" s="14" t="s">
        <v>2763</v>
      </c>
      <c r="V68" s="14" t="s">
        <v>2764</v>
      </c>
      <c r="W68" s="14" t="s">
        <v>2765</v>
      </c>
      <c r="X68" s="14" t="s">
        <v>2766</v>
      </c>
      <c r="Y68" s="14" t="s">
        <v>2767</v>
      </c>
      <c r="Z68" s="14" t="s">
        <v>2768</v>
      </c>
    </row>
    <row r="69" spans="1:26" ht="409.5">
      <c r="A69" s="14" t="s">
        <v>1218</v>
      </c>
      <c r="B69" s="14" t="s">
        <v>2769</v>
      </c>
      <c r="C69" s="14" t="s">
        <v>2770</v>
      </c>
      <c r="D69" s="15" t="s">
        <v>2771</v>
      </c>
      <c r="E69" s="14" t="s">
        <v>2772</v>
      </c>
      <c r="F69" s="14" t="s">
        <v>2773</v>
      </c>
      <c r="G69" s="14" t="s">
        <v>2774</v>
      </c>
      <c r="H69" s="14" t="s">
        <v>2775</v>
      </c>
      <c r="I69" s="14" t="s">
        <v>2776</v>
      </c>
      <c r="J69" s="14" t="s">
        <v>2777</v>
      </c>
      <c r="K69" s="14" t="s">
        <v>2778</v>
      </c>
      <c r="L69" s="14" t="s">
        <v>2779</v>
      </c>
      <c r="M69" s="14" t="s">
        <v>2780</v>
      </c>
      <c r="N69" s="14" t="s">
        <v>2781</v>
      </c>
      <c r="O69" s="14" t="s">
        <v>2782</v>
      </c>
      <c r="P69" s="14" t="s">
        <v>2783</v>
      </c>
      <c r="Q69" s="14" t="s">
        <v>2784</v>
      </c>
      <c r="R69" s="14" t="s">
        <v>2785</v>
      </c>
      <c r="S69" s="14" t="s">
        <v>2786</v>
      </c>
      <c r="T69" s="14" t="s">
        <v>2787</v>
      </c>
      <c r="U69" s="14" t="s">
        <v>2788</v>
      </c>
      <c r="V69" s="14" t="s">
        <v>2789</v>
      </c>
      <c r="W69" s="14" t="s">
        <v>2790</v>
      </c>
      <c r="X69" s="14" t="s">
        <v>2791</v>
      </c>
      <c r="Y69" s="14" t="s">
        <v>2792</v>
      </c>
      <c r="Z69" s="14" t="s">
        <v>2793</v>
      </c>
    </row>
    <row r="70" spans="1:26" ht="409.5">
      <c r="A70" s="14" t="s">
        <v>1218</v>
      </c>
      <c r="B70" s="14" t="s">
        <v>2794</v>
      </c>
      <c r="C70" s="14" t="s">
        <v>2795</v>
      </c>
      <c r="D70" s="15" t="s">
        <v>2796</v>
      </c>
      <c r="E70" s="14" t="s">
        <v>2797</v>
      </c>
      <c r="F70" s="14" t="s">
        <v>2798</v>
      </c>
      <c r="G70" s="14" t="s">
        <v>2799</v>
      </c>
      <c r="H70" s="14" t="s">
        <v>2800</v>
      </c>
      <c r="I70" s="14" t="s">
        <v>2801</v>
      </c>
      <c r="J70" s="14" t="s">
        <v>2802</v>
      </c>
      <c r="K70" s="14" t="s">
        <v>2803</v>
      </c>
      <c r="L70" s="14" t="s">
        <v>2804</v>
      </c>
      <c r="M70" s="14" t="s">
        <v>2805</v>
      </c>
      <c r="N70" s="14" t="s">
        <v>2806</v>
      </c>
      <c r="O70" s="14" t="s">
        <v>2807</v>
      </c>
      <c r="P70" s="14" t="s">
        <v>2808</v>
      </c>
      <c r="Q70" s="14" t="s">
        <v>2809</v>
      </c>
      <c r="R70" s="14" t="s">
        <v>2810</v>
      </c>
      <c r="S70" s="14" t="s">
        <v>2811</v>
      </c>
      <c r="T70" s="14" t="s">
        <v>2812</v>
      </c>
      <c r="U70" s="14" t="s">
        <v>2813</v>
      </c>
      <c r="V70" s="14" t="s">
        <v>2814</v>
      </c>
      <c r="W70" s="14" t="s">
        <v>2815</v>
      </c>
      <c r="X70" s="14" t="s">
        <v>2816</v>
      </c>
      <c r="Y70" s="14" t="s">
        <v>2817</v>
      </c>
      <c r="Z70" s="14" t="s">
        <v>2818</v>
      </c>
    </row>
    <row r="71" spans="1:26" ht="409.5">
      <c r="A71" s="14" t="s">
        <v>1218</v>
      </c>
      <c r="B71" s="14" t="s">
        <v>2819</v>
      </c>
      <c r="C71" s="14" t="s">
        <v>2820</v>
      </c>
      <c r="D71" s="15" t="s">
        <v>2821</v>
      </c>
      <c r="E71" s="14" t="s">
        <v>2822</v>
      </c>
      <c r="F71" s="14" t="s">
        <v>2823</v>
      </c>
      <c r="G71" s="14" t="s">
        <v>2824</v>
      </c>
      <c r="H71" s="14" t="s">
        <v>2825</v>
      </c>
      <c r="I71" s="14" t="s">
        <v>2826</v>
      </c>
      <c r="J71" s="14" t="s">
        <v>2827</v>
      </c>
      <c r="K71" s="14" t="s">
        <v>2828</v>
      </c>
      <c r="L71" s="14" t="s">
        <v>2829</v>
      </c>
      <c r="M71" s="14" t="s">
        <v>2830</v>
      </c>
      <c r="N71" s="14" t="s">
        <v>2831</v>
      </c>
      <c r="O71" s="14" t="s">
        <v>2832</v>
      </c>
      <c r="P71" s="14" t="s">
        <v>2833</v>
      </c>
      <c r="Q71" s="14" t="s">
        <v>2834</v>
      </c>
      <c r="R71" s="14" t="s">
        <v>2835</v>
      </c>
      <c r="S71" s="14" t="s">
        <v>2836</v>
      </c>
      <c r="T71" s="14" t="s">
        <v>2837</v>
      </c>
      <c r="U71" s="14" t="s">
        <v>2838</v>
      </c>
      <c r="V71" s="14" t="s">
        <v>2839</v>
      </c>
      <c r="W71" s="14" t="s">
        <v>2840</v>
      </c>
      <c r="X71" s="14" t="s">
        <v>2841</v>
      </c>
      <c r="Y71" s="14" t="s">
        <v>2842</v>
      </c>
      <c r="Z71" s="14" t="s">
        <v>2843</v>
      </c>
    </row>
    <row r="72" spans="1:26" ht="409.5">
      <c r="A72" s="14" t="s">
        <v>1218</v>
      </c>
      <c r="B72" s="14" t="s">
        <v>2844</v>
      </c>
      <c r="C72" s="14" t="s">
        <v>2845</v>
      </c>
      <c r="D72" s="15" t="s">
        <v>2846</v>
      </c>
      <c r="E72" s="14" t="s">
        <v>2847</v>
      </c>
      <c r="F72" s="14" t="s">
        <v>2848</v>
      </c>
      <c r="G72" s="14" t="s">
        <v>2849</v>
      </c>
      <c r="H72" s="14" t="s">
        <v>2850</v>
      </c>
      <c r="I72" s="14" t="s">
        <v>2851</v>
      </c>
      <c r="J72" s="14" t="s">
        <v>2852</v>
      </c>
      <c r="K72" s="14" t="s">
        <v>2853</v>
      </c>
      <c r="L72" s="14" t="s">
        <v>2854</v>
      </c>
      <c r="M72" s="14" t="s">
        <v>2855</v>
      </c>
      <c r="N72" s="14" t="s">
        <v>2856</v>
      </c>
      <c r="O72" s="14" t="s">
        <v>2857</v>
      </c>
      <c r="P72" s="14" t="s">
        <v>2858</v>
      </c>
      <c r="Q72" s="14" t="s">
        <v>2859</v>
      </c>
      <c r="R72" s="14" t="s">
        <v>2860</v>
      </c>
      <c r="S72" s="14" t="s">
        <v>2861</v>
      </c>
      <c r="T72" s="14" t="s">
        <v>2862</v>
      </c>
      <c r="U72" s="14" t="s">
        <v>2863</v>
      </c>
      <c r="V72" s="14" t="s">
        <v>2864</v>
      </c>
      <c r="W72" s="14" t="s">
        <v>2865</v>
      </c>
      <c r="X72" s="14" t="s">
        <v>2866</v>
      </c>
      <c r="Y72" s="14" t="s">
        <v>2867</v>
      </c>
      <c r="Z72" s="14" t="s">
        <v>2868</v>
      </c>
    </row>
    <row r="73" spans="1:26" ht="409.5">
      <c r="A73" s="14" t="s">
        <v>1218</v>
      </c>
      <c r="B73" s="14" t="s">
        <v>2869</v>
      </c>
      <c r="C73" s="14" t="s">
        <v>2870</v>
      </c>
      <c r="D73" s="15" t="s">
        <v>2871</v>
      </c>
      <c r="E73" s="14" t="s">
        <v>2872</v>
      </c>
      <c r="F73" s="14" t="s">
        <v>2873</v>
      </c>
      <c r="G73" s="14" t="s">
        <v>2874</v>
      </c>
      <c r="H73" s="14" t="s">
        <v>2875</v>
      </c>
      <c r="I73" s="14" t="s">
        <v>2876</v>
      </c>
      <c r="J73" s="14" t="s">
        <v>2877</v>
      </c>
      <c r="K73" s="14" t="s">
        <v>2878</v>
      </c>
      <c r="L73" s="14" t="s">
        <v>2879</v>
      </c>
      <c r="M73" s="14" t="s">
        <v>2880</v>
      </c>
      <c r="N73" s="14" t="s">
        <v>2881</v>
      </c>
      <c r="O73" s="14" t="s">
        <v>2882</v>
      </c>
      <c r="P73" s="14" t="s">
        <v>2883</v>
      </c>
      <c r="Q73" s="14" t="s">
        <v>2884</v>
      </c>
      <c r="R73" s="14" t="s">
        <v>2885</v>
      </c>
      <c r="S73" s="14" t="s">
        <v>2886</v>
      </c>
      <c r="T73" s="14" t="s">
        <v>2887</v>
      </c>
      <c r="U73" s="14" t="s">
        <v>2888</v>
      </c>
      <c r="V73" s="14" t="s">
        <v>2889</v>
      </c>
      <c r="W73" s="14" t="s">
        <v>2890</v>
      </c>
      <c r="X73" s="14" t="s">
        <v>2891</v>
      </c>
      <c r="Y73" s="14" t="s">
        <v>2892</v>
      </c>
      <c r="Z73" s="14" t="s">
        <v>2893</v>
      </c>
    </row>
    <row r="74" spans="1:26" ht="409.5">
      <c r="A74" s="14" t="s">
        <v>1218</v>
      </c>
      <c r="B74" s="14" t="s">
        <v>2894</v>
      </c>
      <c r="C74" s="14" t="s">
        <v>2895</v>
      </c>
      <c r="D74" s="15" t="s">
        <v>2896</v>
      </c>
      <c r="E74" s="14" t="s">
        <v>2897</v>
      </c>
      <c r="F74" s="14" t="s">
        <v>2898</v>
      </c>
      <c r="G74" s="14" t="s">
        <v>2899</v>
      </c>
      <c r="H74" s="14" t="s">
        <v>2900</v>
      </c>
      <c r="I74" s="14" t="s">
        <v>2901</v>
      </c>
      <c r="J74" s="14" t="s">
        <v>2902</v>
      </c>
      <c r="K74" s="14" t="s">
        <v>2903</v>
      </c>
      <c r="L74" s="14" t="s">
        <v>2904</v>
      </c>
      <c r="M74" s="14" t="s">
        <v>2905</v>
      </c>
      <c r="N74" s="14" t="s">
        <v>2906</v>
      </c>
      <c r="O74" s="14" t="s">
        <v>2907</v>
      </c>
      <c r="P74" s="14" t="s">
        <v>2908</v>
      </c>
      <c r="Q74" s="14" t="s">
        <v>2909</v>
      </c>
      <c r="R74" s="14" t="s">
        <v>2910</v>
      </c>
      <c r="S74" s="14" t="s">
        <v>2911</v>
      </c>
      <c r="T74" s="14" t="s">
        <v>2912</v>
      </c>
      <c r="U74" s="14" t="s">
        <v>2913</v>
      </c>
      <c r="V74" s="14" t="s">
        <v>2914</v>
      </c>
      <c r="W74" s="14" t="s">
        <v>2915</v>
      </c>
      <c r="X74" s="14" t="s">
        <v>2916</v>
      </c>
      <c r="Y74" s="14" t="s">
        <v>2917</v>
      </c>
      <c r="Z74" s="14" t="s">
        <v>2918</v>
      </c>
    </row>
    <row r="75" spans="1:26" ht="409.5">
      <c r="A75" s="14" t="s">
        <v>1218</v>
      </c>
      <c r="B75" s="14" t="s">
        <v>2919</v>
      </c>
      <c r="C75" s="14" t="s">
        <v>2920</v>
      </c>
      <c r="D75" s="15" t="s">
        <v>2921</v>
      </c>
      <c r="E75" s="14" t="s">
        <v>2922</v>
      </c>
      <c r="F75" s="14" t="s">
        <v>2923</v>
      </c>
      <c r="G75" s="14" t="s">
        <v>2924</v>
      </c>
      <c r="H75" s="14" t="s">
        <v>2925</v>
      </c>
      <c r="I75" s="14" t="s">
        <v>2926</v>
      </c>
      <c r="J75" s="14" t="s">
        <v>2927</v>
      </c>
      <c r="K75" s="14" t="s">
        <v>2928</v>
      </c>
      <c r="L75" s="14" t="s">
        <v>2929</v>
      </c>
      <c r="M75" s="14" t="s">
        <v>2930</v>
      </c>
      <c r="N75" s="14" t="s">
        <v>2931</v>
      </c>
      <c r="O75" s="14" t="s">
        <v>2932</v>
      </c>
      <c r="P75" s="14" t="s">
        <v>2933</v>
      </c>
      <c r="Q75" s="14" t="s">
        <v>2934</v>
      </c>
      <c r="R75" s="14" t="s">
        <v>2935</v>
      </c>
      <c r="S75" s="14" t="s">
        <v>2936</v>
      </c>
      <c r="T75" s="14" t="s">
        <v>2937</v>
      </c>
      <c r="U75" s="14" t="s">
        <v>2938</v>
      </c>
      <c r="V75" s="14" t="s">
        <v>2939</v>
      </c>
      <c r="W75" s="14" t="s">
        <v>2940</v>
      </c>
      <c r="X75" s="14" t="s">
        <v>2941</v>
      </c>
      <c r="Y75" s="14" t="s">
        <v>2942</v>
      </c>
      <c r="Z75" s="14" t="s">
        <v>2943</v>
      </c>
    </row>
    <row r="76" spans="1:26" ht="409.5">
      <c r="A76" s="14" t="s">
        <v>1218</v>
      </c>
      <c r="B76" s="14" t="s">
        <v>2944</v>
      </c>
      <c r="C76" s="14" t="s">
        <v>2945</v>
      </c>
      <c r="D76" s="15" t="s">
        <v>2946</v>
      </c>
      <c r="E76" s="14" t="s">
        <v>2947</v>
      </c>
      <c r="F76" s="14" t="s">
        <v>2948</v>
      </c>
      <c r="G76" s="14" t="s">
        <v>2949</v>
      </c>
      <c r="H76" s="14" t="s">
        <v>2950</v>
      </c>
      <c r="I76" s="14" t="s">
        <v>2951</v>
      </c>
      <c r="J76" s="14" t="s">
        <v>2952</v>
      </c>
      <c r="K76" s="14" t="s">
        <v>2953</v>
      </c>
      <c r="L76" s="14" t="s">
        <v>2954</v>
      </c>
      <c r="M76" s="14" t="s">
        <v>2955</v>
      </c>
      <c r="N76" s="14" t="s">
        <v>2956</v>
      </c>
      <c r="O76" s="14" t="s">
        <v>2957</v>
      </c>
      <c r="P76" s="14" t="s">
        <v>2958</v>
      </c>
      <c r="Q76" s="14" t="s">
        <v>2959</v>
      </c>
      <c r="R76" s="14" t="s">
        <v>2960</v>
      </c>
      <c r="S76" s="14" t="s">
        <v>2961</v>
      </c>
      <c r="T76" s="14" t="s">
        <v>2962</v>
      </c>
      <c r="U76" s="14" t="s">
        <v>2963</v>
      </c>
      <c r="V76" s="14" t="s">
        <v>2964</v>
      </c>
      <c r="W76" s="14" t="s">
        <v>2965</v>
      </c>
      <c r="X76" s="14" t="s">
        <v>2966</v>
      </c>
      <c r="Y76" s="14" t="s">
        <v>2967</v>
      </c>
      <c r="Z76" s="14" t="s">
        <v>2968</v>
      </c>
    </row>
    <row r="77" spans="1:26" ht="409.5">
      <c r="A77" s="14" t="s">
        <v>1218</v>
      </c>
      <c r="B77" s="14" t="s">
        <v>2969</v>
      </c>
      <c r="C77" s="14" t="s">
        <v>2970</v>
      </c>
      <c r="D77" s="15" t="s">
        <v>2971</v>
      </c>
      <c r="E77" s="14" t="s">
        <v>2972</v>
      </c>
      <c r="F77" s="14" t="s">
        <v>2973</v>
      </c>
      <c r="G77" s="14" t="s">
        <v>2974</v>
      </c>
      <c r="H77" s="14" t="s">
        <v>2975</v>
      </c>
      <c r="I77" s="14" t="s">
        <v>2976</v>
      </c>
      <c r="J77" s="14" t="s">
        <v>2977</v>
      </c>
      <c r="K77" s="14" t="s">
        <v>2978</v>
      </c>
      <c r="L77" s="14" t="s">
        <v>2979</v>
      </c>
      <c r="M77" s="14" t="s">
        <v>2980</v>
      </c>
      <c r="N77" s="14" t="s">
        <v>2981</v>
      </c>
      <c r="O77" s="14" t="s">
        <v>2982</v>
      </c>
      <c r="P77" s="14" t="s">
        <v>2983</v>
      </c>
      <c r="Q77" s="14" t="s">
        <v>2984</v>
      </c>
      <c r="R77" s="14" t="s">
        <v>2985</v>
      </c>
      <c r="S77" s="14" t="s">
        <v>2986</v>
      </c>
      <c r="T77" s="14" t="s">
        <v>2987</v>
      </c>
      <c r="U77" s="14" t="s">
        <v>2988</v>
      </c>
      <c r="V77" s="14" t="s">
        <v>2989</v>
      </c>
      <c r="W77" s="14" t="s">
        <v>2990</v>
      </c>
      <c r="X77" s="14" t="s">
        <v>2991</v>
      </c>
      <c r="Y77" s="14" t="s">
        <v>2992</v>
      </c>
      <c r="Z77" s="14" t="s">
        <v>2993</v>
      </c>
    </row>
    <row r="78" spans="1:26" ht="409.5">
      <c r="A78" s="14" t="s">
        <v>1218</v>
      </c>
      <c r="B78" s="14" t="s">
        <v>2994</v>
      </c>
      <c r="C78" s="14" t="s">
        <v>2995</v>
      </c>
      <c r="D78" s="15" t="s">
        <v>2996</v>
      </c>
      <c r="E78" s="14" t="s">
        <v>2997</v>
      </c>
      <c r="F78" s="14" t="s">
        <v>2998</v>
      </c>
      <c r="G78" s="14" t="s">
        <v>2999</v>
      </c>
      <c r="H78" s="14" t="s">
        <v>3000</v>
      </c>
      <c r="I78" s="14" t="s">
        <v>3001</v>
      </c>
      <c r="J78" s="14" t="s">
        <v>3002</v>
      </c>
      <c r="K78" s="14" t="s">
        <v>3003</v>
      </c>
      <c r="L78" s="14" t="s">
        <v>3004</v>
      </c>
      <c r="M78" s="14" t="s">
        <v>3005</v>
      </c>
      <c r="N78" s="14" t="s">
        <v>3006</v>
      </c>
      <c r="O78" s="14" t="s">
        <v>3007</v>
      </c>
      <c r="P78" s="14" t="s">
        <v>3008</v>
      </c>
      <c r="Q78" s="14" t="s">
        <v>3009</v>
      </c>
      <c r="R78" s="14" t="s">
        <v>3010</v>
      </c>
      <c r="S78" s="14" t="s">
        <v>3011</v>
      </c>
      <c r="T78" s="14" t="s">
        <v>3012</v>
      </c>
      <c r="U78" s="14" t="s">
        <v>3013</v>
      </c>
      <c r="V78" s="14" t="s">
        <v>3014</v>
      </c>
      <c r="W78" s="14" t="s">
        <v>3015</v>
      </c>
      <c r="X78" s="14" t="s">
        <v>3016</v>
      </c>
      <c r="Y78" s="14" t="s">
        <v>3017</v>
      </c>
      <c r="Z78" s="14" t="s">
        <v>3018</v>
      </c>
    </row>
    <row r="79" spans="1:26" ht="409.5">
      <c r="A79" s="14" t="s">
        <v>1218</v>
      </c>
      <c r="B79" s="14" t="s">
        <v>3019</v>
      </c>
      <c r="C79" s="14" t="s">
        <v>3020</v>
      </c>
      <c r="D79" s="15" t="s">
        <v>3021</v>
      </c>
      <c r="E79" s="14" t="s">
        <v>3022</v>
      </c>
      <c r="F79" s="14" t="s">
        <v>3023</v>
      </c>
      <c r="G79" s="14" t="s">
        <v>3024</v>
      </c>
      <c r="H79" s="14" t="s">
        <v>3025</v>
      </c>
      <c r="I79" s="14" t="s">
        <v>3026</v>
      </c>
      <c r="J79" s="14" t="s">
        <v>3027</v>
      </c>
      <c r="K79" s="14" t="s">
        <v>3028</v>
      </c>
      <c r="L79" s="14" t="s">
        <v>3029</v>
      </c>
      <c r="M79" s="14" t="s">
        <v>3030</v>
      </c>
      <c r="N79" s="14" t="s">
        <v>3031</v>
      </c>
      <c r="O79" s="14" t="s">
        <v>3032</v>
      </c>
      <c r="P79" s="14" t="s">
        <v>3033</v>
      </c>
      <c r="Q79" s="14" t="s">
        <v>3034</v>
      </c>
      <c r="R79" s="14" t="s">
        <v>3035</v>
      </c>
      <c r="S79" s="14" t="s">
        <v>3036</v>
      </c>
      <c r="T79" s="14" t="s">
        <v>3037</v>
      </c>
      <c r="U79" s="14" t="s">
        <v>3038</v>
      </c>
      <c r="V79" s="14" t="s">
        <v>3039</v>
      </c>
      <c r="W79" s="14" t="s">
        <v>3040</v>
      </c>
      <c r="X79" s="14" t="s">
        <v>3041</v>
      </c>
      <c r="Y79" s="14" t="s">
        <v>3042</v>
      </c>
      <c r="Z79" s="14" t="s">
        <v>3043</v>
      </c>
    </row>
    <row r="80" spans="1:26" ht="409.5">
      <c r="A80" s="14" t="s">
        <v>1218</v>
      </c>
      <c r="B80" s="14" t="s">
        <v>3044</v>
      </c>
      <c r="C80" s="14" t="s">
        <v>3045</v>
      </c>
      <c r="D80" s="15" t="s">
        <v>3046</v>
      </c>
      <c r="E80" s="14" t="s">
        <v>3047</v>
      </c>
      <c r="F80" s="14" t="s">
        <v>3048</v>
      </c>
      <c r="G80" s="14" t="s">
        <v>3049</v>
      </c>
      <c r="H80" s="14" t="s">
        <v>3050</v>
      </c>
      <c r="I80" s="14" t="s">
        <v>3051</v>
      </c>
      <c r="J80" s="14" t="s">
        <v>3052</v>
      </c>
      <c r="K80" s="14" t="s">
        <v>3053</v>
      </c>
      <c r="L80" s="14" t="s">
        <v>3054</v>
      </c>
      <c r="M80" s="14" t="s">
        <v>3055</v>
      </c>
      <c r="N80" s="14" t="s">
        <v>3056</v>
      </c>
      <c r="O80" s="14" t="s">
        <v>3057</v>
      </c>
      <c r="P80" s="14" t="s">
        <v>3058</v>
      </c>
      <c r="Q80" s="14" t="s">
        <v>3059</v>
      </c>
      <c r="R80" s="14" t="s">
        <v>3060</v>
      </c>
      <c r="S80" s="14" t="s">
        <v>3061</v>
      </c>
      <c r="T80" s="14" t="s">
        <v>3062</v>
      </c>
      <c r="U80" s="14" t="s">
        <v>3063</v>
      </c>
      <c r="V80" s="14" t="s">
        <v>3064</v>
      </c>
      <c r="W80" s="14" t="s">
        <v>3065</v>
      </c>
      <c r="X80" s="14" t="s">
        <v>3066</v>
      </c>
      <c r="Y80" s="14" t="s">
        <v>3067</v>
      </c>
      <c r="Z80" s="14" t="s">
        <v>3068</v>
      </c>
    </row>
    <row r="81" spans="1:26" ht="409.5">
      <c r="A81" s="14" t="s">
        <v>1218</v>
      </c>
      <c r="B81" s="14" t="s">
        <v>3069</v>
      </c>
      <c r="C81" s="14" t="s">
        <v>3070</v>
      </c>
      <c r="D81" s="15" t="s">
        <v>3071</v>
      </c>
      <c r="E81" s="14" t="s">
        <v>3072</v>
      </c>
      <c r="F81" s="14" t="s">
        <v>3073</v>
      </c>
      <c r="G81" s="14" t="s">
        <v>3074</v>
      </c>
      <c r="H81" s="14" t="s">
        <v>3075</v>
      </c>
      <c r="I81" s="14" t="s">
        <v>3076</v>
      </c>
      <c r="J81" s="14" t="s">
        <v>3077</v>
      </c>
      <c r="K81" s="14" t="s">
        <v>3078</v>
      </c>
      <c r="L81" s="14" t="s">
        <v>3079</v>
      </c>
      <c r="M81" s="14" t="s">
        <v>3080</v>
      </c>
      <c r="N81" s="14" t="s">
        <v>3081</v>
      </c>
      <c r="O81" s="14" t="s">
        <v>3082</v>
      </c>
      <c r="P81" s="14" t="s">
        <v>3083</v>
      </c>
      <c r="Q81" s="14" t="s">
        <v>3084</v>
      </c>
      <c r="R81" s="14" t="s">
        <v>3085</v>
      </c>
      <c r="S81" s="14" t="s">
        <v>3086</v>
      </c>
      <c r="T81" s="14" t="s">
        <v>3087</v>
      </c>
      <c r="U81" s="14" t="s">
        <v>3088</v>
      </c>
      <c r="V81" s="14" t="s">
        <v>3089</v>
      </c>
      <c r="W81" s="14" t="s">
        <v>3090</v>
      </c>
      <c r="X81" s="14" t="s">
        <v>3091</v>
      </c>
      <c r="Y81" s="14" t="s">
        <v>3092</v>
      </c>
      <c r="Z81" s="14" t="s">
        <v>3093</v>
      </c>
    </row>
    <row r="82" spans="1:26" ht="409.5">
      <c r="A82" s="14" t="s">
        <v>1218</v>
      </c>
      <c r="B82" s="14" t="s">
        <v>3094</v>
      </c>
      <c r="C82" s="14" t="s">
        <v>3095</v>
      </c>
      <c r="D82" s="15" t="s">
        <v>3096</v>
      </c>
      <c r="E82" s="14" t="s">
        <v>3097</v>
      </c>
      <c r="F82" s="14" t="s">
        <v>3098</v>
      </c>
      <c r="G82" s="14" t="s">
        <v>3099</v>
      </c>
      <c r="H82" s="14" t="s">
        <v>3100</v>
      </c>
      <c r="I82" s="14" t="s">
        <v>3101</v>
      </c>
      <c r="J82" s="14" t="s">
        <v>3102</v>
      </c>
      <c r="K82" s="14" t="s">
        <v>3103</v>
      </c>
      <c r="L82" s="14" t="s">
        <v>3104</v>
      </c>
      <c r="M82" s="14" t="s">
        <v>3105</v>
      </c>
      <c r="N82" s="14" t="s">
        <v>3106</v>
      </c>
      <c r="O82" s="14" t="s">
        <v>3107</v>
      </c>
      <c r="P82" s="14" t="s">
        <v>3108</v>
      </c>
      <c r="Q82" s="14" t="s">
        <v>3109</v>
      </c>
      <c r="R82" s="14" t="s">
        <v>3110</v>
      </c>
      <c r="S82" s="14" t="s">
        <v>3111</v>
      </c>
      <c r="T82" s="14" t="s">
        <v>3112</v>
      </c>
      <c r="U82" s="14" t="s">
        <v>3113</v>
      </c>
      <c r="V82" s="14" t="s">
        <v>3114</v>
      </c>
      <c r="W82" s="14" t="s">
        <v>3115</v>
      </c>
      <c r="X82" s="14" t="s">
        <v>3116</v>
      </c>
      <c r="Y82" s="14" t="s">
        <v>3117</v>
      </c>
      <c r="Z82" s="14" t="s">
        <v>3118</v>
      </c>
    </row>
    <row r="83" spans="1:26" ht="409.5">
      <c r="A83" s="14" t="s">
        <v>1218</v>
      </c>
      <c r="B83" s="14" t="s">
        <v>3119</v>
      </c>
      <c r="C83" s="14" t="s">
        <v>3120</v>
      </c>
      <c r="D83" s="15" t="s">
        <v>3121</v>
      </c>
      <c r="E83" s="14" t="s">
        <v>3122</v>
      </c>
      <c r="F83" s="14" t="s">
        <v>3123</v>
      </c>
      <c r="G83" s="14" t="s">
        <v>3124</v>
      </c>
      <c r="H83" s="14" t="s">
        <v>3125</v>
      </c>
      <c r="I83" s="14" t="s">
        <v>3126</v>
      </c>
      <c r="J83" s="14" t="s">
        <v>3127</v>
      </c>
      <c r="K83" s="14" t="s">
        <v>3128</v>
      </c>
      <c r="L83" s="14" t="s">
        <v>3129</v>
      </c>
      <c r="M83" s="14" t="s">
        <v>3130</v>
      </c>
      <c r="N83" s="14" t="s">
        <v>3131</v>
      </c>
      <c r="O83" s="14" t="s">
        <v>3132</v>
      </c>
      <c r="P83" s="14" t="s">
        <v>3133</v>
      </c>
      <c r="Q83" s="14" t="s">
        <v>3134</v>
      </c>
      <c r="R83" s="14" t="s">
        <v>3135</v>
      </c>
      <c r="S83" s="14" t="s">
        <v>3136</v>
      </c>
      <c r="T83" s="14" t="s">
        <v>3137</v>
      </c>
      <c r="U83" s="14" t="s">
        <v>3138</v>
      </c>
      <c r="V83" s="14" t="s">
        <v>3139</v>
      </c>
      <c r="W83" s="14" t="s">
        <v>3140</v>
      </c>
      <c r="X83" s="14" t="s">
        <v>3141</v>
      </c>
      <c r="Y83" s="14" t="s">
        <v>3142</v>
      </c>
      <c r="Z83" s="14" t="s">
        <v>3143</v>
      </c>
    </row>
    <row r="84" spans="1:26" ht="409.5">
      <c r="A84" s="14" t="s">
        <v>1218</v>
      </c>
      <c r="B84" s="14" t="s">
        <v>3144</v>
      </c>
      <c r="C84" s="14" t="s">
        <v>3145</v>
      </c>
      <c r="D84" s="15" t="s">
        <v>3146</v>
      </c>
      <c r="E84" s="14" t="s">
        <v>3147</v>
      </c>
      <c r="F84" s="14" t="s">
        <v>3148</v>
      </c>
      <c r="G84" s="14" t="s">
        <v>3149</v>
      </c>
      <c r="H84" s="14" t="s">
        <v>3150</v>
      </c>
      <c r="I84" s="14" t="s">
        <v>3151</v>
      </c>
      <c r="J84" s="14" t="s">
        <v>3152</v>
      </c>
      <c r="K84" s="14" t="s">
        <v>3153</v>
      </c>
      <c r="L84" s="14" t="s">
        <v>3154</v>
      </c>
      <c r="M84" s="14" t="s">
        <v>3155</v>
      </c>
      <c r="N84" s="14" t="s">
        <v>3156</v>
      </c>
      <c r="O84" s="14" t="s">
        <v>3157</v>
      </c>
      <c r="P84" s="14" t="s">
        <v>3158</v>
      </c>
      <c r="Q84" s="14" t="s">
        <v>3159</v>
      </c>
      <c r="R84" s="14" t="s">
        <v>3160</v>
      </c>
      <c r="S84" s="14" t="s">
        <v>3161</v>
      </c>
      <c r="T84" s="14" t="s">
        <v>3162</v>
      </c>
      <c r="U84" s="14" t="s">
        <v>3163</v>
      </c>
      <c r="V84" s="14" t="s">
        <v>3164</v>
      </c>
      <c r="W84" s="14" t="s">
        <v>3165</v>
      </c>
      <c r="X84" s="14" t="s">
        <v>3166</v>
      </c>
      <c r="Y84" s="14" t="s">
        <v>3167</v>
      </c>
      <c r="Z84" s="14" t="s">
        <v>3168</v>
      </c>
    </row>
    <row r="85" spans="1:26" ht="409.5">
      <c r="A85" s="14" t="s">
        <v>1218</v>
      </c>
      <c r="B85" s="14" t="s">
        <v>3169</v>
      </c>
      <c r="C85" s="14" t="s">
        <v>3170</v>
      </c>
      <c r="D85" s="15" t="s">
        <v>3171</v>
      </c>
      <c r="E85" s="14" t="s">
        <v>3172</v>
      </c>
      <c r="F85" s="14" t="s">
        <v>3173</v>
      </c>
      <c r="G85" s="14" t="s">
        <v>3174</v>
      </c>
      <c r="H85" s="14" t="s">
        <v>3175</v>
      </c>
      <c r="I85" s="14" t="s">
        <v>3176</v>
      </c>
      <c r="J85" s="14" t="s">
        <v>3177</v>
      </c>
      <c r="K85" s="14" t="s">
        <v>3178</v>
      </c>
      <c r="L85" s="14" t="s">
        <v>3179</v>
      </c>
      <c r="M85" s="14" t="s">
        <v>3180</v>
      </c>
      <c r="N85" s="14" t="s">
        <v>3181</v>
      </c>
      <c r="O85" s="14" t="s">
        <v>3182</v>
      </c>
      <c r="P85" s="14" t="s">
        <v>3183</v>
      </c>
      <c r="Q85" s="14" t="s">
        <v>3184</v>
      </c>
      <c r="R85" s="14" t="s">
        <v>3185</v>
      </c>
      <c r="S85" s="14" t="s">
        <v>3186</v>
      </c>
      <c r="T85" s="14" t="s">
        <v>3187</v>
      </c>
      <c r="U85" s="14" t="s">
        <v>3188</v>
      </c>
      <c r="V85" s="14" t="s">
        <v>3189</v>
      </c>
      <c r="W85" s="14" t="s">
        <v>3190</v>
      </c>
      <c r="X85" s="14" t="s">
        <v>3191</v>
      </c>
      <c r="Y85" s="14" t="s">
        <v>3192</v>
      </c>
      <c r="Z85" s="14" t="s">
        <v>3193</v>
      </c>
    </row>
    <row r="86" spans="1:26" ht="409.5">
      <c r="A86" s="14" t="s">
        <v>1218</v>
      </c>
      <c r="B86" s="14" t="s">
        <v>3194</v>
      </c>
      <c r="C86" s="14" t="s">
        <v>3195</v>
      </c>
      <c r="D86" s="15" t="s">
        <v>3196</v>
      </c>
      <c r="E86" s="14" t="s">
        <v>3197</v>
      </c>
      <c r="F86" s="14" t="s">
        <v>3198</v>
      </c>
      <c r="G86" s="14" t="s">
        <v>3199</v>
      </c>
      <c r="H86" s="14" t="s">
        <v>3200</v>
      </c>
      <c r="I86" s="14" t="s">
        <v>3201</v>
      </c>
      <c r="J86" s="14" t="s">
        <v>3202</v>
      </c>
      <c r="K86" s="14" t="s">
        <v>3203</v>
      </c>
      <c r="L86" s="14" t="s">
        <v>3204</v>
      </c>
      <c r="M86" s="14" t="s">
        <v>3205</v>
      </c>
      <c r="N86" s="14" t="s">
        <v>3206</v>
      </c>
      <c r="O86" s="14" t="s">
        <v>3207</v>
      </c>
      <c r="P86" s="14" t="s">
        <v>3208</v>
      </c>
      <c r="Q86" s="14" t="s">
        <v>3209</v>
      </c>
      <c r="R86" s="14" t="s">
        <v>3210</v>
      </c>
      <c r="S86" s="14" t="s">
        <v>3211</v>
      </c>
      <c r="T86" s="14" t="s">
        <v>3212</v>
      </c>
      <c r="U86" s="14" t="s">
        <v>3213</v>
      </c>
      <c r="V86" s="14" t="s">
        <v>3214</v>
      </c>
      <c r="W86" s="14" t="s">
        <v>3215</v>
      </c>
      <c r="X86" s="14" t="s">
        <v>3216</v>
      </c>
      <c r="Y86" s="14" t="s">
        <v>3217</v>
      </c>
      <c r="Z86" s="14" t="s">
        <v>3218</v>
      </c>
    </row>
    <row r="87" spans="1:26" ht="409.5">
      <c r="A87" s="14" t="s">
        <v>1218</v>
      </c>
      <c r="B87" s="14" t="s">
        <v>3219</v>
      </c>
      <c r="C87" s="14" t="s">
        <v>3220</v>
      </c>
      <c r="D87" s="15" t="s">
        <v>3221</v>
      </c>
      <c r="E87" s="14" t="s">
        <v>3222</v>
      </c>
      <c r="F87" s="14" t="s">
        <v>3223</v>
      </c>
      <c r="G87" s="14" t="s">
        <v>3224</v>
      </c>
      <c r="H87" s="14" t="s">
        <v>3225</v>
      </c>
      <c r="I87" s="14" t="s">
        <v>3226</v>
      </c>
      <c r="J87" s="14" t="s">
        <v>3227</v>
      </c>
      <c r="K87" s="14" t="s">
        <v>3228</v>
      </c>
      <c r="L87" s="14" t="s">
        <v>3229</v>
      </c>
      <c r="M87" s="14" t="s">
        <v>3230</v>
      </c>
      <c r="N87" s="14" t="s">
        <v>3231</v>
      </c>
      <c r="O87" s="14" t="s">
        <v>3232</v>
      </c>
      <c r="P87" s="14" t="s">
        <v>3233</v>
      </c>
      <c r="Q87" s="14" t="s">
        <v>3234</v>
      </c>
      <c r="R87" s="14" t="s">
        <v>3235</v>
      </c>
      <c r="S87" s="14" t="s">
        <v>3236</v>
      </c>
      <c r="T87" s="14" t="s">
        <v>3237</v>
      </c>
      <c r="U87" s="14" t="s">
        <v>3238</v>
      </c>
      <c r="V87" s="14" t="s">
        <v>3239</v>
      </c>
      <c r="W87" s="14" t="s">
        <v>3240</v>
      </c>
      <c r="X87" s="14" t="s">
        <v>3241</v>
      </c>
      <c r="Y87" s="14" t="s">
        <v>3242</v>
      </c>
      <c r="Z87" s="14" t="s">
        <v>3243</v>
      </c>
    </row>
    <row r="88" spans="1:26" ht="409.5">
      <c r="A88" s="14" t="s">
        <v>1218</v>
      </c>
      <c r="B88" s="14" t="s">
        <v>3244</v>
      </c>
      <c r="C88" s="14" t="s">
        <v>3245</v>
      </c>
      <c r="D88" s="15" t="s">
        <v>3246</v>
      </c>
      <c r="E88" s="14" t="s">
        <v>3247</v>
      </c>
      <c r="F88" s="14" t="s">
        <v>3248</v>
      </c>
      <c r="G88" s="14" t="s">
        <v>3249</v>
      </c>
      <c r="H88" s="14" t="s">
        <v>3250</v>
      </c>
      <c r="I88" s="14" t="s">
        <v>3251</v>
      </c>
      <c r="J88" s="14" t="s">
        <v>3252</v>
      </c>
      <c r="K88" s="14" t="s">
        <v>3253</v>
      </c>
      <c r="L88" s="14" t="s">
        <v>3254</v>
      </c>
      <c r="M88" s="14" t="s">
        <v>3255</v>
      </c>
      <c r="N88" s="14" t="s">
        <v>3256</v>
      </c>
      <c r="O88" s="14" t="s">
        <v>3257</v>
      </c>
      <c r="P88" s="14" t="s">
        <v>3258</v>
      </c>
      <c r="Q88" s="14" t="s">
        <v>3259</v>
      </c>
      <c r="R88" s="14" t="s">
        <v>3260</v>
      </c>
      <c r="S88" s="14" t="s">
        <v>3261</v>
      </c>
      <c r="T88" s="14" t="s">
        <v>3262</v>
      </c>
      <c r="U88" s="14" t="s">
        <v>3263</v>
      </c>
      <c r="V88" s="14" t="s">
        <v>3264</v>
      </c>
      <c r="W88" s="14" t="s">
        <v>3265</v>
      </c>
      <c r="X88" s="14" t="s">
        <v>3266</v>
      </c>
      <c r="Y88" s="14" t="s">
        <v>3267</v>
      </c>
      <c r="Z88" s="14" t="s">
        <v>3268</v>
      </c>
    </row>
    <row r="89" spans="1:26" ht="409.5">
      <c r="A89" s="14" t="s">
        <v>1218</v>
      </c>
      <c r="B89" s="14" t="s">
        <v>3269</v>
      </c>
      <c r="C89" s="14" t="s">
        <v>3270</v>
      </c>
      <c r="D89" s="15" t="s">
        <v>3271</v>
      </c>
      <c r="E89" s="14" t="s">
        <v>3272</v>
      </c>
      <c r="F89" s="14" t="s">
        <v>3273</v>
      </c>
      <c r="G89" s="14" t="s">
        <v>3274</v>
      </c>
      <c r="H89" s="14" t="s">
        <v>3275</v>
      </c>
      <c r="I89" s="14" t="s">
        <v>3276</v>
      </c>
      <c r="J89" s="14" t="s">
        <v>3277</v>
      </c>
      <c r="K89" s="14" t="s">
        <v>3278</v>
      </c>
      <c r="L89" s="14" t="s">
        <v>3279</v>
      </c>
      <c r="M89" s="14" t="s">
        <v>3280</v>
      </c>
      <c r="N89" s="14" t="s">
        <v>3281</v>
      </c>
      <c r="O89" s="14" t="s">
        <v>3282</v>
      </c>
      <c r="P89" s="14" t="s">
        <v>3283</v>
      </c>
      <c r="Q89" s="14" t="s">
        <v>3284</v>
      </c>
      <c r="R89" s="14" t="s">
        <v>3285</v>
      </c>
      <c r="S89" s="14" t="s">
        <v>3286</v>
      </c>
      <c r="T89" s="14" t="s">
        <v>3287</v>
      </c>
      <c r="U89" s="14" t="s">
        <v>3288</v>
      </c>
      <c r="V89" s="14" t="s">
        <v>3289</v>
      </c>
      <c r="W89" s="14" t="s">
        <v>3290</v>
      </c>
      <c r="X89" s="14" t="s">
        <v>3291</v>
      </c>
      <c r="Y89" s="14" t="s">
        <v>3292</v>
      </c>
      <c r="Z89" s="14" t="s">
        <v>3293</v>
      </c>
    </row>
    <row r="90" spans="1:26" ht="409.5">
      <c r="A90" s="14" t="s">
        <v>1218</v>
      </c>
      <c r="B90" s="14" t="s">
        <v>3294</v>
      </c>
      <c r="C90" s="14" t="s">
        <v>3295</v>
      </c>
      <c r="D90" s="15" t="s">
        <v>3296</v>
      </c>
      <c r="E90" s="14" t="s">
        <v>3297</v>
      </c>
      <c r="F90" s="14" t="s">
        <v>3298</v>
      </c>
      <c r="G90" s="14" t="s">
        <v>3299</v>
      </c>
      <c r="H90" s="14" t="s">
        <v>3300</v>
      </c>
      <c r="I90" s="14" t="s">
        <v>3301</v>
      </c>
      <c r="J90" s="14" t="s">
        <v>3302</v>
      </c>
      <c r="K90" s="14" t="s">
        <v>3303</v>
      </c>
      <c r="L90" s="14" t="s">
        <v>3304</v>
      </c>
      <c r="M90" s="14" t="s">
        <v>3305</v>
      </c>
      <c r="N90" s="14" t="s">
        <v>3306</v>
      </c>
      <c r="O90" s="14" t="s">
        <v>3307</v>
      </c>
      <c r="P90" s="14" t="s">
        <v>3308</v>
      </c>
      <c r="Q90" s="14" t="s">
        <v>3309</v>
      </c>
      <c r="R90" s="14" t="s">
        <v>3310</v>
      </c>
      <c r="S90" s="14" t="s">
        <v>3311</v>
      </c>
      <c r="T90" s="14" t="s">
        <v>3312</v>
      </c>
      <c r="U90" s="14" t="s">
        <v>3313</v>
      </c>
      <c r="V90" s="14" t="s">
        <v>3314</v>
      </c>
      <c r="W90" s="14" t="s">
        <v>3315</v>
      </c>
      <c r="X90" s="14" t="s">
        <v>3316</v>
      </c>
      <c r="Y90" s="14" t="s">
        <v>3317</v>
      </c>
      <c r="Z90" s="14" t="s">
        <v>3318</v>
      </c>
    </row>
    <row r="91" spans="1:26" ht="409.5">
      <c r="A91" s="14" t="s">
        <v>1218</v>
      </c>
      <c r="B91" s="14" t="s">
        <v>3319</v>
      </c>
      <c r="C91" s="14" t="s">
        <v>3320</v>
      </c>
      <c r="D91" s="15" t="s">
        <v>3321</v>
      </c>
      <c r="E91" s="14" t="s">
        <v>3322</v>
      </c>
      <c r="F91" s="14" t="s">
        <v>3323</v>
      </c>
      <c r="G91" s="14" t="s">
        <v>3324</v>
      </c>
      <c r="H91" s="14" t="s">
        <v>3325</v>
      </c>
      <c r="I91" s="14" t="s">
        <v>3326</v>
      </c>
      <c r="J91" s="14" t="s">
        <v>3327</v>
      </c>
      <c r="K91" s="14" t="s">
        <v>3328</v>
      </c>
      <c r="L91" s="14" t="s">
        <v>3329</v>
      </c>
      <c r="M91" s="14" t="s">
        <v>3330</v>
      </c>
      <c r="N91" s="14" t="s">
        <v>3331</v>
      </c>
      <c r="O91" s="14" t="s">
        <v>3332</v>
      </c>
      <c r="P91" s="14" t="s">
        <v>3333</v>
      </c>
      <c r="Q91" s="14" t="s">
        <v>3334</v>
      </c>
      <c r="R91" s="14" t="s">
        <v>3335</v>
      </c>
      <c r="S91" s="14" t="s">
        <v>3336</v>
      </c>
      <c r="T91" s="14" t="s">
        <v>3337</v>
      </c>
      <c r="U91" s="14" t="s">
        <v>3338</v>
      </c>
      <c r="V91" s="14" t="s">
        <v>3339</v>
      </c>
      <c r="W91" s="14" t="s">
        <v>3340</v>
      </c>
      <c r="X91" s="14" t="s">
        <v>3341</v>
      </c>
      <c r="Y91" s="14" t="s">
        <v>3342</v>
      </c>
      <c r="Z91" s="14" t="s">
        <v>3343</v>
      </c>
    </row>
    <row r="92" spans="1:26" ht="409.5">
      <c r="A92" s="14" t="s">
        <v>1218</v>
      </c>
      <c r="B92" s="14" t="s">
        <v>3344</v>
      </c>
      <c r="C92" s="14" t="s">
        <v>3345</v>
      </c>
      <c r="D92" s="15" t="s">
        <v>3346</v>
      </c>
      <c r="E92" s="14" t="s">
        <v>3347</v>
      </c>
      <c r="F92" s="14" t="s">
        <v>3348</v>
      </c>
      <c r="G92" s="14" t="s">
        <v>3349</v>
      </c>
      <c r="H92" s="14" t="s">
        <v>3350</v>
      </c>
      <c r="I92" s="14" t="s">
        <v>3351</v>
      </c>
      <c r="J92" s="14" t="s">
        <v>3352</v>
      </c>
      <c r="K92" s="14" t="s">
        <v>3353</v>
      </c>
      <c r="L92" s="14" t="s">
        <v>3354</v>
      </c>
      <c r="M92" s="14" t="s">
        <v>3355</v>
      </c>
      <c r="N92" s="14" t="s">
        <v>3356</v>
      </c>
      <c r="O92" s="14" t="s">
        <v>3357</v>
      </c>
      <c r="P92" s="14" t="s">
        <v>3358</v>
      </c>
      <c r="Q92" s="14" t="s">
        <v>3359</v>
      </c>
      <c r="R92" s="14" t="s">
        <v>3360</v>
      </c>
      <c r="S92" s="14" t="s">
        <v>3361</v>
      </c>
      <c r="T92" s="14" t="s">
        <v>3362</v>
      </c>
      <c r="U92" s="14" t="s">
        <v>3363</v>
      </c>
      <c r="V92" s="14" t="s">
        <v>3364</v>
      </c>
      <c r="W92" s="14" t="s">
        <v>3365</v>
      </c>
      <c r="X92" s="14" t="s">
        <v>3366</v>
      </c>
      <c r="Y92" s="14" t="s">
        <v>3367</v>
      </c>
      <c r="Z92" s="14" t="s">
        <v>3368</v>
      </c>
    </row>
    <row r="93" spans="1:26" ht="409.5">
      <c r="A93" s="14" t="s">
        <v>1218</v>
      </c>
      <c r="B93" s="14" t="s">
        <v>3369</v>
      </c>
      <c r="C93" s="14" t="s">
        <v>3370</v>
      </c>
      <c r="D93" s="15" t="s">
        <v>3371</v>
      </c>
      <c r="E93" s="14" t="s">
        <v>3372</v>
      </c>
      <c r="F93" s="14" t="s">
        <v>3373</v>
      </c>
      <c r="G93" s="14" t="s">
        <v>3374</v>
      </c>
      <c r="H93" s="14" t="s">
        <v>3375</v>
      </c>
      <c r="I93" s="14" t="s">
        <v>3376</v>
      </c>
      <c r="J93" s="14" t="s">
        <v>3377</v>
      </c>
      <c r="K93" s="14" t="s">
        <v>3378</v>
      </c>
      <c r="L93" s="14" t="s">
        <v>3379</v>
      </c>
      <c r="M93" s="14" t="s">
        <v>3380</v>
      </c>
      <c r="N93" s="14" t="s">
        <v>3381</v>
      </c>
      <c r="O93" s="14" t="s">
        <v>3382</v>
      </c>
      <c r="P93" s="14" t="s">
        <v>3383</v>
      </c>
      <c r="Q93" s="14" t="s">
        <v>3384</v>
      </c>
      <c r="R93" s="14" t="s">
        <v>3385</v>
      </c>
      <c r="S93" s="14" t="s">
        <v>3386</v>
      </c>
      <c r="T93" s="14" t="s">
        <v>3387</v>
      </c>
      <c r="U93" s="14" t="s">
        <v>3388</v>
      </c>
      <c r="V93" s="14" t="s">
        <v>3389</v>
      </c>
      <c r="W93" s="14" t="s">
        <v>3390</v>
      </c>
      <c r="X93" s="14" t="s">
        <v>3391</v>
      </c>
      <c r="Y93" s="14" t="s">
        <v>3392</v>
      </c>
      <c r="Z93" s="14" t="s">
        <v>3393</v>
      </c>
    </row>
    <row r="94" spans="1:26" ht="409.5">
      <c r="A94" s="14" t="s">
        <v>1218</v>
      </c>
      <c r="B94" s="14" t="s">
        <v>3394</v>
      </c>
      <c r="C94" s="14" t="s">
        <v>3395</v>
      </c>
      <c r="D94" s="15" t="s">
        <v>3396</v>
      </c>
      <c r="E94" s="14" t="s">
        <v>3397</v>
      </c>
      <c r="F94" s="14" t="s">
        <v>3398</v>
      </c>
      <c r="G94" s="14" t="s">
        <v>3399</v>
      </c>
      <c r="H94" s="14" t="s">
        <v>3400</v>
      </c>
      <c r="I94" s="14" t="s">
        <v>3401</v>
      </c>
      <c r="J94" s="14" t="s">
        <v>3402</v>
      </c>
      <c r="K94" s="14" t="s">
        <v>3403</v>
      </c>
      <c r="L94" s="14" t="s">
        <v>3404</v>
      </c>
      <c r="M94" s="14" t="s">
        <v>3405</v>
      </c>
      <c r="N94" s="14" t="s">
        <v>3406</v>
      </c>
      <c r="O94" s="14" t="s">
        <v>3407</v>
      </c>
      <c r="P94" s="14" t="s">
        <v>3408</v>
      </c>
      <c r="Q94" s="14" t="s">
        <v>3409</v>
      </c>
      <c r="R94" s="14" t="s">
        <v>3410</v>
      </c>
      <c r="S94" s="14" t="s">
        <v>3411</v>
      </c>
      <c r="T94" s="14" t="s">
        <v>3412</v>
      </c>
      <c r="U94" s="14" t="s">
        <v>3413</v>
      </c>
      <c r="V94" s="14" t="s">
        <v>3414</v>
      </c>
      <c r="W94" s="14" t="s">
        <v>3415</v>
      </c>
      <c r="X94" s="14" t="s">
        <v>3416</v>
      </c>
      <c r="Y94" s="14" t="s">
        <v>3417</v>
      </c>
      <c r="Z94" s="14" t="s">
        <v>3418</v>
      </c>
    </row>
    <row r="95" spans="1:26" ht="409.5">
      <c r="A95" s="14" t="s">
        <v>1218</v>
      </c>
      <c r="B95" s="14" t="s">
        <v>3419</v>
      </c>
      <c r="C95" s="14" t="s">
        <v>3420</v>
      </c>
      <c r="D95" s="15" t="s">
        <v>3421</v>
      </c>
      <c r="E95" s="14" t="s">
        <v>3422</v>
      </c>
      <c r="F95" s="14" t="s">
        <v>3423</v>
      </c>
      <c r="G95" s="14" t="s">
        <v>3424</v>
      </c>
      <c r="H95" s="14" t="s">
        <v>3425</v>
      </c>
      <c r="I95" s="14" t="s">
        <v>3426</v>
      </c>
      <c r="J95" s="14" t="s">
        <v>3427</v>
      </c>
      <c r="K95" s="14" t="s">
        <v>3428</v>
      </c>
      <c r="L95" s="14" t="s">
        <v>3429</v>
      </c>
      <c r="M95" s="14" t="s">
        <v>3430</v>
      </c>
      <c r="N95" s="14" t="s">
        <v>3431</v>
      </c>
      <c r="O95" s="14" t="s">
        <v>3432</v>
      </c>
      <c r="P95" s="14" t="s">
        <v>3433</v>
      </c>
      <c r="Q95" s="14" t="s">
        <v>3434</v>
      </c>
      <c r="R95" s="14" t="s">
        <v>3435</v>
      </c>
      <c r="S95" s="14" t="s">
        <v>3436</v>
      </c>
      <c r="T95" s="14" t="s">
        <v>3437</v>
      </c>
      <c r="U95" s="14" t="s">
        <v>3438</v>
      </c>
      <c r="V95" s="14" t="s">
        <v>3439</v>
      </c>
      <c r="W95" s="14" t="s">
        <v>3440</v>
      </c>
      <c r="X95" s="14" t="s">
        <v>3441</v>
      </c>
      <c r="Y95" s="14" t="s">
        <v>3442</v>
      </c>
      <c r="Z95" s="14" t="s">
        <v>3443</v>
      </c>
    </row>
    <row r="96" spans="1:26" ht="409.5">
      <c r="A96" s="14" t="s">
        <v>1218</v>
      </c>
      <c r="B96" s="14" t="s">
        <v>3444</v>
      </c>
      <c r="C96" s="14" t="s">
        <v>3445</v>
      </c>
      <c r="D96" s="15" t="s">
        <v>3446</v>
      </c>
      <c r="E96" s="14" t="s">
        <v>3447</v>
      </c>
      <c r="F96" s="14" t="s">
        <v>3448</v>
      </c>
      <c r="G96" s="14" t="s">
        <v>3449</v>
      </c>
      <c r="H96" s="14" t="s">
        <v>3450</v>
      </c>
      <c r="I96" s="14" t="s">
        <v>3451</v>
      </c>
      <c r="J96" s="14" t="s">
        <v>3452</v>
      </c>
      <c r="K96" s="14" t="s">
        <v>3453</v>
      </c>
      <c r="L96" s="14" t="s">
        <v>3454</v>
      </c>
      <c r="M96" s="14" t="s">
        <v>3455</v>
      </c>
      <c r="N96" s="14" t="s">
        <v>3456</v>
      </c>
      <c r="O96" s="14" t="s">
        <v>3457</v>
      </c>
      <c r="P96" s="14" t="s">
        <v>3458</v>
      </c>
      <c r="Q96" s="14" t="s">
        <v>3459</v>
      </c>
      <c r="R96" s="14" t="s">
        <v>3460</v>
      </c>
      <c r="S96" s="14" t="s">
        <v>3461</v>
      </c>
      <c r="T96" s="14" t="s">
        <v>3462</v>
      </c>
      <c r="U96" s="14" t="s">
        <v>3463</v>
      </c>
      <c r="V96" s="14" t="s">
        <v>3464</v>
      </c>
      <c r="W96" s="14" t="s">
        <v>3465</v>
      </c>
      <c r="X96" s="14" t="s">
        <v>3466</v>
      </c>
      <c r="Y96" s="14" t="s">
        <v>3467</v>
      </c>
      <c r="Z96" s="14" t="s">
        <v>3468</v>
      </c>
    </row>
    <row r="97" spans="1:26" ht="409.5">
      <c r="A97" s="14" t="s">
        <v>1218</v>
      </c>
      <c r="B97" s="14" t="s">
        <v>3469</v>
      </c>
      <c r="C97" s="14" t="s">
        <v>3470</v>
      </c>
      <c r="D97" s="15" t="s">
        <v>3471</v>
      </c>
      <c r="E97" s="14" t="s">
        <v>3472</v>
      </c>
      <c r="F97" s="14" t="s">
        <v>3473</v>
      </c>
      <c r="G97" s="14" t="s">
        <v>3474</v>
      </c>
      <c r="H97" s="14" t="s">
        <v>3475</v>
      </c>
      <c r="I97" s="14" t="s">
        <v>3476</v>
      </c>
      <c r="J97" s="14" t="s">
        <v>3477</v>
      </c>
      <c r="K97" s="14" t="s">
        <v>3478</v>
      </c>
      <c r="L97" s="14" t="s">
        <v>3479</v>
      </c>
      <c r="M97" s="14" t="s">
        <v>3480</v>
      </c>
      <c r="N97" s="14" t="s">
        <v>3481</v>
      </c>
      <c r="O97" s="14" t="s">
        <v>3482</v>
      </c>
      <c r="P97" s="14" t="s">
        <v>3483</v>
      </c>
      <c r="Q97" s="14" t="s">
        <v>3484</v>
      </c>
      <c r="R97" s="14" t="s">
        <v>3485</v>
      </c>
      <c r="S97" s="14" t="s">
        <v>3486</v>
      </c>
      <c r="T97" s="14" t="s">
        <v>3487</v>
      </c>
      <c r="U97" s="14" t="s">
        <v>3488</v>
      </c>
      <c r="V97" s="14" t="s">
        <v>3489</v>
      </c>
      <c r="W97" s="14" t="s">
        <v>3490</v>
      </c>
      <c r="X97" s="14" t="s">
        <v>3491</v>
      </c>
      <c r="Y97" s="14" t="s">
        <v>3492</v>
      </c>
      <c r="Z97" s="14" t="s">
        <v>3493</v>
      </c>
    </row>
    <row r="98" spans="1:26" ht="409.5">
      <c r="A98" s="14" t="s">
        <v>1218</v>
      </c>
      <c r="B98" s="14" t="s">
        <v>3494</v>
      </c>
      <c r="C98" s="14" t="s">
        <v>3495</v>
      </c>
      <c r="D98" s="15" t="s">
        <v>3496</v>
      </c>
      <c r="E98" s="14" t="s">
        <v>3497</v>
      </c>
      <c r="F98" s="14" t="s">
        <v>3498</v>
      </c>
      <c r="G98" s="14" t="s">
        <v>3499</v>
      </c>
      <c r="H98" s="14" t="s">
        <v>3500</v>
      </c>
      <c r="I98" s="14" t="s">
        <v>3501</v>
      </c>
      <c r="J98" s="14" t="s">
        <v>3502</v>
      </c>
      <c r="K98" s="14" t="s">
        <v>3503</v>
      </c>
      <c r="L98" s="14" t="s">
        <v>3504</v>
      </c>
      <c r="M98" s="14" t="s">
        <v>3505</v>
      </c>
      <c r="N98" s="14" t="s">
        <v>3506</v>
      </c>
      <c r="O98" s="14" t="s">
        <v>3507</v>
      </c>
      <c r="P98" s="14" t="s">
        <v>3508</v>
      </c>
      <c r="Q98" s="14" t="s">
        <v>3509</v>
      </c>
      <c r="R98" s="14" t="s">
        <v>3510</v>
      </c>
      <c r="S98" s="14" t="s">
        <v>3511</v>
      </c>
      <c r="T98" s="14" t="s">
        <v>3512</v>
      </c>
      <c r="U98" s="14" t="s">
        <v>3513</v>
      </c>
      <c r="V98" s="14" t="s">
        <v>3514</v>
      </c>
      <c r="W98" s="14" t="s">
        <v>3515</v>
      </c>
      <c r="X98" s="14" t="s">
        <v>3516</v>
      </c>
      <c r="Y98" s="14" t="s">
        <v>3517</v>
      </c>
      <c r="Z98" s="14" t="s">
        <v>3518</v>
      </c>
    </row>
    <row r="99" spans="1:26" ht="409.5">
      <c r="A99" s="14" t="s">
        <v>1218</v>
      </c>
      <c r="B99" s="14" t="s">
        <v>3519</v>
      </c>
      <c r="C99" s="14" t="s">
        <v>3520</v>
      </c>
      <c r="D99" s="15" t="s">
        <v>3521</v>
      </c>
      <c r="E99" s="14" t="s">
        <v>3522</v>
      </c>
      <c r="F99" s="14" t="s">
        <v>3523</v>
      </c>
      <c r="G99" s="14" t="s">
        <v>3524</v>
      </c>
      <c r="H99" s="14" t="s">
        <v>3525</v>
      </c>
      <c r="I99" s="14" t="s">
        <v>3526</v>
      </c>
      <c r="J99" s="14" t="s">
        <v>3527</v>
      </c>
      <c r="K99" s="14" t="s">
        <v>3528</v>
      </c>
      <c r="L99" s="14" t="s">
        <v>3529</v>
      </c>
      <c r="M99" s="14" t="s">
        <v>3530</v>
      </c>
      <c r="N99" s="14" t="s">
        <v>3531</v>
      </c>
      <c r="O99" s="14" t="s">
        <v>3532</v>
      </c>
      <c r="P99" s="14" t="s">
        <v>3533</v>
      </c>
      <c r="Q99" s="14" t="s">
        <v>3534</v>
      </c>
      <c r="R99" s="14" t="s">
        <v>3535</v>
      </c>
      <c r="S99" s="14" t="s">
        <v>3536</v>
      </c>
      <c r="T99" s="14" t="s">
        <v>3537</v>
      </c>
      <c r="U99" s="14" t="s">
        <v>3538</v>
      </c>
      <c r="V99" s="14" t="s">
        <v>3539</v>
      </c>
      <c r="W99" s="14" t="s">
        <v>3540</v>
      </c>
      <c r="X99" s="14" t="s">
        <v>3541</v>
      </c>
      <c r="Y99" s="14" t="s">
        <v>3542</v>
      </c>
      <c r="Z99" s="14" t="s">
        <v>3543</v>
      </c>
    </row>
    <row r="100" spans="1:26" ht="409.5">
      <c r="A100" s="14" t="s">
        <v>1218</v>
      </c>
      <c r="B100" s="14" t="s">
        <v>3544</v>
      </c>
      <c r="C100" s="14" t="s">
        <v>3545</v>
      </c>
      <c r="D100" s="15" t="s">
        <v>3546</v>
      </c>
      <c r="E100" s="14" t="s">
        <v>3547</v>
      </c>
      <c r="F100" s="14" t="s">
        <v>3548</v>
      </c>
      <c r="G100" s="14" t="s">
        <v>3549</v>
      </c>
      <c r="H100" s="14" t="s">
        <v>3550</v>
      </c>
      <c r="I100" s="14" t="s">
        <v>3551</v>
      </c>
      <c r="J100" s="14" t="s">
        <v>3552</v>
      </c>
      <c r="K100" s="14" t="s">
        <v>3553</v>
      </c>
      <c r="L100" s="14" t="s">
        <v>3554</v>
      </c>
      <c r="M100" s="14" t="s">
        <v>3555</v>
      </c>
      <c r="N100" s="14" t="s">
        <v>3556</v>
      </c>
      <c r="O100" s="14" t="s">
        <v>3557</v>
      </c>
      <c r="P100" s="14" t="s">
        <v>3558</v>
      </c>
      <c r="Q100" s="14" t="s">
        <v>3559</v>
      </c>
      <c r="R100" s="14" t="s">
        <v>3560</v>
      </c>
      <c r="S100" s="14" t="s">
        <v>3561</v>
      </c>
      <c r="T100" s="14" t="s">
        <v>3562</v>
      </c>
      <c r="U100" s="14" t="s">
        <v>3563</v>
      </c>
      <c r="V100" s="14" t="s">
        <v>3564</v>
      </c>
      <c r="W100" s="14" t="s">
        <v>3565</v>
      </c>
      <c r="X100" s="14" t="s">
        <v>3566</v>
      </c>
      <c r="Y100" s="14" t="s">
        <v>3567</v>
      </c>
      <c r="Z100" s="14" t="s">
        <v>3568</v>
      </c>
    </row>
    <row r="101" spans="1:26" ht="409.5">
      <c r="A101" s="14" t="s">
        <v>1218</v>
      </c>
      <c r="B101" s="14" t="s">
        <v>3569</v>
      </c>
      <c r="C101" s="14" t="s">
        <v>3570</v>
      </c>
      <c r="D101" s="15" t="s">
        <v>3571</v>
      </c>
      <c r="E101" s="14" t="s">
        <v>3572</v>
      </c>
      <c r="F101" s="14" t="s">
        <v>3573</v>
      </c>
      <c r="G101" s="14" t="s">
        <v>3574</v>
      </c>
      <c r="H101" s="14" t="s">
        <v>3575</v>
      </c>
      <c r="I101" s="14" t="s">
        <v>3576</v>
      </c>
      <c r="J101" s="14" t="s">
        <v>3577</v>
      </c>
      <c r="K101" s="14" t="s">
        <v>3578</v>
      </c>
      <c r="L101" s="14" t="s">
        <v>3579</v>
      </c>
      <c r="M101" s="14" t="s">
        <v>3580</v>
      </c>
      <c r="N101" s="14" t="s">
        <v>3581</v>
      </c>
      <c r="O101" s="14" t="s">
        <v>3582</v>
      </c>
      <c r="P101" s="14" t="s">
        <v>3583</v>
      </c>
      <c r="Q101" s="14" t="s">
        <v>3584</v>
      </c>
      <c r="R101" s="14" t="s">
        <v>3585</v>
      </c>
      <c r="S101" s="14" t="s">
        <v>3586</v>
      </c>
      <c r="T101" s="14" t="s">
        <v>3587</v>
      </c>
      <c r="U101" s="14" t="s">
        <v>3588</v>
      </c>
      <c r="V101" s="14" t="s">
        <v>3589</v>
      </c>
      <c r="W101" s="14" t="s">
        <v>3590</v>
      </c>
      <c r="X101" s="14" t="s">
        <v>3591</v>
      </c>
      <c r="Y101" s="14" t="s">
        <v>3592</v>
      </c>
      <c r="Z101" s="14" t="s">
        <v>3593</v>
      </c>
    </row>
    <row r="102" spans="1:26" ht="409.5">
      <c r="A102" s="14" t="s">
        <v>1218</v>
      </c>
      <c r="B102" s="14" t="s">
        <v>3594</v>
      </c>
      <c r="C102" s="14" t="s">
        <v>3595</v>
      </c>
      <c r="D102" s="15" t="s">
        <v>3596</v>
      </c>
      <c r="E102" s="14" t="s">
        <v>3597</v>
      </c>
      <c r="F102" s="14" t="s">
        <v>3598</v>
      </c>
      <c r="G102" s="14" t="s">
        <v>3599</v>
      </c>
      <c r="H102" s="14" t="s">
        <v>3600</v>
      </c>
      <c r="I102" s="14" t="s">
        <v>3601</v>
      </c>
      <c r="J102" s="14" t="s">
        <v>3602</v>
      </c>
      <c r="K102" s="14" t="s">
        <v>3603</v>
      </c>
      <c r="L102" s="14" t="s">
        <v>3604</v>
      </c>
      <c r="M102" s="14" t="s">
        <v>3605</v>
      </c>
      <c r="N102" s="14" t="s">
        <v>3606</v>
      </c>
      <c r="O102" s="14" t="s">
        <v>3607</v>
      </c>
      <c r="P102" s="14" t="s">
        <v>3608</v>
      </c>
      <c r="Q102" s="14" t="s">
        <v>3609</v>
      </c>
      <c r="R102" s="14" t="s">
        <v>3610</v>
      </c>
      <c r="S102" s="14" t="s">
        <v>3611</v>
      </c>
      <c r="T102" s="14" t="s">
        <v>3612</v>
      </c>
      <c r="U102" s="14" t="s">
        <v>3613</v>
      </c>
      <c r="V102" s="14" t="s">
        <v>3614</v>
      </c>
      <c r="W102" s="14" t="s">
        <v>3615</v>
      </c>
      <c r="X102" s="14" t="s">
        <v>3616</v>
      </c>
      <c r="Y102" s="14" t="s">
        <v>3617</v>
      </c>
      <c r="Z102" s="14" t="s">
        <v>3618</v>
      </c>
    </row>
    <row r="103" spans="1:26" ht="409.5">
      <c r="A103" s="14" t="s">
        <v>1218</v>
      </c>
      <c r="B103" s="14" t="s">
        <v>3619</v>
      </c>
      <c r="C103" s="14" t="s">
        <v>3620</v>
      </c>
      <c r="D103" s="15" t="s">
        <v>3621</v>
      </c>
      <c r="E103" s="14" t="s">
        <v>3622</v>
      </c>
      <c r="F103" s="14" t="s">
        <v>3623</v>
      </c>
      <c r="G103" s="14" t="s">
        <v>3624</v>
      </c>
      <c r="H103" s="14" t="s">
        <v>3625</v>
      </c>
      <c r="I103" s="14" t="s">
        <v>3626</v>
      </c>
      <c r="J103" s="14" t="s">
        <v>3627</v>
      </c>
      <c r="K103" s="14" t="s">
        <v>3628</v>
      </c>
      <c r="L103" s="14" t="s">
        <v>3629</v>
      </c>
      <c r="M103" s="14" t="s">
        <v>3630</v>
      </c>
      <c r="N103" s="14" t="s">
        <v>3631</v>
      </c>
      <c r="O103" s="14" t="s">
        <v>3632</v>
      </c>
      <c r="P103" s="14" t="s">
        <v>3633</v>
      </c>
      <c r="Q103" s="14" t="s">
        <v>3634</v>
      </c>
      <c r="R103" s="14" t="s">
        <v>3635</v>
      </c>
      <c r="S103" s="14" t="s">
        <v>3636</v>
      </c>
      <c r="T103" s="14" t="s">
        <v>3637</v>
      </c>
      <c r="U103" s="14" t="s">
        <v>3638</v>
      </c>
      <c r="V103" s="14" t="s">
        <v>3639</v>
      </c>
      <c r="W103" s="14" t="s">
        <v>3640</v>
      </c>
      <c r="X103" s="14" t="s">
        <v>3641</v>
      </c>
      <c r="Y103" s="14" t="s">
        <v>3642</v>
      </c>
      <c r="Z103" s="14" t="s">
        <v>3643</v>
      </c>
    </row>
    <row r="104" spans="1:26" ht="409.5">
      <c r="A104" s="14" t="s">
        <v>1218</v>
      </c>
      <c r="B104" s="14" t="s">
        <v>3644</v>
      </c>
      <c r="C104" s="14" t="s">
        <v>3645</v>
      </c>
      <c r="D104" s="15" t="s">
        <v>3646</v>
      </c>
      <c r="E104" s="14" t="s">
        <v>3647</v>
      </c>
      <c r="F104" s="14" t="s">
        <v>3648</v>
      </c>
      <c r="G104" s="14" t="s">
        <v>3649</v>
      </c>
      <c r="H104" s="14" t="s">
        <v>3650</v>
      </c>
      <c r="I104" s="14" t="s">
        <v>3651</v>
      </c>
      <c r="J104" s="14" t="s">
        <v>3652</v>
      </c>
      <c r="K104" s="14" t="s">
        <v>3653</v>
      </c>
      <c r="L104" s="14" t="s">
        <v>3654</v>
      </c>
      <c r="M104" s="14" t="s">
        <v>3655</v>
      </c>
      <c r="N104" s="14" t="s">
        <v>3656</v>
      </c>
      <c r="O104" s="14" t="s">
        <v>3657</v>
      </c>
      <c r="P104" s="14" t="s">
        <v>3658</v>
      </c>
      <c r="Q104" s="14" t="s">
        <v>3659</v>
      </c>
      <c r="R104" s="14" t="s">
        <v>3660</v>
      </c>
      <c r="S104" s="14" t="s">
        <v>3661</v>
      </c>
      <c r="T104" s="14" t="s">
        <v>3662</v>
      </c>
      <c r="U104" s="14" t="s">
        <v>3663</v>
      </c>
      <c r="V104" s="14" t="s">
        <v>3664</v>
      </c>
      <c r="W104" s="14" t="s">
        <v>3665</v>
      </c>
      <c r="X104" s="14" t="s">
        <v>3666</v>
      </c>
      <c r="Y104" s="14" t="s">
        <v>3667</v>
      </c>
      <c r="Z104" s="14" t="s">
        <v>3668</v>
      </c>
    </row>
    <row r="105" spans="1:26" ht="409.5">
      <c r="A105" s="14" t="s">
        <v>1218</v>
      </c>
      <c r="B105" s="14" t="s">
        <v>3669</v>
      </c>
      <c r="C105" s="14" t="s">
        <v>3670</v>
      </c>
      <c r="D105" s="15" t="s">
        <v>3671</v>
      </c>
      <c r="E105" s="14" t="s">
        <v>3672</v>
      </c>
      <c r="F105" s="14" t="s">
        <v>3673</v>
      </c>
      <c r="G105" s="14" t="s">
        <v>3674</v>
      </c>
      <c r="H105" s="14" t="s">
        <v>3675</v>
      </c>
      <c r="I105" s="14" t="s">
        <v>3676</v>
      </c>
      <c r="J105" s="14" t="s">
        <v>3677</v>
      </c>
      <c r="K105" s="14" t="s">
        <v>3678</v>
      </c>
      <c r="L105" s="14" t="s">
        <v>3679</v>
      </c>
      <c r="M105" s="14" t="s">
        <v>3680</v>
      </c>
      <c r="N105" s="14" t="s">
        <v>3681</v>
      </c>
      <c r="O105" s="14" t="s">
        <v>3682</v>
      </c>
      <c r="P105" s="14" t="s">
        <v>3683</v>
      </c>
      <c r="Q105" s="14" t="s">
        <v>3684</v>
      </c>
      <c r="R105" s="14" t="s">
        <v>3685</v>
      </c>
      <c r="S105" s="14" t="s">
        <v>3686</v>
      </c>
      <c r="T105" s="14" t="s">
        <v>3687</v>
      </c>
      <c r="U105" s="14" t="s">
        <v>3688</v>
      </c>
      <c r="V105" s="14" t="s">
        <v>3689</v>
      </c>
      <c r="W105" s="14" t="s">
        <v>3690</v>
      </c>
      <c r="X105" s="14" t="s">
        <v>3691</v>
      </c>
      <c r="Y105" s="14" t="s">
        <v>3692</v>
      </c>
      <c r="Z105" s="14" t="s">
        <v>3693</v>
      </c>
    </row>
    <row r="106" spans="1:26" ht="409.5">
      <c r="A106" s="14" t="s">
        <v>1218</v>
      </c>
      <c r="B106" s="14" t="s">
        <v>3694</v>
      </c>
      <c r="C106" s="14" t="s">
        <v>3695</v>
      </c>
      <c r="D106" s="15" t="s">
        <v>3696</v>
      </c>
      <c r="E106" s="14" t="s">
        <v>3697</v>
      </c>
      <c r="F106" s="14" t="s">
        <v>3698</v>
      </c>
      <c r="G106" s="14" t="s">
        <v>3699</v>
      </c>
      <c r="H106" s="14" t="s">
        <v>3700</v>
      </c>
      <c r="I106" s="14" t="s">
        <v>3701</v>
      </c>
      <c r="J106" s="14" t="s">
        <v>3702</v>
      </c>
      <c r="K106" s="14" t="s">
        <v>3703</v>
      </c>
      <c r="L106" s="14" t="s">
        <v>3704</v>
      </c>
      <c r="M106" s="14" t="s">
        <v>3705</v>
      </c>
      <c r="N106" s="14" t="s">
        <v>3706</v>
      </c>
      <c r="O106" s="14" t="s">
        <v>3707</v>
      </c>
      <c r="P106" s="14" t="s">
        <v>3708</v>
      </c>
      <c r="Q106" s="14" t="s">
        <v>3709</v>
      </c>
      <c r="R106" s="14" t="s">
        <v>3710</v>
      </c>
      <c r="S106" s="14" t="s">
        <v>3711</v>
      </c>
      <c r="T106" s="14" t="s">
        <v>3712</v>
      </c>
      <c r="U106" s="14" t="s">
        <v>3713</v>
      </c>
      <c r="V106" s="14" t="s">
        <v>3714</v>
      </c>
      <c r="W106" s="14" t="s">
        <v>3715</v>
      </c>
      <c r="X106" s="14" t="s">
        <v>3716</v>
      </c>
      <c r="Y106" s="14" t="s">
        <v>3717</v>
      </c>
      <c r="Z106" s="14" t="s">
        <v>3718</v>
      </c>
    </row>
    <row r="107" spans="1:26" ht="409.5">
      <c r="A107" s="14" t="s">
        <v>1218</v>
      </c>
      <c r="B107" s="14" t="s">
        <v>3719</v>
      </c>
      <c r="C107" s="14" t="s">
        <v>3720</v>
      </c>
      <c r="D107" s="15" t="s">
        <v>3721</v>
      </c>
      <c r="E107" s="14" t="s">
        <v>3722</v>
      </c>
      <c r="F107" s="14" t="s">
        <v>3723</v>
      </c>
      <c r="G107" s="14" t="s">
        <v>3724</v>
      </c>
      <c r="H107" s="14" t="s">
        <v>3725</v>
      </c>
      <c r="I107" s="14" t="s">
        <v>3726</v>
      </c>
      <c r="J107" s="14" t="s">
        <v>3727</v>
      </c>
      <c r="K107" s="14" t="s">
        <v>3728</v>
      </c>
      <c r="L107" s="14" t="s">
        <v>3729</v>
      </c>
      <c r="M107" s="14" t="s">
        <v>3730</v>
      </c>
      <c r="N107" s="14" t="s">
        <v>3731</v>
      </c>
      <c r="O107" s="14" t="s">
        <v>3732</v>
      </c>
      <c r="P107" s="14" t="s">
        <v>3733</v>
      </c>
      <c r="Q107" s="14" t="s">
        <v>3734</v>
      </c>
      <c r="R107" s="14" t="s">
        <v>3735</v>
      </c>
      <c r="S107" s="14" t="s">
        <v>3736</v>
      </c>
      <c r="T107" s="14" t="s">
        <v>3737</v>
      </c>
      <c r="U107" s="14" t="s">
        <v>3738</v>
      </c>
      <c r="V107" s="14" t="s">
        <v>3739</v>
      </c>
      <c r="W107" s="14" t="s">
        <v>3740</v>
      </c>
      <c r="X107" s="14" t="s">
        <v>3741</v>
      </c>
      <c r="Y107" s="14" t="s">
        <v>3742</v>
      </c>
      <c r="Z107" s="14" t="s">
        <v>3743</v>
      </c>
    </row>
    <row r="108" spans="1:26" ht="409.5">
      <c r="A108" s="14" t="s">
        <v>1218</v>
      </c>
      <c r="B108" s="14" t="s">
        <v>3744</v>
      </c>
      <c r="C108" s="14" t="s">
        <v>3745</v>
      </c>
      <c r="D108" s="15" t="s">
        <v>3746</v>
      </c>
      <c r="E108" s="14" t="s">
        <v>3747</v>
      </c>
      <c r="F108" s="14" t="s">
        <v>3748</v>
      </c>
      <c r="G108" s="14" t="s">
        <v>3749</v>
      </c>
      <c r="H108" s="14" t="s">
        <v>3750</v>
      </c>
      <c r="I108" s="14" t="s">
        <v>3751</v>
      </c>
      <c r="J108" s="14" t="s">
        <v>3752</v>
      </c>
      <c r="K108" s="14" t="s">
        <v>3753</v>
      </c>
      <c r="L108" s="14" t="s">
        <v>3754</v>
      </c>
      <c r="M108" s="14" t="s">
        <v>3755</v>
      </c>
      <c r="N108" s="14" t="s">
        <v>3756</v>
      </c>
      <c r="O108" s="14" t="s">
        <v>3757</v>
      </c>
      <c r="P108" s="14" t="s">
        <v>3758</v>
      </c>
      <c r="Q108" s="14" t="s">
        <v>3759</v>
      </c>
      <c r="R108" s="14" t="s">
        <v>3760</v>
      </c>
      <c r="S108" s="14" t="s">
        <v>3761</v>
      </c>
      <c r="T108" s="14" t="s">
        <v>3762</v>
      </c>
      <c r="U108" s="14" t="s">
        <v>3763</v>
      </c>
      <c r="V108" s="14" t="s">
        <v>3764</v>
      </c>
      <c r="W108" s="14" t="s">
        <v>3765</v>
      </c>
      <c r="X108" s="14" t="s">
        <v>3766</v>
      </c>
      <c r="Y108" s="14" t="s">
        <v>3767</v>
      </c>
      <c r="Z108" s="14" t="s">
        <v>3768</v>
      </c>
    </row>
    <row r="109" spans="1:26" ht="409.5">
      <c r="A109" s="14" t="s">
        <v>1218</v>
      </c>
      <c r="B109" s="14" t="s">
        <v>3769</v>
      </c>
      <c r="C109" s="14" t="s">
        <v>3770</v>
      </c>
      <c r="D109" s="15" t="s">
        <v>3771</v>
      </c>
      <c r="E109" s="14" t="s">
        <v>3772</v>
      </c>
      <c r="F109" s="14" t="s">
        <v>3773</v>
      </c>
      <c r="G109" s="14" t="s">
        <v>3774</v>
      </c>
      <c r="H109" s="14" t="s">
        <v>3775</v>
      </c>
      <c r="I109" s="14" t="s">
        <v>3776</v>
      </c>
      <c r="J109" s="14" t="s">
        <v>3777</v>
      </c>
      <c r="K109" s="14" t="s">
        <v>3778</v>
      </c>
      <c r="L109" s="14" t="s">
        <v>3779</v>
      </c>
      <c r="M109" s="14" t="s">
        <v>3780</v>
      </c>
      <c r="N109" s="14" t="s">
        <v>3781</v>
      </c>
      <c r="O109" s="14" t="s">
        <v>3782</v>
      </c>
      <c r="P109" s="14" t="s">
        <v>3783</v>
      </c>
      <c r="Q109" s="14" t="s">
        <v>3784</v>
      </c>
      <c r="R109" s="14" t="s">
        <v>3785</v>
      </c>
      <c r="S109" s="14" t="s">
        <v>3786</v>
      </c>
      <c r="T109" s="14" t="s">
        <v>3787</v>
      </c>
      <c r="U109" s="14" t="s">
        <v>3788</v>
      </c>
      <c r="V109" s="14" t="s">
        <v>3789</v>
      </c>
      <c r="W109" s="14" t="s">
        <v>3790</v>
      </c>
      <c r="X109" s="14" t="s">
        <v>3791</v>
      </c>
      <c r="Y109" s="14" t="s">
        <v>3792</v>
      </c>
      <c r="Z109" s="14" t="s">
        <v>3793</v>
      </c>
    </row>
    <row r="110" spans="1:26" ht="409.5">
      <c r="A110" s="14" t="s">
        <v>1218</v>
      </c>
      <c r="B110" s="14" t="s">
        <v>3794</v>
      </c>
      <c r="C110" s="14" t="s">
        <v>3795</v>
      </c>
      <c r="D110" s="15" t="s">
        <v>3796</v>
      </c>
      <c r="E110" s="14" t="s">
        <v>3797</v>
      </c>
      <c r="F110" s="14" t="s">
        <v>3798</v>
      </c>
      <c r="G110" s="14" t="s">
        <v>3799</v>
      </c>
      <c r="H110" s="14" t="s">
        <v>3800</v>
      </c>
      <c r="I110" s="14" t="s">
        <v>3801</v>
      </c>
      <c r="J110" s="14" t="s">
        <v>3802</v>
      </c>
      <c r="K110" s="14" t="s">
        <v>3803</v>
      </c>
      <c r="L110" s="14" t="s">
        <v>3804</v>
      </c>
      <c r="M110" s="14" t="s">
        <v>3805</v>
      </c>
      <c r="N110" s="14" t="s">
        <v>3806</v>
      </c>
      <c r="O110" s="14" t="s">
        <v>3807</v>
      </c>
      <c r="P110" s="14" t="s">
        <v>3808</v>
      </c>
      <c r="Q110" s="14" t="s">
        <v>3809</v>
      </c>
      <c r="R110" s="14" t="s">
        <v>3810</v>
      </c>
      <c r="S110" s="14" t="s">
        <v>3811</v>
      </c>
      <c r="T110" s="14" t="s">
        <v>3812</v>
      </c>
      <c r="U110" s="14" t="s">
        <v>3813</v>
      </c>
      <c r="V110" s="14" t="s">
        <v>3814</v>
      </c>
      <c r="W110" s="14" t="s">
        <v>3815</v>
      </c>
      <c r="X110" s="14" t="s">
        <v>3816</v>
      </c>
      <c r="Y110" s="14" t="s">
        <v>3817</v>
      </c>
      <c r="Z110" s="14" t="s">
        <v>3818</v>
      </c>
    </row>
    <row r="111" spans="1:26" ht="409.5">
      <c r="A111" s="14" t="s">
        <v>1218</v>
      </c>
      <c r="B111" s="14" t="s">
        <v>3819</v>
      </c>
      <c r="C111" s="14" t="s">
        <v>3820</v>
      </c>
      <c r="D111" s="15" t="s">
        <v>3821</v>
      </c>
      <c r="E111" s="14" t="s">
        <v>3822</v>
      </c>
      <c r="F111" s="14" t="s">
        <v>3823</v>
      </c>
      <c r="G111" s="14" t="s">
        <v>3824</v>
      </c>
      <c r="H111" s="14" t="s">
        <v>3825</v>
      </c>
      <c r="I111" s="14" t="s">
        <v>3826</v>
      </c>
      <c r="J111" s="14" t="s">
        <v>3827</v>
      </c>
      <c r="K111" s="14" t="s">
        <v>3828</v>
      </c>
      <c r="L111" s="14" t="s">
        <v>3829</v>
      </c>
      <c r="M111" s="14" t="s">
        <v>3830</v>
      </c>
      <c r="N111" s="14" t="s">
        <v>3831</v>
      </c>
      <c r="O111" s="14" t="s">
        <v>3832</v>
      </c>
      <c r="P111" s="14" t="s">
        <v>3833</v>
      </c>
      <c r="Q111" s="14" t="s">
        <v>3834</v>
      </c>
      <c r="R111" s="14" t="s">
        <v>3835</v>
      </c>
      <c r="S111" s="14" t="s">
        <v>3836</v>
      </c>
      <c r="T111" s="14" t="s">
        <v>3837</v>
      </c>
      <c r="U111" s="14" t="s">
        <v>3838</v>
      </c>
      <c r="V111" s="14" t="s">
        <v>3839</v>
      </c>
      <c r="W111" s="14" t="s">
        <v>3840</v>
      </c>
      <c r="X111" s="14" t="s">
        <v>3841</v>
      </c>
      <c r="Y111" s="14" t="s">
        <v>3842</v>
      </c>
      <c r="Z111" s="14" t="s">
        <v>3843</v>
      </c>
    </row>
    <row r="112" spans="1:26" ht="409.5">
      <c r="A112" s="14" t="s">
        <v>1218</v>
      </c>
      <c r="B112" s="14" t="s">
        <v>3844</v>
      </c>
      <c r="C112" s="14" t="s">
        <v>3845</v>
      </c>
      <c r="D112" s="15" t="s">
        <v>3846</v>
      </c>
      <c r="E112" s="14" t="s">
        <v>3847</v>
      </c>
      <c r="F112" s="14" t="s">
        <v>3848</v>
      </c>
      <c r="G112" s="14" t="s">
        <v>3849</v>
      </c>
      <c r="H112" s="14" t="s">
        <v>3850</v>
      </c>
      <c r="I112" s="14" t="s">
        <v>3851</v>
      </c>
      <c r="J112" s="14" t="s">
        <v>3852</v>
      </c>
      <c r="K112" s="14" t="s">
        <v>3853</v>
      </c>
      <c r="L112" s="14" t="s">
        <v>3854</v>
      </c>
      <c r="M112" s="14" t="s">
        <v>3855</v>
      </c>
      <c r="N112" s="14" t="s">
        <v>3856</v>
      </c>
      <c r="O112" s="14" t="s">
        <v>3857</v>
      </c>
      <c r="P112" s="14" t="s">
        <v>3858</v>
      </c>
      <c r="Q112" s="14" t="s">
        <v>3859</v>
      </c>
      <c r="R112" s="14" t="s">
        <v>3860</v>
      </c>
      <c r="S112" s="14" t="s">
        <v>3861</v>
      </c>
      <c r="T112" s="14" t="s">
        <v>3862</v>
      </c>
      <c r="U112" s="14" t="s">
        <v>3863</v>
      </c>
      <c r="V112" s="14" t="s">
        <v>3864</v>
      </c>
      <c r="W112" s="14" t="s">
        <v>3865</v>
      </c>
      <c r="X112" s="14" t="s">
        <v>3866</v>
      </c>
      <c r="Y112" s="14" t="s">
        <v>3867</v>
      </c>
      <c r="Z112" s="14" t="s">
        <v>3868</v>
      </c>
    </row>
    <row r="113" spans="1:26" ht="409.5">
      <c r="A113" s="14" t="s">
        <v>1218</v>
      </c>
      <c r="B113" s="14" t="s">
        <v>3869</v>
      </c>
      <c r="C113" s="14" t="s">
        <v>3870</v>
      </c>
      <c r="D113" s="15" t="s">
        <v>3871</v>
      </c>
      <c r="E113" s="14" t="s">
        <v>3872</v>
      </c>
      <c r="F113" s="14" t="s">
        <v>3873</v>
      </c>
      <c r="G113" s="14" t="s">
        <v>3874</v>
      </c>
      <c r="H113" s="14" t="s">
        <v>3875</v>
      </c>
      <c r="I113" s="14" t="s">
        <v>3876</v>
      </c>
      <c r="J113" s="14" t="s">
        <v>3877</v>
      </c>
      <c r="K113" s="14" t="s">
        <v>3878</v>
      </c>
      <c r="L113" s="14" t="s">
        <v>3879</v>
      </c>
      <c r="M113" s="14" t="s">
        <v>3880</v>
      </c>
      <c r="N113" s="14" t="s">
        <v>3881</v>
      </c>
      <c r="O113" s="14" t="s">
        <v>3882</v>
      </c>
      <c r="P113" s="14" t="s">
        <v>3883</v>
      </c>
      <c r="Q113" s="14" t="s">
        <v>3884</v>
      </c>
      <c r="R113" s="14" t="s">
        <v>3885</v>
      </c>
      <c r="S113" s="14" t="s">
        <v>3886</v>
      </c>
      <c r="T113" s="14" t="s">
        <v>3887</v>
      </c>
      <c r="U113" s="14" t="s">
        <v>3888</v>
      </c>
      <c r="V113" s="14" t="s">
        <v>3889</v>
      </c>
      <c r="W113" s="14" t="s">
        <v>3890</v>
      </c>
      <c r="X113" s="14" t="s">
        <v>3891</v>
      </c>
      <c r="Y113" s="14" t="s">
        <v>3892</v>
      </c>
      <c r="Z113" s="14" t="s">
        <v>3893</v>
      </c>
    </row>
    <row r="114" spans="1:26" ht="409.5">
      <c r="A114" s="14" t="s">
        <v>1218</v>
      </c>
      <c r="B114" s="14" t="s">
        <v>3894</v>
      </c>
      <c r="C114" s="14" t="s">
        <v>3895</v>
      </c>
      <c r="D114" s="15" t="s">
        <v>3896</v>
      </c>
      <c r="E114" s="14" t="s">
        <v>3897</v>
      </c>
      <c r="F114" s="14" t="s">
        <v>3898</v>
      </c>
      <c r="G114" s="14" t="s">
        <v>3899</v>
      </c>
      <c r="H114" s="14" t="s">
        <v>3900</v>
      </c>
      <c r="I114" s="14" t="s">
        <v>3901</v>
      </c>
      <c r="J114" s="14" t="s">
        <v>3902</v>
      </c>
      <c r="K114" s="14" t="s">
        <v>3903</v>
      </c>
      <c r="L114" s="14" t="s">
        <v>3904</v>
      </c>
      <c r="M114" s="14" t="s">
        <v>3905</v>
      </c>
      <c r="N114" s="14" t="s">
        <v>3906</v>
      </c>
      <c r="O114" s="14" t="s">
        <v>3907</v>
      </c>
      <c r="P114" s="14" t="s">
        <v>3908</v>
      </c>
      <c r="Q114" s="14" t="s">
        <v>3909</v>
      </c>
      <c r="R114" s="14" t="s">
        <v>3910</v>
      </c>
      <c r="S114" s="14" t="s">
        <v>3911</v>
      </c>
      <c r="T114" s="14" t="s">
        <v>3912</v>
      </c>
      <c r="U114" s="14" t="s">
        <v>3913</v>
      </c>
      <c r="V114" s="14" t="s">
        <v>3914</v>
      </c>
      <c r="W114" s="14" t="s">
        <v>3915</v>
      </c>
      <c r="X114" s="14" t="s">
        <v>3916</v>
      </c>
      <c r="Y114" s="14" t="s">
        <v>3917</v>
      </c>
      <c r="Z114" s="14" t="s">
        <v>3918</v>
      </c>
    </row>
    <row r="115" spans="1:26" ht="409.5">
      <c r="A115" s="14" t="s">
        <v>1218</v>
      </c>
      <c r="B115" s="14" t="s">
        <v>3919</v>
      </c>
      <c r="C115" s="14" t="s">
        <v>3920</v>
      </c>
      <c r="D115" s="15" t="s">
        <v>3921</v>
      </c>
      <c r="E115" s="14" t="s">
        <v>3922</v>
      </c>
      <c r="F115" s="14" t="s">
        <v>3923</v>
      </c>
      <c r="G115" s="14" t="s">
        <v>3924</v>
      </c>
      <c r="H115" s="14" t="s">
        <v>3925</v>
      </c>
      <c r="I115" s="14" t="s">
        <v>3926</v>
      </c>
      <c r="J115" s="14" t="s">
        <v>3927</v>
      </c>
      <c r="K115" s="14" t="s">
        <v>3928</v>
      </c>
      <c r="L115" s="14" t="s">
        <v>3929</v>
      </c>
      <c r="M115" s="14" t="s">
        <v>3930</v>
      </c>
      <c r="N115" s="14" t="s">
        <v>3931</v>
      </c>
      <c r="O115" s="14" t="s">
        <v>3932</v>
      </c>
      <c r="P115" s="14" t="s">
        <v>3933</v>
      </c>
      <c r="Q115" s="14" t="s">
        <v>3934</v>
      </c>
      <c r="R115" s="14" t="s">
        <v>3935</v>
      </c>
      <c r="S115" s="14" t="s">
        <v>3936</v>
      </c>
      <c r="T115" s="14" t="s">
        <v>3937</v>
      </c>
      <c r="U115" s="14" t="s">
        <v>3938</v>
      </c>
      <c r="V115" s="14" t="s">
        <v>3939</v>
      </c>
      <c r="W115" s="14" t="s">
        <v>3940</v>
      </c>
      <c r="X115" s="14" t="s">
        <v>3941</v>
      </c>
      <c r="Y115" s="14" t="s">
        <v>3942</v>
      </c>
      <c r="Z115" s="14" t="s">
        <v>3943</v>
      </c>
    </row>
    <row r="116" spans="1:26" ht="409.5">
      <c r="A116" s="14" t="s">
        <v>1218</v>
      </c>
      <c r="B116" s="14" t="s">
        <v>3944</v>
      </c>
      <c r="C116" s="14" t="s">
        <v>3945</v>
      </c>
      <c r="D116" s="15" t="s">
        <v>3946</v>
      </c>
      <c r="E116" s="14" t="s">
        <v>3947</v>
      </c>
      <c r="F116" s="14" t="s">
        <v>3948</v>
      </c>
      <c r="G116" s="14" t="s">
        <v>3949</v>
      </c>
      <c r="H116" s="14" t="s">
        <v>3950</v>
      </c>
      <c r="I116" s="14" t="s">
        <v>3951</v>
      </c>
      <c r="J116" s="14" t="s">
        <v>3952</v>
      </c>
      <c r="K116" s="14" t="s">
        <v>3953</v>
      </c>
      <c r="L116" s="14" t="s">
        <v>3954</v>
      </c>
      <c r="M116" s="14" t="s">
        <v>3955</v>
      </c>
      <c r="N116" s="14" t="s">
        <v>3956</v>
      </c>
      <c r="O116" s="14" t="s">
        <v>3957</v>
      </c>
      <c r="P116" s="14" t="s">
        <v>3958</v>
      </c>
      <c r="Q116" s="14" t="s">
        <v>3959</v>
      </c>
      <c r="R116" s="14" t="s">
        <v>3960</v>
      </c>
      <c r="S116" s="14" t="s">
        <v>3961</v>
      </c>
      <c r="T116" s="14" t="s">
        <v>3962</v>
      </c>
      <c r="U116" s="14" t="s">
        <v>3963</v>
      </c>
      <c r="V116" s="14" t="s">
        <v>3964</v>
      </c>
      <c r="W116" s="14" t="s">
        <v>3965</v>
      </c>
      <c r="X116" s="14" t="s">
        <v>3966</v>
      </c>
      <c r="Y116" s="14" t="s">
        <v>3967</v>
      </c>
      <c r="Z116" s="14" t="s">
        <v>3968</v>
      </c>
    </row>
    <row r="117" spans="1:26" ht="409.5">
      <c r="A117" s="14" t="s">
        <v>1218</v>
      </c>
      <c r="B117" s="14" t="s">
        <v>3969</v>
      </c>
      <c r="C117" s="14" t="s">
        <v>3970</v>
      </c>
      <c r="D117" s="15" t="s">
        <v>3971</v>
      </c>
      <c r="E117" s="14" t="s">
        <v>3972</v>
      </c>
      <c r="F117" s="14" t="s">
        <v>3973</v>
      </c>
      <c r="G117" s="14" t="s">
        <v>3974</v>
      </c>
      <c r="H117" s="14" t="s">
        <v>3975</v>
      </c>
      <c r="I117" s="14" t="s">
        <v>3976</v>
      </c>
      <c r="J117" s="14" t="s">
        <v>3977</v>
      </c>
      <c r="K117" s="14" t="s">
        <v>3978</v>
      </c>
      <c r="L117" s="14" t="s">
        <v>3979</v>
      </c>
      <c r="M117" s="14" t="s">
        <v>3980</v>
      </c>
      <c r="N117" s="14" t="s">
        <v>3981</v>
      </c>
      <c r="O117" s="14" t="s">
        <v>3982</v>
      </c>
      <c r="P117" s="14" t="s">
        <v>3983</v>
      </c>
      <c r="Q117" s="14" t="s">
        <v>3984</v>
      </c>
      <c r="R117" s="14" t="s">
        <v>3985</v>
      </c>
      <c r="S117" s="14" t="s">
        <v>3986</v>
      </c>
      <c r="T117" s="14" t="s">
        <v>3987</v>
      </c>
      <c r="U117" s="14" t="s">
        <v>3988</v>
      </c>
      <c r="V117" s="14" t="s">
        <v>3989</v>
      </c>
      <c r="W117" s="14" t="s">
        <v>3990</v>
      </c>
      <c r="X117" s="14" t="s">
        <v>3991</v>
      </c>
      <c r="Y117" s="14" t="s">
        <v>3992</v>
      </c>
      <c r="Z117" s="14" t="s">
        <v>3993</v>
      </c>
    </row>
    <row r="118" spans="1:26" ht="409.5">
      <c r="A118" s="14" t="s">
        <v>1218</v>
      </c>
      <c r="B118" s="14" t="s">
        <v>3994</v>
      </c>
      <c r="C118" s="14" t="s">
        <v>3995</v>
      </c>
      <c r="D118" s="15" t="s">
        <v>3996</v>
      </c>
      <c r="E118" s="14" t="s">
        <v>3997</v>
      </c>
      <c r="F118" s="14" t="s">
        <v>3998</v>
      </c>
      <c r="G118" s="14" t="s">
        <v>3999</v>
      </c>
      <c r="H118" s="14" t="s">
        <v>4000</v>
      </c>
      <c r="I118" s="14" t="s">
        <v>4001</v>
      </c>
      <c r="J118" s="14" t="s">
        <v>4002</v>
      </c>
      <c r="K118" s="14" t="s">
        <v>4003</v>
      </c>
      <c r="L118" s="14" t="s">
        <v>4004</v>
      </c>
      <c r="M118" s="14" t="s">
        <v>4005</v>
      </c>
      <c r="N118" s="14" t="s">
        <v>4006</v>
      </c>
      <c r="O118" s="14" t="s">
        <v>4007</v>
      </c>
      <c r="P118" s="14" t="s">
        <v>4008</v>
      </c>
      <c r="Q118" s="14" t="s">
        <v>4009</v>
      </c>
      <c r="R118" s="14" t="s">
        <v>4010</v>
      </c>
      <c r="S118" s="14" t="s">
        <v>4011</v>
      </c>
      <c r="T118" s="14" t="s">
        <v>4012</v>
      </c>
      <c r="U118" s="14" t="s">
        <v>4013</v>
      </c>
      <c r="V118" s="14" t="s">
        <v>4014</v>
      </c>
      <c r="W118" s="14" t="s">
        <v>4015</v>
      </c>
      <c r="X118" s="14" t="s">
        <v>4016</v>
      </c>
      <c r="Y118" s="14" t="s">
        <v>4017</v>
      </c>
      <c r="Z118" s="14" t="s">
        <v>4018</v>
      </c>
    </row>
    <row r="119" spans="1:26" ht="409.5">
      <c r="A119" s="14" t="s">
        <v>1218</v>
      </c>
      <c r="B119" s="14" t="s">
        <v>4019</v>
      </c>
      <c r="C119" s="14" t="s">
        <v>4020</v>
      </c>
      <c r="D119" s="15" t="s">
        <v>4021</v>
      </c>
      <c r="E119" s="14" t="s">
        <v>4022</v>
      </c>
      <c r="F119" s="14" t="s">
        <v>4023</v>
      </c>
      <c r="G119" s="14" t="s">
        <v>4024</v>
      </c>
      <c r="H119" s="14" t="s">
        <v>4025</v>
      </c>
      <c r="I119" s="14" t="s">
        <v>4026</v>
      </c>
      <c r="J119" s="14" t="s">
        <v>4027</v>
      </c>
      <c r="K119" s="14" t="s">
        <v>4028</v>
      </c>
      <c r="L119" s="14" t="s">
        <v>4029</v>
      </c>
      <c r="M119" s="14" t="s">
        <v>4030</v>
      </c>
      <c r="N119" s="14" t="s">
        <v>4031</v>
      </c>
      <c r="O119" s="14" t="s">
        <v>4032</v>
      </c>
      <c r="P119" s="14" t="s">
        <v>4033</v>
      </c>
      <c r="Q119" s="14" t="s">
        <v>4034</v>
      </c>
      <c r="R119" s="14" t="s">
        <v>4035</v>
      </c>
      <c r="S119" s="14" t="s">
        <v>4036</v>
      </c>
      <c r="T119" s="14" t="s">
        <v>4037</v>
      </c>
      <c r="U119" s="14" t="s">
        <v>4038</v>
      </c>
      <c r="V119" s="14" t="s">
        <v>4039</v>
      </c>
      <c r="W119" s="14" t="s">
        <v>4040</v>
      </c>
      <c r="X119" s="14" t="s">
        <v>4041</v>
      </c>
      <c r="Y119" s="14" t="s">
        <v>4042</v>
      </c>
      <c r="Z119" s="14" t="s">
        <v>4043</v>
      </c>
    </row>
    <row r="120" spans="1:26" ht="409.5">
      <c r="A120" s="14" t="s">
        <v>1218</v>
      </c>
      <c r="B120" s="14" t="s">
        <v>4044</v>
      </c>
      <c r="C120" s="14" t="s">
        <v>4045</v>
      </c>
      <c r="D120" s="15" t="s">
        <v>4046</v>
      </c>
      <c r="E120" s="14" t="s">
        <v>4047</v>
      </c>
      <c r="F120" s="14" t="s">
        <v>4048</v>
      </c>
      <c r="G120" s="14" t="s">
        <v>4049</v>
      </c>
      <c r="H120" s="14" t="s">
        <v>4050</v>
      </c>
      <c r="I120" s="14" t="s">
        <v>4051</v>
      </c>
      <c r="J120" s="14" t="s">
        <v>4052</v>
      </c>
      <c r="K120" s="14" t="s">
        <v>4053</v>
      </c>
      <c r="L120" s="14" t="s">
        <v>4054</v>
      </c>
      <c r="M120" s="14" t="s">
        <v>4055</v>
      </c>
      <c r="N120" s="14" t="s">
        <v>4056</v>
      </c>
      <c r="O120" s="14" t="s">
        <v>4057</v>
      </c>
      <c r="P120" s="14" t="s">
        <v>4058</v>
      </c>
      <c r="Q120" s="14" t="s">
        <v>4059</v>
      </c>
      <c r="R120" s="14" t="s">
        <v>4060</v>
      </c>
      <c r="S120" s="14" t="s">
        <v>4061</v>
      </c>
      <c r="T120" s="14" t="s">
        <v>4062</v>
      </c>
      <c r="U120" s="14" t="s">
        <v>4063</v>
      </c>
      <c r="V120" s="14" t="s">
        <v>4064</v>
      </c>
      <c r="W120" s="14" t="s">
        <v>4065</v>
      </c>
      <c r="X120" s="14" t="s">
        <v>4066</v>
      </c>
      <c r="Y120" s="14" t="s">
        <v>4067</v>
      </c>
      <c r="Z120" s="14" t="s">
        <v>4068</v>
      </c>
    </row>
    <row r="121" spans="1:26" ht="409.5">
      <c r="A121" s="14" t="s">
        <v>1218</v>
      </c>
      <c r="B121" s="14" t="s">
        <v>4069</v>
      </c>
      <c r="C121" s="14" t="s">
        <v>4070</v>
      </c>
      <c r="D121" s="15" t="s">
        <v>4071</v>
      </c>
      <c r="E121" s="14" t="s">
        <v>4072</v>
      </c>
      <c r="F121" s="14" t="s">
        <v>4073</v>
      </c>
      <c r="G121" s="14" t="s">
        <v>4074</v>
      </c>
      <c r="H121" s="14" t="s">
        <v>4075</v>
      </c>
      <c r="I121" s="14" t="s">
        <v>4076</v>
      </c>
      <c r="J121" s="14" t="s">
        <v>4077</v>
      </c>
      <c r="K121" s="14" t="s">
        <v>4078</v>
      </c>
      <c r="L121" s="14" t="s">
        <v>4079</v>
      </c>
      <c r="M121" s="14" t="s">
        <v>4080</v>
      </c>
      <c r="N121" s="14" t="s">
        <v>4081</v>
      </c>
      <c r="O121" s="14" t="s">
        <v>4082</v>
      </c>
      <c r="P121" s="14" t="s">
        <v>4083</v>
      </c>
      <c r="Q121" s="14" t="s">
        <v>4084</v>
      </c>
      <c r="R121" s="14" t="s">
        <v>4085</v>
      </c>
      <c r="S121" s="14" t="s">
        <v>4086</v>
      </c>
      <c r="T121" s="14" t="s">
        <v>4087</v>
      </c>
      <c r="U121" s="14" t="s">
        <v>4088</v>
      </c>
      <c r="V121" s="14" t="s">
        <v>4089</v>
      </c>
      <c r="W121" s="14" t="s">
        <v>4090</v>
      </c>
      <c r="X121" s="14" t="s">
        <v>4091</v>
      </c>
      <c r="Y121" s="14" t="s">
        <v>4092</v>
      </c>
      <c r="Z121" s="14" t="s">
        <v>4093</v>
      </c>
    </row>
    <row r="122" spans="1:26" ht="409.5">
      <c r="A122" s="14" t="s">
        <v>1218</v>
      </c>
      <c r="B122" s="14" t="s">
        <v>4094</v>
      </c>
      <c r="C122" s="14" t="s">
        <v>4095</v>
      </c>
      <c r="D122" s="15" t="s">
        <v>4096</v>
      </c>
      <c r="E122" s="14" t="s">
        <v>4097</v>
      </c>
      <c r="F122" s="14" t="s">
        <v>4098</v>
      </c>
      <c r="G122" s="14" t="s">
        <v>4099</v>
      </c>
      <c r="H122" s="14" t="s">
        <v>4100</v>
      </c>
      <c r="I122" s="14" t="s">
        <v>4101</v>
      </c>
      <c r="J122" s="14" t="s">
        <v>4102</v>
      </c>
      <c r="K122" s="14" t="s">
        <v>4103</v>
      </c>
      <c r="L122" s="14" t="s">
        <v>4104</v>
      </c>
      <c r="M122" s="14" t="s">
        <v>4105</v>
      </c>
      <c r="N122" s="14" t="s">
        <v>4106</v>
      </c>
      <c r="O122" s="14" t="s">
        <v>4107</v>
      </c>
      <c r="P122" s="14" t="s">
        <v>4108</v>
      </c>
      <c r="Q122" s="14" t="s">
        <v>4109</v>
      </c>
      <c r="R122" s="14" t="s">
        <v>4110</v>
      </c>
      <c r="S122" s="14" t="s">
        <v>4111</v>
      </c>
      <c r="T122" s="14" t="s">
        <v>4112</v>
      </c>
      <c r="U122" s="14" t="s">
        <v>4113</v>
      </c>
      <c r="V122" s="14" t="s">
        <v>4114</v>
      </c>
      <c r="W122" s="14" t="s">
        <v>4115</v>
      </c>
      <c r="X122" s="14" t="s">
        <v>4116</v>
      </c>
      <c r="Y122" s="14" t="s">
        <v>4117</v>
      </c>
      <c r="Z122" s="14" t="s">
        <v>4118</v>
      </c>
    </row>
    <row r="123" spans="1:26" ht="409.5">
      <c r="A123" s="14" t="s">
        <v>1218</v>
      </c>
      <c r="B123" s="14" t="s">
        <v>4119</v>
      </c>
      <c r="C123" s="14" t="s">
        <v>4120</v>
      </c>
      <c r="D123" s="15" t="s">
        <v>4121</v>
      </c>
      <c r="E123" s="14" t="s">
        <v>4122</v>
      </c>
      <c r="F123" s="14" t="s">
        <v>4123</v>
      </c>
      <c r="G123" s="14" t="s">
        <v>4124</v>
      </c>
      <c r="H123" s="14" t="s">
        <v>4125</v>
      </c>
      <c r="I123" s="14" t="s">
        <v>4126</v>
      </c>
      <c r="J123" s="14" t="s">
        <v>4127</v>
      </c>
      <c r="K123" s="14" t="s">
        <v>4128</v>
      </c>
      <c r="L123" s="14" t="s">
        <v>4129</v>
      </c>
      <c r="M123" s="14" t="s">
        <v>4130</v>
      </c>
      <c r="N123" s="14" t="s">
        <v>4131</v>
      </c>
      <c r="O123" s="14" t="s">
        <v>4132</v>
      </c>
      <c r="P123" s="14" t="s">
        <v>4133</v>
      </c>
      <c r="Q123" s="14" t="s">
        <v>4134</v>
      </c>
      <c r="R123" s="14" t="s">
        <v>4135</v>
      </c>
      <c r="S123" s="14" t="s">
        <v>4136</v>
      </c>
      <c r="T123" s="14" t="s">
        <v>4137</v>
      </c>
      <c r="U123" s="14" t="s">
        <v>4138</v>
      </c>
      <c r="V123" s="14" t="s">
        <v>4139</v>
      </c>
      <c r="W123" s="14" t="s">
        <v>4140</v>
      </c>
      <c r="X123" s="14" t="s">
        <v>4141</v>
      </c>
      <c r="Y123" s="14" t="s">
        <v>4142</v>
      </c>
      <c r="Z123" s="14" t="s">
        <v>4143</v>
      </c>
    </row>
    <row r="124" spans="1:26" ht="409.5">
      <c r="A124" s="14" t="s">
        <v>1218</v>
      </c>
      <c r="B124" s="14" t="s">
        <v>4144</v>
      </c>
      <c r="C124" s="14" t="s">
        <v>4145</v>
      </c>
      <c r="D124" s="15" t="s">
        <v>4146</v>
      </c>
      <c r="E124" s="14" t="s">
        <v>4147</v>
      </c>
      <c r="F124" s="14" t="s">
        <v>4148</v>
      </c>
      <c r="G124" s="14" t="s">
        <v>4149</v>
      </c>
      <c r="H124" s="14" t="s">
        <v>4150</v>
      </c>
      <c r="I124" s="14" t="s">
        <v>4151</v>
      </c>
      <c r="J124" s="14" t="s">
        <v>4152</v>
      </c>
      <c r="K124" s="14" t="s">
        <v>4153</v>
      </c>
      <c r="L124" s="14" t="s">
        <v>4154</v>
      </c>
      <c r="M124" s="14" t="s">
        <v>4155</v>
      </c>
      <c r="N124" s="14" t="s">
        <v>4156</v>
      </c>
      <c r="O124" s="14" t="s">
        <v>4157</v>
      </c>
      <c r="P124" s="14" t="s">
        <v>4158</v>
      </c>
      <c r="Q124" s="14" t="s">
        <v>4159</v>
      </c>
      <c r="R124" s="14" t="s">
        <v>4160</v>
      </c>
      <c r="S124" s="14" t="s">
        <v>4161</v>
      </c>
      <c r="T124" s="14" t="s">
        <v>4162</v>
      </c>
      <c r="U124" s="14" t="s">
        <v>4163</v>
      </c>
      <c r="V124" s="14" t="s">
        <v>4164</v>
      </c>
      <c r="W124" s="14" t="s">
        <v>4165</v>
      </c>
      <c r="X124" s="14" t="s">
        <v>4166</v>
      </c>
      <c r="Y124" s="14" t="s">
        <v>4167</v>
      </c>
      <c r="Z124" s="14" t="s">
        <v>4168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F0F2-136B-44C5-9BD5-9A967E841639}">
  <dimension ref="A1:W6"/>
  <sheetViews>
    <sheetView workbookViewId="0"/>
  </sheetViews>
  <sheetFormatPr defaultColWidth="11.42578125" defaultRowHeight="15"/>
  <sheetData>
    <row r="1" spans="1:23">
      <c r="A1" s="14" t="s">
        <v>4169</v>
      </c>
      <c r="B1" s="14" t="s">
        <v>1160</v>
      </c>
      <c r="C1" s="14" t="s">
        <v>1160</v>
      </c>
      <c r="D1" s="14" t="s">
        <v>1160</v>
      </c>
      <c r="E1" s="14" t="s">
        <v>1</v>
      </c>
      <c r="F1" s="14" t="s">
        <v>1</v>
      </c>
      <c r="G1" s="14" t="s">
        <v>1</v>
      </c>
      <c r="H1" s="14" t="s">
        <v>1</v>
      </c>
      <c r="I1" s="14" t="s">
        <v>1</v>
      </c>
      <c r="J1" s="14" t="s">
        <v>1</v>
      </c>
      <c r="K1" s="14" t="s">
        <v>1</v>
      </c>
      <c r="L1" s="14" t="s">
        <v>1</v>
      </c>
      <c r="M1" s="14" t="s">
        <v>1</v>
      </c>
      <c r="N1" s="14" t="s">
        <v>1</v>
      </c>
      <c r="O1" s="14" t="s">
        <v>1</v>
      </c>
      <c r="P1" s="14" t="s">
        <v>1</v>
      </c>
      <c r="Q1" s="14" t="s">
        <v>1</v>
      </c>
      <c r="R1" s="14" t="s">
        <v>1</v>
      </c>
      <c r="S1" s="14" t="s">
        <v>1</v>
      </c>
      <c r="T1" s="14" t="s">
        <v>1</v>
      </c>
      <c r="U1" s="14" t="s">
        <v>1</v>
      </c>
      <c r="V1" s="14" t="s">
        <v>1</v>
      </c>
      <c r="W1" s="14" t="s">
        <v>1</v>
      </c>
    </row>
    <row r="2" spans="1:23">
      <c r="E2" s="14" t="s">
        <v>8</v>
      </c>
    </row>
    <row r="3" spans="1:23">
      <c r="E3" s="14" t="s">
        <v>4170</v>
      </c>
    </row>
    <row r="4" spans="1:23">
      <c r="E4" s="14" t="s">
        <v>4171</v>
      </c>
    </row>
    <row r="5" spans="1:23">
      <c r="E5" s="14" t="s">
        <v>11</v>
      </c>
      <c r="F5" s="14" t="s">
        <v>12</v>
      </c>
      <c r="G5" s="14" t="s">
        <v>13</v>
      </c>
      <c r="H5" s="14" t="s">
        <v>14</v>
      </c>
      <c r="I5" s="14" t="s">
        <v>15</v>
      </c>
      <c r="J5" s="14" t="s">
        <v>16</v>
      </c>
      <c r="K5" s="14" t="s">
        <v>17</v>
      </c>
      <c r="L5" s="14" t="s">
        <v>18</v>
      </c>
      <c r="M5" s="14" t="s">
        <v>19</v>
      </c>
      <c r="N5" s="14" t="s">
        <v>20</v>
      </c>
      <c r="O5" s="14" t="s">
        <v>21</v>
      </c>
      <c r="P5" s="14" t="s">
        <v>22</v>
      </c>
      <c r="Q5" s="14" t="s">
        <v>23</v>
      </c>
      <c r="R5" s="14" t="s">
        <v>24</v>
      </c>
      <c r="S5" s="14" t="s">
        <v>25</v>
      </c>
      <c r="T5" s="14" t="s">
        <v>26</v>
      </c>
      <c r="U5" s="14" t="s">
        <v>27</v>
      </c>
      <c r="V5" s="14" t="s">
        <v>28</v>
      </c>
      <c r="W5" s="14" t="s">
        <v>29</v>
      </c>
    </row>
    <row r="6" spans="1:23" ht="409.5">
      <c r="B6" s="15" t="s">
        <v>4172</v>
      </c>
      <c r="C6" s="15" t="s">
        <v>4173</v>
      </c>
      <c r="D6" s="14" t="s">
        <v>4174</v>
      </c>
      <c r="E6" s="14" t="s">
        <v>4175</v>
      </c>
      <c r="F6" s="14" t="s">
        <v>4176</v>
      </c>
      <c r="G6" s="14" t="s">
        <v>4177</v>
      </c>
      <c r="H6" s="14" t="s">
        <v>1173</v>
      </c>
      <c r="I6" s="14" t="s">
        <v>1174</v>
      </c>
      <c r="J6" s="14" t="s">
        <v>4178</v>
      </c>
      <c r="K6" s="14" t="s">
        <v>1176</v>
      </c>
      <c r="L6" s="14" t="s">
        <v>1177</v>
      </c>
      <c r="M6" s="14" t="s">
        <v>1178</v>
      </c>
      <c r="O6" s="14" t="s">
        <v>4179</v>
      </c>
      <c r="P6" s="14" t="s">
        <v>4180</v>
      </c>
      <c r="Q6" s="14" t="s">
        <v>4181</v>
      </c>
      <c r="R6" s="14" t="s">
        <v>4182</v>
      </c>
      <c r="S6" s="14" t="s">
        <v>4183</v>
      </c>
      <c r="T6" s="14" t="s">
        <v>4184</v>
      </c>
      <c r="U6" s="14" t="s">
        <v>4185</v>
      </c>
      <c r="V6" s="14" t="s">
        <v>4186</v>
      </c>
      <c r="W6" s="14" t="s">
        <v>4187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0E15F-A7AB-4018-AB51-0ED33F90EF55}">
  <dimension ref="A1:W6"/>
  <sheetViews>
    <sheetView workbookViewId="0"/>
  </sheetViews>
  <sheetFormatPr defaultColWidth="11.42578125" defaultRowHeight="15"/>
  <sheetData>
    <row r="1" spans="1:23">
      <c r="A1" s="14" t="s">
        <v>4169</v>
      </c>
      <c r="B1" s="14" t="s">
        <v>1160</v>
      </c>
      <c r="C1" s="14" t="s">
        <v>1160</v>
      </c>
      <c r="D1" s="14" t="s">
        <v>1160</v>
      </c>
      <c r="E1" s="14" t="s">
        <v>1</v>
      </c>
      <c r="F1" s="14" t="s">
        <v>1</v>
      </c>
      <c r="G1" s="14" t="s">
        <v>1</v>
      </c>
      <c r="H1" s="14" t="s">
        <v>1</v>
      </c>
      <c r="I1" s="14" t="s">
        <v>1</v>
      </c>
      <c r="J1" s="14" t="s">
        <v>1</v>
      </c>
      <c r="K1" s="14" t="s">
        <v>1</v>
      </c>
      <c r="L1" s="14" t="s">
        <v>1</v>
      </c>
      <c r="M1" s="14" t="s">
        <v>1</v>
      </c>
      <c r="N1" s="14" t="s">
        <v>1</v>
      </c>
      <c r="O1" s="14" t="s">
        <v>1</v>
      </c>
      <c r="P1" s="14" t="s">
        <v>1</v>
      </c>
      <c r="Q1" s="14" t="s">
        <v>1</v>
      </c>
      <c r="R1" s="14" t="s">
        <v>1</v>
      </c>
      <c r="S1" s="14" t="s">
        <v>1</v>
      </c>
      <c r="T1" s="14" t="s">
        <v>1</v>
      </c>
      <c r="U1" s="14" t="s">
        <v>1</v>
      </c>
      <c r="V1" s="14" t="s">
        <v>1</v>
      </c>
      <c r="W1" s="14" t="s">
        <v>1</v>
      </c>
    </row>
    <row r="2" spans="1:23">
      <c r="E2" s="14" t="s">
        <v>8</v>
      </c>
    </row>
    <row r="3" spans="1:23">
      <c r="E3" s="14" t="s">
        <v>4188</v>
      </c>
    </row>
    <row r="4" spans="1:23">
      <c r="E4" s="14" t="s">
        <v>1190</v>
      </c>
    </row>
    <row r="5" spans="1:23">
      <c r="E5" s="14" t="s">
        <v>11</v>
      </c>
      <c r="F5" s="14" t="s">
        <v>12</v>
      </c>
      <c r="G5" s="14" t="s">
        <v>13</v>
      </c>
      <c r="H5" s="14" t="s">
        <v>14</v>
      </c>
      <c r="I5" s="14" t="s">
        <v>15</v>
      </c>
      <c r="J5" s="14" t="s">
        <v>16</v>
      </c>
      <c r="K5" s="14" t="s">
        <v>17</v>
      </c>
      <c r="L5" s="14" t="s">
        <v>18</v>
      </c>
      <c r="M5" s="14" t="s">
        <v>19</v>
      </c>
      <c r="N5" s="14" t="s">
        <v>20</v>
      </c>
      <c r="O5" s="14" t="s">
        <v>21</v>
      </c>
      <c r="P5" s="14" t="s">
        <v>22</v>
      </c>
      <c r="Q5" s="14" t="s">
        <v>23</v>
      </c>
      <c r="R5" s="14" t="s">
        <v>24</v>
      </c>
      <c r="S5" s="14" t="s">
        <v>25</v>
      </c>
      <c r="T5" s="14" t="s">
        <v>26</v>
      </c>
      <c r="U5" s="14" t="s">
        <v>27</v>
      </c>
      <c r="V5" s="14" t="s">
        <v>28</v>
      </c>
      <c r="W5" s="14" t="s">
        <v>29</v>
      </c>
    </row>
    <row r="6" spans="1:23" ht="409.5">
      <c r="B6" s="15" t="s">
        <v>4189</v>
      </c>
      <c r="C6" s="15" t="s">
        <v>4190</v>
      </c>
      <c r="D6" s="14" t="s">
        <v>4191</v>
      </c>
      <c r="E6" s="14" t="s">
        <v>4192</v>
      </c>
      <c r="F6" s="14" t="s">
        <v>4193</v>
      </c>
      <c r="G6" s="14" t="s">
        <v>4194</v>
      </c>
      <c r="H6" s="14" t="s">
        <v>1201</v>
      </c>
      <c r="I6" s="14" t="s">
        <v>1202</v>
      </c>
      <c r="J6" s="14" t="s">
        <v>4195</v>
      </c>
      <c r="K6" s="14" t="s">
        <v>1204</v>
      </c>
      <c r="L6" s="14" t="s">
        <v>1205</v>
      </c>
      <c r="M6" s="14" t="s">
        <v>1206</v>
      </c>
      <c r="O6" s="14" t="s">
        <v>4196</v>
      </c>
      <c r="P6" s="14" t="s">
        <v>4197</v>
      </c>
      <c r="Q6" s="14" t="s">
        <v>4198</v>
      </c>
      <c r="R6" s="14" t="s">
        <v>4199</v>
      </c>
      <c r="S6" s="14" t="s">
        <v>4200</v>
      </c>
      <c r="T6" s="14" t="s">
        <v>4201</v>
      </c>
      <c r="U6" s="14" t="s">
        <v>4202</v>
      </c>
      <c r="V6" s="14" t="s">
        <v>4203</v>
      </c>
      <c r="W6" s="14" t="s">
        <v>4204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1BCD0-259F-4FA3-9EAB-DE334F1A0CB9}">
  <dimension ref="A1:W206"/>
  <sheetViews>
    <sheetView workbookViewId="0"/>
  </sheetViews>
  <sheetFormatPr defaultColWidth="11.42578125" defaultRowHeight="15"/>
  <sheetData>
    <row r="1" spans="1:23">
      <c r="A1" s="14" t="s">
        <v>4205</v>
      </c>
      <c r="B1" s="14" t="s">
        <v>1160</v>
      </c>
      <c r="C1" s="14" t="s">
        <v>1160</v>
      </c>
      <c r="D1" s="14" t="s">
        <v>1160</v>
      </c>
      <c r="E1" s="14" t="s">
        <v>1</v>
      </c>
      <c r="F1" s="14" t="s">
        <v>1</v>
      </c>
      <c r="G1" s="14" t="s">
        <v>1</v>
      </c>
      <c r="H1" s="14" t="s">
        <v>1</v>
      </c>
      <c r="I1" s="14" t="s">
        <v>1</v>
      </c>
      <c r="J1" s="14" t="s">
        <v>1</v>
      </c>
      <c r="K1" s="14" t="s">
        <v>1</v>
      </c>
      <c r="L1" s="14" t="s">
        <v>1</v>
      </c>
      <c r="M1" s="14" t="s">
        <v>1</v>
      </c>
      <c r="N1" s="14" t="s">
        <v>1</v>
      </c>
      <c r="O1" s="14" t="s">
        <v>1</v>
      </c>
      <c r="P1" s="14" t="s">
        <v>1</v>
      </c>
      <c r="Q1" s="14" t="s">
        <v>1</v>
      </c>
      <c r="R1" s="14" t="s">
        <v>1</v>
      </c>
      <c r="S1" s="14" t="s">
        <v>1</v>
      </c>
      <c r="T1" s="14" t="s">
        <v>1</v>
      </c>
      <c r="U1" s="14" t="s">
        <v>1</v>
      </c>
      <c r="V1" s="14" t="s">
        <v>1</v>
      </c>
      <c r="W1" s="14" t="s">
        <v>1</v>
      </c>
    </row>
    <row r="2" spans="1:23">
      <c r="E2" s="14" t="s">
        <v>8</v>
      </c>
    </row>
    <row r="3" spans="1:23">
      <c r="E3" s="14" t="s">
        <v>4170</v>
      </c>
    </row>
    <row r="4" spans="1:23">
      <c r="E4" s="14" t="s">
        <v>4171</v>
      </c>
    </row>
    <row r="5" spans="1:23">
      <c r="E5" s="14" t="s">
        <v>11</v>
      </c>
      <c r="F5" s="14" t="s">
        <v>12</v>
      </c>
      <c r="G5" s="14" t="s">
        <v>13</v>
      </c>
      <c r="H5" s="14" t="s">
        <v>14</v>
      </c>
      <c r="I5" s="14" t="s">
        <v>15</v>
      </c>
      <c r="J5" s="14" t="s">
        <v>16</v>
      </c>
      <c r="K5" s="14" t="s">
        <v>17</v>
      </c>
      <c r="L5" s="14" t="s">
        <v>18</v>
      </c>
      <c r="M5" s="14" t="s">
        <v>19</v>
      </c>
      <c r="N5" s="14" t="s">
        <v>20</v>
      </c>
      <c r="O5" s="14" t="s">
        <v>21</v>
      </c>
      <c r="P5" s="14" t="s">
        <v>22</v>
      </c>
      <c r="Q5" s="14" t="s">
        <v>23</v>
      </c>
      <c r="R5" s="14" t="s">
        <v>24</v>
      </c>
      <c r="S5" s="14" t="s">
        <v>25</v>
      </c>
      <c r="T5" s="14" t="s">
        <v>26</v>
      </c>
      <c r="U5" s="14" t="s">
        <v>27</v>
      </c>
      <c r="V5" s="14" t="s">
        <v>28</v>
      </c>
      <c r="W5" s="14" t="s">
        <v>29</v>
      </c>
    </row>
    <row r="6" spans="1:23" ht="409.5">
      <c r="B6" s="15" t="s">
        <v>4172</v>
      </c>
      <c r="C6" s="15" t="s">
        <v>4173</v>
      </c>
      <c r="D6" s="14" t="s">
        <v>4174</v>
      </c>
      <c r="E6" s="14" t="s">
        <v>4175</v>
      </c>
      <c r="F6" s="14" t="s">
        <v>4176</v>
      </c>
      <c r="G6" s="14" t="s">
        <v>4177</v>
      </c>
      <c r="H6" s="14" t="s">
        <v>1173</v>
      </c>
      <c r="I6" s="14" t="s">
        <v>1174</v>
      </c>
      <c r="J6" s="14" t="s">
        <v>4178</v>
      </c>
      <c r="K6" s="14" t="s">
        <v>1176</v>
      </c>
      <c r="L6" s="14" t="s">
        <v>1177</v>
      </c>
      <c r="M6" s="14" t="s">
        <v>1178</v>
      </c>
      <c r="O6" s="14" t="s">
        <v>4179</v>
      </c>
      <c r="P6" s="14" t="s">
        <v>4180</v>
      </c>
      <c r="Q6" s="14" t="s">
        <v>4181</v>
      </c>
      <c r="R6" s="14" t="s">
        <v>4182</v>
      </c>
      <c r="S6" s="14" t="s">
        <v>4183</v>
      </c>
      <c r="T6" s="14" t="s">
        <v>4184</v>
      </c>
      <c r="U6" s="14" t="s">
        <v>4185</v>
      </c>
      <c r="V6" s="14" t="s">
        <v>4186</v>
      </c>
      <c r="W6" s="14" t="s">
        <v>4187</v>
      </c>
    </row>
    <row r="7" spans="1:23" ht="409.5">
      <c r="A7" s="14" t="s">
        <v>1218</v>
      </c>
      <c r="B7" s="14" t="s">
        <v>4206</v>
      </c>
      <c r="C7" s="15" t="s">
        <v>4207</v>
      </c>
      <c r="D7" s="14" t="s">
        <v>4208</v>
      </c>
      <c r="E7" s="14" t="s">
        <v>4209</v>
      </c>
      <c r="F7" s="14" t="s">
        <v>4210</v>
      </c>
      <c r="G7" s="14" t="s">
        <v>4211</v>
      </c>
      <c r="H7" s="14" t="s">
        <v>1228</v>
      </c>
      <c r="I7" s="14" t="s">
        <v>1229</v>
      </c>
      <c r="J7" s="14" t="s">
        <v>4212</v>
      </c>
      <c r="K7" s="14" t="s">
        <v>1231</v>
      </c>
      <c r="L7" s="14" t="s">
        <v>1232</v>
      </c>
      <c r="M7" s="14" t="s">
        <v>1233</v>
      </c>
      <c r="O7" s="14" t="s">
        <v>4213</v>
      </c>
      <c r="P7" s="14" t="s">
        <v>4214</v>
      </c>
      <c r="Q7" s="14" t="s">
        <v>4215</v>
      </c>
      <c r="R7" s="14" t="s">
        <v>4216</v>
      </c>
      <c r="S7" s="14" t="s">
        <v>4217</v>
      </c>
      <c r="T7" s="14" t="s">
        <v>4218</v>
      </c>
      <c r="U7" s="14" t="s">
        <v>4219</v>
      </c>
      <c r="V7" s="14" t="s">
        <v>4220</v>
      </c>
      <c r="W7" s="14" t="s">
        <v>4221</v>
      </c>
    </row>
    <row r="8" spans="1:23" ht="409.5">
      <c r="A8" s="14" t="s">
        <v>1218</v>
      </c>
      <c r="B8" s="14" t="s">
        <v>4222</v>
      </c>
      <c r="C8" s="15" t="s">
        <v>4223</v>
      </c>
      <c r="D8" s="14" t="s">
        <v>4224</v>
      </c>
      <c r="E8" s="14" t="s">
        <v>4225</v>
      </c>
      <c r="F8" s="14" t="s">
        <v>4226</v>
      </c>
      <c r="G8" s="14" t="s">
        <v>4227</v>
      </c>
      <c r="H8" s="14" t="s">
        <v>1253</v>
      </c>
      <c r="I8" s="14" t="s">
        <v>1254</v>
      </c>
      <c r="J8" s="14" t="s">
        <v>4228</v>
      </c>
      <c r="K8" s="14" t="s">
        <v>1256</v>
      </c>
      <c r="L8" s="14" t="s">
        <v>1257</v>
      </c>
      <c r="M8" s="14" t="s">
        <v>1258</v>
      </c>
      <c r="O8" s="14" t="s">
        <v>4229</v>
      </c>
      <c r="P8" s="14" t="s">
        <v>4230</v>
      </c>
      <c r="Q8" s="14" t="s">
        <v>4231</v>
      </c>
      <c r="R8" s="14" t="s">
        <v>4232</v>
      </c>
      <c r="S8" s="14" t="s">
        <v>4233</v>
      </c>
      <c r="T8" s="14" t="s">
        <v>4234</v>
      </c>
      <c r="U8" s="14" t="s">
        <v>4235</v>
      </c>
      <c r="V8" s="14" t="s">
        <v>4236</v>
      </c>
      <c r="W8" s="14" t="s">
        <v>4237</v>
      </c>
    </row>
    <row r="9" spans="1:23" ht="409.5">
      <c r="A9" s="14" t="s">
        <v>1218</v>
      </c>
      <c r="B9" s="14" t="s">
        <v>4238</v>
      </c>
      <c r="C9" s="15" t="s">
        <v>4239</v>
      </c>
      <c r="D9" s="14" t="s">
        <v>4240</v>
      </c>
      <c r="E9" s="14" t="s">
        <v>4241</v>
      </c>
      <c r="F9" s="14" t="s">
        <v>4242</v>
      </c>
      <c r="G9" s="14" t="s">
        <v>4243</v>
      </c>
      <c r="H9" s="14" t="s">
        <v>1278</v>
      </c>
      <c r="I9" s="14" t="s">
        <v>1279</v>
      </c>
      <c r="J9" s="14" t="s">
        <v>4244</v>
      </c>
      <c r="K9" s="14" t="s">
        <v>1281</v>
      </c>
      <c r="L9" s="14" t="s">
        <v>1282</v>
      </c>
      <c r="M9" s="14" t="s">
        <v>1283</v>
      </c>
      <c r="O9" s="14" t="s">
        <v>4245</v>
      </c>
      <c r="P9" s="14" t="s">
        <v>4246</v>
      </c>
      <c r="Q9" s="14" t="s">
        <v>4247</v>
      </c>
      <c r="R9" s="14" t="s">
        <v>4248</v>
      </c>
      <c r="S9" s="14" t="s">
        <v>4249</v>
      </c>
      <c r="T9" s="14" t="s">
        <v>4250</v>
      </c>
      <c r="U9" s="14" t="s">
        <v>4251</v>
      </c>
      <c r="V9" s="14" t="s">
        <v>4252</v>
      </c>
      <c r="W9" s="14" t="s">
        <v>4253</v>
      </c>
    </row>
    <row r="10" spans="1:23" ht="409.5">
      <c r="A10" s="14" t="s">
        <v>1218</v>
      </c>
      <c r="B10" s="14" t="s">
        <v>4254</v>
      </c>
      <c r="C10" s="15" t="s">
        <v>4255</v>
      </c>
      <c r="D10" s="14" t="s">
        <v>4256</v>
      </c>
      <c r="E10" s="14" t="s">
        <v>4257</v>
      </c>
      <c r="F10" s="14" t="s">
        <v>4258</v>
      </c>
      <c r="G10" s="14" t="s">
        <v>4259</v>
      </c>
      <c r="H10" s="14" t="s">
        <v>1303</v>
      </c>
      <c r="I10" s="14" t="s">
        <v>1304</v>
      </c>
      <c r="J10" s="14" t="s">
        <v>4260</v>
      </c>
      <c r="K10" s="14" t="s">
        <v>1306</v>
      </c>
      <c r="L10" s="14" t="s">
        <v>1307</v>
      </c>
      <c r="M10" s="14" t="s">
        <v>1308</v>
      </c>
      <c r="O10" s="14" t="s">
        <v>4261</v>
      </c>
      <c r="P10" s="14" t="s">
        <v>4262</v>
      </c>
      <c r="Q10" s="14" t="s">
        <v>4263</v>
      </c>
      <c r="R10" s="14" t="s">
        <v>4264</v>
      </c>
      <c r="S10" s="14" t="s">
        <v>4265</v>
      </c>
      <c r="T10" s="14" t="s">
        <v>4266</v>
      </c>
      <c r="U10" s="14" t="s">
        <v>4267</v>
      </c>
      <c r="V10" s="14" t="s">
        <v>4268</v>
      </c>
      <c r="W10" s="14" t="s">
        <v>4269</v>
      </c>
    </row>
    <row r="11" spans="1:23" ht="409.5">
      <c r="A11" s="14" t="s">
        <v>1218</v>
      </c>
      <c r="B11" s="14" t="s">
        <v>4270</v>
      </c>
      <c r="C11" s="15" t="s">
        <v>4271</v>
      </c>
      <c r="D11" s="14" t="s">
        <v>4272</v>
      </c>
      <c r="E11" s="14" t="s">
        <v>4273</v>
      </c>
      <c r="F11" s="14" t="s">
        <v>4274</v>
      </c>
      <c r="G11" s="14" t="s">
        <v>4275</v>
      </c>
      <c r="H11" s="14" t="s">
        <v>1328</v>
      </c>
      <c r="I11" s="14" t="s">
        <v>1329</v>
      </c>
      <c r="J11" s="14" t="s">
        <v>4276</v>
      </c>
      <c r="K11" s="14" t="s">
        <v>1331</v>
      </c>
      <c r="L11" s="14" t="s">
        <v>1332</v>
      </c>
      <c r="M11" s="14" t="s">
        <v>1333</v>
      </c>
      <c r="O11" s="14" t="s">
        <v>4277</v>
      </c>
      <c r="P11" s="14" t="s">
        <v>4278</v>
      </c>
      <c r="Q11" s="14" t="s">
        <v>4279</v>
      </c>
      <c r="R11" s="14" t="s">
        <v>4280</v>
      </c>
      <c r="S11" s="14" t="s">
        <v>4281</v>
      </c>
      <c r="T11" s="14" t="s">
        <v>4282</v>
      </c>
      <c r="U11" s="14" t="s">
        <v>4283</v>
      </c>
      <c r="V11" s="14" t="s">
        <v>4284</v>
      </c>
      <c r="W11" s="14" t="s">
        <v>4285</v>
      </c>
    </row>
    <row r="12" spans="1:23" ht="409.5">
      <c r="A12" s="14" t="s">
        <v>1218</v>
      </c>
      <c r="B12" s="14" t="s">
        <v>4286</v>
      </c>
      <c r="C12" s="15" t="s">
        <v>4287</v>
      </c>
      <c r="D12" s="14" t="s">
        <v>4288</v>
      </c>
      <c r="E12" s="14" t="s">
        <v>4289</v>
      </c>
      <c r="F12" s="14" t="s">
        <v>4290</v>
      </c>
      <c r="G12" s="14" t="s">
        <v>4291</v>
      </c>
      <c r="H12" s="14" t="s">
        <v>1353</v>
      </c>
      <c r="I12" s="14" t="s">
        <v>1354</v>
      </c>
      <c r="J12" s="14" t="s">
        <v>4292</v>
      </c>
      <c r="K12" s="14" t="s">
        <v>1356</v>
      </c>
      <c r="L12" s="14" t="s">
        <v>1357</v>
      </c>
      <c r="M12" s="14" t="s">
        <v>1358</v>
      </c>
      <c r="O12" s="14" t="s">
        <v>4293</v>
      </c>
      <c r="P12" s="14" t="s">
        <v>4294</v>
      </c>
      <c r="Q12" s="14" t="s">
        <v>4295</v>
      </c>
      <c r="R12" s="14" t="s">
        <v>4296</v>
      </c>
      <c r="S12" s="14" t="s">
        <v>4297</v>
      </c>
      <c r="T12" s="14" t="s">
        <v>4298</v>
      </c>
      <c r="U12" s="14" t="s">
        <v>4299</v>
      </c>
      <c r="V12" s="14" t="s">
        <v>4300</v>
      </c>
      <c r="W12" s="14" t="s">
        <v>4301</v>
      </c>
    </row>
    <row r="13" spans="1:23" ht="409.5">
      <c r="A13" s="14" t="s">
        <v>1218</v>
      </c>
      <c r="B13" s="14" t="s">
        <v>4302</v>
      </c>
      <c r="C13" s="15" t="s">
        <v>4303</v>
      </c>
      <c r="D13" s="14" t="s">
        <v>4304</v>
      </c>
      <c r="E13" s="14" t="s">
        <v>4305</v>
      </c>
      <c r="F13" s="14" t="s">
        <v>4306</v>
      </c>
      <c r="G13" s="14" t="s">
        <v>4307</v>
      </c>
      <c r="H13" s="14" t="s">
        <v>1378</v>
      </c>
      <c r="I13" s="14" t="s">
        <v>1379</v>
      </c>
      <c r="J13" s="14" t="s">
        <v>4308</v>
      </c>
      <c r="K13" s="14" t="s">
        <v>1381</v>
      </c>
      <c r="L13" s="14" t="s">
        <v>1382</v>
      </c>
      <c r="M13" s="14" t="s">
        <v>1383</v>
      </c>
      <c r="O13" s="14" t="s">
        <v>4309</v>
      </c>
      <c r="P13" s="14" t="s">
        <v>4310</v>
      </c>
      <c r="Q13" s="14" t="s">
        <v>4311</v>
      </c>
      <c r="R13" s="14" t="s">
        <v>4312</v>
      </c>
      <c r="S13" s="14" t="s">
        <v>4313</v>
      </c>
      <c r="T13" s="14" t="s">
        <v>4314</v>
      </c>
      <c r="U13" s="14" t="s">
        <v>4315</v>
      </c>
      <c r="V13" s="14" t="s">
        <v>4316</v>
      </c>
      <c r="W13" s="14" t="s">
        <v>4317</v>
      </c>
    </row>
    <row r="14" spans="1:23" ht="409.5">
      <c r="A14" s="14" t="s">
        <v>1218</v>
      </c>
      <c r="B14" s="14" t="s">
        <v>4318</v>
      </c>
      <c r="C14" s="15" t="s">
        <v>4319</v>
      </c>
      <c r="D14" s="14" t="s">
        <v>4320</v>
      </c>
      <c r="E14" s="14" t="s">
        <v>4321</v>
      </c>
      <c r="F14" s="14" t="s">
        <v>4322</v>
      </c>
      <c r="G14" s="14" t="s">
        <v>4323</v>
      </c>
      <c r="H14" s="14" t="s">
        <v>1403</v>
      </c>
      <c r="I14" s="14" t="s">
        <v>1404</v>
      </c>
      <c r="J14" s="14" t="s">
        <v>4324</v>
      </c>
      <c r="K14" s="14" t="s">
        <v>1406</v>
      </c>
      <c r="L14" s="14" t="s">
        <v>1407</v>
      </c>
      <c r="M14" s="14" t="s">
        <v>1408</v>
      </c>
      <c r="O14" s="14" t="s">
        <v>4325</v>
      </c>
      <c r="P14" s="14" t="s">
        <v>4326</v>
      </c>
      <c r="Q14" s="14" t="s">
        <v>4327</v>
      </c>
      <c r="R14" s="14" t="s">
        <v>4328</v>
      </c>
      <c r="S14" s="14" t="s">
        <v>4329</v>
      </c>
      <c r="T14" s="14" t="s">
        <v>4330</v>
      </c>
      <c r="U14" s="14" t="s">
        <v>4331</v>
      </c>
      <c r="V14" s="14" t="s">
        <v>4332</v>
      </c>
      <c r="W14" s="14" t="s">
        <v>4333</v>
      </c>
    </row>
    <row r="15" spans="1:23" ht="409.5">
      <c r="A15" s="14" t="s">
        <v>1218</v>
      </c>
      <c r="B15" s="14" t="s">
        <v>4334</v>
      </c>
      <c r="C15" s="15" t="s">
        <v>4335</v>
      </c>
      <c r="D15" s="14" t="s">
        <v>4336</v>
      </c>
      <c r="E15" s="14" t="s">
        <v>4337</v>
      </c>
      <c r="F15" s="14" t="s">
        <v>4338</v>
      </c>
      <c r="G15" s="14" t="s">
        <v>4339</v>
      </c>
      <c r="H15" s="14" t="s">
        <v>1428</v>
      </c>
      <c r="I15" s="14" t="s">
        <v>1429</v>
      </c>
      <c r="J15" s="14" t="s">
        <v>4340</v>
      </c>
      <c r="K15" s="14" t="s">
        <v>1431</v>
      </c>
      <c r="L15" s="14" t="s">
        <v>1432</v>
      </c>
      <c r="M15" s="14" t="s">
        <v>1433</v>
      </c>
      <c r="O15" s="14" t="s">
        <v>4341</v>
      </c>
      <c r="P15" s="14" t="s">
        <v>4342</v>
      </c>
      <c r="Q15" s="14" t="s">
        <v>4343</v>
      </c>
      <c r="R15" s="14" t="s">
        <v>4344</v>
      </c>
      <c r="S15" s="14" t="s">
        <v>4345</v>
      </c>
      <c r="T15" s="14" t="s">
        <v>4346</v>
      </c>
      <c r="U15" s="14" t="s">
        <v>4347</v>
      </c>
      <c r="V15" s="14" t="s">
        <v>4348</v>
      </c>
      <c r="W15" s="14" t="s">
        <v>4349</v>
      </c>
    </row>
    <row r="16" spans="1:23" ht="409.5">
      <c r="A16" s="14" t="s">
        <v>1218</v>
      </c>
      <c r="B16" s="14" t="s">
        <v>4350</v>
      </c>
      <c r="C16" s="15" t="s">
        <v>4351</v>
      </c>
      <c r="D16" s="14" t="s">
        <v>4352</v>
      </c>
      <c r="E16" s="14" t="s">
        <v>4353</v>
      </c>
      <c r="F16" s="14" t="s">
        <v>4354</v>
      </c>
      <c r="G16" s="14" t="s">
        <v>4355</v>
      </c>
      <c r="H16" s="14" t="s">
        <v>1453</v>
      </c>
      <c r="I16" s="14" t="s">
        <v>1454</v>
      </c>
      <c r="J16" s="14" t="s">
        <v>4356</v>
      </c>
      <c r="K16" s="14" t="s">
        <v>1456</v>
      </c>
      <c r="L16" s="14" t="s">
        <v>1457</v>
      </c>
      <c r="M16" s="14" t="s">
        <v>1458</v>
      </c>
      <c r="O16" s="14" t="s">
        <v>4357</v>
      </c>
      <c r="P16" s="14" t="s">
        <v>4358</v>
      </c>
      <c r="Q16" s="14" t="s">
        <v>4359</v>
      </c>
      <c r="R16" s="14" t="s">
        <v>4360</v>
      </c>
      <c r="S16" s="14" t="s">
        <v>4361</v>
      </c>
      <c r="T16" s="14" t="s">
        <v>4362</v>
      </c>
      <c r="U16" s="14" t="s">
        <v>4363</v>
      </c>
      <c r="V16" s="14" t="s">
        <v>4364</v>
      </c>
      <c r="W16" s="14" t="s">
        <v>4365</v>
      </c>
    </row>
    <row r="17" spans="1:23" ht="409.5">
      <c r="A17" s="14" t="s">
        <v>1218</v>
      </c>
      <c r="B17" s="14" t="s">
        <v>4366</v>
      </c>
      <c r="C17" s="15" t="s">
        <v>4367</v>
      </c>
      <c r="D17" s="14" t="s">
        <v>4368</v>
      </c>
      <c r="E17" s="14" t="s">
        <v>4369</v>
      </c>
      <c r="F17" s="14" t="s">
        <v>4370</v>
      </c>
      <c r="G17" s="14" t="s">
        <v>4371</v>
      </c>
      <c r="H17" s="14" t="s">
        <v>1478</v>
      </c>
      <c r="I17" s="14" t="s">
        <v>1479</v>
      </c>
      <c r="J17" s="14" t="s">
        <v>4372</v>
      </c>
      <c r="K17" s="14" t="s">
        <v>1481</v>
      </c>
      <c r="L17" s="14" t="s">
        <v>1482</v>
      </c>
      <c r="M17" s="14" t="s">
        <v>1483</v>
      </c>
      <c r="O17" s="14" t="s">
        <v>4373</v>
      </c>
      <c r="P17" s="14" t="s">
        <v>4374</v>
      </c>
      <c r="Q17" s="14" t="s">
        <v>4375</v>
      </c>
      <c r="R17" s="14" t="s">
        <v>4376</v>
      </c>
      <c r="S17" s="14" t="s">
        <v>4377</v>
      </c>
      <c r="T17" s="14" t="s">
        <v>4378</v>
      </c>
      <c r="U17" s="14" t="s">
        <v>4379</v>
      </c>
      <c r="V17" s="14" t="s">
        <v>4380</v>
      </c>
      <c r="W17" s="14" t="s">
        <v>4381</v>
      </c>
    </row>
    <row r="18" spans="1:23" ht="409.5">
      <c r="A18" s="14" t="s">
        <v>1218</v>
      </c>
      <c r="B18" s="14" t="s">
        <v>4382</v>
      </c>
      <c r="C18" s="15" t="s">
        <v>4383</v>
      </c>
      <c r="D18" s="14" t="s">
        <v>4384</v>
      </c>
      <c r="E18" s="14" t="s">
        <v>4385</v>
      </c>
      <c r="F18" s="14" t="s">
        <v>4386</v>
      </c>
      <c r="G18" s="14" t="s">
        <v>4387</v>
      </c>
      <c r="H18" s="14" t="s">
        <v>1503</v>
      </c>
      <c r="I18" s="14" t="s">
        <v>1504</v>
      </c>
      <c r="J18" s="14" t="s">
        <v>4388</v>
      </c>
      <c r="K18" s="14" t="s">
        <v>1506</v>
      </c>
      <c r="L18" s="14" t="s">
        <v>1507</v>
      </c>
      <c r="M18" s="14" t="s">
        <v>1508</v>
      </c>
      <c r="O18" s="14" t="s">
        <v>4389</v>
      </c>
      <c r="P18" s="14" t="s">
        <v>4390</v>
      </c>
      <c r="Q18" s="14" t="s">
        <v>4391</v>
      </c>
      <c r="R18" s="14" t="s">
        <v>4392</v>
      </c>
      <c r="S18" s="14" t="s">
        <v>4393</v>
      </c>
      <c r="T18" s="14" t="s">
        <v>4394</v>
      </c>
      <c r="U18" s="14" t="s">
        <v>4395</v>
      </c>
      <c r="V18" s="14" t="s">
        <v>4396</v>
      </c>
      <c r="W18" s="14" t="s">
        <v>4397</v>
      </c>
    </row>
    <row r="19" spans="1:23" ht="409.5">
      <c r="A19" s="14" t="s">
        <v>1218</v>
      </c>
      <c r="B19" s="14" t="s">
        <v>4398</v>
      </c>
      <c r="C19" s="15" t="s">
        <v>4399</v>
      </c>
      <c r="D19" s="14" t="s">
        <v>4400</v>
      </c>
      <c r="E19" s="14" t="s">
        <v>4401</v>
      </c>
      <c r="F19" s="14" t="s">
        <v>4402</v>
      </c>
      <c r="G19" s="14" t="s">
        <v>4403</v>
      </c>
      <c r="H19" s="14" t="s">
        <v>1528</v>
      </c>
      <c r="I19" s="14" t="s">
        <v>1529</v>
      </c>
      <c r="J19" s="14" t="s">
        <v>4404</v>
      </c>
      <c r="K19" s="14" t="s">
        <v>1531</v>
      </c>
      <c r="L19" s="14" t="s">
        <v>1532</v>
      </c>
      <c r="M19" s="14" t="s">
        <v>1533</v>
      </c>
      <c r="O19" s="14" t="s">
        <v>4405</v>
      </c>
      <c r="P19" s="14" t="s">
        <v>4406</v>
      </c>
      <c r="Q19" s="14" t="s">
        <v>4407</v>
      </c>
      <c r="R19" s="14" t="s">
        <v>4408</v>
      </c>
      <c r="S19" s="14" t="s">
        <v>4409</v>
      </c>
      <c r="T19" s="14" t="s">
        <v>4410</v>
      </c>
      <c r="U19" s="14" t="s">
        <v>4411</v>
      </c>
      <c r="V19" s="14" t="s">
        <v>4412</v>
      </c>
      <c r="W19" s="14" t="s">
        <v>4413</v>
      </c>
    </row>
    <row r="20" spans="1:23" ht="409.5">
      <c r="A20" s="14" t="s">
        <v>1218</v>
      </c>
      <c r="B20" s="14" t="s">
        <v>4414</v>
      </c>
      <c r="C20" s="15" t="s">
        <v>4415</v>
      </c>
      <c r="D20" s="14" t="s">
        <v>4416</v>
      </c>
      <c r="E20" s="14" t="s">
        <v>4417</v>
      </c>
      <c r="F20" s="14" t="s">
        <v>4418</v>
      </c>
      <c r="G20" s="14" t="s">
        <v>4419</v>
      </c>
      <c r="H20" s="14" t="s">
        <v>1553</v>
      </c>
      <c r="I20" s="14" t="s">
        <v>1554</v>
      </c>
      <c r="J20" s="14" t="s">
        <v>4420</v>
      </c>
      <c r="K20" s="14" t="s">
        <v>1556</v>
      </c>
      <c r="L20" s="14" t="s">
        <v>1557</v>
      </c>
      <c r="M20" s="14" t="s">
        <v>1558</v>
      </c>
      <c r="O20" s="14" t="s">
        <v>4421</v>
      </c>
      <c r="P20" s="14" t="s">
        <v>4422</v>
      </c>
      <c r="Q20" s="14" t="s">
        <v>4423</v>
      </c>
      <c r="R20" s="14" t="s">
        <v>4424</v>
      </c>
      <c r="S20" s="14" t="s">
        <v>4425</v>
      </c>
      <c r="T20" s="14" t="s">
        <v>4426</v>
      </c>
      <c r="U20" s="14" t="s">
        <v>4427</v>
      </c>
      <c r="V20" s="14" t="s">
        <v>4428</v>
      </c>
      <c r="W20" s="14" t="s">
        <v>4429</v>
      </c>
    </row>
    <row r="21" spans="1:23" ht="409.5">
      <c r="A21" s="14" t="s">
        <v>1218</v>
      </c>
      <c r="B21" s="14" t="s">
        <v>4430</v>
      </c>
      <c r="C21" s="15" t="s">
        <v>4431</v>
      </c>
      <c r="D21" s="14" t="s">
        <v>4432</v>
      </c>
      <c r="E21" s="14" t="s">
        <v>4433</v>
      </c>
      <c r="F21" s="14" t="s">
        <v>4434</v>
      </c>
      <c r="G21" s="14" t="s">
        <v>4435</v>
      </c>
      <c r="H21" s="14" t="s">
        <v>1578</v>
      </c>
      <c r="I21" s="14" t="s">
        <v>1579</v>
      </c>
      <c r="J21" s="14" t="s">
        <v>4436</v>
      </c>
      <c r="K21" s="14" t="s">
        <v>1581</v>
      </c>
      <c r="L21" s="14" t="s">
        <v>1582</v>
      </c>
      <c r="M21" s="14" t="s">
        <v>1583</v>
      </c>
      <c r="O21" s="14" t="s">
        <v>4437</v>
      </c>
      <c r="P21" s="14" t="s">
        <v>4438</v>
      </c>
      <c r="Q21" s="14" t="s">
        <v>4439</v>
      </c>
      <c r="R21" s="14" t="s">
        <v>4440</v>
      </c>
      <c r="S21" s="14" t="s">
        <v>4441</v>
      </c>
      <c r="T21" s="14" t="s">
        <v>4442</v>
      </c>
      <c r="U21" s="14" t="s">
        <v>4443</v>
      </c>
      <c r="V21" s="14" t="s">
        <v>4444</v>
      </c>
      <c r="W21" s="14" t="s">
        <v>4445</v>
      </c>
    </row>
    <row r="22" spans="1:23" ht="409.5">
      <c r="A22" s="14" t="s">
        <v>1218</v>
      </c>
      <c r="B22" s="14" t="s">
        <v>4446</v>
      </c>
      <c r="C22" s="15" t="s">
        <v>4447</v>
      </c>
      <c r="D22" s="14" t="s">
        <v>4448</v>
      </c>
      <c r="E22" s="14" t="s">
        <v>4449</v>
      </c>
      <c r="F22" s="14" t="s">
        <v>4450</v>
      </c>
      <c r="G22" s="14" t="s">
        <v>4451</v>
      </c>
      <c r="H22" s="14" t="s">
        <v>1603</v>
      </c>
      <c r="I22" s="14" t="s">
        <v>1604</v>
      </c>
      <c r="J22" s="14" t="s">
        <v>4452</v>
      </c>
      <c r="K22" s="14" t="s">
        <v>1606</v>
      </c>
      <c r="L22" s="14" t="s">
        <v>1607</v>
      </c>
      <c r="M22" s="14" t="s">
        <v>1608</v>
      </c>
      <c r="O22" s="14" t="s">
        <v>4453</v>
      </c>
      <c r="P22" s="14" t="s">
        <v>4454</v>
      </c>
      <c r="Q22" s="14" t="s">
        <v>4455</v>
      </c>
      <c r="R22" s="14" t="s">
        <v>4456</v>
      </c>
      <c r="S22" s="14" t="s">
        <v>4457</v>
      </c>
      <c r="T22" s="14" t="s">
        <v>4458</v>
      </c>
      <c r="U22" s="14" t="s">
        <v>4459</v>
      </c>
      <c r="V22" s="14" t="s">
        <v>4460</v>
      </c>
      <c r="W22" s="14" t="s">
        <v>4461</v>
      </c>
    </row>
    <row r="23" spans="1:23" ht="409.5">
      <c r="A23" s="14" t="s">
        <v>1218</v>
      </c>
      <c r="B23" s="14" t="s">
        <v>4462</v>
      </c>
      <c r="C23" s="15" t="s">
        <v>4463</v>
      </c>
      <c r="D23" s="14" t="s">
        <v>4464</v>
      </c>
      <c r="E23" s="14" t="s">
        <v>4465</v>
      </c>
      <c r="F23" s="14" t="s">
        <v>4466</v>
      </c>
      <c r="G23" s="14" t="s">
        <v>4467</v>
      </c>
      <c r="H23" s="14" t="s">
        <v>1628</v>
      </c>
      <c r="I23" s="14" t="s">
        <v>1629</v>
      </c>
      <c r="J23" s="14" t="s">
        <v>4468</v>
      </c>
      <c r="K23" s="14" t="s">
        <v>1631</v>
      </c>
      <c r="L23" s="14" t="s">
        <v>1632</v>
      </c>
      <c r="M23" s="14" t="s">
        <v>1633</v>
      </c>
      <c r="O23" s="14" t="s">
        <v>4469</v>
      </c>
      <c r="P23" s="14" t="s">
        <v>4470</v>
      </c>
      <c r="Q23" s="14" t="s">
        <v>4471</v>
      </c>
      <c r="R23" s="14" t="s">
        <v>4472</v>
      </c>
      <c r="S23" s="14" t="s">
        <v>4473</v>
      </c>
      <c r="T23" s="14" t="s">
        <v>4474</v>
      </c>
      <c r="U23" s="14" t="s">
        <v>4475</v>
      </c>
      <c r="V23" s="14" t="s">
        <v>4476</v>
      </c>
      <c r="W23" s="14" t="s">
        <v>4477</v>
      </c>
    </row>
    <row r="24" spans="1:23" ht="409.5">
      <c r="A24" s="14" t="s">
        <v>1218</v>
      </c>
      <c r="B24" s="14" t="s">
        <v>4478</v>
      </c>
      <c r="C24" s="15" t="s">
        <v>4479</v>
      </c>
      <c r="D24" s="14" t="s">
        <v>4480</v>
      </c>
      <c r="E24" s="14" t="s">
        <v>4481</v>
      </c>
      <c r="F24" s="14" t="s">
        <v>4482</v>
      </c>
      <c r="G24" s="14" t="s">
        <v>4483</v>
      </c>
      <c r="H24" s="14" t="s">
        <v>1653</v>
      </c>
      <c r="I24" s="14" t="s">
        <v>1654</v>
      </c>
      <c r="J24" s="14" t="s">
        <v>4484</v>
      </c>
      <c r="K24" s="14" t="s">
        <v>1656</v>
      </c>
      <c r="L24" s="14" t="s">
        <v>1657</v>
      </c>
      <c r="M24" s="14" t="s">
        <v>1658</v>
      </c>
      <c r="O24" s="14" t="s">
        <v>4485</v>
      </c>
      <c r="P24" s="14" t="s">
        <v>4486</v>
      </c>
      <c r="Q24" s="14" t="s">
        <v>4487</v>
      </c>
      <c r="R24" s="14" t="s">
        <v>4488</v>
      </c>
      <c r="S24" s="14" t="s">
        <v>4489</v>
      </c>
      <c r="T24" s="14" t="s">
        <v>4490</v>
      </c>
      <c r="U24" s="14" t="s">
        <v>4491</v>
      </c>
      <c r="V24" s="14" t="s">
        <v>4492</v>
      </c>
      <c r="W24" s="14" t="s">
        <v>4493</v>
      </c>
    </row>
    <row r="25" spans="1:23" ht="409.5">
      <c r="A25" s="14" t="s">
        <v>1218</v>
      </c>
      <c r="B25" s="14" t="s">
        <v>4494</v>
      </c>
      <c r="C25" s="15" t="s">
        <v>4495</v>
      </c>
      <c r="D25" s="14" t="s">
        <v>4496</v>
      </c>
      <c r="E25" s="14" t="s">
        <v>4497</v>
      </c>
      <c r="F25" s="14" t="s">
        <v>4498</v>
      </c>
      <c r="G25" s="14" t="s">
        <v>4499</v>
      </c>
      <c r="H25" s="14" t="s">
        <v>1678</v>
      </c>
      <c r="I25" s="14" t="s">
        <v>1679</v>
      </c>
      <c r="J25" s="14" t="s">
        <v>4500</v>
      </c>
      <c r="K25" s="14" t="s">
        <v>1681</v>
      </c>
      <c r="L25" s="14" t="s">
        <v>1682</v>
      </c>
      <c r="M25" s="14" t="s">
        <v>1683</v>
      </c>
      <c r="O25" s="14" t="s">
        <v>4501</v>
      </c>
      <c r="P25" s="14" t="s">
        <v>4502</v>
      </c>
      <c r="Q25" s="14" t="s">
        <v>4503</v>
      </c>
      <c r="R25" s="14" t="s">
        <v>4504</v>
      </c>
      <c r="S25" s="14" t="s">
        <v>4505</v>
      </c>
      <c r="T25" s="14" t="s">
        <v>4506</v>
      </c>
      <c r="U25" s="14" t="s">
        <v>4507</v>
      </c>
      <c r="V25" s="14" t="s">
        <v>4508</v>
      </c>
      <c r="W25" s="14" t="s">
        <v>4509</v>
      </c>
    </row>
    <row r="26" spans="1:23" ht="409.5">
      <c r="A26" s="14" t="s">
        <v>1218</v>
      </c>
      <c r="B26" s="14" t="s">
        <v>4510</v>
      </c>
      <c r="C26" s="15" t="s">
        <v>4511</v>
      </c>
      <c r="D26" s="14" t="s">
        <v>4512</v>
      </c>
      <c r="E26" s="14" t="s">
        <v>4513</v>
      </c>
      <c r="F26" s="14" t="s">
        <v>4514</v>
      </c>
      <c r="G26" s="14" t="s">
        <v>4515</v>
      </c>
      <c r="H26" s="14" t="s">
        <v>1703</v>
      </c>
      <c r="I26" s="14" t="s">
        <v>1704</v>
      </c>
      <c r="J26" s="14" t="s">
        <v>4516</v>
      </c>
      <c r="K26" s="14" t="s">
        <v>1706</v>
      </c>
      <c r="L26" s="14" t="s">
        <v>1707</v>
      </c>
      <c r="M26" s="14" t="s">
        <v>1708</v>
      </c>
      <c r="O26" s="14" t="s">
        <v>4517</v>
      </c>
      <c r="P26" s="14" t="s">
        <v>4518</v>
      </c>
      <c r="Q26" s="14" t="s">
        <v>4519</v>
      </c>
      <c r="R26" s="14" t="s">
        <v>4520</v>
      </c>
      <c r="S26" s="14" t="s">
        <v>4521</v>
      </c>
      <c r="T26" s="14" t="s">
        <v>4522</v>
      </c>
      <c r="U26" s="14" t="s">
        <v>4523</v>
      </c>
      <c r="V26" s="14" t="s">
        <v>4524</v>
      </c>
      <c r="W26" s="14" t="s">
        <v>4525</v>
      </c>
    </row>
    <row r="27" spans="1:23" ht="409.5">
      <c r="A27" s="14" t="s">
        <v>1218</v>
      </c>
      <c r="B27" s="14" t="s">
        <v>4526</v>
      </c>
      <c r="C27" s="15" t="s">
        <v>4527</v>
      </c>
      <c r="D27" s="14" t="s">
        <v>4528</v>
      </c>
      <c r="E27" s="14" t="s">
        <v>4529</v>
      </c>
      <c r="F27" s="14" t="s">
        <v>4530</v>
      </c>
      <c r="G27" s="14" t="s">
        <v>4531</v>
      </c>
      <c r="H27" s="14" t="s">
        <v>1728</v>
      </c>
      <c r="I27" s="14" t="s">
        <v>1729</v>
      </c>
      <c r="J27" s="14" t="s">
        <v>4532</v>
      </c>
      <c r="K27" s="14" t="s">
        <v>1731</v>
      </c>
      <c r="L27" s="14" t="s">
        <v>1732</v>
      </c>
      <c r="M27" s="14" t="s">
        <v>1733</v>
      </c>
      <c r="O27" s="14" t="s">
        <v>4533</v>
      </c>
      <c r="P27" s="14" t="s">
        <v>4534</v>
      </c>
      <c r="Q27" s="14" t="s">
        <v>4535</v>
      </c>
      <c r="R27" s="14" t="s">
        <v>4536</v>
      </c>
      <c r="S27" s="14" t="s">
        <v>4537</v>
      </c>
      <c r="T27" s="14" t="s">
        <v>4538</v>
      </c>
      <c r="U27" s="14" t="s">
        <v>4539</v>
      </c>
      <c r="V27" s="14" t="s">
        <v>4540</v>
      </c>
      <c r="W27" s="14" t="s">
        <v>4541</v>
      </c>
    </row>
    <row r="28" spans="1:23" ht="409.5">
      <c r="A28" s="14" t="s">
        <v>1218</v>
      </c>
      <c r="B28" s="14" t="s">
        <v>4542</v>
      </c>
      <c r="C28" s="15" t="s">
        <v>4543</v>
      </c>
      <c r="D28" s="14" t="s">
        <v>4544</v>
      </c>
      <c r="E28" s="14" t="s">
        <v>4545</v>
      </c>
      <c r="F28" s="14" t="s">
        <v>4546</v>
      </c>
      <c r="G28" s="14" t="s">
        <v>4547</v>
      </c>
      <c r="H28" s="14" t="s">
        <v>1753</v>
      </c>
      <c r="I28" s="14" t="s">
        <v>1754</v>
      </c>
      <c r="J28" s="14" t="s">
        <v>4548</v>
      </c>
      <c r="K28" s="14" t="s">
        <v>1756</v>
      </c>
      <c r="L28" s="14" t="s">
        <v>1757</v>
      </c>
      <c r="M28" s="14" t="s">
        <v>1758</v>
      </c>
      <c r="O28" s="14" t="s">
        <v>4549</v>
      </c>
      <c r="P28" s="14" t="s">
        <v>4550</v>
      </c>
      <c r="Q28" s="14" t="s">
        <v>4551</v>
      </c>
      <c r="R28" s="14" t="s">
        <v>4552</v>
      </c>
      <c r="S28" s="14" t="s">
        <v>4553</v>
      </c>
      <c r="T28" s="14" t="s">
        <v>4554</v>
      </c>
      <c r="U28" s="14" t="s">
        <v>4555</v>
      </c>
      <c r="V28" s="14" t="s">
        <v>4556</v>
      </c>
      <c r="W28" s="14" t="s">
        <v>4557</v>
      </c>
    </row>
    <row r="29" spans="1:23" ht="409.5">
      <c r="A29" s="14" t="s">
        <v>1218</v>
      </c>
      <c r="B29" s="14" t="s">
        <v>4558</v>
      </c>
      <c r="C29" s="15" t="s">
        <v>4559</v>
      </c>
      <c r="D29" s="14" t="s">
        <v>4560</v>
      </c>
      <c r="E29" s="14" t="s">
        <v>4561</v>
      </c>
      <c r="F29" s="14" t="s">
        <v>4562</v>
      </c>
      <c r="G29" s="14" t="s">
        <v>4563</v>
      </c>
      <c r="H29" s="14" t="s">
        <v>1778</v>
      </c>
      <c r="I29" s="14" t="s">
        <v>1779</v>
      </c>
      <c r="J29" s="14" t="s">
        <v>4564</v>
      </c>
      <c r="K29" s="14" t="s">
        <v>1781</v>
      </c>
      <c r="L29" s="14" t="s">
        <v>1782</v>
      </c>
      <c r="M29" s="14" t="s">
        <v>1783</v>
      </c>
      <c r="O29" s="14" t="s">
        <v>4565</v>
      </c>
      <c r="P29" s="14" t="s">
        <v>4566</v>
      </c>
      <c r="Q29" s="14" t="s">
        <v>4567</v>
      </c>
      <c r="R29" s="14" t="s">
        <v>4568</v>
      </c>
      <c r="S29" s="14" t="s">
        <v>4569</v>
      </c>
      <c r="T29" s="14" t="s">
        <v>4570</v>
      </c>
      <c r="U29" s="14" t="s">
        <v>4571</v>
      </c>
      <c r="V29" s="14" t="s">
        <v>4572</v>
      </c>
      <c r="W29" s="14" t="s">
        <v>4573</v>
      </c>
    </row>
    <row r="30" spans="1:23" ht="409.5">
      <c r="A30" s="14" t="s">
        <v>1218</v>
      </c>
      <c r="B30" s="14" t="s">
        <v>4574</v>
      </c>
      <c r="C30" s="15" t="s">
        <v>4575</v>
      </c>
      <c r="D30" s="14" t="s">
        <v>4576</v>
      </c>
      <c r="E30" s="14" t="s">
        <v>4577</v>
      </c>
      <c r="F30" s="14" t="s">
        <v>4578</v>
      </c>
      <c r="G30" s="14" t="s">
        <v>4579</v>
      </c>
      <c r="H30" s="14" t="s">
        <v>1803</v>
      </c>
      <c r="I30" s="14" t="s">
        <v>1804</v>
      </c>
      <c r="J30" s="14" t="s">
        <v>4580</v>
      </c>
      <c r="K30" s="14" t="s">
        <v>1806</v>
      </c>
      <c r="L30" s="14" t="s">
        <v>1807</v>
      </c>
      <c r="M30" s="14" t="s">
        <v>1808</v>
      </c>
      <c r="O30" s="14" t="s">
        <v>4581</v>
      </c>
      <c r="P30" s="14" t="s">
        <v>4582</v>
      </c>
      <c r="Q30" s="14" t="s">
        <v>4583</v>
      </c>
      <c r="R30" s="14" t="s">
        <v>4584</v>
      </c>
      <c r="S30" s="14" t="s">
        <v>4585</v>
      </c>
      <c r="T30" s="14" t="s">
        <v>4586</v>
      </c>
      <c r="U30" s="14" t="s">
        <v>4587</v>
      </c>
      <c r="V30" s="14" t="s">
        <v>4588</v>
      </c>
      <c r="W30" s="14" t="s">
        <v>4589</v>
      </c>
    </row>
    <row r="31" spans="1:23" ht="409.5">
      <c r="A31" s="14" t="s">
        <v>1218</v>
      </c>
      <c r="B31" s="14" t="s">
        <v>4590</v>
      </c>
      <c r="C31" s="15" t="s">
        <v>4591</v>
      </c>
      <c r="D31" s="14" t="s">
        <v>4592</v>
      </c>
      <c r="E31" s="14" t="s">
        <v>4593</v>
      </c>
      <c r="F31" s="14" t="s">
        <v>4594</v>
      </c>
      <c r="G31" s="14" t="s">
        <v>4595</v>
      </c>
      <c r="H31" s="14" t="s">
        <v>1828</v>
      </c>
      <c r="I31" s="14" t="s">
        <v>1829</v>
      </c>
      <c r="J31" s="14" t="s">
        <v>4596</v>
      </c>
      <c r="K31" s="14" t="s">
        <v>1831</v>
      </c>
      <c r="L31" s="14" t="s">
        <v>1832</v>
      </c>
      <c r="M31" s="14" t="s">
        <v>1833</v>
      </c>
      <c r="O31" s="14" t="s">
        <v>4597</v>
      </c>
      <c r="P31" s="14" t="s">
        <v>4598</v>
      </c>
      <c r="Q31" s="14" t="s">
        <v>4599</v>
      </c>
      <c r="R31" s="14" t="s">
        <v>4600</v>
      </c>
      <c r="S31" s="14" t="s">
        <v>4601</v>
      </c>
      <c r="T31" s="14" t="s">
        <v>4602</v>
      </c>
      <c r="U31" s="14" t="s">
        <v>4603</v>
      </c>
      <c r="V31" s="14" t="s">
        <v>4604</v>
      </c>
      <c r="W31" s="14" t="s">
        <v>4605</v>
      </c>
    </row>
    <row r="32" spans="1:23" ht="409.5">
      <c r="A32" s="14" t="s">
        <v>1218</v>
      </c>
      <c r="B32" s="14" t="s">
        <v>4606</v>
      </c>
      <c r="C32" s="15" t="s">
        <v>4607</v>
      </c>
      <c r="D32" s="14" t="s">
        <v>4608</v>
      </c>
      <c r="E32" s="14" t="s">
        <v>4609</v>
      </c>
      <c r="F32" s="14" t="s">
        <v>4610</v>
      </c>
      <c r="G32" s="14" t="s">
        <v>4611</v>
      </c>
      <c r="H32" s="14" t="s">
        <v>1853</v>
      </c>
      <c r="I32" s="14" t="s">
        <v>1854</v>
      </c>
      <c r="J32" s="14" t="s">
        <v>4612</v>
      </c>
      <c r="K32" s="14" t="s">
        <v>1856</v>
      </c>
      <c r="L32" s="14" t="s">
        <v>1857</v>
      </c>
      <c r="M32" s="14" t="s">
        <v>1858</v>
      </c>
      <c r="O32" s="14" t="s">
        <v>4613</v>
      </c>
      <c r="P32" s="14" t="s">
        <v>4614</v>
      </c>
      <c r="Q32" s="14" t="s">
        <v>4615</v>
      </c>
      <c r="R32" s="14" t="s">
        <v>4616</v>
      </c>
      <c r="S32" s="14" t="s">
        <v>4617</v>
      </c>
      <c r="T32" s="14" t="s">
        <v>4618</v>
      </c>
      <c r="U32" s="14" t="s">
        <v>4619</v>
      </c>
      <c r="V32" s="14" t="s">
        <v>4620</v>
      </c>
      <c r="W32" s="14" t="s">
        <v>4621</v>
      </c>
    </row>
    <row r="33" spans="1:23" ht="409.5">
      <c r="A33" s="14" t="s">
        <v>1218</v>
      </c>
      <c r="B33" s="14" t="s">
        <v>4622</v>
      </c>
      <c r="C33" s="15" t="s">
        <v>4623</v>
      </c>
      <c r="D33" s="14" t="s">
        <v>4624</v>
      </c>
      <c r="E33" s="14" t="s">
        <v>4625</v>
      </c>
      <c r="F33" s="14" t="s">
        <v>4626</v>
      </c>
      <c r="G33" s="14" t="s">
        <v>4627</v>
      </c>
      <c r="H33" s="14" t="s">
        <v>1878</v>
      </c>
      <c r="I33" s="14" t="s">
        <v>1879</v>
      </c>
      <c r="J33" s="14" t="s">
        <v>4628</v>
      </c>
      <c r="K33" s="14" t="s">
        <v>1881</v>
      </c>
      <c r="L33" s="14" t="s">
        <v>1882</v>
      </c>
      <c r="M33" s="14" t="s">
        <v>1883</v>
      </c>
      <c r="O33" s="14" t="s">
        <v>4629</v>
      </c>
      <c r="P33" s="14" t="s">
        <v>4630</v>
      </c>
      <c r="Q33" s="14" t="s">
        <v>4631</v>
      </c>
      <c r="R33" s="14" t="s">
        <v>4632</v>
      </c>
      <c r="S33" s="14" t="s">
        <v>4633</v>
      </c>
      <c r="T33" s="14" t="s">
        <v>4634</v>
      </c>
      <c r="U33" s="14" t="s">
        <v>4635</v>
      </c>
      <c r="V33" s="14" t="s">
        <v>4636</v>
      </c>
      <c r="W33" s="14" t="s">
        <v>4637</v>
      </c>
    </row>
    <row r="34" spans="1:23" ht="409.5">
      <c r="A34" s="14" t="s">
        <v>1218</v>
      </c>
      <c r="B34" s="14" t="s">
        <v>4638</v>
      </c>
      <c r="C34" s="15" t="s">
        <v>4639</v>
      </c>
      <c r="D34" s="14" t="s">
        <v>4640</v>
      </c>
      <c r="E34" s="14" t="s">
        <v>4641</v>
      </c>
      <c r="F34" s="14" t="s">
        <v>4642</v>
      </c>
      <c r="G34" s="14" t="s">
        <v>4643</v>
      </c>
      <c r="H34" s="14" t="s">
        <v>1903</v>
      </c>
      <c r="I34" s="14" t="s">
        <v>1904</v>
      </c>
      <c r="J34" s="14" t="s">
        <v>4644</v>
      </c>
      <c r="K34" s="14" t="s">
        <v>1906</v>
      </c>
      <c r="L34" s="14" t="s">
        <v>1907</v>
      </c>
      <c r="M34" s="14" t="s">
        <v>1908</v>
      </c>
      <c r="O34" s="14" t="s">
        <v>4645</v>
      </c>
      <c r="P34" s="14" t="s">
        <v>4646</v>
      </c>
      <c r="Q34" s="14" t="s">
        <v>4647</v>
      </c>
      <c r="R34" s="14" t="s">
        <v>4648</v>
      </c>
      <c r="S34" s="14" t="s">
        <v>4649</v>
      </c>
      <c r="T34" s="14" t="s">
        <v>4650</v>
      </c>
      <c r="U34" s="14" t="s">
        <v>4651</v>
      </c>
      <c r="V34" s="14" t="s">
        <v>4652</v>
      </c>
      <c r="W34" s="14" t="s">
        <v>4653</v>
      </c>
    </row>
    <row r="35" spans="1:23" ht="409.5">
      <c r="A35" s="14" t="s">
        <v>1218</v>
      </c>
      <c r="B35" s="14" t="s">
        <v>4654</v>
      </c>
      <c r="C35" s="15" t="s">
        <v>4655</v>
      </c>
      <c r="D35" s="14" t="s">
        <v>4656</v>
      </c>
      <c r="E35" s="14" t="s">
        <v>4657</v>
      </c>
      <c r="F35" s="14" t="s">
        <v>4658</v>
      </c>
      <c r="G35" s="14" t="s">
        <v>4659</v>
      </c>
      <c r="H35" s="14" t="s">
        <v>1928</v>
      </c>
      <c r="I35" s="14" t="s">
        <v>1929</v>
      </c>
      <c r="J35" s="14" t="s">
        <v>4660</v>
      </c>
      <c r="K35" s="14" t="s">
        <v>1931</v>
      </c>
      <c r="L35" s="14" t="s">
        <v>1932</v>
      </c>
      <c r="M35" s="14" t="s">
        <v>1933</v>
      </c>
      <c r="O35" s="14" t="s">
        <v>4661</v>
      </c>
      <c r="P35" s="14" t="s">
        <v>4662</v>
      </c>
      <c r="Q35" s="14" t="s">
        <v>4663</v>
      </c>
      <c r="R35" s="14" t="s">
        <v>4664</v>
      </c>
      <c r="S35" s="14" t="s">
        <v>4665</v>
      </c>
      <c r="T35" s="14" t="s">
        <v>4666</v>
      </c>
      <c r="U35" s="14" t="s">
        <v>4667</v>
      </c>
      <c r="V35" s="14" t="s">
        <v>4668</v>
      </c>
      <c r="W35" s="14" t="s">
        <v>4669</v>
      </c>
    </row>
    <row r="36" spans="1:23" ht="409.5">
      <c r="A36" s="14" t="s">
        <v>1218</v>
      </c>
      <c r="B36" s="14" t="s">
        <v>4670</v>
      </c>
      <c r="C36" s="15" t="s">
        <v>4671</v>
      </c>
      <c r="D36" s="14" t="s">
        <v>4672</v>
      </c>
      <c r="E36" s="14" t="s">
        <v>4673</v>
      </c>
      <c r="F36" s="14" t="s">
        <v>4674</v>
      </c>
      <c r="G36" s="14" t="s">
        <v>4675</v>
      </c>
      <c r="H36" s="14" t="s">
        <v>1953</v>
      </c>
      <c r="I36" s="14" t="s">
        <v>1954</v>
      </c>
      <c r="J36" s="14" t="s">
        <v>4676</v>
      </c>
      <c r="K36" s="14" t="s">
        <v>1956</v>
      </c>
      <c r="L36" s="14" t="s">
        <v>1957</v>
      </c>
      <c r="M36" s="14" t="s">
        <v>1958</v>
      </c>
      <c r="O36" s="14" t="s">
        <v>4677</v>
      </c>
      <c r="P36" s="14" t="s">
        <v>4678</v>
      </c>
      <c r="Q36" s="14" t="s">
        <v>4679</v>
      </c>
      <c r="R36" s="14" t="s">
        <v>4680</v>
      </c>
      <c r="S36" s="14" t="s">
        <v>4681</v>
      </c>
      <c r="T36" s="14" t="s">
        <v>4682</v>
      </c>
      <c r="U36" s="14" t="s">
        <v>4683</v>
      </c>
      <c r="V36" s="14" t="s">
        <v>4684</v>
      </c>
      <c r="W36" s="14" t="s">
        <v>4685</v>
      </c>
    </row>
    <row r="37" spans="1:23" ht="409.5">
      <c r="A37" s="14" t="s">
        <v>1218</v>
      </c>
      <c r="B37" s="14" t="s">
        <v>4686</v>
      </c>
      <c r="C37" s="15" t="s">
        <v>4687</v>
      </c>
      <c r="D37" s="14" t="s">
        <v>4688</v>
      </c>
      <c r="E37" s="14" t="s">
        <v>4689</v>
      </c>
      <c r="F37" s="14" t="s">
        <v>4690</v>
      </c>
      <c r="G37" s="14" t="s">
        <v>4691</v>
      </c>
      <c r="H37" s="14" t="s">
        <v>1978</v>
      </c>
      <c r="I37" s="14" t="s">
        <v>1979</v>
      </c>
      <c r="J37" s="14" t="s">
        <v>4692</v>
      </c>
      <c r="K37" s="14" t="s">
        <v>1981</v>
      </c>
      <c r="L37" s="14" t="s">
        <v>1982</v>
      </c>
      <c r="M37" s="14" t="s">
        <v>1983</v>
      </c>
      <c r="O37" s="14" t="s">
        <v>4693</v>
      </c>
      <c r="P37" s="14" t="s">
        <v>4694</v>
      </c>
      <c r="Q37" s="14" t="s">
        <v>4695</v>
      </c>
      <c r="R37" s="14" t="s">
        <v>4696</v>
      </c>
      <c r="S37" s="14" t="s">
        <v>4697</v>
      </c>
      <c r="T37" s="14" t="s">
        <v>4698</v>
      </c>
      <c r="U37" s="14" t="s">
        <v>4699</v>
      </c>
      <c r="V37" s="14" t="s">
        <v>4700</v>
      </c>
      <c r="W37" s="14" t="s">
        <v>4701</v>
      </c>
    </row>
    <row r="38" spans="1:23" ht="409.5">
      <c r="A38" s="14" t="s">
        <v>1218</v>
      </c>
      <c r="B38" s="14" t="s">
        <v>4702</v>
      </c>
      <c r="C38" s="15" t="s">
        <v>4703</v>
      </c>
      <c r="D38" s="14" t="s">
        <v>4704</v>
      </c>
      <c r="E38" s="14" t="s">
        <v>4705</v>
      </c>
      <c r="F38" s="14" t="s">
        <v>4706</v>
      </c>
      <c r="G38" s="14" t="s">
        <v>4707</v>
      </c>
      <c r="H38" s="14" t="s">
        <v>2003</v>
      </c>
      <c r="I38" s="14" t="s">
        <v>2004</v>
      </c>
      <c r="J38" s="14" t="s">
        <v>4708</v>
      </c>
      <c r="K38" s="14" t="s">
        <v>2006</v>
      </c>
      <c r="L38" s="14" t="s">
        <v>2007</v>
      </c>
      <c r="M38" s="14" t="s">
        <v>2008</v>
      </c>
      <c r="O38" s="14" t="s">
        <v>4709</v>
      </c>
      <c r="P38" s="14" t="s">
        <v>4710</v>
      </c>
      <c r="Q38" s="14" t="s">
        <v>4711</v>
      </c>
      <c r="R38" s="14" t="s">
        <v>4712</v>
      </c>
      <c r="S38" s="14" t="s">
        <v>4713</v>
      </c>
      <c r="T38" s="14" t="s">
        <v>4714</v>
      </c>
      <c r="U38" s="14" t="s">
        <v>4715</v>
      </c>
      <c r="V38" s="14" t="s">
        <v>4716</v>
      </c>
      <c r="W38" s="14" t="s">
        <v>4717</v>
      </c>
    </row>
    <row r="39" spans="1:23" ht="409.5">
      <c r="A39" s="14" t="s">
        <v>1218</v>
      </c>
      <c r="B39" s="14" t="s">
        <v>4718</v>
      </c>
      <c r="C39" s="15" t="s">
        <v>4719</v>
      </c>
      <c r="D39" s="14" t="s">
        <v>4720</v>
      </c>
      <c r="E39" s="14" t="s">
        <v>4721</v>
      </c>
      <c r="F39" s="14" t="s">
        <v>4722</v>
      </c>
      <c r="G39" s="14" t="s">
        <v>4723</v>
      </c>
      <c r="H39" s="14" t="s">
        <v>2028</v>
      </c>
      <c r="I39" s="14" t="s">
        <v>2029</v>
      </c>
      <c r="J39" s="14" t="s">
        <v>4724</v>
      </c>
      <c r="K39" s="14" t="s">
        <v>2031</v>
      </c>
      <c r="L39" s="14" t="s">
        <v>2032</v>
      </c>
      <c r="M39" s="14" t="s">
        <v>2033</v>
      </c>
      <c r="O39" s="14" t="s">
        <v>4725</v>
      </c>
      <c r="P39" s="14" t="s">
        <v>4726</v>
      </c>
      <c r="Q39" s="14" t="s">
        <v>4727</v>
      </c>
      <c r="R39" s="14" t="s">
        <v>4728</v>
      </c>
      <c r="S39" s="14" t="s">
        <v>4729</v>
      </c>
      <c r="T39" s="14" t="s">
        <v>4730</v>
      </c>
      <c r="U39" s="14" t="s">
        <v>4731</v>
      </c>
      <c r="V39" s="14" t="s">
        <v>4732</v>
      </c>
      <c r="W39" s="14" t="s">
        <v>4733</v>
      </c>
    </row>
    <row r="40" spans="1:23" ht="409.5">
      <c r="A40" s="14" t="s">
        <v>1218</v>
      </c>
      <c r="B40" s="14" t="s">
        <v>4734</v>
      </c>
      <c r="C40" s="15" t="s">
        <v>4735</v>
      </c>
      <c r="D40" s="14" t="s">
        <v>4736</v>
      </c>
      <c r="E40" s="14" t="s">
        <v>4737</v>
      </c>
      <c r="F40" s="14" t="s">
        <v>4738</v>
      </c>
      <c r="G40" s="14" t="s">
        <v>4739</v>
      </c>
      <c r="H40" s="14" t="s">
        <v>2053</v>
      </c>
      <c r="I40" s="14" t="s">
        <v>2054</v>
      </c>
      <c r="J40" s="14" t="s">
        <v>4740</v>
      </c>
      <c r="K40" s="14" t="s">
        <v>2056</v>
      </c>
      <c r="L40" s="14" t="s">
        <v>2057</v>
      </c>
      <c r="M40" s="14" t="s">
        <v>2058</v>
      </c>
      <c r="O40" s="14" t="s">
        <v>4741</v>
      </c>
      <c r="P40" s="14" t="s">
        <v>4742</v>
      </c>
      <c r="Q40" s="14" t="s">
        <v>4743</v>
      </c>
      <c r="R40" s="14" t="s">
        <v>4744</v>
      </c>
      <c r="S40" s="14" t="s">
        <v>4745</v>
      </c>
      <c r="T40" s="14" t="s">
        <v>4746</v>
      </c>
      <c r="U40" s="14" t="s">
        <v>4747</v>
      </c>
      <c r="V40" s="14" t="s">
        <v>4748</v>
      </c>
      <c r="W40" s="14" t="s">
        <v>4749</v>
      </c>
    </row>
    <row r="41" spans="1:23" ht="409.5">
      <c r="A41" s="14" t="s">
        <v>1218</v>
      </c>
      <c r="B41" s="14" t="s">
        <v>4750</v>
      </c>
      <c r="C41" s="15" t="s">
        <v>4751</v>
      </c>
      <c r="D41" s="14" t="s">
        <v>4752</v>
      </c>
      <c r="E41" s="14" t="s">
        <v>4753</v>
      </c>
      <c r="F41" s="14" t="s">
        <v>4754</v>
      </c>
      <c r="G41" s="14" t="s">
        <v>4755</v>
      </c>
      <c r="H41" s="14" t="s">
        <v>2078</v>
      </c>
      <c r="I41" s="14" t="s">
        <v>2079</v>
      </c>
      <c r="J41" s="14" t="s">
        <v>4756</v>
      </c>
      <c r="K41" s="14" t="s">
        <v>2081</v>
      </c>
      <c r="L41" s="14" t="s">
        <v>2082</v>
      </c>
      <c r="M41" s="14" t="s">
        <v>2083</v>
      </c>
      <c r="O41" s="14" t="s">
        <v>4757</v>
      </c>
      <c r="P41" s="14" t="s">
        <v>4758</v>
      </c>
      <c r="Q41" s="14" t="s">
        <v>4759</v>
      </c>
      <c r="R41" s="14" t="s">
        <v>4760</v>
      </c>
      <c r="S41" s="14" t="s">
        <v>4761</v>
      </c>
      <c r="T41" s="14" t="s">
        <v>4762</v>
      </c>
      <c r="U41" s="14" t="s">
        <v>4763</v>
      </c>
      <c r="V41" s="14" t="s">
        <v>4764</v>
      </c>
      <c r="W41" s="14" t="s">
        <v>4765</v>
      </c>
    </row>
    <row r="42" spans="1:23" ht="409.5">
      <c r="A42" s="14" t="s">
        <v>1218</v>
      </c>
      <c r="B42" s="14" t="s">
        <v>4766</v>
      </c>
      <c r="C42" s="15" t="s">
        <v>4767</v>
      </c>
      <c r="D42" s="14" t="s">
        <v>4768</v>
      </c>
      <c r="E42" s="14" t="s">
        <v>4769</v>
      </c>
      <c r="F42" s="14" t="s">
        <v>4770</v>
      </c>
      <c r="G42" s="14" t="s">
        <v>4771</v>
      </c>
      <c r="H42" s="14" t="s">
        <v>2103</v>
      </c>
      <c r="I42" s="14" t="s">
        <v>2104</v>
      </c>
      <c r="J42" s="14" t="s">
        <v>4772</v>
      </c>
      <c r="K42" s="14" t="s">
        <v>2106</v>
      </c>
      <c r="L42" s="14" t="s">
        <v>2107</v>
      </c>
      <c r="M42" s="14" t="s">
        <v>2108</v>
      </c>
      <c r="O42" s="14" t="s">
        <v>4773</v>
      </c>
      <c r="P42" s="14" t="s">
        <v>4774</v>
      </c>
      <c r="Q42" s="14" t="s">
        <v>4775</v>
      </c>
      <c r="R42" s="14" t="s">
        <v>4776</v>
      </c>
      <c r="S42" s="14" t="s">
        <v>4777</v>
      </c>
      <c r="T42" s="14" t="s">
        <v>4778</v>
      </c>
      <c r="U42" s="14" t="s">
        <v>4779</v>
      </c>
      <c r="V42" s="14" t="s">
        <v>4780</v>
      </c>
      <c r="W42" s="14" t="s">
        <v>4781</v>
      </c>
    </row>
    <row r="43" spans="1:23" ht="409.5">
      <c r="A43" s="14" t="s">
        <v>1218</v>
      </c>
      <c r="B43" s="14" t="s">
        <v>4782</v>
      </c>
      <c r="C43" s="15" t="s">
        <v>4783</v>
      </c>
      <c r="D43" s="14" t="s">
        <v>4784</v>
      </c>
      <c r="E43" s="14" t="s">
        <v>4785</v>
      </c>
      <c r="F43" s="14" t="s">
        <v>4786</v>
      </c>
      <c r="G43" s="14" t="s">
        <v>4787</v>
      </c>
      <c r="H43" s="14" t="s">
        <v>2128</v>
      </c>
      <c r="I43" s="14" t="s">
        <v>2129</v>
      </c>
      <c r="J43" s="14" t="s">
        <v>4788</v>
      </c>
      <c r="K43" s="14" t="s">
        <v>2131</v>
      </c>
      <c r="L43" s="14" t="s">
        <v>2132</v>
      </c>
      <c r="M43" s="14" t="s">
        <v>2133</v>
      </c>
      <c r="O43" s="14" t="s">
        <v>4789</v>
      </c>
      <c r="P43" s="14" t="s">
        <v>4790</v>
      </c>
      <c r="Q43" s="14" t="s">
        <v>4791</v>
      </c>
      <c r="R43" s="14" t="s">
        <v>4792</v>
      </c>
      <c r="S43" s="14" t="s">
        <v>4793</v>
      </c>
      <c r="T43" s="14" t="s">
        <v>4794</v>
      </c>
      <c r="U43" s="14" t="s">
        <v>4795</v>
      </c>
      <c r="V43" s="14" t="s">
        <v>4796</v>
      </c>
      <c r="W43" s="14" t="s">
        <v>4797</v>
      </c>
    </row>
    <row r="44" spans="1:23" ht="409.5">
      <c r="A44" s="14" t="s">
        <v>1218</v>
      </c>
      <c r="B44" s="14" t="s">
        <v>4798</v>
      </c>
      <c r="C44" s="15" t="s">
        <v>4799</v>
      </c>
      <c r="D44" s="14" t="s">
        <v>4800</v>
      </c>
      <c r="E44" s="14" t="s">
        <v>4801</v>
      </c>
      <c r="F44" s="14" t="s">
        <v>4802</v>
      </c>
      <c r="G44" s="14" t="s">
        <v>4803</v>
      </c>
      <c r="H44" s="14" t="s">
        <v>2153</v>
      </c>
      <c r="I44" s="14" t="s">
        <v>2154</v>
      </c>
      <c r="J44" s="14" t="s">
        <v>4804</v>
      </c>
      <c r="K44" s="14" t="s">
        <v>2156</v>
      </c>
      <c r="L44" s="14" t="s">
        <v>2157</v>
      </c>
      <c r="M44" s="14" t="s">
        <v>2158</v>
      </c>
      <c r="O44" s="14" t="s">
        <v>4805</v>
      </c>
      <c r="P44" s="14" t="s">
        <v>4806</v>
      </c>
      <c r="Q44" s="14" t="s">
        <v>4807</v>
      </c>
      <c r="R44" s="14" t="s">
        <v>4808</v>
      </c>
      <c r="S44" s="14" t="s">
        <v>4809</v>
      </c>
      <c r="T44" s="14" t="s">
        <v>4810</v>
      </c>
      <c r="U44" s="14" t="s">
        <v>4811</v>
      </c>
      <c r="V44" s="14" t="s">
        <v>4812</v>
      </c>
      <c r="W44" s="14" t="s">
        <v>4813</v>
      </c>
    </row>
    <row r="45" spans="1:23" ht="409.5">
      <c r="A45" s="14" t="s">
        <v>1218</v>
      </c>
      <c r="B45" s="14" t="s">
        <v>4814</v>
      </c>
      <c r="C45" s="15" t="s">
        <v>4815</v>
      </c>
      <c r="D45" s="14" t="s">
        <v>4816</v>
      </c>
      <c r="E45" s="14" t="s">
        <v>4817</v>
      </c>
      <c r="F45" s="14" t="s">
        <v>4818</v>
      </c>
      <c r="G45" s="14" t="s">
        <v>4819</v>
      </c>
      <c r="H45" s="14" t="s">
        <v>2178</v>
      </c>
      <c r="I45" s="14" t="s">
        <v>2179</v>
      </c>
      <c r="J45" s="14" t="s">
        <v>4820</v>
      </c>
      <c r="K45" s="14" t="s">
        <v>2181</v>
      </c>
      <c r="L45" s="14" t="s">
        <v>2182</v>
      </c>
      <c r="M45" s="14" t="s">
        <v>2183</v>
      </c>
      <c r="O45" s="14" t="s">
        <v>4821</v>
      </c>
      <c r="P45" s="14" t="s">
        <v>4822</v>
      </c>
      <c r="Q45" s="14" t="s">
        <v>4823</v>
      </c>
      <c r="R45" s="14" t="s">
        <v>4824</v>
      </c>
      <c r="S45" s="14" t="s">
        <v>4825</v>
      </c>
      <c r="T45" s="14" t="s">
        <v>4826</v>
      </c>
      <c r="U45" s="14" t="s">
        <v>4827</v>
      </c>
      <c r="V45" s="14" t="s">
        <v>4828</v>
      </c>
      <c r="W45" s="14" t="s">
        <v>4829</v>
      </c>
    </row>
    <row r="46" spans="1:23" ht="409.5">
      <c r="A46" s="14" t="s">
        <v>1218</v>
      </c>
      <c r="B46" s="14" t="s">
        <v>4830</v>
      </c>
      <c r="C46" s="15" t="s">
        <v>4831</v>
      </c>
      <c r="D46" s="14" t="s">
        <v>4832</v>
      </c>
      <c r="E46" s="14" t="s">
        <v>4833</v>
      </c>
      <c r="F46" s="14" t="s">
        <v>4834</v>
      </c>
      <c r="G46" s="14" t="s">
        <v>4835</v>
      </c>
      <c r="H46" s="14" t="s">
        <v>2203</v>
      </c>
      <c r="I46" s="14" t="s">
        <v>2204</v>
      </c>
      <c r="J46" s="14" t="s">
        <v>4836</v>
      </c>
      <c r="K46" s="14" t="s">
        <v>2206</v>
      </c>
      <c r="L46" s="14" t="s">
        <v>2207</v>
      </c>
      <c r="M46" s="14" t="s">
        <v>2208</v>
      </c>
      <c r="O46" s="14" t="s">
        <v>4837</v>
      </c>
      <c r="P46" s="14" t="s">
        <v>4838</v>
      </c>
      <c r="Q46" s="14" t="s">
        <v>4839</v>
      </c>
      <c r="R46" s="14" t="s">
        <v>4840</v>
      </c>
      <c r="S46" s="14" t="s">
        <v>4841</v>
      </c>
      <c r="T46" s="14" t="s">
        <v>4842</v>
      </c>
      <c r="U46" s="14" t="s">
        <v>4843</v>
      </c>
      <c r="V46" s="14" t="s">
        <v>4844</v>
      </c>
      <c r="W46" s="14" t="s">
        <v>4845</v>
      </c>
    </row>
    <row r="47" spans="1:23" ht="409.5">
      <c r="A47" s="14" t="s">
        <v>1218</v>
      </c>
      <c r="B47" s="14" t="s">
        <v>4846</v>
      </c>
      <c r="C47" s="15" t="s">
        <v>4847</v>
      </c>
      <c r="D47" s="14" t="s">
        <v>4848</v>
      </c>
      <c r="E47" s="14" t="s">
        <v>4849</v>
      </c>
      <c r="F47" s="14" t="s">
        <v>4850</v>
      </c>
      <c r="G47" s="14" t="s">
        <v>4851</v>
      </c>
      <c r="H47" s="14" t="s">
        <v>2228</v>
      </c>
      <c r="I47" s="14" t="s">
        <v>2229</v>
      </c>
      <c r="J47" s="14" t="s">
        <v>4852</v>
      </c>
      <c r="K47" s="14" t="s">
        <v>2231</v>
      </c>
      <c r="L47" s="14" t="s">
        <v>2232</v>
      </c>
      <c r="M47" s="14" t="s">
        <v>2233</v>
      </c>
      <c r="O47" s="14" t="s">
        <v>4853</v>
      </c>
      <c r="P47" s="14" t="s">
        <v>4854</v>
      </c>
      <c r="Q47" s="14" t="s">
        <v>4855</v>
      </c>
      <c r="R47" s="14" t="s">
        <v>4856</v>
      </c>
      <c r="S47" s="14" t="s">
        <v>4857</v>
      </c>
      <c r="T47" s="14" t="s">
        <v>4858</v>
      </c>
      <c r="U47" s="14" t="s">
        <v>4859</v>
      </c>
      <c r="V47" s="14" t="s">
        <v>4860</v>
      </c>
      <c r="W47" s="14" t="s">
        <v>4861</v>
      </c>
    </row>
    <row r="48" spans="1:23" ht="409.5">
      <c r="A48" s="14" t="s">
        <v>1218</v>
      </c>
      <c r="B48" s="14" t="s">
        <v>4862</v>
      </c>
      <c r="C48" s="15" t="s">
        <v>4863</v>
      </c>
      <c r="D48" s="14" t="s">
        <v>4864</v>
      </c>
      <c r="E48" s="14" t="s">
        <v>4865</v>
      </c>
      <c r="F48" s="14" t="s">
        <v>4866</v>
      </c>
      <c r="G48" s="14" t="s">
        <v>4867</v>
      </c>
      <c r="H48" s="14" t="s">
        <v>2253</v>
      </c>
      <c r="I48" s="14" t="s">
        <v>2254</v>
      </c>
      <c r="J48" s="14" t="s">
        <v>4868</v>
      </c>
      <c r="K48" s="14" t="s">
        <v>2256</v>
      </c>
      <c r="L48" s="14" t="s">
        <v>2257</v>
      </c>
      <c r="M48" s="14" t="s">
        <v>2258</v>
      </c>
      <c r="O48" s="14" t="s">
        <v>4869</v>
      </c>
      <c r="P48" s="14" t="s">
        <v>4870</v>
      </c>
      <c r="Q48" s="14" t="s">
        <v>4871</v>
      </c>
      <c r="R48" s="14" t="s">
        <v>4872</v>
      </c>
      <c r="S48" s="14" t="s">
        <v>4873</v>
      </c>
      <c r="T48" s="14" t="s">
        <v>4874</v>
      </c>
      <c r="U48" s="14" t="s">
        <v>4875</v>
      </c>
      <c r="V48" s="14" t="s">
        <v>4876</v>
      </c>
      <c r="W48" s="14" t="s">
        <v>4877</v>
      </c>
    </row>
    <row r="49" spans="1:23" ht="409.5">
      <c r="A49" s="14" t="s">
        <v>1218</v>
      </c>
      <c r="B49" s="14" t="s">
        <v>4878</v>
      </c>
      <c r="C49" s="15" t="s">
        <v>4879</v>
      </c>
      <c r="D49" s="14" t="s">
        <v>4880</v>
      </c>
      <c r="E49" s="14" t="s">
        <v>4881</v>
      </c>
      <c r="F49" s="14" t="s">
        <v>4882</v>
      </c>
      <c r="G49" s="14" t="s">
        <v>4883</v>
      </c>
      <c r="H49" s="14" t="s">
        <v>2278</v>
      </c>
      <c r="I49" s="14" t="s">
        <v>2279</v>
      </c>
      <c r="J49" s="14" t="s">
        <v>4884</v>
      </c>
      <c r="K49" s="14" t="s">
        <v>2281</v>
      </c>
      <c r="L49" s="14" t="s">
        <v>2282</v>
      </c>
      <c r="M49" s="14" t="s">
        <v>2283</v>
      </c>
      <c r="O49" s="14" t="s">
        <v>4885</v>
      </c>
      <c r="P49" s="14" t="s">
        <v>4886</v>
      </c>
      <c r="Q49" s="14" t="s">
        <v>4887</v>
      </c>
      <c r="R49" s="14" t="s">
        <v>4888</v>
      </c>
      <c r="S49" s="14" t="s">
        <v>4889</v>
      </c>
      <c r="T49" s="14" t="s">
        <v>4890</v>
      </c>
      <c r="U49" s="14" t="s">
        <v>4891</v>
      </c>
      <c r="V49" s="14" t="s">
        <v>4892</v>
      </c>
      <c r="W49" s="14" t="s">
        <v>4893</v>
      </c>
    </row>
    <row r="50" spans="1:23" ht="409.5">
      <c r="A50" s="14" t="s">
        <v>1218</v>
      </c>
      <c r="B50" s="14" t="s">
        <v>4894</v>
      </c>
      <c r="C50" s="15" t="s">
        <v>4895</v>
      </c>
      <c r="D50" s="14" t="s">
        <v>4896</v>
      </c>
      <c r="E50" s="14" t="s">
        <v>4897</v>
      </c>
      <c r="F50" s="14" t="s">
        <v>4898</v>
      </c>
      <c r="G50" s="14" t="s">
        <v>4899</v>
      </c>
      <c r="H50" s="14" t="s">
        <v>2303</v>
      </c>
      <c r="I50" s="14" t="s">
        <v>2304</v>
      </c>
      <c r="J50" s="14" t="s">
        <v>4900</v>
      </c>
      <c r="K50" s="14" t="s">
        <v>2306</v>
      </c>
      <c r="L50" s="14" t="s">
        <v>2307</v>
      </c>
      <c r="M50" s="14" t="s">
        <v>2308</v>
      </c>
      <c r="O50" s="14" t="s">
        <v>4901</v>
      </c>
      <c r="P50" s="14" t="s">
        <v>4902</v>
      </c>
      <c r="Q50" s="14" t="s">
        <v>4903</v>
      </c>
      <c r="R50" s="14" t="s">
        <v>4904</v>
      </c>
      <c r="S50" s="14" t="s">
        <v>4905</v>
      </c>
      <c r="T50" s="14" t="s">
        <v>4906</v>
      </c>
      <c r="U50" s="14" t="s">
        <v>4907</v>
      </c>
      <c r="V50" s="14" t="s">
        <v>4908</v>
      </c>
      <c r="W50" s="14" t="s">
        <v>4909</v>
      </c>
    </row>
    <row r="51" spans="1:23" ht="409.5">
      <c r="A51" s="14" t="s">
        <v>1218</v>
      </c>
      <c r="B51" s="14" t="s">
        <v>4910</v>
      </c>
      <c r="C51" s="15" t="s">
        <v>4911</v>
      </c>
      <c r="D51" s="14" t="s">
        <v>4912</v>
      </c>
      <c r="E51" s="14" t="s">
        <v>4913</v>
      </c>
      <c r="F51" s="14" t="s">
        <v>4914</v>
      </c>
      <c r="G51" s="14" t="s">
        <v>4915</v>
      </c>
      <c r="H51" s="14" t="s">
        <v>2328</v>
      </c>
      <c r="I51" s="14" t="s">
        <v>2329</v>
      </c>
      <c r="J51" s="14" t="s">
        <v>4916</v>
      </c>
      <c r="K51" s="14" t="s">
        <v>2331</v>
      </c>
      <c r="L51" s="14" t="s">
        <v>2332</v>
      </c>
      <c r="M51" s="14" t="s">
        <v>2333</v>
      </c>
      <c r="O51" s="14" t="s">
        <v>4917</v>
      </c>
      <c r="P51" s="14" t="s">
        <v>4918</v>
      </c>
      <c r="Q51" s="14" t="s">
        <v>4919</v>
      </c>
      <c r="R51" s="14" t="s">
        <v>4920</v>
      </c>
      <c r="S51" s="14" t="s">
        <v>4921</v>
      </c>
      <c r="T51" s="14" t="s">
        <v>4922</v>
      </c>
      <c r="U51" s="14" t="s">
        <v>4923</v>
      </c>
      <c r="V51" s="14" t="s">
        <v>4924</v>
      </c>
      <c r="W51" s="14" t="s">
        <v>4925</v>
      </c>
    </row>
    <row r="52" spans="1:23" ht="409.5">
      <c r="A52" s="14" t="s">
        <v>1218</v>
      </c>
      <c r="B52" s="14" t="s">
        <v>4926</v>
      </c>
      <c r="C52" s="15" t="s">
        <v>4927</v>
      </c>
      <c r="D52" s="14" t="s">
        <v>4928</v>
      </c>
      <c r="E52" s="14" t="s">
        <v>4929</v>
      </c>
      <c r="F52" s="14" t="s">
        <v>4930</v>
      </c>
      <c r="G52" s="14" t="s">
        <v>4931</v>
      </c>
      <c r="H52" s="14" t="s">
        <v>2353</v>
      </c>
      <c r="I52" s="14" t="s">
        <v>2354</v>
      </c>
      <c r="J52" s="14" t="s">
        <v>4932</v>
      </c>
      <c r="K52" s="14" t="s">
        <v>2356</v>
      </c>
      <c r="L52" s="14" t="s">
        <v>2357</v>
      </c>
      <c r="M52" s="14" t="s">
        <v>2358</v>
      </c>
      <c r="O52" s="14" t="s">
        <v>4933</v>
      </c>
      <c r="P52" s="14" t="s">
        <v>4934</v>
      </c>
      <c r="Q52" s="14" t="s">
        <v>4935</v>
      </c>
      <c r="R52" s="14" t="s">
        <v>4936</v>
      </c>
      <c r="S52" s="14" t="s">
        <v>4937</v>
      </c>
      <c r="T52" s="14" t="s">
        <v>4938</v>
      </c>
      <c r="U52" s="14" t="s">
        <v>4939</v>
      </c>
      <c r="V52" s="14" t="s">
        <v>4940</v>
      </c>
      <c r="W52" s="14" t="s">
        <v>4941</v>
      </c>
    </row>
    <row r="53" spans="1:23" ht="409.5">
      <c r="A53" s="14" t="s">
        <v>1218</v>
      </c>
      <c r="B53" s="14" t="s">
        <v>4942</v>
      </c>
      <c r="C53" s="15" t="s">
        <v>4943</v>
      </c>
      <c r="D53" s="14" t="s">
        <v>4944</v>
      </c>
      <c r="E53" s="14" t="s">
        <v>4945</v>
      </c>
      <c r="F53" s="14" t="s">
        <v>4946</v>
      </c>
      <c r="G53" s="14" t="s">
        <v>4947</v>
      </c>
      <c r="H53" s="14" t="s">
        <v>2378</v>
      </c>
      <c r="I53" s="14" t="s">
        <v>2379</v>
      </c>
      <c r="J53" s="14" t="s">
        <v>4948</v>
      </c>
      <c r="K53" s="14" t="s">
        <v>2381</v>
      </c>
      <c r="L53" s="14" t="s">
        <v>2382</v>
      </c>
      <c r="M53" s="14" t="s">
        <v>2383</v>
      </c>
      <c r="O53" s="14" t="s">
        <v>4949</v>
      </c>
      <c r="P53" s="14" t="s">
        <v>4950</v>
      </c>
      <c r="Q53" s="14" t="s">
        <v>4951</v>
      </c>
      <c r="R53" s="14" t="s">
        <v>4952</v>
      </c>
      <c r="S53" s="14" t="s">
        <v>4953</v>
      </c>
      <c r="T53" s="14" t="s">
        <v>4954</v>
      </c>
      <c r="U53" s="14" t="s">
        <v>4955</v>
      </c>
      <c r="V53" s="14" t="s">
        <v>4956</v>
      </c>
      <c r="W53" s="14" t="s">
        <v>4957</v>
      </c>
    </row>
    <row r="54" spans="1:23" ht="409.5">
      <c r="A54" s="14" t="s">
        <v>1218</v>
      </c>
      <c r="B54" s="14" t="s">
        <v>4958</v>
      </c>
      <c r="C54" s="15" t="s">
        <v>4959</v>
      </c>
      <c r="D54" s="14" t="s">
        <v>4960</v>
      </c>
      <c r="E54" s="14" t="s">
        <v>4961</v>
      </c>
      <c r="F54" s="14" t="s">
        <v>4962</v>
      </c>
      <c r="G54" s="14" t="s">
        <v>4963</v>
      </c>
      <c r="H54" s="14" t="s">
        <v>2403</v>
      </c>
      <c r="I54" s="14" t="s">
        <v>2404</v>
      </c>
      <c r="J54" s="14" t="s">
        <v>4964</v>
      </c>
      <c r="K54" s="14" t="s">
        <v>2406</v>
      </c>
      <c r="L54" s="14" t="s">
        <v>2407</v>
      </c>
      <c r="M54" s="14" t="s">
        <v>2408</v>
      </c>
      <c r="O54" s="14" t="s">
        <v>4965</v>
      </c>
      <c r="P54" s="14" t="s">
        <v>4966</v>
      </c>
      <c r="Q54" s="14" t="s">
        <v>4967</v>
      </c>
      <c r="R54" s="14" t="s">
        <v>4968</v>
      </c>
      <c r="S54" s="14" t="s">
        <v>4969</v>
      </c>
      <c r="T54" s="14" t="s">
        <v>4970</v>
      </c>
      <c r="U54" s="14" t="s">
        <v>4971</v>
      </c>
      <c r="V54" s="14" t="s">
        <v>4972</v>
      </c>
      <c r="W54" s="14" t="s">
        <v>4973</v>
      </c>
    </row>
    <row r="55" spans="1:23" ht="409.5">
      <c r="A55" s="14" t="s">
        <v>1218</v>
      </c>
      <c r="B55" s="14" t="s">
        <v>4974</v>
      </c>
      <c r="C55" s="15" t="s">
        <v>4975</v>
      </c>
      <c r="D55" s="14" t="s">
        <v>4976</v>
      </c>
      <c r="E55" s="14" t="s">
        <v>4977</v>
      </c>
      <c r="F55" s="14" t="s">
        <v>4978</v>
      </c>
      <c r="G55" s="14" t="s">
        <v>4979</v>
      </c>
      <c r="H55" s="14" t="s">
        <v>2428</v>
      </c>
      <c r="I55" s="14" t="s">
        <v>2429</v>
      </c>
      <c r="J55" s="14" t="s">
        <v>4980</v>
      </c>
      <c r="K55" s="14" t="s">
        <v>2431</v>
      </c>
      <c r="L55" s="14" t="s">
        <v>2432</v>
      </c>
      <c r="M55" s="14" t="s">
        <v>2433</v>
      </c>
      <c r="O55" s="14" t="s">
        <v>4981</v>
      </c>
      <c r="P55" s="14" t="s">
        <v>4982</v>
      </c>
      <c r="Q55" s="14" t="s">
        <v>4983</v>
      </c>
      <c r="R55" s="14" t="s">
        <v>4984</v>
      </c>
      <c r="S55" s="14" t="s">
        <v>4985</v>
      </c>
      <c r="T55" s="14" t="s">
        <v>4986</v>
      </c>
      <c r="U55" s="14" t="s">
        <v>4987</v>
      </c>
      <c r="V55" s="14" t="s">
        <v>4988</v>
      </c>
      <c r="W55" s="14" t="s">
        <v>4989</v>
      </c>
    </row>
    <row r="56" spans="1:23" ht="409.5">
      <c r="A56" s="14" t="s">
        <v>1218</v>
      </c>
      <c r="B56" s="14" t="s">
        <v>4990</v>
      </c>
      <c r="C56" s="15" t="s">
        <v>4991</v>
      </c>
      <c r="D56" s="14" t="s">
        <v>4992</v>
      </c>
      <c r="E56" s="14" t="s">
        <v>4993</v>
      </c>
      <c r="F56" s="14" t="s">
        <v>4994</v>
      </c>
      <c r="G56" s="14" t="s">
        <v>4995</v>
      </c>
      <c r="H56" s="14" t="s">
        <v>2453</v>
      </c>
      <c r="I56" s="14" t="s">
        <v>2454</v>
      </c>
      <c r="J56" s="14" t="s">
        <v>4996</v>
      </c>
      <c r="K56" s="14" t="s">
        <v>2456</v>
      </c>
      <c r="L56" s="14" t="s">
        <v>2457</v>
      </c>
      <c r="M56" s="14" t="s">
        <v>2458</v>
      </c>
      <c r="O56" s="14" t="s">
        <v>4997</v>
      </c>
      <c r="P56" s="14" t="s">
        <v>4998</v>
      </c>
      <c r="Q56" s="14" t="s">
        <v>4999</v>
      </c>
      <c r="R56" s="14" t="s">
        <v>5000</v>
      </c>
      <c r="S56" s="14" t="s">
        <v>5001</v>
      </c>
      <c r="T56" s="14" t="s">
        <v>5002</v>
      </c>
      <c r="U56" s="14" t="s">
        <v>5003</v>
      </c>
      <c r="V56" s="14" t="s">
        <v>5004</v>
      </c>
      <c r="W56" s="14" t="s">
        <v>5005</v>
      </c>
    </row>
    <row r="57" spans="1:23" ht="409.5">
      <c r="A57" s="14" t="s">
        <v>1218</v>
      </c>
      <c r="B57" s="14" t="s">
        <v>5006</v>
      </c>
      <c r="C57" s="15" t="s">
        <v>5007</v>
      </c>
      <c r="D57" s="14" t="s">
        <v>5008</v>
      </c>
      <c r="E57" s="14" t="s">
        <v>5009</v>
      </c>
      <c r="F57" s="14" t="s">
        <v>5010</v>
      </c>
      <c r="G57" s="14" t="s">
        <v>5011</v>
      </c>
      <c r="H57" s="14" t="s">
        <v>2478</v>
      </c>
      <c r="I57" s="14" t="s">
        <v>2479</v>
      </c>
      <c r="J57" s="14" t="s">
        <v>5012</v>
      </c>
      <c r="K57" s="14" t="s">
        <v>2481</v>
      </c>
      <c r="L57" s="14" t="s">
        <v>2482</v>
      </c>
      <c r="M57" s="14" t="s">
        <v>2483</v>
      </c>
      <c r="O57" s="14" t="s">
        <v>5013</v>
      </c>
      <c r="P57" s="14" t="s">
        <v>5014</v>
      </c>
      <c r="Q57" s="14" t="s">
        <v>5015</v>
      </c>
      <c r="R57" s="14" t="s">
        <v>5016</v>
      </c>
      <c r="S57" s="14" t="s">
        <v>5017</v>
      </c>
      <c r="T57" s="14" t="s">
        <v>5018</v>
      </c>
      <c r="U57" s="14" t="s">
        <v>5019</v>
      </c>
      <c r="V57" s="14" t="s">
        <v>5020</v>
      </c>
      <c r="W57" s="14" t="s">
        <v>5021</v>
      </c>
    </row>
    <row r="58" spans="1:23" ht="409.5">
      <c r="A58" s="14" t="s">
        <v>1218</v>
      </c>
      <c r="B58" s="14" t="s">
        <v>5022</v>
      </c>
      <c r="C58" s="15" t="s">
        <v>5023</v>
      </c>
      <c r="D58" s="14" t="s">
        <v>5024</v>
      </c>
      <c r="E58" s="14" t="s">
        <v>5025</v>
      </c>
      <c r="F58" s="14" t="s">
        <v>5026</v>
      </c>
      <c r="G58" s="14" t="s">
        <v>5027</v>
      </c>
      <c r="H58" s="14" t="s">
        <v>2503</v>
      </c>
      <c r="I58" s="14" t="s">
        <v>2504</v>
      </c>
      <c r="J58" s="14" t="s">
        <v>5028</v>
      </c>
      <c r="K58" s="14" t="s">
        <v>2506</v>
      </c>
      <c r="L58" s="14" t="s">
        <v>2507</v>
      </c>
      <c r="M58" s="14" t="s">
        <v>2508</v>
      </c>
      <c r="O58" s="14" t="s">
        <v>5029</v>
      </c>
      <c r="P58" s="14" t="s">
        <v>5030</v>
      </c>
      <c r="Q58" s="14" t="s">
        <v>5031</v>
      </c>
      <c r="R58" s="14" t="s">
        <v>5032</v>
      </c>
      <c r="S58" s="14" t="s">
        <v>5033</v>
      </c>
      <c r="T58" s="14" t="s">
        <v>5034</v>
      </c>
      <c r="U58" s="14" t="s">
        <v>5035</v>
      </c>
      <c r="V58" s="14" t="s">
        <v>5036</v>
      </c>
      <c r="W58" s="14" t="s">
        <v>5037</v>
      </c>
    </row>
    <row r="59" spans="1:23" ht="409.5">
      <c r="A59" s="14" t="s">
        <v>1218</v>
      </c>
      <c r="B59" s="14" t="s">
        <v>5038</v>
      </c>
      <c r="C59" s="15" t="s">
        <v>5039</v>
      </c>
      <c r="D59" s="14" t="s">
        <v>5040</v>
      </c>
      <c r="E59" s="14" t="s">
        <v>5041</v>
      </c>
      <c r="F59" s="14" t="s">
        <v>5042</v>
      </c>
      <c r="G59" s="14" t="s">
        <v>5043</v>
      </c>
      <c r="H59" s="14" t="s">
        <v>2528</v>
      </c>
      <c r="I59" s="14" t="s">
        <v>2529</v>
      </c>
      <c r="J59" s="14" t="s">
        <v>5044</v>
      </c>
      <c r="K59" s="14" t="s">
        <v>2531</v>
      </c>
      <c r="L59" s="14" t="s">
        <v>2532</v>
      </c>
      <c r="M59" s="14" t="s">
        <v>2533</v>
      </c>
      <c r="O59" s="14" t="s">
        <v>5045</v>
      </c>
      <c r="P59" s="14" t="s">
        <v>5046</v>
      </c>
      <c r="Q59" s="14" t="s">
        <v>5047</v>
      </c>
      <c r="R59" s="14" t="s">
        <v>5048</v>
      </c>
      <c r="S59" s="14" t="s">
        <v>5049</v>
      </c>
      <c r="T59" s="14" t="s">
        <v>5050</v>
      </c>
      <c r="U59" s="14" t="s">
        <v>5051</v>
      </c>
      <c r="V59" s="14" t="s">
        <v>5052</v>
      </c>
      <c r="W59" s="14" t="s">
        <v>5053</v>
      </c>
    </row>
    <row r="60" spans="1:23" ht="409.5">
      <c r="A60" s="14" t="s">
        <v>1218</v>
      </c>
      <c r="B60" s="14" t="s">
        <v>5054</v>
      </c>
      <c r="C60" s="15" t="s">
        <v>5055</v>
      </c>
      <c r="D60" s="14" t="s">
        <v>5056</v>
      </c>
      <c r="E60" s="14" t="s">
        <v>5057</v>
      </c>
      <c r="F60" s="14" t="s">
        <v>5058</v>
      </c>
      <c r="G60" s="14" t="s">
        <v>5059</v>
      </c>
      <c r="H60" s="14" t="s">
        <v>2553</v>
      </c>
      <c r="I60" s="14" t="s">
        <v>2554</v>
      </c>
      <c r="J60" s="14" t="s">
        <v>5060</v>
      </c>
      <c r="K60" s="14" t="s">
        <v>2556</v>
      </c>
      <c r="L60" s="14" t="s">
        <v>2557</v>
      </c>
      <c r="M60" s="14" t="s">
        <v>2558</v>
      </c>
      <c r="O60" s="14" t="s">
        <v>5061</v>
      </c>
      <c r="P60" s="14" t="s">
        <v>5062</v>
      </c>
      <c r="Q60" s="14" t="s">
        <v>5063</v>
      </c>
      <c r="R60" s="14" t="s">
        <v>5064</v>
      </c>
      <c r="S60" s="14" t="s">
        <v>5065</v>
      </c>
      <c r="T60" s="14" t="s">
        <v>5066</v>
      </c>
      <c r="U60" s="14" t="s">
        <v>5067</v>
      </c>
      <c r="V60" s="14" t="s">
        <v>5068</v>
      </c>
      <c r="W60" s="14" t="s">
        <v>5069</v>
      </c>
    </row>
    <row r="61" spans="1:23" ht="409.5">
      <c r="A61" s="14" t="s">
        <v>1218</v>
      </c>
      <c r="B61" s="14" t="s">
        <v>5070</v>
      </c>
      <c r="C61" s="15" t="s">
        <v>5071</v>
      </c>
      <c r="D61" s="14" t="s">
        <v>5072</v>
      </c>
      <c r="E61" s="14" t="s">
        <v>5073</v>
      </c>
      <c r="F61" s="14" t="s">
        <v>5074</v>
      </c>
      <c r="G61" s="14" t="s">
        <v>5075</v>
      </c>
      <c r="H61" s="14" t="s">
        <v>2578</v>
      </c>
      <c r="I61" s="14" t="s">
        <v>2579</v>
      </c>
      <c r="J61" s="14" t="s">
        <v>5076</v>
      </c>
      <c r="K61" s="14" t="s">
        <v>2581</v>
      </c>
      <c r="L61" s="14" t="s">
        <v>2582</v>
      </c>
      <c r="M61" s="14" t="s">
        <v>2583</v>
      </c>
      <c r="O61" s="14" t="s">
        <v>5077</v>
      </c>
      <c r="P61" s="14" t="s">
        <v>5078</v>
      </c>
      <c r="Q61" s="14" t="s">
        <v>5079</v>
      </c>
      <c r="R61" s="14" t="s">
        <v>5080</v>
      </c>
      <c r="S61" s="14" t="s">
        <v>5081</v>
      </c>
      <c r="T61" s="14" t="s">
        <v>5082</v>
      </c>
      <c r="U61" s="14" t="s">
        <v>5083</v>
      </c>
      <c r="V61" s="14" t="s">
        <v>5084</v>
      </c>
      <c r="W61" s="14" t="s">
        <v>5085</v>
      </c>
    </row>
    <row r="62" spans="1:23" ht="409.5">
      <c r="A62" s="14" t="s">
        <v>1218</v>
      </c>
      <c r="B62" s="14" t="s">
        <v>5086</v>
      </c>
      <c r="C62" s="15" t="s">
        <v>5087</v>
      </c>
      <c r="D62" s="14" t="s">
        <v>5088</v>
      </c>
      <c r="E62" s="14" t="s">
        <v>5089</v>
      </c>
      <c r="F62" s="14" t="s">
        <v>5090</v>
      </c>
      <c r="G62" s="14" t="s">
        <v>5091</v>
      </c>
      <c r="H62" s="14" t="s">
        <v>2603</v>
      </c>
      <c r="I62" s="14" t="s">
        <v>2604</v>
      </c>
      <c r="J62" s="14" t="s">
        <v>5092</v>
      </c>
      <c r="K62" s="14" t="s">
        <v>2606</v>
      </c>
      <c r="L62" s="14" t="s">
        <v>2607</v>
      </c>
      <c r="M62" s="14" t="s">
        <v>2608</v>
      </c>
      <c r="O62" s="14" t="s">
        <v>5093</v>
      </c>
      <c r="P62" s="14" t="s">
        <v>5094</v>
      </c>
      <c r="Q62" s="14" t="s">
        <v>5095</v>
      </c>
      <c r="R62" s="14" t="s">
        <v>5096</v>
      </c>
      <c r="S62" s="14" t="s">
        <v>5097</v>
      </c>
      <c r="T62" s="14" t="s">
        <v>5098</v>
      </c>
      <c r="U62" s="14" t="s">
        <v>5099</v>
      </c>
      <c r="V62" s="14" t="s">
        <v>5100</v>
      </c>
      <c r="W62" s="14" t="s">
        <v>5101</v>
      </c>
    </row>
    <row r="63" spans="1:23" ht="409.5">
      <c r="A63" s="14" t="s">
        <v>1218</v>
      </c>
      <c r="B63" s="14" t="s">
        <v>5102</v>
      </c>
      <c r="C63" s="15" t="s">
        <v>5103</v>
      </c>
      <c r="D63" s="14" t="s">
        <v>5104</v>
      </c>
      <c r="E63" s="14" t="s">
        <v>5105</v>
      </c>
      <c r="F63" s="14" t="s">
        <v>5106</v>
      </c>
      <c r="G63" s="14" t="s">
        <v>5107</v>
      </c>
      <c r="H63" s="14" t="s">
        <v>2628</v>
      </c>
      <c r="I63" s="14" t="s">
        <v>2629</v>
      </c>
      <c r="J63" s="14" t="s">
        <v>5108</v>
      </c>
      <c r="K63" s="14" t="s">
        <v>2631</v>
      </c>
      <c r="L63" s="14" t="s">
        <v>2632</v>
      </c>
      <c r="M63" s="14" t="s">
        <v>2633</v>
      </c>
      <c r="O63" s="14" t="s">
        <v>5109</v>
      </c>
      <c r="P63" s="14" t="s">
        <v>5110</v>
      </c>
      <c r="Q63" s="14" t="s">
        <v>5111</v>
      </c>
      <c r="R63" s="14" t="s">
        <v>5112</v>
      </c>
      <c r="S63" s="14" t="s">
        <v>5113</v>
      </c>
      <c r="T63" s="14" t="s">
        <v>5114</v>
      </c>
      <c r="U63" s="14" t="s">
        <v>5115</v>
      </c>
      <c r="V63" s="14" t="s">
        <v>5116</v>
      </c>
      <c r="W63" s="14" t="s">
        <v>5117</v>
      </c>
    </row>
    <row r="64" spans="1:23" ht="409.5">
      <c r="A64" s="14" t="s">
        <v>1218</v>
      </c>
      <c r="B64" s="14" t="s">
        <v>5118</v>
      </c>
      <c r="C64" s="15" t="s">
        <v>5119</v>
      </c>
      <c r="D64" s="14" t="s">
        <v>5120</v>
      </c>
      <c r="E64" s="14" t="s">
        <v>5121</v>
      </c>
      <c r="F64" s="14" t="s">
        <v>5122</v>
      </c>
      <c r="G64" s="14" t="s">
        <v>5123</v>
      </c>
      <c r="H64" s="14" t="s">
        <v>2653</v>
      </c>
      <c r="I64" s="14" t="s">
        <v>2654</v>
      </c>
      <c r="J64" s="14" t="s">
        <v>5124</v>
      </c>
      <c r="K64" s="14" t="s">
        <v>2656</v>
      </c>
      <c r="L64" s="14" t="s">
        <v>2657</v>
      </c>
      <c r="M64" s="14" t="s">
        <v>2658</v>
      </c>
      <c r="O64" s="14" t="s">
        <v>5125</v>
      </c>
      <c r="P64" s="14" t="s">
        <v>5126</v>
      </c>
      <c r="Q64" s="14" t="s">
        <v>5127</v>
      </c>
      <c r="R64" s="14" t="s">
        <v>5128</v>
      </c>
      <c r="S64" s="14" t="s">
        <v>5129</v>
      </c>
      <c r="T64" s="14" t="s">
        <v>5130</v>
      </c>
      <c r="U64" s="14" t="s">
        <v>5131</v>
      </c>
      <c r="V64" s="14" t="s">
        <v>5132</v>
      </c>
      <c r="W64" s="14" t="s">
        <v>5133</v>
      </c>
    </row>
    <row r="65" spans="1:23" ht="409.5">
      <c r="A65" s="14" t="s">
        <v>1218</v>
      </c>
      <c r="B65" s="14" t="s">
        <v>5134</v>
      </c>
      <c r="C65" s="15" t="s">
        <v>5135</v>
      </c>
      <c r="D65" s="14" t="s">
        <v>5136</v>
      </c>
      <c r="E65" s="14" t="s">
        <v>5137</v>
      </c>
      <c r="F65" s="14" t="s">
        <v>5138</v>
      </c>
      <c r="G65" s="14" t="s">
        <v>5139</v>
      </c>
      <c r="H65" s="14" t="s">
        <v>2678</v>
      </c>
      <c r="I65" s="14" t="s">
        <v>2679</v>
      </c>
      <c r="J65" s="14" t="s">
        <v>5140</v>
      </c>
      <c r="K65" s="14" t="s">
        <v>2681</v>
      </c>
      <c r="L65" s="14" t="s">
        <v>2682</v>
      </c>
      <c r="M65" s="14" t="s">
        <v>2683</v>
      </c>
      <c r="O65" s="14" t="s">
        <v>5141</v>
      </c>
      <c r="P65" s="14" t="s">
        <v>5142</v>
      </c>
      <c r="Q65" s="14" t="s">
        <v>5143</v>
      </c>
      <c r="R65" s="14" t="s">
        <v>5144</v>
      </c>
      <c r="S65" s="14" t="s">
        <v>5145</v>
      </c>
      <c r="T65" s="14" t="s">
        <v>5146</v>
      </c>
      <c r="U65" s="14" t="s">
        <v>5147</v>
      </c>
      <c r="V65" s="14" t="s">
        <v>5148</v>
      </c>
      <c r="W65" s="14" t="s">
        <v>5149</v>
      </c>
    </row>
    <row r="66" spans="1:23" ht="409.5">
      <c r="A66" s="14" t="s">
        <v>1218</v>
      </c>
      <c r="B66" s="14" t="s">
        <v>5150</v>
      </c>
      <c r="C66" s="15" t="s">
        <v>5151</v>
      </c>
      <c r="D66" s="14" t="s">
        <v>5152</v>
      </c>
      <c r="E66" s="14" t="s">
        <v>5153</v>
      </c>
      <c r="F66" s="14" t="s">
        <v>5154</v>
      </c>
      <c r="G66" s="14" t="s">
        <v>5155</v>
      </c>
      <c r="H66" s="14" t="s">
        <v>2703</v>
      </c>
      <c r="I66" s="14" t="s">
        <v>2704</v>
      </c>
      <c r="J66" s="14" t="s">
        <v>5156</v>
      </c>
      <c r="K66" s="14" t="s">
        <v>2706</v>
      </c>
      <c r="L66" s="14" t="s">
        <v>2707</v>
      </c>
      <c r="M66" s="14" t="s">
        <v>2708</v>
      </c>
      <c r="O66" s="14" t="s">
        <v>5157</v>
      </c>
      <c r="P66" s="14" t="s">
        <v>5158</v>
      </c>
      <c r="Q66" s="14" t="s">
        <v>5159</v>
      </c>
      <c r="R66" s="14" t="s">
        <v>5160</v>
      </c>
      <c r="S66" s="14" t="s">
        <v>5161</v>
      </c>
      <c r="T66" s="14" t="s">
        <v>5162</v>
      </c>
      <c r="U66" s="14" t="s">
        <v>5163</v>
      </c>
      <c r="V66" s="14" t="s">
        <v>5164</v>
      </c>
      <c r="W66" s="14" t="s">
        <v>5165</v>
      </c>
    </row>
    <row r="67" spans="1:23" ht="409.5">
      <c r="A67" s="14" t="s">
        <v>1218</v>
      </c>
      <c r="B67" s="14" t="s">
        <v>5166</v>
      </c>
      <c r="C67" s="15" t="s">
        <v>5167</v>
      </c>
      <c r="D67" s="14" t="s">
        <v>5168</v>
      </c>
      <c r="E67" s="14" t="s">
        <v>5169</v>
      </c>
      <c r="F67" s="14" t="s">
        <v>5170</v>
      </c>
      <c r="G67" s="14" t="s">
        <v>5171</v>
      </c>
      <c r="H67" s="14" t="s">
        <v>2728</v>
      </c>
      <c r="I67" s="14" t="s">
        <v>2729</v>
      </c>
      <c r="J67" s="14" t="s">
        <v>5172</v>
      </c>
      <c r="K67" s="14" t="s">
        <v>2731</v>
      </c>
      <c r="L67" s="14" t="s">
        <v>2732</v>
      </c>
      <c r="M67" s="14" t="s">
        <v>2733</v>
      </c>
      <c r="O67" s="14" t="s">
        <v>5173</v>
      </c>
      <c r="P67" s="14" t="s">
        <v>5174</v>
      </c>
      <c r="Q67" s="14" t="s">
        <v>5175</v>
      </c>
      <c r="R67" s="14" t="s">
        <v>5176</v>
      </c>
      <c r="S67" s="14" t="s">
        <v>5177</v>
      </c>
      <c r="T67" s="14" t="s">
        <v>5178</v>
      </c>
      <c r="U67" s="14" t="s">
        <v>5179</v>
      </c>
      <c r="V67" s="14" t="s">
        <v>5180</v>
      </c>
      <c r="W67" s="14" t="s">
        <v>5181</v>
      </c>
    </row>
    <row r="68" spans="1:23" ht="409.5">
      <c r="A68" s="14" t="s">
        <v>1218</v>
      </c>
      <c r="B68" s="14" t="s">
        <v>5182</v>
      </c>
      <c r="C68" s="15" t="s">
        <v>5183</v>
      </c>
      <c r="D68" s="14" t="s">
        <v>5184</v>
      </c>
      <c r="E68" s="14" t="s">
        <v>5185</v>
      </c>
      <c r="F68" s="14" t="s">
        <v>5186</v>
      </c>
      <c r="G68" s="14" t="s">
        <v>5187</v>
      </c>
      <c r="H68" s="14" t="s">
        <v>2753</v>
      </c>
      <c r="I68" s="14" t="s">
        <v>2754</v>
      </c>
      <c r="J68" s="14" t="s">
        <v>5188</v>
      </c>
      <c r="K68" s="14" t="s">
        <v>2756</v>
      </c>
      <c r="L68" s="14" t="s">
        <v>2757</v>
      </c>
      <c r="M68" s="14" t="s">
        <v>2758</v>
      </c>
      <c r="O68" s="14" t="s">
        <v>5189</v>
      </c>
      <c r="P68" s="14" t="s">
        <v>5190</v>
      </c>
      <c r="Q68" s="14" t="s">
        <v>5191</v>
      </c>
      <c r="R68" s="14" t="s">
        <v>5192</v>
      </c>
      <c r="S68" s="14" t="s">
        <v>5193</v>
      </c>
      <c r="T68" s="14" t="s">
        <v>5194</v>
      </c>
      <c r="U68" s="14" t="s">
        <v>5195</v>
      </c>
      <c r="V68" s="14" t="s">
        <v>5196</v>
      </c>
      <c r="W68" s="14" t="s">
        <v>5197</v>
      </c>
    </row>
    <row r="69" spans="1:23" ht="409.5">
      <c r="A69" s="14" t="s">
        <v>1218</v>
      </c>
      <c r="B69" s="14" t="s">
        <v>5198</v>
      </c>
      <c r="C69" s="15" t="s">
        <v>5199</v>
      </c>
      <c r="D69" s="14" t="s">
        <v>5200</v>
      </c>
      <c r="E69" s="14" t="s">
        <v>5201</v>
      </c>
      <c r="F69" s="14" t="s">
        <v>5202</v>
      </c>
      <c r="G69" s="14" t="s">
        <v>5203</v>
      </c>
      <c r="H69" s="14" t="s">
        <v>2778</v>
      </c>
      <c r="I69" s="14" t="s">
        <v>2779</v>
      </c>
      <c r="J69" s="14" t="s">
        <v>5204</v>
      </c>
      <c r="K69" s="14" t="s">
        <v>2781</v>
      </c>
      <c r="L69" s="14" t="s">
        <v>2782</v>
      </c>
      <c r="M69" s="14" t="s">
        <v>2783</v>
      </c>
      <c r="O69" s="14" t="s">
        <v>5205</v>
      </c>
      <c r="P69" s="14" t="s">
        <v>5206</v>
      </c>
      <c r="Q69" s="14" t="s">
        <v>5207</v>
      </c>
      <c r="R69" s="14" t="s">
        <v>5208</v>
      </c>
      <c r="S69" s="14" t="s">
        <v>5209</v>
      </c>
      <c r="T69" s="14" t="s">
        <v>5210</v>
      </c>
      <c r="U69" s="14" t="s">
        <v>5211</v>
      </c>
      <c r="V69" s="14" t="s">
        <v>5212</v>
      </c>
      <c r="W69" s="14" t="s">
        <v>5213</v>
      </c>
    </row>
    <row r="70" spans="1:23" ht="409.5">
      <c r="A70" s="14" t="s">
        <v>1218</v>
      </c>
      <c r="B70" s="14" t="s">
        <v>5214</v>
      </c>
      <c r="C70" s="15" t="s">
        <v>5215</v>
      </c>
      <c r="D70" s="14" t="s">
        <v>5216</v>
      </c>
      <c r="E70" s="14" t="s">
        <v>5217</v>
      </c>
      <c r="F70" s="14" t="s">
        <v>5218</v>
      </c>
      <c r="G70" s="14" t="s">
        <v>5219</v>
      </c>
      <c r="H70" s="14" t="s">
        <v>2803</v>
      </c>
      <c r="I70" s="14" t="s">
        <v>2804</v>
      </c>
      <c r="J70" s="14" t="s">
        <v>5220</v>
      </c>
      <c r="K70" s="14" t="s">
        <v>2806</v>
      </c>
      <c r="L70" s="14" t="s">
        <v>2807</v>
      </c>
      <c r="M70" s="14" t="s">
        <v>2808</v>
      </c>
      <c r="O70" s="14" t="s">
        <v>5221</v>
      </c>
      <c r="P70" s="14" t="s">
        <v>5222</v>
      </c>
      <c r="Q70" s="14" t="s">
        <v>5223</v>
      </c>
      <c r="R70" s="14" t="s">
        <v>5224</v>
      </c>
      <c r="S70" s="14" t="s">
        <v>5225</v>
      </c>
      <c r="T70" s="14" t="s">
        <v>5226</v>
      </c>
      <c r="U70" s="14" t="s">
        <v>5227</v>
      </c>
      <c r="V70" s="14" t="s">
        <v>5228</v>
      </c>
      <c r="W70" s="14" t="s">
        <v>5229</v>
      </c>
    </row>
    <row r="71" spans="1:23" ht="409.5">
      <c r="A71" s="14" t="s">
        <v>1218</v>
      </c>
      <c r="B71" s="14" t="s">
        <v>5230</v>
      </c>
      <c r="C71" s="15" t="s">
        <v>5231</v>
      </c>
      <c r="D71" s="14" t="s">
        <v>5232</v>
      </c>
      <c r="E71" s="14" t="s">
        <v>5233</v>
      </c>
      <c r="F71" s="14" t="s">
        <v>5234</v>
      </c>
      <c r="G71" s="14" t="s">
        <v>5235</v>
      </c>
      <c r="H71" s="14" t="s">
        <v>2828</v>
      </c>
      <c r="I71" s="14" t="s">
        <v>2829</v>
      </c>
      <c r="J71" s="14" t="s">
        <v>5236</v>
      </c>
      <c r="K71" s="14" t="s">
        <v>2831</v>
      </c>
      <c r="L71" s="14" t="s">
        <v>2832</v>
      </c>
      <c r="M71" s="14" t="s">
        <v>2833</v>
      </c>
      <c r="O71" s="14" t="s">
        <v>5237</v>
      </c>
      <c r="P71" s="14" t="s">
        <v>5238</v>
      </c>
      <c r="Q71" s="14" t="s">
        <v>5239</v>
      </c>
      <c r="R71" s="14" t="s">
        <v>5240</v>
      </c>
      <c r="S71" s="14" t="s">
        <v>5241</v>
      </c>
      <c r="T71" s="14" t="s">
        <v>5242</v>
      </c>
      <c r="U71" s="14" t="s">
        <v>5243</v>
      </c>
      <c r="V71" s="14" t="s">
        <v>5244</v>
      </c>
      <c r="W71" s="14" t="s">
        <v>5245</v>
      </c>
    </row>
    <row r="72" spans="1:23" ht="409.5">
      <c r="A72" s="14" t="s">
        <v>1218</v>
      </c>
      <c r="B72" s="14" t="s">
        <v>5246</v>
      </c>
      <c r="C72" s="15" t="s">
        <v>5247</v>
      </c>
      <c r="D72" s="14" t="s">
        <v>5248</v>
      </c>
      <c r="E72" s="14" t="s">
        <v>5249</v>
      </c>
      <c r="F72" s="14" t="s">
        <v>5250</v>
      </c>
      <c r="G72" s="14" t="s">
        <v>5251</v>
      </c>
      <c r="H72" s="14" t="s">
        <v>2853</v>
      </c>
      <c r="I72" s="14" t="s">
        <v>2854</v>
      </c>
      <c r="J72" s="14" t="s">
        <v>5252</v>
      </c>
      <c r="K72" s="14" t="s">
        <v>2856</v>
      </c>
      <c r="L72" s="14" t="s">
        <v>2857</v>
      </c>
      <c r="M72" s="14" t="s">
        <v>2858</v>
      </c>
      <c r="O72" s="14" t="s">
        <v>5253</v>
      </c>
      <c r="P72" s="14" t="s">
        <v>5254</v>
      </c>
      <c r="Q72" s="14" t="s">
        <v>5255</v>
      </c>
      <c r="R72" s="14" t="s">
        <v>5256</v>
      </c>
      <c r="S72" s="14" t="s">
        <v>5257</v>
      </c>
      <c r="T72" s="14" t="s">
        <v>5258</v>
      </c>
      <c r="U72" s="14" t="s">
        <v>5259</v>
      </c>
      <c r="V72" s="14" t="s">
        <v>5260</v>
      </c>
      <c r="W72" s="14" t="s">
        <v>5261</v>
      </c>
    </row>
    <row r="73" spans="1:23" ht="409.5">
      <c r="A73" s="14" t="s">
        <v>1218</v>
      </c>
      <c r="B73" s="14" t="s">
        <v>5262</v>
      </c>
      <c r="C73" s="15" t="s">
        <v>5263</v>
      </c>
      <c r="D73" s="14" t="s">
        <v>5264</v>
      </c>
      <c r="E73" s="14" t="s">
        <v>5265</v>
      </c>
      <c r="F73" s="14" t="s">
        <v>5266</v>
      </c>
      <c r="G73" s="14" t="s">
        <v>5267</v>
      </c>
      <c r="H73" s="14" t="s">
        <v>2878</v>
      </c>
      <c r="I73" s="14" t="s">
        <v>2879</v>
      </c>
      <c r="J73" s="14" t="s">
        <v>5268</v>
      </c>
      <c r="K73" s="14" t="s">
        <v>2881</v>
      </c>
      <c r="L73" s="14" t="s">
        <v>2882</v>
      </c>
      <c r="M73" s="14" t="s">
        <v>2883</v>
      </c>
      <c r="O73" s="14" t="s">
        <v>5269</v>
      </c>
      <c r="P73" s="14" t="s">
        <v>5270</v>
      </c>
      <c r="Q73" s="14" t="s">
        <v>5271</v>
      </c>
      <c r="R73" s="14" t="s">
        <v>5272</v>
      </c>
      <c r="S73" s="14" t="s">
        <v>5273</v>
      </c>
      <c r="T73" s="14" t="s">
        <v>5274</v>
      </c>
      <c r="U73" s="14" t="s">
        <v>5275</v>
      </c>
      <c r="V73" s="14" t="s">
        <v>5276</v>
      </c>
      <c r="W73" s="14" t="s">
        <v>5277</v>
      </c>
    </row>
    <row r="74" spans="1:23" ht="409.5">
      <c r="A74" s="14" t="s">
        <v>1218</v>
      </c>
      <c r="B74" s="14" t="s">
        <v>5278</v>
      </c>
      <c r="C74" s="15" t="s">
        <v>5279</v>
      </c>
      <c r="D74" s="14" t="s">
        <v>5280</v>
      </c>
      <c r="E74" s="14" t="s">
        <v>5281</v>
      </c>
      <c r="F74" s="14" t="s">
        <v>5282</v>
      </c>
      <c r="G74" s="14" t="s">
        <v>5283</v>
      </c>
      <c r="H74" s="14" t="s">
        <v>2903</v>
      </c>
      <c r="I74" s="14" t="s">
        <v>2904</v>
      </c>
      <c r="J74" s="14" t="s">
        <v>5284</v>
      </c>
      <c r="K74" s="14" t="s">
        <v>2906</v>
      </c>
      <c r="L74" s="14" t="s">
        <v>2907</v>
      </c>
      <c r="M74" s="14" t="s">
        <v>2908</v>
      </c>
      <c r="O74" s="14" t="s">
        <v>5285</v>
      </c>
      <c r="P74" s="14" t="s">
        <v>5286</v>
      </c>
      <c r="Q74" s="14" t="s">
        <v>5287</v>
      </c>
      <c r="R74" s="14" t="s">
        <v>5288</v>
      </c>
      <c r="S74" s="14" t="s">
        <v>5289</v>
      </c>
      <c r="T74" s="14" t="s">
        <v>5290</v>
      </c>
      <c r="U74" s="14" t="s">
        <v>5291</v>
      </c>
      <c r="V74" s="14" t="s">
        <v>5292</v>
      </c>
      <c r="W74" s="14" t="s">
        <v>5293</v>
      </c>
    </row>
    <row r="75" spans="1:23" ht="409.5">
      <c r="A75" s="14" t="s">
        <v>1218</v>
      </c>
      <c r="B75" s="14" t="s">
        <v>5294</v>
      </c>
      <c r="C75" s="15" t="s">
        <v>5295</v>
      </c>
      <c r="D75" s="14" t="s">
        <v>5296</v>
      </c>
      <c r="E75" s="14" t="s">
        <v>5297</v>
      </c>
      <c r="F75" s="14" t="s">
        <v>5298</v>
      </c>
      <c r="G75" s="14" t="s">
        <v>5299</v>
      </c>
      <c r="H75" s="14" t="s">
        <v>2928</v>
      </c>
      <c r="I75" s="14" t="s">
        <v>2929</v>
      </c>
      <c r="J75" s="14" t="s">
        <v>5300</v>
      </c>
      <c r="K75" s="14" t="s">
        <v>2931</v>
      </c>
      <c r="L75" s="14" t="s">
        <v>2932</v>
      </c>
      <c r="M75" s="14" t="s">
        <v>2933</v>
      </c>
      <c r="O75" s="14" t="s">
        <v>5301</v>
      </c>
      <c r="P75" s="14" t="s">
        <v>5302</v>
      </c>
      <c r="Q75" s="14" t="s">
        <v>5303</v>
      </c>
      <c r="R75" s="14" t="s">
        <v>5304</v>
      </c>
      <c r="S75" s="14" t="s">
        <v>5305</v>
      </c>
      <c r="T75" s="14" t="s">
        <v>5306</v>
      </c>
      <c r="U75" s="14" t="s">
        <v>5307</v>
      </c>
      <c r="V75" s="14" t="s">
        <v>5308</v>
      </c>
      <c r="W75" s="14" t="s">
        <v>5309</v>
      </c>
    </row>
    <row r="76" spans="1:23" ht="409.5">
      <c r="A76" s="14" t="s">
        <v>1218</v>
      </c>
      <c r="B76" s="14" t="s">
        <v>5310</v>
      </c>
      <c r="C76" s="15" t="s">
        <v>5311</v>
      </c>
      <c r="D76" s="14" t="s">
        <v>5312</v>
      </c>
      <c r="E76" s="14" t="s">
        <v>5313</v>
      </c>
      <c r="F76" s="14" t="s">
        <v>5314</v>
      </c>
      <c r="G76" s="14" t="s">
        <v>5315</v>
      </c>
      <c r="H76" s="14" t="s">
        <v>2953</v>
      </c>
      <c r="I76" s="14" t="s">
        <v>2954</v>
      </c>
      <c r="J76" s="14" t="s">
        <v>5316</v>
      </c>
      <c r="K76" s="14" t="s">
        <v>2956</v>
      </c>
      <c r="L76" s="14" t="s">
        <v>2957</v>
      </c>
      <c r="M76" s="14" t="s">
        <v>2958</v>
      </c>
      <c r="O76" s="14" t="s">
        <v>5317</v>
      </c>
      <c r="P76" s="14" t="s">
        <v>5318</v>
      </c>
      <c r="Q76" s="14" t="s">
        <v>5319</v>
      </c>
      <c r="R76" s="14" t="s">
        <v>5320</v>
      </c>
      <c r="S76" s="14" t="s">
        <v>5321</v>
      </c>
      <c r="T76" s="14" t="s">
        <v>5322</v>
      </c>
      <c r="U76" s="14" t="s">
        <v>5323</v>
      </c>
      <c r="V76" s="14" t="s">
        <v>5324</v>
      </c>
      <c r="W76" s="14" t="s">
        <v>5325</v>
      </c>
    </row>
    <row r="77" spans="1:23" ht="409.5">
      <c r="A77" s="14" t="s">
        <v>1218</v>
      </c>
      <c r="B77" s="14" t="s">
        <v>5326</v>
      </c>
      <c r="C77" s="15" t="s">
        <v>5327</v>
      </c>
      <c r="D77" s="14" t="s">
        <v>5328</v>
      </c>
      <c r="E77" s="14" t="s">
        <v>5329</v>
      </c>
      <c r="F77" s="14" t="s">
        <v>5330</v>
      </c>
      <c r="G77" s="14" t="s">
        <v>5331</v>
      </c>
      <c r="H77" s="14" t="s">
        <v>2978</v>
      </c>
      <c r="I77" s="14" t="s">
        <v>2979</v>
      </c>
      <c r="J77" s="14" t="s">
        <v>5332</v>
      </c>
      <c r="K77" s="14" t="s">
        <v>2981</v>
      </c>
      <c r="L77" s="14" t="s">
        <v>2982</v>
      </c>
      <c r="M77" s="14" t="s">
        <v>2983</v>
      </c>
      <c r="O77" s="14" t="s">
        <v>5333</v>
      </c>
      <c r="P77" s="14" t="s">
        <v>5334</v>
      </c>
      <c r="Q77" s="14" t="s">
        <v>5335</v>
      </c>
      <c r="R77" s="14" t="s">
        <v>5336</v>
      </c>
      <c r="S77" s="14" t="s">
        <v>5337</v>
      </c>
      <c r="T77" s="14" t="s">
        <v>5338</v>
      </c>
      <c r="U77" s="14" t="s">
        <v>5339</v>
      </c>
      <c r="V77" s="14" t="s">
        <v>5340</v>
      </c>
      <c r="W77" s="14" t="s">
        <v>5341</v>
      </c>
    </row>
    <row r="78" spans="1:23" ht="409.5">
      <c r="A78" s="14" t="s">
        <v>1218</v>
      </c>
      <c r="B78" s="14" t="s">
        <v>5342</v>
      </c>
      <c r="C78" s="15" t="s">
        <v>5343</v>
      </c>
      <c r="D78" s="14" t="s">
        <v>5344</v>
      </c>
      <c r="E78" s="14" t="s">
        <v>5345</v>
      </c>
      <c r="F78" s="14" t="s">
        <v>5346</v>
      </c>
      <c r="G78" s="14" t="s">
        <v>5347</v>
      </c>
      <c r="H78" s="14" t="s">
        <v>3003</v>
      </c>
      <c r="I78" s="14" t="s">
        <v>3004</v>
      </c>
      <c r="J78" s="14" t="s">
        <v>5348</v>
      </c>
      <c r="K78" s="14" t="s">
        <v>3006</v>
      </c>
      <c r="L78" s="14" t="s">
        <v>3007</v>
      </c>
      <c r="M78" s="14" t="s">
        <v>3008</v>
      </c>
      <c r="O78" s="14" t="s">
        <v>5349</v>
      </c>
      <c r="P78" s="14" t="s">
        <v>5350</v>
      </c>
      <c r="Q78" s="14" t="s">
        <v>5351</v>
      </c>
      <c r="R78" s="14" t="s">
        <v>5352</v>
      </c>
      <c r="S78" s="14" t="s">
        <v>5353</v>
      </c>
      <c r="T78" s="14" t="s">
        <v>5354</v>
      </c>
      <c r="U78" s="14" t="s">
        <v>5355</v>
      </c>
      <c r="V78" s="14" t="s">
        <v>5356</v>
      </c>
      <c r="W78" s="14" t="s">
        <v>5357</v>
      </c>
    </row>
    <row r="79" spans="1:23" ht="409.5">
      <c r="A79" s="14" t="s">
        <v>1218</v>
      </c>
      <c r="B79" s="14" t="s">
        <v>5358</v>
      </c>
      <c r="C79" s="15" t="s">
        <v>5359</v>
      </c>
      <c r="D79" s="14" t="s">
        <v>5360</v>
      </c>
      <c r="E79" s="14" t="s">
        <v>5361</v>
      </c>
      <c r="F79" s="14" t="s">
        <v>5362</v>
      </c>
      <c r="G79" s="14" t="s">
        <v>5363</v>
      </c>
      <c r="H79" s="14" t="s">
        <v>3028</v>
      </c>
      <c r="I79" s="14" t="s">
        <v>3029</v>
      </c>
      <c r="J79" s="14" t="s">
        <v>5364</v>
      </c>
      <c r="K79" s="14" t="s">
        <v>3031</v>
      </c>
      <c r="L79" s="14" t="s">
        <v>3032</v>
      </c>
      <c r="M79" s="14" t="s">
        <v>3033</v>
      </c>
      <c r="O79" s="14" t="s">
        <v>5365</v>
      </c>
      <c r="P79" s="14" t="s">
        <v>5366</v>
      </c>
      <c r="Q79" s="14" t="s">
        <v>5367</v>
      </c>
      <c r="R79" s="14" t="s">
        <v>5368</v>
      </c>
      <c r="S79" s="14" t="s">
        <v>5369</v>
      </c>
      <c r="T79" s="14" t="s">
        <v>5370</v>
      </c>
      <c r="U79" s="14" t="s">
        <v>5371</v>
      </c>
      <c r="V79" s="14" t="s">
        <v>5372</v>
      </c>
      <c r="W79" s="14" t="s">
        <v>5373</v>
      </c>
    </row>
    <row r="80" spans="1:23" ht="409.5">
      <c r="A80" s="14" t="s">
        <v>1218</v>
      </c>
      <c r="B80" s="14" t="s">
        <v>5374</v>
      </c>
      <c r="C80" s="15" t="s">
        <v>5375</v>
      </c>
      <c r="D80" s="14" t="s">
        <v>5376</v>
      </c>
      <c r="E80" s="14" t="s">
        <v>5377</v>
      </c>
      <c r="F80" s="14" t="s">
        <v>5378</v>
      </c>
      <c r="G80" s="14" t="s">
        <v>5379</v>
      </c>
      <c r="H80" s="14" t="s">
        <v>3053</v>
      </c>
      <c r="I80" s="14" t="s">
        <v>3054</v>
      </c>
      <c r="J80" s="14" t="s">
        <v>5380</v>
      </c>
      <c r="K80" s="14" t="s">
        <v>3056</v>
      </c>
      <c r="L80" s="14" t="s">
        <v>3057</v>
      </c>
      <c r="M80" s="14" t="s">
        <v>3058</v>
      </c>
      <c r="O80" s="14" t="s">
        <v>5381</v>
      </c>
      <c r="P80" s="14" t="s">
        <v>5382</v>
      </c>
      <c r="Q80" s="14" t="s">
        <v>5383</v>
      </c>
      <c r="R80" s="14" t="s">
        <v>5384</v>
      </c>
      <c r="S80" s="14" t="s">
        <v>5385</v>
      </c>
      <c r="T80" s="14" t="s">
        <v>5386</v>
      </c>
      <c r="U80" s="14" t="s">
        <v>5387</v>
      </c>
      <c r="V80" s="14" t="s">
        <v>5388</v>
      </c>
      <c r="W80" s="14" t="s">
        <v>5389</v>
      </c>
    </row>
    <row r="81" spans="1:23" ht="409.5">
      <c r="A81" s="14" t="s">
        <v>1218</v>
      </c>
      <c r="B81" s="14" t="s">
        <v>5390</v>
      </c>
      <c r="C81" s="15" t="s">
        <v>5391</v>
      </c>
      <c r="D81" s="14" t="s">
        <v>5392</v>
      </c>
      <c r="E81" s="14" t="s">
        <v>5393</v>
      </c>
      <c r="F81" s="14" t="s">
        <v>5394</v>
      </c>
      <c r="G81" s="14" t="s">
        <v>5395</v>
      </c>
      <c r="H81" s="14" t="s">
        <v>3078</v>
      </c>
      <c r="I81" s="14" t="s">
        <v>3079</v>
      </c>
      <c r="J81" s="14" t="s">
        <v>5396</v>
      </c>
      <c r="K81" s="14" t="s">
        <v>3081</v>
      </c>
      <c r="L81" s="14" t="s">
        <v>3082</v>
      </c>
      <c r="M81" s="14" t="s">
        <v>3083</v>
      </c>
      <c r="O81" s="14" t="s">
        <v>5397</v>
      </c>
      <c r="P81" s="14" t="s">
        <v>5398</v>
      </c>
      <c r="Q81" s="14" t="s">
        <v>5399</v>
      </c>
      <c r="R81" s="14" t="s">
        <v>5400</v>
      </c>
      <c r="S81" s="14" t="s">
        <v>5401</v>
      </c>
      <c r="T81" s="14" t="s">
        <v>5402</v>
      </c>
      <c r="U81" s="14" t="s">
        <v>5403</v>
      </c>
      <c r="V81" s="14" t="s">
        <v>5404</v>
      </c>
      <c r="W81" s="14" t="s">
        <v>5405</v>
      </c>
    </row>
    <row r="82" spans="1:23" ht="409.5">
      <c r="A82" s="14" t="s">
        <v>1218</v>
      </c>
      <c r="B82" s="14" t="s">
        <v>5406</v>
      </c>
      <c r="C82" s="15" t="s">
        <v>5407</v>
      </c>
      <c r="D82" s="14" t="s">
        <v>5408</v>
      </c>
      <c r="E82" s="14" t="s">
        <v>5409</v>
      </c>
      <c r="F82" s="14" t="s">
        <v>5410</v>
      </c>
      <c r="G82" s="14" t="s">
        <v>5411</v>
      </c>
      <c r="H82" s="14" t="s">
        <v>3103</v>
      </c>
      <c r="I82" s="14" t="s">
        <v>3104</v>
      </c>
      <c r="J82" s="14" t="s">
        <v>5412</v>
      </c>
      <c r="K82" s="14" t="s">
        <v>3106</v>
      </c>
      <c r="L82" s="14" t="s">
        <v>3107</v>
      </c>
      <c r="M82" s="14" t="s">
        <v>3108</v>
      </c>
      <c r="O82" s="14" t="s">
        <v>5413</v>
      </c>
      <c r="P82" s="14" t="s">
        <v>5414</v>
      </c>
      <c r="Q82" s="14" t="s">
        <v>5415</v>
      </c>
      <c r="R82" s="14" t="s">
        <v>5416</v>
      </c>
      <c r="S82" s="14" t="s">
        <v>5417</v>
      </c>
      <c r="T82" s="14" t="s">
        <v>5418</v>
      </c>
      <c r="U82" s="14" t="s">
        <v>5419</v>
      </c>
      <c r="V82" s="14" t="s">
        <v>5420</v>
      </c>
      <c r="W82" s="14" t="s">
        <v>5421</v>
      </c>
    </row>
    <row r="83" spans="1:23" ht="409.5">
      <c r="A83" s="14" t="s">
        <v>1218</v>
      </c>
      <c r="B83" s="14" t="s">
        <v>5422</v>
      </c>
      <c r="C83" s="15" t="s">
        <v>5423</v>
      </c>
      <c r="D83" s="14" t="s">
        <v>5424</v>
      </c>
      <c r="E83" s="14" t="s">
        <v>5425</v>
      </c>
      <c r="F83" s="14" t="s">
        <v>5426</v>
      </c>
      <c r="G83" s="14" t="s">
        <v>5427</v>
      </c>
      <c r="H83" s="14" t="s">
        <v>3128</v>
      </c>
      <c r="I83" s="14" t="s">
        <v>3129</v>
      </c>
      <c r="J83" s="14" t="s">
        <v>5428</v>
      </c>
      <c r="K83" s="14" t="s">
        <v>3131</v>
      </c>
      <c r="L83" s="14" t="s">
        <v>3132</v>
      </c>
      <c r="M83" s="14" t="s">
        <v>3133</v>
      </c>
      <c r="O83" s="14" t="s">
        <v>5429</v>
      </c>
      <c r="P83" s="14" t="s">
        <v>5430</v>
      </c>
      <c r="Q83" s="14" t="s">
        <v>5431</v>
      </c>
      <c r="R83" s="14" t="s">
        <v>5432</v>
      </c>
      <c r="S83" s="14" t="s">
        <v>5433</v>
      </c>
      <c r="T83" s="14" t="s">
        <v>5434</v>
      </c>
      <c r="U83" s="14" t="s">
        <v>5435</v>
      </c>
      <c r="V83" s="14" t="s">
        <v>5436</v>
      </c>
      <c r="W83" s="14" t="s">
        <v>5437</v>
      </c>
    </row>
    <row r="84" spans="1:23" ht="409.5">
      <c r="A84" s="14" t="s">
        <v>1218</v>
      </c>
      <c r="B84" s="14" t="s">
        <v>5438</v>
      </c>
      <c r="C84" s="15" t="s">
        <v>5439</v>
      </c>
      <c r="D84" s="14" t="s">
        <v>5440</v>
      </c>
      <c r="E84" s="14" t="s">
        <v>5441</v>
      </c>
      <c r="F84" s="14" t="s">
        <v>5442</v>
      </c>
      <c r="G84" s="14" t="s">
        <v>5443</v>
      </c>
      <c r="H84" s="14" t="s">
        <v>3153</v>
      </c>
      <c r="I84" s="14" t="s">
        <v>3154</v>
      </c>
      <c r="J84" s="14" t="s">
        <v>5444</v>
      </c>
      <c r="K84" s="14" t="s">
        <v>3156</v>
      </c>
      <c r="L84" s="14" t="s">
        <v>3157</v>
      </c>
      <c r="M84" s="14" t="s">
        <v>3158</v>
      </c>
      <c r="O84" s="14" t="s">
        <v>5445</v>
      </c>
      <c r="P84" s="14" t="s">
        <v>5446</v>
      </c>
      <c r="Q84" s="14" t="s">
        <v>5447</v>
      </c>
      <c r="R84" s="14" t="s">
        <v>5448</v>
      </c>
      <c r="S84" s="14" t="s">
        <v>5449</v>
      </c>
      <c r="T84" s="14" t="s">
        <v>5450</v>
      </c>
      <c r="U84" s="14" t="s">
        <v>5451</v>
      </c>
      <c r="V84" s="14" t="s">
        <v>5452</v>
      </c>
      <c r="W84" s="14" t="s">
        <v>5453</v>
      </c>
    </row>
    <row r="85" spans="1:23" ht="409.5">
      <c r="A85" s="14" t="s">
        <v>1218</v>
      </c>
      <c r="B85" s="14" t="s">
        <v>5454</v>
      </c>
      <c r="C85" s="15" t="s">
        <v>5455</v>
      </c>
      <c r="D85" s="14" t="s">
        <v>5456</v>
      </c>
      <c r="E85" s="14" t="s">
        <v>5457</v>
      </c>
      <c r="F85" s="14" t="s">
        <v>5458</v>
      </c>
      <c r="G85" s="14" t="s">
        <v>5459</v>
      </c>
      <c r="H85" s="14" t="s">
        <v>3178</v>
      </c>
      <c r="I85" s="14" t="s">
        <v>3179</v>
      </c>
      <c r="J85" s="14" t="s">
        <v>5460</v>
      </c>
      <c r="K85" s="14" t="s">
        <v>3181</v>
      </c>
      <c r="L85" s="14" t="s">
        <v>3182</v>
      </c>
      <c r="M85" s="14" t="s">
        <v>3183</v>
      </c>
      <c r="O85" s="14" t="s">
        <v>5461</v>
      </c>
      <c r="P85" s="14" t="s">
        <v>5462</v>
      </c>
      <c r="Q85" s="14" t="s">
        <v>5463</v>
      </c>
      <c r="R85" s="14" t="s">
        <v>5464</v>
      </c>
      <c r="S85" s="14" t="s">
        <v>5465</v>
      </c>
      <c r="T85" s="14" t="s">
        <v>5466</v>
      </c>
      <c r="U85" s="14" t="s">
        <v>5467</v>
      </c>
      <c r="V85" s="14" t="s">
        <v>5468</v>
      </c>
      <c r="W85" s="14" t="s">
        <v>5469</v>
      </c>
    </row>
    <row r="86" spans="1:23" ht="409.5">
      <c r="A86" s="14" t="s">
        <v>1218</v>
      </c>
      <c r="B86" s="14" t="s">
        <v>5470</v>
      </c>
      <c r="C86" s="15" t="s">
        <v>5471</v>
      </c>
      <c r="D86" s="14" t="s">
        <v>5472</v>
      </c>
      <c r="E86" s="14" t="s">
        <v>5473</v>
      </c>
      <c r="F86" s="14" t="s">
        <v>5474</v>
      </c>
      <c r="G86" s="14" t="s">
        <v>5475</v>
      </c>
      <c r="H86" s="14" t="s">
        <v>3203</v>
      </c>
      <c r="I86" s="14" t="s">
        <v>3204</v>
      </c>
      <c r="J86" s="14" t="s">
        <v>5476</v>
      </c>
      <c r="K86" s="14" t="s">
        <v>3206</v>
      </c>
      <c r="L86" s="14" t="s">
        <v>3207</v>
      </c>
      <c r="M86" s="14" t="s">
        <v>3208</v>
      </c>
      <c r="O86" s="14" t="s">
        <v>5477</v>
      </c>
      <c r="P86" s="14" t="s">
        <v>5478</v>
      </c>
      <c r="Q86" s="14" t="s">
        <v>5479</v>
      </c>
      <c r="R86" s="14" t="s">
        <v>5480</v>
      </c>
      <c r="S86" s="14" t="s">
        <v>5481</v>
      </c>
      <c r="T86" s="14" t="s">
        <v>5482</v>
      </c>
      <c r="U86" s="14" t="s">
        <v>5483</v>
      </c>
      <c r="V86" s="14" t="s">
        <v>5484</v>
      </c>
      <c r="W86" s="14" t="s">
        <v>5485</v>
      </c>
    </row>
    <row r="87" spans="1:23" ht="409.5">
      <c r="A87" s="14" t="s">
        <v>1218</v>
      </c>
      <c r="B87" s="14" t="s">
        <v>5486</v>
      </c>
      <c r="C87" s="15" t="s">
        <v>5487</v>
      </c>
      <c r="D87" s="14" t="s">
        <v>5488</v>
      </c>
      <c r="E87" s="14" t="s">
        <v>5489</v>
      </c>
      <c r="F87" s="14" t="s">
        <v>5490</v>
      </c>
      <c r="G87" s="14" t="s">
        <v>5491</v>
      </c>
      <c r="H87" s="14" t="s">
        <v>3228</v>
      </c>
      <c r="I87" s="14" t="s">
        <v>3229</v>
      </c>
      <c r="J87" s="14" t="s">
        <v>5492</v>
      </c>
      <c r="K87" s="14" t="s">
        <v>3231</v>
      </c>
      <c r="L87" s="14" t="s">
        <v>3232</v>
      </c>
      <c r="M87" s="14" t="s">
        <v>3233</v>
      </c>
      <c r="O87" s="14" t="s">
        <v>5493</v>
      </c>
      <c r="P87" s="14" t="s">
        <v>5494</v>
      </c>
      <c r="Q87" s="14" t="s">
        <v>5495</v>
      </c>
      <c r="R87" s="14" t="s">
        <v>5496</v>
      </c>
      <c r="S87" s="14" t="s">
        <v>5497</v>
      </c>
      <c r="T87" s="14" t="s">
        <v>5498</v>
      </c>
      <c r="U87" s="14" t="s">
        <v>5499</v>
      </c>
      <c r="V87" s="14" t="s">
        <v>5500</v>
      </c>
      <c r="W87" s="14" t="s">
        <v>5501</v>
      </c>
    </row>
    <row r="88" spans="1:23" ht="409.5">
      <c r="A88" s="14" t="s">
        <v>1218</v>
      </c>
      <c r="B88" s="14" t="s">
        <v>5502</v>
      </c>
      <c r="C88" s="15" t="s">
        <v>5503</v>
      </c>
      <c r="D88" s="14" t="s">
        <v>5504</v>
      </c>
      <c r="E88" s="14" t="s">
        <v>5505</v>
      </c>
      <c r="F88" s="14" t="s">
        <v>5506</v>
      </c>
      <c r="G88" s="14" t="s">
        <v>5507</v>
      </c>
      <c r="H88" s="14" t="s">
        <v>3253</v>
      </c>
      <c r="I88" s="14" t="s">
        <v>3254</v>
      </c>
      <c r="J88" s="14" t="s">
        <v>5508</v>
      </c>
      <c r="K88" s="14" t="s">
        <v>3256</v>
      </c>
      <c r="L88" s="14" t="s">
        <v>3257</v>
      </c>
      <c r="M88" s="14" t="s">
        <v>3258</v>
      </c>
      <c r="O88" s="14" t="s">
        <v>5509</v>
      </c>
      <c r="P88" s="14" t="s">
        <v>5510</v>
      </c>
      <c r="Q88" s="14" t="s">
        <v>5511</v>
      </c>
      <c r="R88" s="14" t="s">
        <v>5512</v>
      </c>
      <c r="S88" s="14" t="s">
        <v>5513</v>
      </c>
      <c r="T88" s="14" t="s">
        <v>5514</v>
      </c>
      <c r="U88" s="14" t="s">
        <v>5515</v>
      </c>
      <c r="V88" s="14" t="s">
        <v>5516</v>
      </c>
      <c r="W88" s="14" t="s">
        <v>5517</v>
      </c>
    </row>
    <row r="89" spans="1:23" ht="409.5">
      <c r="A89" s="14" t="s">
        <v>1218</v>
      </c>
      <c r="B89" s="14" t="s">
        <v>5518</v>
      </c>
      <c r="C89" s="15" t="s">
        <v>5519</v>
      </c>
      <c r="D89" s="14" t="s">
        <v>5520</v>
      </c>
      <c r="E89" s="14" t="s">
        <v>5521</v>
      </c>
      <c r="F89" s="14" t="s">
        <v>5522</v>
      </c>
      <c r="G89" s="14" t="s">
        <v>5523</v>
      </c>
      <c r="H89" s="14" t="s">
        <v>3278</v>
      </c>
      <c r="I89" s="14" t="s">
        <v>3279</v>
      </c>
      <c r="J89" s="14" t="s">
        <v>5524</v>
      </c>
      <c r="K89" s="14" t="s">
        <v>3281</v>
      </c>
      <c r="L89" s="14" t="s">
        <v>3282</v>
      </c>
      <c r="M89" s="14" t="s">
        <v>3283</v>
      </c>
      <c r="O89" s="14" t="s">
        <v>5525</v>
      </c>
      <c r="P89" s="14" t="s">
        <v>5526</v>
      </c>
      <c r="Q89" s="14" t="s">
        <v>5527</v>
      </c>
      <c r="R89" s="14" t="s">
        <v>5528</v>
      </c>
      <c r="S89" s="14" t="s">
        <v>5529</v>
      </c>
      <c r="T89" s="14" t="s">
        <v>5530</v>
      </c>
      <c r="U89" s="14" t="s">
        <v>5531</v>
      </c>
      <c r="V89" s="14" t="s">
        <v>5532</v>
      </c>
      <c r="W89" s="14" t="s">
        <v>5533</v>
      </c>
    </row>
    <row r="90" spans="1:23" ht="409.5">
      <c r="A90" s="14" t="s">
        <v>1218</v>
      </c>
      <c r="B90" s="14" t="s">
        <v>5534</v>
      </c>
      <c r="C90" s="15" t="s">
        <v>5535</v>
      </c>
      <c r="D90" s="14" t="s">
        <v>5536</v>
      </c>
      <c r="E90" s="14" t="s">
        <v>5537</v>
      </c>
      <c r="F90" s="14" t="s">
        <v>5538</v>
      </c>
      <c r="G90" s="14" t="s">
        <v>5539</v>
      </c>
      <c r="H90" s="14" t="s">
        <v>3303</v>
      </c>
      <c r="I90" s="14" t="s">
        <v>3304</v>
      </c>
      <c r="J90" s="14" t="s">
        <v>5540</v>
      </c>
      <c r="K90" s="14" t="s">
        <v>3306</v>
      </c>
      <c r="L90" s="14" t="s">
        <v>3307</v>
      </c>
      <c r="M90" s="14" t="s">
        <v>3308</v>
      </c>
      <c r="O90" s="14" t="s">
        <v>5541</v>
      </c>
      <c r="P90" s="14" t="s">
        <v>5542</v>
      </c>
      <c r="Q90" s="14" t="s">
        <v>5543</v>
      </c>
      <c r="R90" s="14" t="s">
        <v>5544</v>
      </c>
      <c r="S90" s="14" t="s">
        <v>5545</v>
      </c>
      <c r="T90" s="14" t="s">
        <v>5546</v>
      </c>
      <c r="U90" s="14" t="s">
        <v>5547</v>
      </c>
      <c r="V90" s="14" t="s">
        <v>5548</v>
      </c>
      <c r="W90" s="14" t="s">
        <v>5549</v>
      </c>
    </row>
    <row r="91" spans="1:23" ht="409.5">
      <c r="A91" s="14" t="s">
        <v>1218</v>
      </c>
      <c r="B91" s="14" t="s">
        <v>5550</v>
      </c>
      <c r="C91" s="15" t="s">
        <v>5551</v>
      </c>
      <c r="D91" s="14" t="s">
        <v>5552</v>
      </c>
      <c r="E91" s="14" t="s">
        <v>5553</v>
      </c>
      <c r="F91" s="14" t="s">
        <v>5554</v>
      </c>
      <c r="G91" s="14" t="s">
        <v>5555</v>
      </c>
      <c r="H91" s="14" t="s">
        <v>3328</v>
      </c>
      <c r="I91" s="14" t="s">
        <v>3329</v>
      </c>
      <c r="J91" s="14" t="s">
        <v>5556</v>
      </c>
      <c r="K91" s="14" t="s">
        <v>3331</v>
      </c>
      <c r="L91" s="14" t="s">
        <v>3332</v>
      </c>
      <c r="M91" s="14" t="s">
        <v>3333</v>
      </c>
      <c r="O91" s="14" t="s">
        <v>5557</v>
      </c>
      <c r="P91" s="14" t="s">
        <v>5558</v>
      </c>
      <c r="Q91" s="14" t="s">
        <v>5559</v>
      </c>
      <c r="R91" s="14" t="s">
        <v>5560</v>
      </c>
      <c r="S91" s="14" t="s">
        <v>5561</v>
      </c>
      <c r="T91" s="14" t="s">
        <v>5562</v>
      </c>
      <c r="U91" s="14" t="s">
        <v>5563</v>
      </c>
      <c r="V91" s="14" t="s">
        <v>5564</v>
      </c>
      <c r="W91" s="14" t="s">
        <v>5565</v>
      </c>
    </row>
    <row r="92" spans="1:23" ht="409.5">
      <c r="A92" s="14" t="s">
        <v>1218</v>
      </c>
      <c r="B92" s="14" t="s">
        <v>5566</v>
      </c>
      <c r="C92" s="15" t="s">
        <v>5567</v>
      </c>
      <c r="D92" s="14" t="s">
        <v>5568</v>
      </c>
      <c r="E92" s="14" t="s">
        <v>5569</v>
      </c>
      <c r="F92" s="14" t="s">
        <v>5570</v>
      </c>
      <c r="G92" s="14" t="s">
        <v>5571</v>
      </c>
      <c r="H92" s="14" t="s">
        <v>3353</v>
      </c>
      <c r="I92" s="14" t="s">
        <v>3354</v>
      </c>
      <c r="J92" s="14" t="s">
        <v>5572</v>
      </c>
      <c r="K92" s="14" t="s">
        <v>3356</v>
      </c>
      <c r="L92" s="14" t="s">
        <v>3357</v>
      </c>
      <c r="M92" s="14" t="s">
        <v>3358</v>
      </c>
      <c r="O92" s="14" t="s">
        <v>5573</v>
      </c>
      <c r="P92" s="14" t="s">
        <v>5574</v>
      </c>
      <c r="Q92" s="14" t="s">
        <v>5575</v>
      </c>
      <c r="R92" s="14" t="s">
        <v>5576</v>
      </c>
      <c r="S92" s="14" t="s">
        <v>5577</v>
      </c>
      <c r="T92" s="14" t="s">
        <v>5578</v>
      </c>
      <c r="U92" s="14" t="s">
        <v>5579</v>
      </c>
      <c r="V92" s="14" t="s">
        <v>5580</v>
      </c>
      <c r="W92" s="14" t="s">
        <v>5581</v>
      </c>
    </row>
    <row r="93" spans="1:23" ht="409.5">
      <c r="A93" s="14" t="s">
        <v>1218</v>
      </c>
      <c r="B93" s="14" t="s">
        <v>5582</v>
      </c>
      <c r="C93" s="15" t="s">
        <v>5583</v>
      </c>
      <c r="D93" s="14" t="s">
        <v>5584</v>
      </c>
      <c r="E93" s="14" t="s">
        <v>5585</v>
      </c>
      <c r="F93" s="14" t="s">
        <v>5586</v>
      </c>
      <c r="G93" s="14" t="s">
        <v>5587</v>
      </c>
      <c r="H93" s="14" t="s">
        <v>3378</v>
      </c>
      <c r="I93" s="14" t="s">
        <v>3379</v>
      </c>
      <c r="J93" s="14" t="s">
        <v>5588</v>
      </c>
      <c r="K93" s="14" t="s">
        <v>3381</v>
      </c>
      <c r="L93" s="14" t="s">
        <v>3382</v>
      </c>
      <c r="M93" s="14" t="s">
        <v>3383</v>
      </c>
      <c r="O93" s="14" t="s">
        <v>5589</v>
      </c>
      <c r="P93" s="14" t="s">
        <v>5590</v>
      </c>
      <c r="Q93" s="14" t="s">
        <v>5591</v>
      </c>
      <c r="R93" s="14" t="s">
        <v>5592</v>
      </c>
      <c r="S93" s="14" t="s">
        <v>5593</v>
      </c>
      <c r="T93" s="14" t="s">
        <v>5594</v>
      </c>
      <c r="U93" s="14" t="s">
        <v>5595</v>
      </c>
      <c r="V93" s="14" t="s">
        <v>5596</v>
      </c>
      <c r="W93" s="14" t="s">
        <v>5597</v>
      </c>
    </row>
    <row r="94" spans="1:23" ht="409.5">
      <c r="A94" s="14" t="s">
        <v>1218</v>
      </c>
      <c r="B94" s="14" t="s">
        <v>5598</v>
      </c>
      <c r="C94" s="15" t="s">
        <v>5599</v>
      </c>
      <c r="D94" s="14" t="s">
        <v>5600</v>
      </c>
      <c r="E94" s="14" t="s">
        <v>5601</v>
      </c>
      <c r="F94" s="14" t="s">
        <v>5602</v>
      </c>
      <c r="G94" s="14" t="s">
        <v>5603</v>
      </c>
      <c r="H94" s="14" t="s">
        <v>3403</v>
      </c>
      <c r="I94" s="14" t="s">
        <v>3404</v>
      </c>
      <c r="J94" s="14" t="s">
        <v>5604</v>
      </c>
      <c r="K94" s="14" t="s">
        <v>3406</v>
      </c>
      <c r="L94" s="14" t="s">
        <v>3407</v>
      </c>
      <c r="M94" s="14" t="s">
        <v>3408</v>
      </c>
      <c r="O94" s="14" t="s">
        <v>5605</v>
      </c>
      <c r="P94" s="14" t="s">
        <v>5606</v>
      </c>
      <c r="Q94" s="14" t="s">
        <v>5607</v>
      </c>
      <c r="R94" s="14" t="s">
        <v>5608</v>
      </c>
      <c r="S94" s="14" t="s">
        <v>5609</v>
      </c>
      <c r="T94" s="14" t="s">
        <v>5610</v>
      </c>
      <c r="U94" s="14" t="s">
        <v>5611</v>
      </c>
      <c r="V94" s="14" t="s">
        <v>5612</v>
      </c>
      <c r="W94" s="14" t="s">
        <v>5613</v>
      </c>
    </row>
    <row r="95" spans="1:23" ht="409.5">
      <c r="A95" s="14" t="s">
        <v>1218</v>
      </c>
      <c r="B95" s="14" t="s">
        <v>5614</v>
      </c>
      <c r="C95" s="15" t="s">
        <v>5615</v>
      </c>
      <c r="D95" s="14" t="s">
        <v>5616</v>
      </c>
      <c r="E95" s="14" t="s">
        <v>5617</v>
      </c>
      <c r="F95" s="14" t="s">
        <v>5618</v>
      </c>
      <c r="G95" s="14" t="s">
        <v>5619</v>
      </c>
      <c r="H95" s="14" t="s">
        <v>3428</v>
      </c>
      <c r="I95" s="14" t="s">
        <v>3429</v>
      </c>
      <c r="J95" s="14" t="s">
        <v>5620</v>
      </c>
      <c r="K95" s="14" t="s">
        <v>3431</v>
      </c>
      <c r="L95" s="14" t="s">
        <v>3432</v>
      </c>
      <c r="M95" s="14" t="s">
        <v>3433</v>
      </c>
      <c r="O95" s="14" t="s">
        <v>5621</v>
      </c>
      <c r="P95" s="14" t="s">
        <v>5622</v>
      </c>
      <c r="Q95" s="14" t="s">
        <v>5623</v>
      </c>
      <c r="R95" s="14" t="s">
        <v>5624</v>
      </c>
      <c r="S95" s="14" t="s">
        <v>5625</v>
      </c>
      <c r="T95" s="14" t="s">
        <v>5626</v>
      </c>
      <c r="U95" s="14" t="s">
        <v>5627</v>
      </c>
      <c r="V95" s="14" t="s">
        <v>5628</v>
      </c>
      <c r="W95" s="14" t="s">
        <v>5629</v>
      </c>
    </row>
    <row r="96" spans="1:23" ht="409.5">
      <c r="A96" s="14" t="s">
        <v>1218</v>
      </c>
      <c r="B96" s="14" t="s">
        <v>5630</v>
      </c>
      <c r="C96" s="15" t="s">
        <v>5631</v>
      </c>
      <c r="D96" s="14" t="s">
        <v>5632</v>
      </c>
      <c r="E96" s="14" t="s">
        <v>5633</v>
      </c>
      <c r="F96" s="14" t="s">
        <v>5634</v>
      </c>
      <c r="G96" s="14" t="s">
        <v>5635</v>
      </c>
      <c r="H96" s="14" t="s">
        <v>3453</v>
      </c>
      <c r="I96" s="14" t="s">
        <v>3454</v>
      </c>
      <c r="J96" s="14" t="s">
        <v>5636</v>
      </c>
      <c r="K96" s="14" t="s">
        <v>3456</v>
      </c>
      <c r="L96" s="14" t="s">
        <v>3457</v>
      </c>
      <c r="M96" s="14" t="s">
        <v>3458</v>
      </c>
      <c r="O96" s="14" t="s">
        <v>5637</v>
      </c>
      <c r="P96" s="14" t="s">
        <v>5638</v>
      </c>
      <c r="Q96" s="14" t="s">
        <v>5639</v>
      </c>
      <c r="R96" s="14" t="s">
        <v>5640</v>
      </c>
      <c r="S96" s="14" t="s">
        <v>5641</v>
      </c>
      <c r="T96" s="14" t="s">
        <v>5642</v>
      </c>
      <c r="U96" s="14" t="s">
        <v>5643</v>
      </c>
      <c r="V96" s="14" t="s">
        <v>5644</v>
      </c>
      <c r="W96" s="14" t="s">
        <v>5645</v>
      </c>
    </row>
    <row r="97" spans="1:23" ht="409.5">
      <c r="A97" s="14" t="s">
        <v>1218</v>
      </c>
      <c r="B97" s="14" t="s">
        <v>5646</v>
      </c>
      <c r="C97" s="15" t="s">
        <v>5647</v>
      </c>
      <c r="D97" s="14" t="s">
        <v>5648</v>
      </c>
      <c r="E97" s="14" t="s">
        <v>5649</v>
      </c>
      <c r="F97" s="14" t="s">
        <v>5650</v>
      </c>
      <c r="G97" s="14" t="s">
        <v>5651</v>
      </c>
      <c r="H97" s="14" t="s">
        <v>3478</v>
      </c>
      <c r="I97" s="14" t="s">
        <v>3479</v>
      </c>
      <c r="J97" s="14" t="s">
        <v>5652</v>
      </c>
      <c r="K97" s="14" t="s">
        <v>3481</v>
      </c>
      <c r="L97" s="14" t="s">
        <v>3482</v>
      </c>
      <c r="M97" s="14" t="s">
        <v>3483</v>
      </c>
      <c r="O97" s="14" t="s">
        <v>5653</v>
      </c>
      <c r="P97" s="14" t="s">
        <v>5654</v>
      </c>
      <c r="Q97" s="14" t="s">
        <v>5655</v>
      </c>
      <c r="R97" s="14" t="s">
        <v>5656</v>
      </c>
      <c r="S97" s="14" t="s">
        <v>5657</v>
      </c>
      <c r="T97" s="14" t="s">
        <v>5658</v>
      </c>
      <c r="U97" s="14" t="s">
        <v>5659</v>
      </c>
      <c r="V97" s="14" t="s">
        <v>5660</v>
      </c>
      <c r="W97" s="14" t="s">
        <v>5661</v>
      </c>
    </row>
    <row r="98" spans="1:23" ht="409.5">
      <c r="A98" s="14" t="s">
        <v>1218</v>
      </c>
      <c r="B98" s="14" t="s">
        <v>5662</v>
      </c>
      <c r="C98" s="15" t="s">
        <v>5663</v>
      </c>
      <c r="D98" s="14" t="s">
        <v>5664</v>
      </c>
      <c r="E98" s="14" t="s">
        <v>5665</v>
      </c>
      <c r="F98" s="14" t="s">
        <v>5666</v>
      </c>
      <c r="G98" s="14" t="s">
        <v>5667</v>
      </c>
      <c r="H98" s="14" t="s">
        <v>3503</v>
      </c>
      <c r="I98" s="14" t="s">
        <v>3504</v>
      </c>
      <c r="J98" s="14" t="s">
        <v>5668</v>
      </c>
      <c r="K98" s="14" t="s">
        <v>3506</v>
      </c>
      <c r="L98" s="14" t="s">
        <v>3507</v>
      </c>
      <c r="M98" s="14" t="s">
        <v>3508</v>
      </c>
      <c r="O98" s="14" t="s">
        <v>5669</v>
      </c>
      <c r="P98" s="14" t="s">
        <v>5670</v>
      </c>
      <c r="Q98" s="14" t="s">
        <v>5671</v>
      </c>
      <c r="R98" s="14" t="s">
        <v>5672</v>
      </c>
      <c r="S98" s="14" t="s">
        <v>5673</v>
      </c>
      <c r="T98" s="14" t="s">
        <v>5674</v>
      </c>
      <c r="U98" s="14" t="s">
        <v>5675</v>
      </c>
      <c r="V98" s="14" t="s">
        <v>5676</v>
      </c>
      <c r="W98" s="14" t="s">
        <v>5677</v>
      </c>
    </row>
    <row r="99" spans="1:23" ht="409.5">
      <c r="A99" s="14" t="s">
        <v>1218</v>
      </c>
      <c r="B99" s="14" t="s">
        <v>5678</v>
      </c>
      <c r="C99" s="15" t="s">
        <v>5679</v>
      </c>
      <c r="D99" s="14" t="s">
        <v>5680</v>
      </c>
      <c r="E99" s="14" t="s">
        <v>5681</v>
      </c>
      <c r="F99" s="14" t="s">
        <v>5682</v>
      </c>
      <c r="G99" s="14" t="s">
        <v>5683</v>
      </c>
      <c r="H99" s="14" t="s">
        <v>3528</v>
      </c>
      <c r="I99" s="14" t="s">
        <v>3529</v>
      </c>
      <c r="J99" s="14" t="s">
        <v>5684</v>
      </c>
      <c r="K99" s="14" t="s">
        <v>3531</v>
      </c>
      <c r="L99" s="14" t="s">
        <v>3532</v>
      </c>
      <c r="M99" s="14" t="s">
        <v>3533</v>
      </c>
      <c r="O99" s="14" t="s">
        <v>5685</v>
      </c>
      <c r="P99" s="14" t="s">
        <v>5686</v>
      </c>
      <c r="Q99" s="14" t="s">
        <v>5687</v>
      </c>
      <c r="R99" s="14" t="s">
        <v>5688</v>
      </c>
      <c r="S99" s="14" t="s">
        <v>5689</v>
      </c>
      <c r="T99" s="14" t="s">
        <v>5690</v>
      </c>
      <c r="U99" s="14" t="s">
        <v>5691</v>
      </c>
      <c r="V99" s="14" t="s">
        <v>5692</v>
      </c>
      <c r="W99" s="14" t="s">
        <v>5693</v>
      </c>
    </row>
    <row r="100" spans="1:23" ht="409.5">
      <c r="A100" s="14" t="s">
        <v>1218</v>
      </c>
      <c r="B100" s="14" t="s">
        <v>5694</v>
      </c>
      <c r="C100" s="15" t="s">
        <v>5695</v>
      </c>
      <c r="D100" s="14" t="s">
        <v>5696</v>
      </c>
      <c r="E100" s="14" t="s">
        <v>5697</v>
      </c>
      <c r="F100" s="14" t="s">
        <v>5698</v>
      </c>
      <c r="G100" s="14" t="s">
        <v>5699</v>
      </c>
      <c r="H100" s="14" t="s">
        <v>3553</v>
      </c>
      <c r="I100" s="14" t="s">
        <v>3554</v>
      </c>
      <c r="J100" s="14" t="s">
        <v>5700</v>
      </c>
      <c r="K100" s="14" t="s">
        <v>3556</v>
      </c>
      <c r="L100" s="14" t="s">
        <v>3557</v>
      </c>
      <c r="M100" s="14" t="s">
        <v>3558</v>
      </c>
      <c r="O100" s="14" t="s">
        <v>5701</v>
      </c>
      <c r="P100" s="14" t="s">
        <v>5702</v>
      </c>
      <c r="Q100" s="14" t="s">
        <v>5703</v>
      </c>
      <c r="R100" s="14" t="s">
        <v>5704</v>
      </c>
      <c r="S100" s="14" t="s">
        <v>5705</v>
      </c>
      <c r="T100" s="14" t="s">
        <v>5706</v>
      </c>
      <c r="U100" s="14" t="s">
        <v>5707</v>
      </c>
      <c r="V100" s="14" t="s">
        <v>5708</v>
      </c>
      <c r="W100" s="14" t="s">
        <v>5709</v>
      </c>
    </row>
    <row r="101" spans="1:23" ht="409.5">
      <c r="A101" s="14" t="s">
        <v>1218</v>
      </c>
      <c r="B101" s="14" t="s">
        <v>5710</v>
      </c>
      <c r="C101" s="15" t="s">
        <v>5711</v>
      </c>
      <c r="D101" s="14" t="s">
        <v>5712</v>
      </c>
      <c r="E101" s="14" t="s">
        <v>5713</v>
      </c>
      <c r="F101" s="14" t="s">
        <v>5714</v>
      </c>
      <c r="G101" s="14" t="s">
        <v>5715</v>
      </c>
      <c r="H101" s="14" t="s">
        <v>3578</v>
      </c>
      <c r="I101" s="14" t="s">
        <v>3579</v>
      </c>
      <c r="J101" s="14" t="s">
        <v>5716</v>
      </c>
      <c r="K101" s="14" t="s">
        <v>3581</v>
      </c>
      <c r="L101" s="14" t="s">
        <v>3582</v>
      </c>
      <c r="M101" s="14" t="s">
        <v>3583</v>
      </c>
      <c r="O101" s="14" t="s">
        <v>5717</v>
      </c>
      <c r="P101" s="14" t="s">
        <v>5718</v>
      </c>
      <c r="Q101" s="14" t="s">
        <v>5719</v>
      </c>
      <c r="R101" s="14" t="s">
        <v>5720</v>
      </c>
      <c r="S101" s="14" t="s">
        <v>5721</v>
      </c>
      <c r="T101" s="14" t="s">
        <v>5722</v>
      </c>
      <c r="U101" s="14" t="s">
        <v>5723</v>
      </c>
      <c r="V101" s="14" t="s">
        <v>5724</v>
      </c>
      <c r="W101" s="14" t="s">
        <v>5725</v>
      </c>
    </row>
    <row r="102" spans="1:23" ht="409.5">
      <c r="A102" s="14" t="s">
        <v>1218</v>
      </c>
      <c r="B102" s="14" t="s">
        <v>5726</v>
      </c>
      <c r="C102" s="15" t="s">
        <v>5727</v>
      </c>
      <c r="D102" s="14" t="s">
        <v>5728</v>
      </c>
      <c r="E102" s="14" t="s">
        <v>5729</v>
      </c>
      <c r="F102" s="14" t="s">
        <v>5730</v>
      </c>
      <c r="G102" s="14" t="s">
        <v>5731</v>
      </c>
      <c r="H102" s="14" t="s">
        <v>3603</v>
      </c>
      <c r="I102" s="14" t="s">
        <v>3604</v>
      </c>
      <c r="J102" s="14" t="s">
        <v>5732</v>
      </c>
      <c r="K102" s="14" t="s">
        <v>3606</v>
      </c>
      <c r="L102" s="14" t="s">
        <v>3607</v>
      </c>
      <c r="M102" s="14" t="s">
        <v>3608</v>
      </c>
      <c r="O102" s="14" t="s">
        <v>5733</v>
      </c>
      <c r="P102" s="14" t="s">
        <v>5734</v>
      </c>
      <c r="Q102" s="14" t="s">
        <v>5735</v>
      </c>
      <c r="R102" s="14" t="s">
        <v>5736</v>
      </c>
      <c r="S102" s="14" t="s">
        <v>5737</v>
      </c>
      <c r="T102" s="14" t="s">
        <v>5738</v>
      </c>
      <c r="U102" s="14" t="s">
        <v>5739</v>
      </c>
      <c r="V102" s="14" t="s">
        <v>5740</v>
      </c>
      <c r="W102" s="14" t="s">
        <v>5741</v>
      </c>
    </row>
    <row r="103" spans="1:23" ht="409.5">
      <c r="A103" s="14" t="s">
        <v>1218</v>
      </c>
      <c r="B103" s="14" t="s">
        <v>5742</v>
      </c>
      <c r="C103" s="15" t="s">
        <v>5743</v>
      </c>
      <c r="D103" s="14" t="s">
        <v>5744</v>
      </c>
      <c r="E103" s="14" t="s">
        <v>5745</v>
      </c>
      <c r="F103" s="14" t="s">
        <v>5746</v>
      </c>
      <c r="G103" s="14" t="s">
        <v>5747</v>
      </c>
      <c r="H103" s="14" t="s">
        <v>3628</v>
      </c>
      <c r="I103" s="14" t="s">
        <v>3629</v>
      </c>
      <c r="J103" s="14" t="s">
        <v>5748</v>
      </c>
      <c r="K103" s="14" t="s">
        <v>3631</v>
      </c>
      <c r="L103" s="14" t="s">
        <v>3632</v>
      </c>
      <c r="M103" s="14" t="s">
        <v>3633</v>
      </c>
      <c r="O103" s="14" t="s">
        <v>5749</v>
      </c>
      <c r="P103" s="14" t="s">
        <v>5750</v>
      </c>
      <c r="Q103" s="14" t="s">
        <v>5751</v>
      </c>
      <c r="R103" s="14" t="s">
        <v>5752</v>
      </c>
      <c r="S103" s="14" t="s">
        <v>5753</v>
      </c>
      <c r="T103" s="14" t="s">
        <v>5754</v>
      </c>
      <c r="U103" s="14" t="s">
        <v>5755</v>
      </c>
      <c r="V103" s="14" t="s">
        <v>5756</v>
      </c>
      <c r="W103" s="14" t="s">
        <v>5757</v>
      </c>
    </row>
    <row r="104" spans="1:23" ht="409.5">
      <c r="A104" s="14" t="s">
        <v>1218</v>
      </c>
      <c r="B104" s="14" t="s">
        <v>5758</v>
      </c>
      <c r="C104" s="15" t="s">
        <v>5759</v>
      </c>
      <c r="D104" s="14" t="s">
        <v>5760</v>
      </c>
      <c r="E104" s="14" t="s">
        <v>5761</v>
      </c>
      <c r="F104" s="14" t="s">
        <v>5762</v>
      </c>
      <c r="G104" s="14" t="s">
        <v>5763</v>
      </c>
      <c r="H104" s="14" t="s">
        <v>3653</v>
      </c>
      <c r="I104" s="14" t="s">
        <v>3654</v>
      </c>
      <c r="J104" s="14" t="s">
        <v>5764</v>
      </c>
      <c r="K104" s="14" t="s">
        <v>3656</v>
      </c>
      <c r="L104" s="14" t="s">
        <v>3657</v>
      </c>
      <c r="M104" s="14" t="s">
        <v>3658</v>
      </c>
      <c r="O104" s="14" t="s">
        <v>5765</v>
      </c>
      <c r="P104" s="14" t="s">
        <v>5766</v>
      </c>
      <c r="Q104" s="14" t="s">
        <v>5767</v>
      </c>
      <c r="R104" s="14" t="s">
        <v>5768</v>
      </c>
      <c r="S104" s="14" t="s">
        <v>5769</v>
      </c>
      <c r="T104" s="14" t="s">
        <v>5770</v>
      </c>
      <c r="U104" s="14" t="s">
        <v>5771</v>
      </c>
      <c r="V104" s="14" t="s">
        <v>5772</v>
      </c>
      <c r="W104" s="14" t="s">
        <v>5773</v>
      </c>
    </row>
    <row r="105" spans="1:23" ht="409.5">
      <c r="A105" s="14" t="s">
        <v>1218</v>
      </c>
      <c r="B105" s="14" t="s">
        <v>5774</v>
      </c>
      <c r="C105" s="15" t="s">
        <v>5775</v>
      </c>
      <c r="D105" s="14" t="s">
        <v>5776</v>
      </c>
      <c r="E105" s="14" t="s">
        <v>5777</v>
      </c>
      <c r="F105" s="14" t="s">
        <v>5778</v>
      </c>
      <c r="G105" s="14" t="s">
        <v>5779</v>
      </c>
      <c r="H105" s="14" t="s">
        <v>3678</v>
      </c>
      <c r="I105" s="14" t="s">
        <v>3679</v>
      </c>
      <c r="J105" s="14" t="s">
        <v>5780</v>
      </c>
      <c r="K105" s="14" t="s">
        <v>3681</v>
      </c>
      <c r="L105" s="14" t="s">
        <v>3682</v>
      </c>
      <c r="M105" s="14" t="s">
        <v>3683</v>
      </c>
      <c r="O105" s="14" t="s">
        <v>5781</v>
      </c>
      <c r="P105" s="14" t="s">
        <v>5782</v>
      </c>
      <c r="Q105" s="14" t="s">
        <v>5783</v>
      </c>
      <c r="R105" s="14" t="s">
        <v>5784</v>
      </c>
      <c r="S105" s="14" t="s">
        <v>5785</v>
      </c>
      <c r="T105" s="14" t="s">
        <v>5786</v>
      </c>
      <c r="U105" s="14" t="s">
        <v>5787</v>
      </c>
      <c r="V105" s="14" t="s">
        <v>5788</v>
      </c>
      <c r="W105" s="14" t="s">
        <v>5789</v>
      </c>
    </row>
    <row r="106" spans="1:23" ht="409.5">
      <c r="A106" s="14" t="s">
        <v>1218</v>
      </c>
      <c r="B106" s="14" t="s">
        <v>5790</v>
      </c>
      <c r="C106" s="15" t="s">
        <v>5791</v>
      </c>
      <c r="D106" s="14" t="s">
        <v>5792</v>
      </c>
      <c r="E106" s="14" t="s">
        <v>5793</v>
      </c>
      <c r="F106" s="14" t="s">
        <v>5794</v>
      </c>
      <c r="G106" s="14" t="s">
        <v>5795</v>
      </c>
      <c r="H106" s="14" t="s">
        <v>3703</v>
      </c>
      <c r="I106" s="14" t="s">
        <v>3704</v>
      </c>
      <c r="J106" s="14" t="s">
        <v>5796</v>
      </c>
      <c r="K106" s="14" t="s">
        <v>3706</v>
      </c>
      <c r="L106" s="14" t="s">
        <v>3707</v>
      </c>
      <c r="M106" s="14" t="s">
        <v>3708</v>
      </c>
      <c r="O106" s="14" t="s">
        <v>5797</v>
      </c>
      <c r="P106" s="14" t="s">
        <v>5798</v>
      </c>
      <c r="Q106" s="14" t="s">
        <v>5799</v>
      </c>
      <c r="R106" s="14" t="s">
        <v>5800</v>
      </c>
      <c r="S106" s="14" t="s">
        <v>5801</v>
      </c>
      <c r="T106" s="14" t="s">
        <v>5802</v>
      </c>
      <c r="U106" s="14" t="s">
        <v>5803</v>
      </c>
      <c r="V106" s="14" t="s">
        <v>5804</v>
      </c>
      <c r="W106" s="14" t="s">
        <v>5805</v>
      </c>
    </row>
    <row r="107" spans="1:23" ht="409.5">
      <c r="A107" s="14" t="s">
        <v>1218</v>
      </c>
      <c r="B107" s="14" t="s">
        <v>5806</v>
      </c>
      <c r="C107" s="15" t="s">
        <v>5807</v>
      </c>
      <c r="D107" s="14" t="s">
        <v>5808</v>
      </c>
      <c r="E107" s="14" t="s">
        <v>5809</v>
      </c>
      <c r="F107" s="14" t="s">
        <v>5810</v>
      </c>
      <c r="G107" s="14" t="s">
        <v>5811</v>
      </c>
      <c r="H107" s="14" t="s">
        <v>3728</v>
      </c>
      <c r="I107" s="14" t="s">
        <v>3729</v>
      </c>
      <c r="J107" s="14" t="s">
        <v>5812</v>
      </c>
      <c r="K107" s="14" t="s">
        <v>3731</v>
      </c>
      <c r="L107" s="14" t="s">
        <v>3732</v>
      </c>
      <c r="M107" s="14" t="s">
        <v>3733</v>
      </c>
      <c r="O107" s="14" t="s">
        <v>5813</v>
      </c>
      <c r="P107" s="14" t="s">
        <v>5814</v>
      </c>
      <c r="Q107" s="14" t="s">
        <v>5815</v>
      </c>
      <c r="R107" s="14" t="s">
        <v>5816</v>
      </c>
      <c r="S107" s="14" t="s">
        <v>5817</v>
      </c>
      <c r="T107" s="14" t="s">
        <v>5818</v>
      </c>
      <c r="U107" s="14" t="s">
        <v>5819</v>
      </c>
      <c r="V107" s="14" t="s">
        <v>5820</v>
      </c>
      <c r="W107" s="14" t="s">
        <v>5821</v>
      </c>
    </row>
    <row r="108" spans="1:23" ht="409.5">
      <c r="A108" s="14" t="s">
        <v>1218</v>
      </c>
      <c r="B108" s="14" t="s">
        <v>5822</v>
      </c>
      <c r="C108" s="15" t="s">
        <v>5823</v>
      </c>
      <c r="D108" s="14" t="s">
        <v>5824</v>
      </c>
      <c r="E108" s="14" t="s">
        <v>5825</v>
      </c>
      <c r="F108" s="14" t="s">
        <v>5826</v>
      </c>
      <c r="G108" s="14" t="s">
        <v>5827</v>
      </c>
      <c r="H108" s="14" t="s">
        <v>3753</v>
      </c>
      <c r="I108" s="14" t="s">
        <v>3754</v>
      </c>
      <c r="J108" s="14" t="s">
        <v>5828</v>
      </c>
      <c r="K108" s="14" t="s">
        <v>3756</v>
      </c>
      <c r="L108" s="14" t="s">
        <v>3757</v>
      </c>
      <c r="M108" s="14" t="s">
        <v>3758</v>
      </c>
      <c r="O108" s="14" t="s">
        <v>5829</v>
      </c>
      <c r="P108" s="14" t="s">
        <v>5830</v>
      </c>
      <c r="Q108" s="14" t="s">
        <v>5831</v>
      </c>
      <c r="R108" s="14" t="s">
        <v>5832</v>
      </c>
      <c r="S108" s="14" t="s">
        <v>5833</v>
      </c>
      <c r="T108" s="14" t="s">
        <v>5834</v>
      </c>
      <c r="U108" s="14" t="s">
        <v>5835</v>
      </c>
      <c r="V108" s="14" t="s">
        <v>5836</v>
      </c>
      <c r="W108" s="14" t="s">
        <v>5837</v>
      </c>
    </row>
    <row r="109" spans="1:23" ht="409.5">
      <c r="A109" s="14" t="s">
        <v>1218</v>
      </c>
      <c r="B109" s="14" t="s">
        <v>5838</v>
      </c>
      <c r="C109" s="15" t="s">
        <v>5839</v>
      </c>
      <c r="D109" s="14" t="s">
        <v>5840</v>
      </c>
      <c r="E109" s="14" t="s">
        <v>5841</v>
      </c>
      <c r="F109" s="14" t="s">
        <v>5842</v>
      </c>
      <c r="G109" s="14" t="s">
        <v>5843</v>
      </c>
      <c r="H109" s="14" t="s">
        <v>3778</v>
      </c>
      <c r="I109" s="14" t="s">
        <v>3779</v>
      </c>
      <c r="J109" s="14" t="s">
        <v>5844</v>
      </c>
      <c r="K109" s="14" t="s">
        <v>3781</v>
      </c>
      <c r="L109" s="14" t="s">
        <v>3782</v>
      </c>
      <c r="M109" s="14" t="s">
        <v>3783</v>
      </c>
      <c r="O109" s="14" t="s">
        <v>5845</v>
      </c>
      <c r="P109" s="14" t="s">
        <v>5846</v>
      </c>
      <c r="Q109" s="14" t="s">
        <v>5847</v>
      </c>
      <c r="R109" s="14" t="s">
        <v>5848</v>
      </c>
      <c r="S109" s="14" t="s">
        <v>5849</v>
      </c>
      <c r="T109" s="14" t="s">
        <v>5850</v>
      </c>
      <c r="U109" s="14" t="s">
        <v>5851</v>
      </c>
      <c r="V109" s="14" t="s">
        <v>5852</v>
      </c>
      <c r="W109" s="14" t="s">
        <v>5853</v>
      </c>
    </row>
    <row r="110" spans="1:23" ht="409.5">
      <c r="A110" s="14" t="s">
        <v>1218</v>
      </c>
      <c r="B110" s="14" t="s">
        <v>5854</v>
      </c>
      <c r="C110" s="15" t="s">
        <v>5855</v>
      </c>
      <c r="D110" s="14" t="s">
        <v>5856</v>
      </c>
      <c r="E110" s="14" t="s">
        <v>5857</v>
      </c>
      <c r="F110" s="14" t="s">
        <v>5858</v>
      </c>
      <c r="G110" s="14" t="s">
        <v>5859</v>
      </c>
      <c r="H110" s="14" t="s">
        <v>3803</v>
      </c>
      <c r="I110" s="14" t="s">
        <v>3804</v>
      </c>
      <c r="J110" s="14" t="s">
        <v>5860</v>
      </c>
      <c r="K110" s="14" t="s">
        <v>3806</v>
      </c>
      <c r="L110" s="14" t="s">
        <v>3807</v>
      </c>
      <c r="M110" s="14" t="s">
        <v>3808</v>
      </c>
      <c r="O110" s="14" t="s">
        <v>5861</v>
      </c>
      <c r="P110" s="14" t="s">
        <v>5862</v>
      </c>
      <c r="Q110" s="14" t="s">
        <v>5863</v>
      </c>
      <c r="R110" s="14" t="s">
        <v>5864</v>
      </c>
      <c r="S110" s="14" t="s">
        <v>5865</v>
      </c>
      <c r="T110" s="14" t="s">
        <v>5866</v>
      </c>
      <c r="U110" s="14" t="s">
        <v>5867</v>
      </c>
      <c r="V110" s="14" t="s">
        <v>5868</v>
      </c>
      <c r="W110" s="14" t="s">
        <v>5869</v>
      </c>
    </row>
    <row r="111" spans="1:23" ht="409.5">
      <c r="A111" s="14" t="s">
        <v>1218</v>
      </c>
      <c r="B111" s="14" t="s">
        <v>5870</v>
      </c>
      <c r="C111" s="15" t="s">
        <v>5871</v>
      </c>
      <c r="D111" s="14" t="s">
        <v>5872</v>
      </c>
      <c r="E111" s="14" t="s">
        <v>5873</v>
      </c>
      <c r="F111" s="14" t="s">
        <v>5874</v>
      </c>
      <c r="G111" s="14" t="s">
        <v>5875</v>
      </c>
      <c r="H111" s="14" t="s">
        <v>3828</v>
      </c>
      <c r="I111" s="14" t="s">
        <v>3829</v>
      </c>
      <c r="J111" s="14" t="s">
        <v>5876</v>
      </c>
      <c r="K111" s="14" t="s">
        <v>3831</v>
      </c>
      <c r="L111" s="14" t="s">
        <v>3832</v>
      </c>
      <c r="M111" s="14" t="s">
        <v>3833</v>
      </c>
      <c r="O111" s="14" t="s">
        <v>5877</v>
      </c>
      <c r="P111" s="14" t="s">
        <v>5878</v>
      </c>
      <c r="Q111" s="14" t="s">
        <v>5879</v>
      </c>
      <c r="R111" s="14" t="s">
        <v>5880</v>
      </c>
      <c r="S111" s="14" t="s">
        <v>5881</v>
      </c>
      <c r="T111" s="14" t="s">
        <v>5882</v>
      </c>
      <c r="U111" s="14" t="s">
        <v>5883</v>
      </c>
      <c r="V111" s="14" t="s">
        <v>5884</v>
      </c>
      <c r="W111" s="14" t="s">
        <v>5885</v>
      </c>
    </row>
    <row r="112" spans="1:23" ht="409.5">
      <c r="A112" s="14" t="s">
        <v>1218</v>
      </c>
      <c r="B112" s="14" t="s">
        <v>5886</v>
      </c>
      <c r="C112" s="15" t="s">
        <v>5887</v>
      </c>
      <c r="D112" s="14" t="s">
        <v>5888</v>
      </c>
      <c r="E112" s="14" t="s">
        <v>5889</v>
      </c>
      <c r="F112" s="14" t="s">
        <v>5890</v>
      </c>
      <c r="G112" s="14" t="s">
        <v>5891</v>
      </c>
      <c r="H112" s="14" t="s">
        <v>3853</v>
      </c>
      <c r="I112" s="14" t="s">
        <v>3854</v>
      </c>
      <c r="J112" s="14" t="s">
        <v>5892</v>
      </c>
      <c r="K112" s="14" t="s">
        <v>3856</v>
      </c>
      <c r="L112" s="14" t="s">
        <v>3857</v>
      </c>
      <c r="M112" s="14" t="s">
        <v>3858</v>
      </c>
      <c r="O112" s="14" t="s">
        <v>5893</v>
      </c>
      <c r="P112" s="14" t="s">
        <v>5894</v>
      </c>
      <c r="Q112" s="14" t="s">
        <v>5895</v>
      </c>
      <c r="R112" s="14" t="s">
        <v>5896</v>
      </c>
      <c r="S112" s="14" t="s">
        <v>5897</v>
      </c>
      <c r="T112" s="14" t="s">
        <v>5898</v>
      </c>
      <c r="U112" s="14" t="s">
        <v>5899</v>
      </c>
      <c r="V112" s="14" t="s">
        <v>5900</v>
      </c>
      <c r="W112" s="14" t="s">
        <v>5901</v>
      </c>
    </row>
    <row r="113" spans="1:23" ht="409.5">
      <c r="A113" s="14" t="s">
        <v>1218</v>
      </c>
      <c r="B113" s="14" t="s">
        <v>5902</v>
      </c>
      <c r="C113" s="15" t="s">
        <v>5903</v>
      </c>
      <c r="D113" s="14" t="s">
        <v>5904</v>
      </c>
      <c r="E113" s="14" t="s">
        <v>5905</v>
      </c>
      <c r="F113" s="14" t="s">
        <v>5906</v>
      </c>
      <c r="G113" s="14" t="s">
        <v>5907</v>
      </c>
      <c r="H113" s="14" t="s">
        <v>3878</v>
      </c>
      <c r="I113" s="14" t="s">
        <v>3879</v>
      </c>
      <c r="J113" s="14" t="s">
        <v>5908</v>
      </c>
      <c r="K113" s="14" t="s">
        <v>3881</v>
      </c>
      <c r="L113" s="14" t="s">
        <v>3882</v>
      </c>
      <c r="M113" s="14" t="s">
        <v>3883</v>
      </c>
      <c r="O113" s="14" t="s">
        <v>5909</v>
      </c>
      <c r="P113" s="14" t="s">
        <v>5910</v>
      </c>
      <c r="Q113" s="14" t="s">
        <v>5911</v>
      </c>
      <c r="R113" s="14" t="s">
        <v>5912</v>
      </c>
      <c r="S113" s="14" t="s">
        <v>5913</v>
      </c>
      <c r="T113" s="14" t="s">
        <v>5914</v>
      </c>
      <c r="U113" s="14" t="s">
        <v>5915</v>
      </c>
      <c r="V113" s="14" t="s">
        <v>5916</v>
      </c>
      <c r="W113" s="14" t="s">
        <v>5917</v>
      </c>
    </row>
    <row r="114" spans="1:23" ht="409.5">
      <c r="A114" s="14" t="s">
        <v>1218</v>
      </c>
      <c r="B114" s="14" t="s">
        <v>5918</v>
      </c>
      <c r="C114" s="15" t="s">
        <v>5919</v>
      </c>
      <c r="D114" s="14" t="s">
        <v>5920</v>
      </c>
      <c r="E114" s="14" t="s">
        <v>5921</v>
      </c>
      <c r="F114" s="14" t="s">
        <v>5922</v>
      </c>
      <c r="G114" s="14" t="s">
        <v>5923</v>
      </c>
      <c r="H114" s="14" t="s">
        <v>3903</v>
      </c>
      <c r="I114" s="14" t="s">
        <v>3904</v>
      </c>
      <c r="J114" s="14" t="s">
        <v>5924</v>
      </c>
      <c r="K114" s="14" t="s">
        <v>3906</v>
      </c>
      <c r="L114" s="14" t="s">
        <v>3907</v>
      </c>
      <c r="M114" s="14" t="s">
        <v>3908</v>
      </c>
      <c r="O114" s="14" t="s">
        <v>5925</v>
      </c>
      <c r="P114" s="14" t="s">
        <v>5926</v>
      </c>
      <c r="Q114" s="14" t="s">
        <v>5927</v>
      </c>
      <c r="R114" s="14" t="s">
        <v>5928</v>
      </c>
      <c r="S114" s="14" t="s">
        <v>5929</v>
      </c>
      <c r="T114" s="14" t="s">
        <v>5930</v>
      </c>
      <c r="U114" s="14" t="s">
        <v>5931</v>
      </c>
      <c r="V114" s="14" t="s">
        <v>5932</v>
      </c>
      <c r="W114" s="14" t="s">
        <v>5933</v>
      </c>
    </row>
    <row r="115" spans="1:23" ht="409.5">
      <c r="A115" s="14" t="s">
        <v>1218</v>
      </c>
      <c r="B115" s="14" t="s">
        <v>5934</v>
      </c>
      <c r="C115" s="15" t="s">
        <v>5935</v>
      </c>
      <c r="D115" s="14" t="s">
        <v>5936</v>
      </c>
      <c r="E115" s="14" t="s">
        <v>5937</v>
      </c>
      <c r="F115" s="14" t="s">
        <v>5938</v>
      </c>
      <c r="G115" s="14" t="s">
        <v>5939</v>
      </c>
      <c r="H115" s="14" t="s">
        <v>3928</v>
      </c>
      <c r="I115" s="14" t="s">
        <v>3929</v>
      </c>
      <c r="J115" s="14" t="s">
        <v>5940</v>
      </c>
      <c r="K115" s="14" t="s">
        <v>3931</v>
      </c>
      <c r="L115" s="14" t="s">
        <v>3932</v>
      </c>
      <c r="M115" s="14" t="s">
        <v>3933</v>
      </c>
      <c r="O115" s="14" t="s">
        <v>5941</v>
      </c>
      <c r="P115" s="14" t="s">
        <v>5942</v>
      </c>
      <c r="Q115" s="14" t="s">
        <v>5943</v>
      </c>
      <c r="R115" s="14" t="s">
        <v>5944</v>
      </c>
      <c r="S115" s="14" t="s">
        <v>5945</v>
      </c>
      <c r="T115" s="14" t="s">
        <v>5946</v>
      </c>
      <c r="U115" s="14" t="s">
        <v>5947</v>
      </c>
      <c r="V115" s="14" t="s">
        <v>5948</v>
      </c>
      <c r="W115" s="14" t="s">
        <v>5949</v>
      </c>
    </row>
    <row r="116" spans="1:23" ht="409.5">
      <c r="A116" s="14" t="s">
        <v>1218</v>
      </c>
      <c r="B116" s="14" t="s">
        <v>5950</v>
      </c>
      <c r="C116" s="15" t="s">
        <v>5951</v>
      </c>
      <c r="D116" s="14" t="s">
        <v>5952</v>
      </c>
      <c r="E116" s="14" t="s">
        <v>5953</v>
      </c>
      <c r="F116" s="14" t="s">
        <v>5954</v>
      </c>
      <c r="G116" s="14" t="s">
        <v>5955</v>
      </c>
      <c r="H116" s="14" t="s">
        <v>3953</v>
      </c>
      <c r="I116" s="14" t="s">
        <v>3954</v>
      </c>
      <c r="J116" s="14" t="s">
        <v>5956</v>
      </c>
      <c r="K116" s="14" t="s">
        <v>3956</v>
      </c>
      <c r="L116" s="14" t="s">
        <v>3957</v>
      </c>
      <c r="M116" s="14" t="s">
        <v>3958</v>
      </c>
      <c r="O116" s="14" t="s">
        <v>5957</v>
      </c>
      <c r="P116" s="14" t="s">
        <v>5958</v>
      </c>
      <c r="Q116" s="14" t="s">
        <v>5959</v>
      </c>
      <c r="R116" s="14" t="s">
        <v>5960</v>
      </c>
      <c r="S116" s="14" t="s">
        <v>5961</v>
      </c>
      <c r="T116" s="14" t="s">
        <v>5962</v>
      </c>
      <c r="U116" s="14" t="s">
        <v>5963</v>
      </c>
      <c r="V116" s="14" t="s">
        <v>5964</v>
      </c>
      <c r="W116" s="14" t="s">
        <v>5965</v>
      </c>
    </row>
    <row r="117" spans="1:23" ht="409.5">
      <c r="A117" s="14" t="s">
        <v>1218</v>
      </c>
      <c r="B117" s="14" t="s">
        <v>5966</v>
      </c>
      <c r="C117" s="15" t="s">
        <v>5967</v>
      </c>
      <c r="D117" s="14" t="s">
        <v>5968</v>
      </c>
      <c r="E117" s="14" t="s">
        <v>5969</v>
      </c>
      <c r="F117" s="14" t="s">
        <v>5970</v>
      </c>
      <c r="G117" s="14" t="s">
        <v>5971</v>
      </c>
      <c r="H117" s="14" t="s">
        <v>3978</v>
      </c>
      <c r="I117" s="14" t="s">
        <v>3979</v>
      </c>
      <c r="J117" s="14" t="s">
        <v>5972</v>
      </c>
      <c r="K117" s="14" t="s">
        <v>3981</v>
      </c>
      <c r="L117" s="14" t="s">
        <v>3982</v>
      </c>
      <c r="M117" s="14" t="s">
        <v>3983</v>
      </c>
      <c r="O117" s="14" t="s">
        <v>5973</v>
      </c>
      <c r="P117" s="14" t="s">
        <v>5974</v>
      </c>
      <c r="Q117" s="14" t="s">
        <v>5975</v>
      </c>
      <c r="R117" s="14" t="s">
        <v>5976</v>
      </c>
      <c r="S117" s="14" t="s">
        <v>5977</v>
      </c>
      <c r="T117" s="14" t="s">
        <v>5978</v>
      </c>
      <c r="U117" s="14" t="s">
        <v>5979</v>
      </c>
      <c r="V117" s="14" t="s">
        <v>5980</v>
      </c>
      <c r="W117" s="14" t="s">
        <v>5981</v>
      </c>
    </row>
    <row r="118" spans="1:23" ht="409.5">
      <c r="A118" s="14" t="s">
        <v>1218</v>
      </c>
      <c r="B118" s="14" t="s">
        <v>5982</v>
      </c>
      <c r="C118" s="15" t="s">
        <v>5983</v>
      </c>
      <c r="D118" s="14" t="s">
        <v>5984</v>
      </c>
      <c r="E118" s="14" t="s">
        <v>5985</v>
      </c>
      <c r="F118" s="14" t="s">
        <v>5986</v>
      </c>
      <c r="G118" s="14" t="s">
        <v>5987</v>
      </c>
      <c r="H118" s="14" t="s">
        <v>4003</v>
      </c>
      <c r="I118" s="14" t="s">
        <v>4004</v>
      </c>
      <c r="J118" s="14" t="s">
        <v>5988</v>
      </c>
      <c r="K118" s="14" t="s">
        <v>4006</v>
      </c>
      <c r="L118" s="14" t="s">
        <v>4007</v>
      </c>
      <c r="M118" s="14" t="s">
        <v>4008</v>
      </c>
      <c r="O118" s="14" t="s">
        <v>5989</v>
      </c>
      <c r="P118" s="14" t="s">
        <v>5990</v>
      </c>
      <c r="Q118" s="14" t="s">
        <v>5991</v>
      </c>
      <c r="R118" s="14" t="s">
        <v>5992</v>
      </c>
      <c r="S118" s="14" t="s">
        <v>5993</v>
      </c>
      <c r="T118" s="14" t="s">
        <v>5994</v>
      </c>
      <c r="U118" s="14" t="s">
        <v>5995</v>
      </c>
      <c r="V118" s="14" t="s">
        <v>5996</v>
      </c>
      <c r="W118" s="14" t="s">
        <v>5997</v>
      </c>
    </row>
    <row r="119" spans="1:23" ht="409.5">
      <c r="A119" s="14" t="s">
        <v>1218</v>
      </c>
      <c r="B119" s="14" t="s">
        <v>5998</v>
      </c>
      <c r="C119" s="15" t="s">
        <v>5999</v>
      </c>
      <c r="D119" s="14" t="s">
        <v>6000</v>
      </c>
      <c r="E119" s="14" t="s">
        <v>6001</v>
      </c>
      <c r="F119" s="14" t="s">
        <v>6002</v>
      </c>
      <c r="G119" s="14" t="s">
        <v>6003</v>
      </c>
      <c r="H119" s="14" t="s">
        <v>4028</v>
      </c>
      <c r="I119" s="14" t="s">
        <v>4029</v>
      </c>
      <c r="J119" s="14" t="s">
        <v>6004</v>
      </c>
      <c r="K119" s="14" t="s">
        <v>4031</v>
      </c>
      <c r="L119" s="14" t="s">
        <v>4032</v>
      </c>
      <c r="M119" s="14" t="s">
        <v>4033</v>
      </c>
      <c r="O119" s="14" t="s">
        <v>6005</v>
      </c>
      <c r="P119" s="14" t="s">
        <v>6006</v>
      </c>
      <c r="Q119" s="14" t="s">
        <v>6007</v>
      </c>
      <c r="R119" s="14" t="s">
        <v>6008</v>
      </c>
      <c r="S119" s="14" t="s">
        <v>6009</v>
      </c>
      <c r="T119" s="14" t="s">
        <v>6010</v>
      </c>
      <c r="U119" s="14" t="s">
        <v>6011</v>
      </c>
      <c r="V119" s="14" t="s">
        <v>6012</v>
      </c>
      <c r="W119" s="14" t="s">
        <v>6013</v>
      </c>
    </row>
    <row r="120" spans="1:23" ht="409.5">
      <c r="A120" s="14" t="s">
        <v>1218</v>
      </c>
      <c r="B120" s="14" t="s">
        <v>6014</v>
      </c>
      <c r="C120" s="15" t="s">
        <v>6015</v>
      </c>
      <c r="D120" s="14" t="s">
        <v>6016</v>
      </c>
      <c r="E120" s="14" t="s">
        <v>6017</v>
      </c>
      <c r="F120" s="14" t="s">
        <v>6018</v>
      </c>
      <c r="G120" s="14" t="s">
        <v>6019</v>
      </c>
      <c r="H120" s="14" t="s">
        <v>4053</v>
      </c>
      <c r="I120" s="14" t="s">
        <v>4054</v>
      </c>
      <c r="J120" s="14" t="s">
        <v>6020</v>
      </c>
      <c r="K120" s="14" t="s">
        <v>4056</v>
      </c>
      <c r="L120" s="14" t="s">
        <v>4057</v>
      </c>
      <c r="M120" s="14" t="s">
        <v>4058</v>
      </c>
      <c r="O120" s="14" t="s">
        <v>6021</v>
      </c>
      <c r="P120" s="14" t="s">
        <v>6022</v>
      </c>
      <c r="Q120" s="14" t="s">
        <v>6023</v>
      </c>
      <c r="R120" s="14" t="s">
        <v>6024</v>
      </c>
      <c r="S120" s="14" t="s">
        <v>6025</v>
      </c>
      <c r="T120" s="14" t="s">
        <v>6026</v>
      </c>
      <c r="U120" s="14" t="s">
        <v>6027</v>
      </c>
      <c r="V120" s="14" t="s">
        <v>6028</v>
      </c>
      <c r="W120" s="14" t="s">
        <v>6029</v>
      </c>
    </row>
    <row r="121" spans="1:23" ht="409.5">
      <c r="A121" s="14" t="s">
        <v>1218</v>
      </c>
      <c r="B121" s="14" t="s">
        <v>6030</v>
      </c>
      <c r="C121" s="15" t="s">
        <v>6031</v>
      </c>
      <c r="D121" s="14" t="s">
        <v>6032</v>
      </c>
      <c r="E121" s="14" t="s">
        <v>6033</v>
      </c>
      <c r="F121" s="14" t="s">
        <v>6034</v>
      </c>
      <c r="G121" s="14" t="s">
        <v>6035</v>
      </c>
      <c r="H121" s="14" t="s">
        <v>4078</v>
      </c>
      <c r="I121" s="14" t="s">
        <v>4079</v>
      </c>
      <c r="J121" s="14" t="s">
        <v>6036</v>
      </c>
      <c r="K121" s="14" t="s">
        <v>4081</v>
      </c>
      <c r="L121" s="14" t="s">
        <v>4082</v>
      </c>
      <c r="M121" s="14" t="s">
        <v>4083</v>
      </c>
      <c r="O121" s="14" t="s">
        <v>6037</v>
      </c>
      <c r="P121" s="14" t="s">
        <v>6038</v>
      </c>
      <c r="Q121" s="14" t="s">
        <v>6039</v>
      </c>
      <c r="R121" s="14" t="s">
        <v>6040</v>
      </c>
      <c r="S121" s="14" t="s">
        <v>6041</v>
      </c>
      <c r="T121" s="14" t="s">
        <v>6042</v>
      </c>
      <c r="U121" s="14" t="s">
        <v>6043</v>
      </c>
      <c r="V121" s="14" t="s">
        <v>6044</v>
      </c>
      <c r="W121" s="14" t="s">
        <v>6045</v>
      </c>
    </row>
    <row r="122" spans="1:23" ht="409.5">
      <c r="A122" s="14" t="s">
        <v>1218</v>
      </c>
      <c r="B122" s="14" t="s">
        <v>6046</v>
      </c>
      <c r="C122" s="15" t="s">
        <v>6047</v>
      </c>
      <c r="D122" s="14" t="s">
        <v>6048</v>
      </c>
      <c r="E122" s="14" t="s">
        <v>6049</v>
      </c>
      <c r="F122" s="14" t="s">
        <v>6050</v>
      </c>
      <c r="G122" s="14" t="s">
        <v>6051</v>
      </c>
      <c r="H122" s="14" t="s">
        <v>4103</v>
      </c>
      <c r="I122" s="14" t="s">
        <v>4104</v>
      </c>
      <c r="J122" s="14" t="s">
        <v>6052</v>
      </c>
      <c r="K122" s="14" t="s">
        <v>4106</v>
      </c>
      <c r="L122" s="14" t="s">
        <v>4107</v>
      </c>
      <c r="M122" s="14" t="s">
        <v>4108</v>
      </c>
      <c r="O122" s="14" t="s">
        <v>6053</v>
      </c>
      <c r="P122" s="14" t="s">
        <v>6054</v>
      </c>
      <c r="Q122" s="14" t="s">
        <v>6055</v>
      </c>
      <c r="R122" s="14" t="s">
        <v>6056</v>
      </c>
      <c r="S122" s="14" t="s">
        <v>6057</v>
      </c>
      <c r="T122" s="14" t="s">
        <v>6058</v>
      </c>
      <c r="U122" s="14" t="s">
        <v>6059</v>
      </c>
      <c r="V122" s="14" t="s">
        <v>6060</v>
      </c>
      <c r="W122" s="14" t="s">
        <v>6061</v>
      </c>
    </row>
    <row r="123" spans="1:23" ht="409.5">
      <c r="A123" s="14" t="s">
        <v>1218</v>
      </c>
      <c r="B123" s="14" t="s">
        <v>6062</v>
      </c>
      <c r="C123" s="15" t="s">
        <v>6063</v>
      </c>
      <c r="D123" s="14" t="s">
        <v>6064</v>
      </c>
      <c r="E123" s="14" t="s">
        <v>6065</v>
      </c>
      <c r="F123" s="14" t="s">
        <v>6066</v>
      </c>
      <c r="G123" s="14" t="s">
        <v>6067</v>
      </c>
      <c r="H123" s="14" t="s">
        <v>4128</v>
      </c>
      <c r="I123" s="14" t="s">
        <v>4129</v>
      </c>
      <c r="J123" s="14" t="s">
        <v>6068</v>
      </c>
      <c r="K123" s="14" t="s">
        <v>4131</v>
      </c>
      <c r="L123" s="14" t="s">
        <v>4132</v>
      </c>
      <c r="M123" s="14" t="s">
        <v>4133</v>
      </c>
      <c r="O123" s="14" t="s">
        <v>6069</v>
      </c>
      <c r="P123" s="14" t="s">
        <v>6070</v>
      </c>
      <c r="Q123" s="14" t="s">
        <v>6071</v>
      </c>
      <c r="R123" s="14" t="s">
        <v>6072</v>
      </c>
      <c r="S123" s="14" t="s">
        <v>6073</v>
      </c>
      <c r="T123" s="14" t="s">
        <v>6074</v>
      </c>
      <c r="U123" s="14" t="s">
        <v>6075</v>
      </c>
      <c r="V123" s="14" t="s">
        <v>6076</v>
      </c>
      <c r="W123" s="14" t="s">
        <v>6077</v>
      </c>
    </row>
    <row r="124" spans="1:23" ht="409.5">
      <c r="A124" s="14" t="s">
        <v>1218</v>
      </c>
      <c r="B124" s="14" t="s">
        <v>6078</v>
      </c>
      <c r="C124" s="15" t="s">
        <v>6079</v>
      </c>
      <c r="D124" s="14" t="s">
        <v>6080</v>
      </c>
      <c r="E124" s="14" t="s">
        <v>6081</v>
      </c>
      <c r="F124" s="14" t="s">
        <v>6082</v>
      </c>
      <c r="G124" s="14" t="s">
        <v>6083</v>
      </c>
      <c r="H124" s="14" t="s">
        <v>4153</v>
      </c>
      <c r="I124" s="14" t="s">
        <v>4154</v>
      </c>
      <c r="J124" s="14" t="s">
        <v>6084</v>
      </c>
      <c r="K124" s="14" t="s">
        <v>4156</v>
      </c>
      <c r="L124" s="14" t="s">
        <v>4157</v>
      </c>
      <c r="M124" s="14" t="s">
        <v>4158</v>
      </c>
      <c r="O124" s="14" t="s">
        <v>6085</v>
      </c>
      <c r="P124" s="14" t="s">
        <v>6086</v>
      </c>
      <c r="Q124" s="14" t="s">
        <v>6087</v>
      </c>
      <c r="R124" s="14" t="s">
        <v>6088</v>
      </c>
      <c r="S124" s="14" t="s">
        <v>6089</v>
      </c>
      <c r="T124" s="14" t="s">
        <v>6090</v>
      </c>
      <c r="U124" s="14" t="s">
        <v>6091</v>
      </c>
      <c r="V124" s="14" t="s">
        <v>6092</v>
      </c>
      <c r="W124" s="14" t="s">
        <v>6093</v>
      </c>
    </row>
    <row r="125" spans="1:23" ht="409.5">
      <c r="A125" s="14" t="s">
        <v>1218</v>
      </c>
      <c r="B125" s="14" t="s">
        <v>6094</v>
      </c>
      <c r="C125" s="15" t="s">
        <v>6095</v>
      </c>
      <c r="D125" s="14" t="s">
        <v>6096</v>
      </c>
      <c r="E125" s="14" t="s">
        <v>6097</v>
      </c>
      <c r="F125" s="14" t="s">
        <v>6098</v>
      </c>
      <c r="G125" s="14" t="s">
        <v>6099</v>
      </c>
      <c r="H125" s="14" t="s">
        <v>6100</v>
      </c>
      <c r="I125" s="14" t="s">
        <v>6101</v>
      </c>
      <c r="J125" s="14" t="s">
        <v>6102</v>
      </c>
      <c r="K125" s="14" t="s">
        <v>6103</v>
      </c>
      <c r="L125" s="14" t="s">
        <v>6104</v>
      </c>
      <c r="M125" s="14" t="s">
        <v>6105</v>
      </c>
      <c r="O125" s="14" t="s">
        <v>6106</v>
      </c>
      <c r="P125" s="14" t="s">
        <v>6107</v>
      </c>
      <c r="Q125" s="14" t="s">
        <v>6108</v>
      </c>
      <c r="R125" s="14" t="s">
        <v>6109</v>
      </c>
      <c r="S125" s="14" t="s">
        <v>6110</v>
      </c>
      <c r="T125" s="14" t="s">
        <v>6111</v>
      </c>
      <c r="U125" s="14" t="s">
        <v>6112</v>
      </c>
      <c r="V125" s="14" t="s">
        <v>6113</v>
      </c>
      <c r="W125" s="14" t="s">
        <v>6114</v>
      </c>
    </row>
    <row r="126" spans="1:23" ht="409.5">
      <c r="A126" s="14" t="s">
        <v>1218</v>
      </c>
      <c r="B126" s="14" t="s">
        <v>6115</v>
      </c>
      <c r="C126" s="15" t="s">
        <v>6116</v>
      </c>
      <c r="D126" s="14" t="s">
        <v>6117</v>
      </c>
      <c r="E126" s="14" t="s">
        <v>6118</v>
      </c>
      <c r="F126" s="14" t="s">
        <v>6119</v>
      </c>
      <c r="G126" s="14" t="s">
        <v>6120</v>
      </c>
      <c r="H126" s="14" t="s">
        <v>6121</v>
      </c>
      <c r="I126" s="14" t="s">
        <v>6122</v>
      </c>
      <c r="J126" s="14" t="s">
        <v>6123</v>
      </c>
      <c r="K126" s="14" t="s">
        <v>6124</v>
      </c>
      <c r="L126" s="14" t="s">
        <v>6125</v>
      </c>
      <c r="M126" s="14" t="s">
        <v>6126</v>
      </c>
      <c r="O126" s="14" t="s">
        <v>6127</v>
      </c>
      <c r="P126" s="14" t="s">
        <v>6128</v>
      </c>
      <c r="Q126" s="14" t="s">
        <v>6129</v>
      </c>
      <c r="R126" s="14" t="s">
        <v>6130</v>
      </c>
      <c r="S126" s="14" t="s">
        <v>6131</v>
      </c>
      <c r="T126" s="14" t="s">
        <v>6132</v>
      </c>
      <c r="U126" s="14" t="s">
        <v>6133</v>
      </c>
      <c r="V126" s="14" t="s">
        <v>6134</v>
      </c>
      <c r="W126" s="14" t="s">
        <v>6135</v>
      </c>
    </row>
    <row r="127" spans="1:23" ht="409.5">
      <c r="A127" s="14" t="s">
        <v>1218</v>
      </c>
      <c r="B127" s="14" t="s">
        <v>6136</v>
      </c>
      <c r="C127" s="15" t="s">
        <v>6137</v>
      </c>
      <c r="D127" s="14" t="s">
        <v>6138</v>
      </c>
      <c r="E127" s="14" t="s">
        <v>6139</v>
      </c>
      <c r="F127" s="14" t="s">
        <v>6140</v>
      </c>
      <c r="G127" s="14" t="s">
        <v>6141</v>
      </c>
      <c r="H127" s="14" t="s">
        <v>6142</v>
      </c>
      <c r="I127" s="14" t="s">
        <v>6143</v>
      </c>
      <c r="J127" s="14" t="s">
        <v>6144</v>
      </c>
      <c r="K127" s="14" t="s">
        <v>6145</v>
      </c>
      <c r="L127" s="14" t="s">
        <v>6146</v>
      </c>
      <c r="M127" s="14" t="s">
        <v>6147</v>
      </c>
      <c r="O127" s="14" t="s">
        <v>6148</v>
      </c>
      <c r="P127" s="14" t="s">
        <v>6149</v>
      </c>
      <c r="Q127" s="14" t="s">
        <v>6150</v>
      </c>
      <c r="R127" s="14" t="s">
        <v>6151</v>
      </c>
      <c r="S127" s="14" t="s">
        <v>6152</v>
      </c>
      <c r="T127" s="14" t="s">
        <v>6153</v>
      </c>
      <c r="U127" s="14" t="s">
        <v>6154</v>
      </c>
      <c r="V127" s="14" t="s">
        <v>6155</v>
      </c>
      <c r="W127" s="14" t="s">
        <v>6156</v>
      </c>
    </row>
    <row r="128" spans="1:23" ht="409.5">
      <c r="A128" s="14" t="s">
        <v>1218</v>
      </c>
      <c r="B128" s="14" t="s">
        <v>6157</v>
      </c>
      <c r="C128" s="15" t="s">
        <v>6158</v>
      </c>
      <c r="D128" s="14" t="s">
        <v>6159</v>
      </c>
      <c r="E128" s="14" t="s">
        <v>6160</v>
      </c>
      <c r="F128" s="14" t="s">
        <v>6161</v>
      </c>
      <c r="G128" s="14" t="s">
        <v>6162</v>
      </c>
      <c r="H128" s="14" t="s">
        <v>6163</v>
      </c>
      <c r="I128" s="14" t="s">
        <v>6164</v>
      </c>
      <c r="J128" s="14" t="s">
        <v>6165</v>
      </c>
      <c r="K128" s="14" t="s">
        <v>6166</v>
      </c>
      <c r="L128" s="14" t="s">
        <v>6167</v>
      </c>
      <c r="M128" s="14" t="s">
        <v>6168</v>
      </c>
      <c r="O128" s="14" t="s">
        <v>6169</v>
      </c>
      <c r="P128" s="14" t="s">
        <v>6170</v>
      </c>
      <c r="Q128" s="14" t="s">
        <v>6171</v>
      </c>
      <c r="R128" s="14" t="s">
        <v>6172</v>
      </c>
      <c r="S128" s="14" t="s">
        <v>6173</v>
      </c>
      <c r="T128" s="14" t="s">
        <v>6174</v>
      </c>
      <c r="U128" s="14" t="s">
        <v>6175</v>
      </c>
      <c r="V128" s="14" t="s">
        <v>6176</v>
      </c>
      <c r="W128" s="14" t="s">
        <v>6177</v>
      </c>
    </row>
    <row r="129" spans="1:23" ht="409.5">
      <c r="A129" s="14" t="s">
        <v>1218</v>
      </c>
      <c r="B129" s="14" t="s">
        <v>6178</v>
      </c>
      <c r="C129" s="15" t="s">
        <v>6179</v>
      </c>
      <c r="D129" s="14" t="s">
        <v>6180</v>
      </c>
      <c r="E129" s="14" t="s">
        <v>6181</v>
      </c>
      <c r="F129" s="14" t="s">
        <v>6182</v>
      </c>
      <c r="G129" s="14" t="s">
        <v>6183</v>
      </c>
      <c r="H129" s="14" t="s">
        <v>6184</v>
      </c>
      <c r="I129" s="14" t="s">
        <v>6185</v>
      </c>
      <c r="J129" s="14" t="s">
        <v>6186</v>
      </c>
      <c r="K129" s="14" t="s">
        <v>6187</v>
      </c>
      <c r="L129" s="14" t="s">
        <v>6188</v>
      </c>
      <c r="M129" s="14" t="s">
        <v>6189</v>
      </c>
      <c r="O129" s="14" t="s">
        <v>6190</v>
      </c>
      <c r="P129" s="14" t="s">
        <v>6191</v>
      </c>
      <c r="Q129" s="14" t="s">
        <v>6192</v>
      </c>
      <c r="R129" s="14" t="s">
        <v>6193</v>
      </c>
      <c r="S129" s="14" t="s">
        <v>6194</v>
      </c>
      <c r="T129" s="14" t="s">
        <v>6195</v>
      </c>
      <c r="U129" s="14" t="s">
        <v>6196</v>
      </c>
      <c r="V129" s="14" t="s">
        <v>6197</v>
      </c>
      <c r="W129" s="14" t="s">
        <v>6198</v>
      </c>
    </row>
    <row r="130" spans="1:23" ht="409.5">
      <c r="A130" s="14" t="s">
        <v>1218</v>
      </c>
      <c r="B130" s="14" t="s">
        <v>6199</v>
      </c>
      <c r="C130" s="15" t="s">
        <v>6200</v>
      </c>
      <c r="D130" s="14" t="s">
        <v>6201</v>
      </c>
      <c r="E130" s="14" t="s">
        <v>6202</v>
      </c>
      <c r="F130" s="14" t="s">
        <v>6203</v>
      </c>
      <c r="G130" s="14" t="s">
        <v>6204</v>
      </c>
      <c r="H130" s="14" t="s">
        <v>6205</v>
      </c>
      <c r="I130" s="14" t="s">
        <v>6206</v>
      </c>
      <c r="J130" s="14" t="s">
        <v>6207</v>
      </c>
      <c r="K130" s="14" t="s">
        <v>6208</v>
      </c>
      <c r="L130" s="14" t="s">
        <v>6209</v>
      </c>
      <c r="M130" s="14" t="s">
        <v>6210</v>
      </c>
      <c r="O130" s="14" t="s">
        <v>6211</v>
      </c>
      <c r="P130" s="14" t="s">
        <v>6212</v>
      </c>
      <c r="Q130" s="14" t="s">
        <v>6213</v>
      </c>
      <c r="R130" s="14" t="s">
        <v>6214</v>
      </c>
      <c r="S130" s="14" t="s">
        <v>6215</v>
      </c>
      <c r="T130" s="14" t="s">
        <v>6216</v>
      </c>
      <c r="U130" s="14" t="s">
        <v>6217</v>
      </c>
      <c r="V130" s="14" t="s">
        <v>6218</v>
      </c>
      <c r="W130" s="14" t="s">
        <v>6219</v>
      </c>
    </row>
    <row r="131" spans="1:23" ht="409.5">
      <c r="A131" s="14" t="s">
        <v>1218</v>
      </c>
      <c r="B131" s="14" t="s">
        <v>6220</v>
      </c>
      <c r="C131" s="15" t="s">
        <v>6221</v>
      </c>
      <c r="D131" s="14" t="s">
        <v>6222</v>
      </c>
      <c r="E131" s="14" t="s">
        <v>6223</v>
      </c>
      <c r="F131" s="14" t="s">
        <v>6224</v>
      </c>
      <c r="G131" s="14" t="s">
        <v>6225</v>
      </c>
      <c r="H131" s="14" t="s">
        <v>6226</v>
      </c>
      <c r="I131" s="14" t="s">
        <v>6227</v>
      </c>
      <c r="J131" s="14" t="s">
        <v>6228</v>
      </c>
      <c r="K131" s="14" t="s">
        <v>6229</v>
      </c>
      <c r="L131" s="14" t="s">
        <v>6230</v>
      </c>
      <c r="M131" s="14" t="s">
        <v>6231</v>
      </c>
      <c r="O131" s="14" t="s">
        <v>6232</v>
      </c>
      <c r="P131" s="14" t="s">
        <v>6233</v>
      </c>
      <c r="Q131" s="14" t="s">
        <v>6234</v>
      </c>
      <c r="R131" s="14" t="s">
        <v>6235</v>
      </c>
      <c r="S131" s="14" t="s">
        <v>6236</v>
      </c>
      <c r="T131" s="14" t="s">
        <v>6237</v>
      </c>
      <c r="U131" s="14" t="s">
        <v>6238</v>
      </c>
      <c r="V131" s="14" t="s">
        <v>6239</v>
      </c>
      <c r="W131" s="14" t="s">
        <v>6240</v>
      </c>
    </row>
    <row r="132" spans="1:23" ht="409.5">
      <c r="A132" s="14" t="s">
        <v>1218</v>
      </c>
      <c r="B132" s="14" t="s">
        <v>6241</v>
      </c>
      <c r="C132" s="15" t="s">
        <v>6242</v>
      </c>
      <c r="D132" s="14" t="s">
        <v>6243</v>
      </c>
      <c r="E132" s="14" t="s">
        <v>6244</v>
      </c>
      <c r="F132" s="14" t="s">
        <v>6245</v>
      </c>
      <c r="G132" s="14" t="s">
        <v>6246</v>
      </c>
      <c r="H132" s="14" t="s">
        <v>6247</v>
      </c>
      <c r="I132" s="14" t="s">
        <v>6248</v>
      </c>
      <c r="J132" s="14" t="s">
        <v>6249</v>
      </c>
      <c r="K132" s="14" t="s">
        <v>6250</v>
      </c>
      <c r="L132" s="14" t="s">
        <v>6251</v>
      </c>
      <c r="M132" s="14" t="s">
        <v>6252</v>
      </c>
      <c r="O132" s="14" t="s">
        <v>6253</v>
      </c>
      <c r="P132" s="14" t="s">
        <v>6254</v>
      </c>
      <c r="Q132" s="14" t="s">
        <v>6255</v>
      </c>
      <c r="R132" s="14" t="s">
        <v>6256</v>
      </c>
      <c r="S132" s="14" t="s">
        <v>6257</v>
      </c>
      <c r="T132" s="14" t="s">
        <v>6258</v>
      </c>
      <c r="U132" s="14" t="s">
        <v>6259</v>
      </c>
      <c r="V132" s="14" t="s">
        <v>6260</v>
      </c>
      <c r="W132" s="14" t="s">
        <v>6261</v>
      </c>
    </row>
    <row r="133" spans="1:23" ht="409.5">
      <c r="A133" s="14" t="s">
        <v>1218</v>
      </c>
      <c r="B133" s="14" t="s">
        <v>6262</v>
      </c>
      <c r="C133" s="15" t="s">
        <v>6263</v>
      </c>
      <c r="D133" s="14" t="s">
        <v>6264</v>
      </c>
      <c r="E133" s="14" t="s">
        <v>6265</v>
      </c>
      <c r="F133" s="14" t="s">
        <v>6266</v>
      </c>
      <c r="G133" s="14" t="s">
        <v>6267</v>
      </c>
      <c r="H133" s="14" t="s">
        <v>6268</v>
      </c>
      <c r="I133" s="14" t="s">
        <v>6269</v>
      </c>
      <c r="J133" s="14" t="s">
        <v>6270</v>
      </c>
      <c r="K133" s="14" t="s">
        <v>6271</v>
      </c>
      <c r="L133" s="14" t="s">
        <v>6272</v>
      </c>
      <c r="M133" s="14" t="s">
        <v>6273</v>
      </c>
      <c r="O133" s="14" t="s">
        <v>6274</v>
      </c>
      <c r="P133" s="14" t="s">
        <v>6275</v>
      </c>
      <c r="Q133" s="14" t="s">
        <v>6276</v>
      </c>
      <c r="R133" s="14" t="s">
        <v>6277</v>
      </c>
      <c r="S133" s="14" t="s">
        <v>6278</v>
      </c>
      <c r="T133" s="14" t="s">
        <v>6279</v>
      </c>
      <c r="U133" s="14" t="s">
        <v>6280</v>
      </c>
      <c r="V133" s="14" t="s">
        <v>6281</v>
      </c>
      <c r="W133" s="14" t="s">
        <v>6282</v>
      </c>
    </row>
    <row r="134" spans="1:23" ht="409.5">
      <c r="A134" s="14" t="s">
        <v>1218</v>
      </c>
      <c r="B134" s="14" t="s">
        <v>6283</v>
      </c>
      <c r="C134" s="15" t="s">
        <v>6284</v>
      </c>
      <c r="D134" s="14" t="s">
        <v>6285</v>
      </c>
      <c r="E134" s="14" t="s">
        <v>6286</v>
      </c>
      <c r="F134" s="14" t="s">
        <v>6287</v>
      </c>
      <c r="G134" s="14" t="s">
        <v>6288</v>
      </c>
      <c r="H134" s="14" t="s">
        <v>6289</v>
      </c>
      <c r="I134" s="14" t="s">
        <v>6290</v>
      </c>
      <c r="J134" s="14" t="s">
        <v>6291</v>
      </c>
      <c r="K134" s="14" t="s">
        <v>6292</v>
      </c>
      <c r="L134" s="14" t="s">
        <v>6293</v>
      </c>
      <c r="M134" s="14" t="s">
        <v>6294</v>
      </c>
      <c r="O134" s="14" t="s">
        <v>6295</v>
      </c>
      <c r="P134" s="14" t="s">
        <v>6296</v>
      </c>
      <c r="Q134" s="14" t="s">
        <v>6297</v>
      </c>
      <c r="R134" s="14" t="s">
        <v>6298</v>
      </c>
      <c r="S134" s="14" t="s">
        <v>6299</v>
      </c>
      <c r="T134" s="14" t="s">
        <v>6300</v>
      </c>
      <c r="U134" s="14" t="s">
        <v>6301</v>
      </c>
      <c r="V134" s="14" t="s">
        <v>6302</v>
      </c>
      <c r="W134" s="14" t="s">
        <v>6303</v>
      </c>
    </row>
    <row r="135" spans="1:23" ht="409.5">
      <c r="A135" s="14" t="s">
        <v>1218</v>
      </c>
      <c r="B135" s="14" t="s">
        <v>6304</v>
      </c>
      <c r="C135" s="15" t="s">
        <v>6305</v>
      </c>
      <c r="D135" s="14" t="s">
        <v>6306</v>
      </c>
      <c r="E135" s="14" t="s">
        <v>6307</v>
      </c>
      <c r="F135" s="14" t="s">
        <v>6308</v>
      </c>
      <c r="G135" s="14" t="s">
        <v>6309</v>
      </c>
      <c r="H135" s="14" t="s">
        <v>6310</v>
      </c>
      <c r="I135" s="14" t="s">
        <v>6311</v>
      </c>
      <c r="J135" s="14" t="s">
        <v>6312</v>
      </c>
      <c r="K135" s="14" t="s">
        <v>6313</v>
      </c>
      <c r="L135" s="14" t="s">
        <v>6314</v>
      </c>
      <c r="M135" s="14" t="s">
        <v>6315</v>
      </c>
      <c r="O135" s="14" t="s">
        <v>6316</v>
      </c>
      <c r="P135" s="14" t="s">
        <v>6317</v>
      </c>
      <c r="Q135" s="14" t="s">
        <v>6318</v>
      </c>
      <c r="R135" s="14" t="s">
        <v>6319</v>
      </c>
      <c r="S135" s="14" t="s">
        <v>6320</v>
      </c>
      <c r="T135" s="14" t="s">
        <v>6321</v>
      </c>
      <c r="U135" s="14" t="s">
        <v>6322</v>
      </c>
      <c r="V135" s="14" t="s">
        <v>6323</v>
      </c>
      <c r="W135" s="14" t="s">
        <v>6324</v>
      </c>
    </row>
    <row r="136" spans="1:23" ht="409.5">
      <c r="A136" s="14" t="s">
        <v>1218</v>
      </c>
      <c r="B136" s="14" t="s">
        <v>6325</v>
      </c>
      <c r="C136" s="15" t="s">
        <v>6326</v>
      </c>
      <c r="D136" s="14" t="s">
        <v>6327</v>
      </c>
      <c r="E136" s="14" t="s">
        <v>6328</v>
      </c>
      <c r="F136" s="14" t="s">
        <v>6329</v>
      </c>
      <c r="G136" s="14" t="s">
        <v>6330</v>
      </c>
      <c r="H136" s="14" t="s">
        <v>6331</v>
      </c>
      <c r="I136" s="14" t="s">
        <v>6332</v>
      </c>
      <c r="J136" s="14" t="s">
        <v>6333</v>
      </c>
      <c r="K136" s="14" t="s">
        <v>6334</v>
      </c>
      <c r="L136" s="14" t="s">
        <v>6335</v>
      </c>
      <c r="M136" s="14" t="s">
        <v>6336</v>
      </c>
      <c r="O136" s="14" t="s">
        <v>6337</v>
      </c>
      <c r="P136" s="14" t="s">
        <v>6338</v>
      </c>
      <c r="Q136" s="14" t="s">
        <v>6339</v>
      </c>
      <c r="R136" s="14" t="s">
        <v>6340</v>
      </c>
      <c r="S136" s="14" t="s">
        <v>6341</v>
      </c>
      <c r="T136" s="14" t="s">
        <v>6342</v>
      </c>
      <c r="U136" s="14" t="s">
        <v>6343</v>
      </c>
      <c r="V136" s="14" t="s">
        <v>6344</v>
      </c>
      <c r="W136" s="14" t="s">
        <v>6345</v>
      </c>
    </row>
    <row r="137" spans="1:23" ht="409.5">
      <c r="A137" s="14" t="s">
        <v>1218</v>
      </c>
      <c r="B137" s="14" t="s">
        <v>6346</v>
      </c>
      <c r="C137" s="15" t="s">
        <v>6347</v>
      </c>
      <c r="D137" s="14" t="s">
        <v>6348</v>
      </c>
      <c r="E137" s="14" t="s">
        <v>6349</v>
      </c>
      <c r="F137" s="14" t="s">
        <v>6350</v>
      </c>
      <c r="G137" s="14" t="s">
        <v>6351</v>
      </c>
      <c r="H137" s="14" t="s">
        <v>6352</v>
      </c>
      <c r="I137" s="14" t="s">
        <v>6353</v>
      </c>
      <c r="J137" s="14" t="s">
        <v>6354</v>
      </c>
      <c r="K137" s="14" t="s">
        <v>6355</v>
      </c>
      <c r="L137" s="14" t="s">
        <v>6356</v>
      </c>
      <c r="M137" s="14" t="s">
        <v>6357</v>
      </c>
      <c r="O137" s="14" t="s">
        <v>6358</v>
      </c>
      <c r="P137" s="14" t="s">
        <v>6359</v>
      </c>
      <c r="Q137" s="14" t="s">
        <v>6360</v>
      </c>
      <c r="R137" s="14" t="s">
        <v>6361</v>
      </c>
      <c r="S137" s="14" t="s">
        <v>6362</v>
      </c>
      <c r="T137" s="14" t="s">
        <v>6363</v>
      </c>
      <c r="U137" s="14" t="s">
        <v>6364</v>
      </c>
      <c r="V137" s="14" t="s">
        <v>6365</v>
      </c>
      <c r="W137" s="14" t="s">
        <v>6366</v>
      </c>
    </row>
    <row r="138" spans="1:23" ht="409.5">
      <c r="A138" s="14" t="s">
        <v>1218</v>
      </c>
      <c r="B138" s="14" t="s">
        <v>6367</v>
      </c>
      <c r="C138" s="15" t="s">
        <v>6368</v>
      </c>
      <c r="D138" s="14" t="s">
        <v>6369</v>
      </c>
      <c r="E138" s="14" t="s">
        <v>6370</v>
      </c>
      <c r="F138" s="14" t="s">
        <v>6371</v>
      </c>
      <c r="G138" s="14" t="s">
        <v>6372</v>
      </c>
      <c r="H138" s="14" t="s">
        <v>6373</v>
      </c>
      <c r="I138" s="14" t="s">
        <v>6374</v>
      </c>
      <c r="J138" s="14" t="s">
        <v>6375</v>
      </c>
      <c r="K138" s="14" t="s">
        <v>6376</v>
      </c>
      <c r="L138" s="14" t="s">
        <v>6377</v>
      </c>
      <c r="M138" s="14" t="s">
        <v>6378</v>
      </c>
      <c r="O138" s="14" t="s">
        <v>6379</v>
      </c>
      <c r="P138" s="14" t="s">
        <v>6380</v>
      </c>
      <c r="Q138" s="14" t="s">
        <v>6381</v>
      </c>
      <c r="R138" s="14" t="s">
        <v>6382</v>
      </c>
      <c r="S138" s="14" t="s">
        <v>6383</v>
      </c>
      <c r="T138" s="14" t="s">
        <v>6384</v>
      </c>
      <c r="U138" s="14" t="s">
        <v>6385</v>
      </c>
      <c r="V138" s="14" t="s">
        <v>6386</v>
      </c>
      <c r="W138" s="14" t="s">
        <v>6387</v>
      </c>
    </row>
    <row r="139" spans="1:23" ht="409.5">
      <c r="A139" s="14" t="s">
        <v>1218</v>
      </c>
      <c r="B139" s="14" t="s">
        <v>6388</v>
      </c>
      <c r="C139" s="15" t="s">
        <v>6389</v>
      </c>
      <c r="D139" s="14" t="s">
        <v>6390</v>
      </c>
      <c r="E139" s="14" t="s">
        <v>6391</v>
      </c>
      <c r="F139" s="14" t="s">
        <v>6392</v>
      </c>
      <c r="G139" s="14" t="s">
        <v>6393</v>
      </c>
      <c r="H139" s="14" t="s">
        <v>6394</v>
      </c>
      <c r="I139" s="14" t="s">
        <v>6395</v>
      </c>
      <c r="J139" s="14" t="s">
        <v>6396</v>
      </c>
      <c r="K139" s="14" t="s">
        <v>6397</v>
      </c>
      <c r="L139" s="14" t="s">
        <v>6398</v>
      </c>
      <c r="M139" s="14" t="s">
        <v>6399</v>
      </c>
      <c r="O139" s="14" t="s">
        <v>6400</v>
      </c>
      <c r="P139" s="14" t="s">
        <v>6401</v>
      </c>
      <c r="Q139" s="14" t="s">
        <v>6402</v>
      </c>
      <c r="R139" s="14" t="s">
        <v>6403</v>
      </c>
      <c r="S139" s="14" t="s">
        <v>6404</v>
      </c>
      <c r="T139" s="14" t="s">
        <v>6405</v>
      </c>
      <c r="U139" s="14" t="s">
        <v>6406</v>
      </c>
      <c r="V139" s="14" t="s">
        <v>6407</v>
      </c>
      <c r="W139" s="14" t="s">
        <v>6408</v>
      </c>
    </row>
    <row r="140" spans="1:23" ht="409.5">
      <c r="A140" s="14" t="s">
        <v>1218</v>
      </c>
      <c r="B140" s="14" t="s">
        <v>6409</v>
      </c>
      <c r="C140" s="15" t="s">
        <v>6410</v>
      </c>
      <c r="D140" s="14" t="s">
        <v>6411</v>
      </c>
      <c r="E140" s="14" t="s">
        <v>6412</v>
      </c>
      <c r="F140" s="14" t="s">
        <v>6413</v>
      </c>
      <c r="G140" s="14" t="s">
        <v>6414</v>
      </c>
      <c r="H140" s="14" t="s">
        <v>6415</v>
      </c>
      <c r="I140" s="14" t="s">
        <v>6416</v>
      </c>
      <c r="J140" s="14" t="s">
        <v>6417</v>
      </c>
      <c r="K140" s="14" t="s">
        <v>6418</v>
      </c>
      <c r="L140" s="14" t="s">
        <v>6419</v>
      </c>
      <c r="M140" s="14" t="s">
        <v>6420</v>
      </c>
      <c r="O140" s="14" t="s">
        <v>6421</v>
      </c>
      <c r="P140" s="14" t="s">
        <v>6422</v>
      </c>
      <c r="Q140" s="14" t="s">
        <v>6423</v>
      </c>
      <c r="R140" s="14" t="s">
        <v>6424</v>
      </c>
      <c r="S140" s="14" t="s">
        <v>6425</v>
      </c>
      <c r="T140" s="14" t="s">
        <v>6426</v>
      </c>
      <c r="U140" s="14" t="s">
        <v>6427</v>
      </c>
      <c r="V140" s="14" t="s">
        <v>6428</v>
      </c>
      <c r="W140" s="14" t="s">
        <v>6429</v>
      </c>
    </row>
    <row r="141" spans="1:23" ht="409.5">
      <c r="A141" s="14" t="s">
        <v>1218</v>
      </c>
      <c r="B141" s="14" t="s">
        <v>6430</v>
      </c>
      <c r="C141" s="15" t="s">
        <v>6431</v>
      </c>
      <c r="D141" s="14" t="s">
        <v>6432</v>
      </c>
      <c r="E141" s="14" t="s">
        <v>6433</v>
      </c>
      <c r="F141" s="14" t="s">
        <v>6434</v>
      </c>
      <c r="G141" s="14" t="s">
        <v>6435</v>
      </c>
      <c r="H141" s="14" t="s">
        <v>6436</v>
      </c>
      <c r="I141" s="14" t="s">
        <v>6437</v>
      </c>
      <c r="J141" s="14" t="s">
        <v>6438</v>
      </c>
      <c r="K141" s="14" t="s">
        <v>6439</v>
      </c>
      <c r="L141" s="14" t="s">
        <v>6440</v>
      </c>
      <c r="M141" s="14" t="s">
        <v>6441</v>
      </c>
      <c r="O141" s="14" t="s">
        <v>6442</v>
      </c>
      <c r="P141" s="14" t="s">
        <v>6443</v>
      </c>
      <c r="Q141" s="14" t="s">
        <v>6444</v>
      </c>
      <c r="R141" s="14" t="s">
        <v>6445</v>
      </c>
      <c r="S141" s="14" t="s">
        <v>6446</v>
      </c>
      <c r="T141" s="14" t="s">
        <v>6447</v>
      </c>
      <c r="U141" s="14" t="s">
        <v>6448</v>
      </c>
      <c r="V141" s="14" t="s">
        <v>6449</v>
      </c>
      <c r="W141" s="14" t="s">
        <v>6450</v>
      </c>
    </row>
    <row r="142" spans="1:23" ht="409.5">
      <c r="A142" s="14" t="s">
        <v>1218</v>
      </c>
      <c r="B142" s="14" t="s">
        <v>6451</v>
      </c>
      <c r="C142" s="15" t="s">
        <v>6452</v>
      </c>
      <c r="D142" s="14" t="s">
        <v>6453</v>
      </c>
      <c r="E142" s="14" t="s">
        <v>6454</v>
      </c>
      <c r="F142" s="14" t="s">
        <v>6455</v>
      </c>
      <c r="G142" s="14" t="s">
        <v>6456</v>
      </c>
      <c r="H142" s="14" t="s">
        <v>6457</v>
      </c>
      <c r="I142" s="14" t="s">
        <v>6458</v>
      </c>
      <c r="J142" s="14" t="s">
        <v>6459</v>
      </c>
      <c r="K142" s="14" t="s">
        <v>6460</v>
      </c>
      <c r="L142" s="14" t="s">
        <v>6461</v>
      </c>
      <c r="M142" s="14" t="s">
        <v>6462</v>
      </c>
      <c r="O142" s="14" t="s">
        <v>6463</v>
      </c>
      <c r="P142" s="14" t="s">
        <v>6464</v>
      </c>
      <c r="Q142" s="14" t="s">
        <v>6465</v>
      </c>
      <c r="R142" s="14" t="s">
        <v>6466</v>
      </c>
      <c r="S142" s="14" t="s">
        <v>6467</v>
      </c>
      <c r="T142" s="14" t="s">
        <v>6468</v>
      </c>
      <c r="U142" s="14" t="s">
        <v>6469</v>
      </c>
      <c r="V142" s="14" t="s">
        <v>6470</v>
      </c>
      <c r="W142" s="14" t="s">
        <v>6471</v>
      </c>
    </row>
    <row r="143" spans="1:23" ht="409.5">
      <c r="A143" s="14" t="s">
        <v>1218</v>
      </c>
      <c r="B143" s="14" t="s">
        <v>6472</v>
      </c>
      <c r="C143" s="15" t="s">
        <v>6473</v>
      </c>
      <c r="D143" s="14" t="s">
        <v>6474</v>
      </c>
      <c r="E143" s="14" t="s">
        <v>6475</v>
      </c>
      <c r="F143" s="14" t="s">
        <v>6476</v>
      </c>
      <c r="G143" s="14" t="s">
        <v>6477</v>
      </c>
      <c r="H143" s="14" t="s">
        <v>6478</v>
      </c>
      <c r="I143" s="14" t="s">
        <v>6479</v>
      </c>
      <c r="J143" s="14" t="s">
        <v>6480</v>
      </c>
      <c r="K143" s="14" t="s">
        <v>6481</v>
      </c>
      <c r="L143" s="14" t="s">
        <v>6482</v>
      </c>
      <c r="M143" s="14" t="s">
        <v>6483</v>
      </c>
      <c r="O143" s="14" t="s">
        <v>6484</v>
      </c>
      <c r="P143" s="14" t="s">
        <v>6485</v>
      </c>
      <c r="Q143" s="14" t="s">
        <v>6486</v>
      </c>
      <c r="R143" s="14" t="s">
        <v>6487</v>
      </c>
      <c r="S143" s="14" t="s">
        <v>6488</v>
      </c>
      <c r="T143" s="14" t="s">
        <v>6489</v>
      </c>
      <c r="U143" s="14" t="s">
        <v>6490</v>
      </c>
      <c r="V143" s="14" t="s">
        <v>6491</v>
      </c>
      <c r="W143" s="14" t="s">
        <v>6492</v>
      </c>
    </row>
    <row r="144" spans="1:23" ht="409.5">
      <c r="A144" s="14" t="s">
        <v>1218</v>
      </c>
      <c r="B144" s="14" t="s">
        <v>6493</v>
      </c>
      <c r="C144" s="15" t="s">
        <v>6494</v>
      </c>
      <c r="D144" s="14" t="s">
        <v>6495</v>
      </c>
      <c r="E144" s="14" t="s">
        <v>6496</v>
      </c>
      <c r="F144" s="14" t="s">
        <v>6497</v>
      </c>
      <c r="G144" s="14" t="s">
        <v>6498</v>
      </c>
      <c r="H144" s="14" t="s">
        <v>6499</v>
      </c>
      <c r="I144" s="14" t="s">
        <v>6500</v>
      </c>
      <c r="J144" s="14" t="s">
        <v>6501</v>
      </c>
      <c r="K144" s="14" t="s">
        <v>6502</v>
      </c>
      <c r="L144" s="14" t="s">
        <v>6503</v>
      </c>
      <c r="M144" s="14" t="s">
        <v>6504</v>
      </c>
      <c r="O144" s="14" t="s">
        <v>6505</v>
      </c>
      <c r="P144" s="14" t="s">
        <v>6506</v>
      </c>
      <c r="Q144" s="14" t="s">
        <v>6507</v>
      </c>
      <c r="R144" s="14" t="s">
        <v>6508</v>
      </c>
      <c r="S144" s="14" t="s">
        <v>6509</v>
      </c>
      <c r="T144" s="14" t="s">
        <v>6510</v>
      </c>
      <c r="U144" s="14" t="s">
        <v>6511</v>
      </c>
      <c r="V144" s="14" t="s">
        <v>6512</v>
      </c>
      <c r="W144" s="14" t="s">
        <v>6513</v>
      </c>
    </row>
    <row r="145" spans="1:23" ht="409.5">
      <c r="A145" s="14" t="s">
        <v>1218</v>
      </c>
      <c r="B145" s="14" t="s">
        <v>6514</v>
      </c>
      <c r="C145" s="15" t="s">
        <v>6515</v>
      </c>
      <c r="D145" s="14" t="s">
        <v>6516</v>
      </c>
      <c r="E145" s="14" t="s">
        <v>6517</v>
      </c>
      <c r="F145" s="14" t="s">
        <v>6518</v>
      </c>
      <c r="G145" s="14" t="s">
        <v>6519</v>
      </c>
      <c r="H145" s="14" t="s">
        <v>6520</v>
      </c>
      <c r="I145" s="14" t="s">
        <v>6521</v>
      </c>
      <c r="J145" s="14" t="s">
        <v>6522</v>
      </c>
      <c r="K145" s="14" t="s">
        <v>6523</v>
      </c>
      <c r="L145" s="14" t="s">
        <v>6524</v>
      </c>
      <c r="M145" s="14" t="s">
        <v>6525</v>
      </c>
      <c r="O145" s="14" t="s">
        <v>6526</v>
      </c>
      <c r="P145" s="14" t="s">
        <v>6527</v>
      </c>
      <c r="Q145" s="14" t="s">
        <v>6528</v>
      </c>
      <c r="R145" s="14" t="s">
        <v>6529</v>
      </c>
      <c r="S145" s="14" t="s">
        <v>6530</v>
      </c>
      <c r="T145" s="14" t="s">
        <v>6531</v>
      </c>
      <c r="U145" s="14" t="s">
        <v>6532</v>
      </c>
      <c r="V145" s="14" t="s">
        <v>6533</v>
      </c>
      <c r="W145" s="14" t="s">
        <v>6534</v>
      </c>
    </row>
    <row r="146" spans="1:23" ht="409.5">
      <c r="A146" s="14" t="s">
        <v>1218</v>
      </c>
      <c r="B146" s="14" t="s">
        <v>6535</v>
      </c>
      <c r="C146" s="15" t="s">
        <v>6536</v>
      </c>
      <c r="D146" s="14" t="s">
        <v>6537</v>
      </c>
      <c r="E146" s="14" t="s">
        <v>6538</v>
      </c>
      <c r="F146" s="14" t="s">
        <v>6539</v>
      </c>
      <c r="G146" s="14" t="s">
        <v>6540</v>
      </c>
      <c r="H146" s="14" t="s">
        <v>6541</v>
      </c>
      <c r="I146" s="14" t="s">
        <v>6542</v>
      </c>
      <c r="J146" s="14" t="s">
        <v>6543</v>
      </c>
      <c r="K146" s="14" t="s">
        <v>6544</v>
      </c>
      <c r="L146" s="14" t="s">
        <v>6545</v>
      </c>
      <c r="M146" s="14" t="s">
        <v>6546</v>
      </c>
      <c r="O146" s="14" t="s">
        <v>6547</v>
      </c>
      <c r="P146" s="14" t="s">
        <v>6548</v>
      </c>
      <c r="Q146" s="14" t="s">
        <v>6549</v>
      </c>
      <c r="R146" s="14" t="s">
        <v>6550</v>
      </c>
      <c r="S146" s="14" t="s">
        <v>6551</v>
      </c>
      <c r="T146" s="14" t="s">
        <v>6552</v>
      </c>
      <c r="U146" s="14" t="s">
        <v>6553</v>
      </c>
      <c r="V146" s="14" t="s">
        <v>6554</v>
      </c>
      <c r="W146" s="14" t="s">
        <v>6555</v>
      </c>
    </row>
    <row r="147" spans="1:23" ht="409.5">
      <c r="A147" s="14" t="s">
        <v>1218</v>
      </c>
      <c r="B147" s="14" t="s">
        <v>6556</v>
      </c>
      <c r="C147" s="15" t="s">
        <v>6557</v>
      </c>
      <c r="D147" s="14" t="s">
        <v>6558</v>
      </c>
      <c r="E147" s="14" t="s">
        <v>6559</v>
      </c>
      <c r="F147" s="14" t="s">
        <v>6560</v>
      </c>
      <c r="G147" s="14" t="s">
        <v>6561</v>
      </c>
      <c r="H147" s="14" t="s">
        <v>6562</v>
      </c>
      <c r="I147" s="14" t="s">
        <v>6563</v>
      </c>
      <c r="J147" s="14" t="s">
        <v>6564</v>
      </c>
      <c r="K147" s="14" t="s">
        <v>6565</v>
      </c>
      <c r="L147" s="14" t="s">
        <v>6566</v>
      </c>
      <c r="M147" s="14" t="s">
        <v>6567</v>
      </c>
      <c r="O147" s="14" t="s">
        <v>6568</v>
      </c>
      <c r="P147" s="14" t="s">
        <v>6569</v>
      </c>
      <c r="Q147" s="14" t="s">
        <v>6570</v>
      </c>
      <c r="R147" s="14" t="s">
        <v>6571</v>
      </c>
      <c r="S147" s="14" t="s">
        <v>6572</v>
      </c>
      <c r="T147" s="14" t="s">
        <v>6573</v>
      </c>
      <c r="U147" s="14" t="s">
        <v>6574</v>
      </c>
      <c r="V147" s="14" t="s">
        <v>6575</v>
      </c>
      <c r="W147" s="14" t="s">
        <v>6576</v>
      </c>
    </row>
    <row r="148" spans="1:23" ht="409.5">
      <c r="A148" s="14" t="s">
        <v>1218</v>
      </c>
      <c r="B148" s="14" t="s">
        <v>6577</v>
      </c>
      <c r="C148" s="15" t="s">
        <v>6578</v>
      </c>
      <c r="D148" s="14" t="s">
        <v>6579</v>
      </c>
      <c r="E148" s="14" t="s">
        <v>6580</v>
      </c>
      <c r="F148" s="14" t="s">
        <v>6581</v>
      </c>
      <c r="G148" s="14" t="s">
        <v>6582</v>
      </c>
      <c r="H148" s="14" t="s">
        <v>6583</v>
      </c>
      <c r="I148" s="14" t="s">
        <v>6584</v>
      </c>
      <c r="J148" s="14" t="s">
        <v>6585</v>
      </c>
      <c r="K148" s="14" t="s">
        <v>6586</v>
      </c>
      <c r="L148" s="14" t="s">
        <v>6587</v>
      </c>
      <c r="M148" s="14" t="s">
        <v>6588</v>
      </c>
      <c r="O148" s="14" t="s">
        <v>6589</v>
      </c>
      <c r="P148" s="14" t="s">
        <v>6590</v>
      </c>
      <c r="Q148" s="14" t="s">
        <v>6591</v>
      </c>
      <c r="R148" s="14" t="s">
        <v>6592</v>
      </c>
      <c r="S148" s="14" t="s">
        <v>6593</v>
      </c>
      <c r="T148" s="14" t="s">
        <v>6594</v>
      </c>
      <c r="U148" s="14" t="s">
        <v>6595</v>
      </c>
      <c r="V148" s="14" t="s">
        <v>6596</v>
      </c>
      <c r="W148" s="14" t="s">
        <v>6597</v>
      </c>
    </row>
    <row r="149" spans="1:23" ht="409.5">
      <c r="A149" s="14" t="s">
        <v>1218</v>
      </c>
      <c r="B149" s="14" t="s">
        <v>6598</v>
      </c>
      <c r="C149" s="15" t="s">
        <v>6599</v>
      </c>
      <c r="D149" s="14" t="s">
        <v>6600</v>
      </c>
      <c r="E149" s="14" t="s">
        <v>6601</v>
      </c>
      <c r="F149" s="14" t="s">
        <v>6602</v>
      </c>
      <c r="G149" s="14" t="s">
        <v>6603</v>
      </c>
      <c r="H149" s="14" t="s">
        <v>6604</v>
      </c>
      <c r="I149" s="14" t="s">
        <v>6605</v>
      </c>
      <c r="J149" s="14" t="s">
        <v>6606</v>
      </c>
      <c r="K149" s="14" t="s">
        <v>6607</v>
      </c>
      <c r="L149" s="14" t="s">
        <v>6608</v>
      </c>
      <c r="M149" s="14" t="s">
        <v>6609</v>
      </c>
      <c r="O149" s="14" t="s">
        <v>6610</v>
      </c>
      <c r="P149" s="14" t="s">
        <v>6611</v>
      </c>
      <c r="Q149" s="14" t="s">
        <v>6612</v>
      </c>
      <c r="R149" s="14" t="s">
        <v>6613</v>
      </c>
      <c r="S149" s="14" t="s">
        <v>6614</v>
      </c>
      <c r="T149" s="14" t="s">
        <v>6615</v>
      </c>
      <c r="U149" s="14" t="s">
        <v>6616</v>
      </c>
      <c r="V149" s="14" t="s">
        <v>6617</v>
      </c>
      <c r="W149" s="14" t="s">
        <v>6618</v>
      </c>
    </row>
    <row r="150" spans="1:23" ht="409.5">
      <c r="A150" s="14" t="s">
        <v>1218</v>
      </c>
      <c r="B150" s="14" t="s">
        <v>6619</v>
      </c>
      <c r="C150" s="15" t="s">
        <v>6620</v>
      </c>
      <c r="D150" s="14" t="s">
        <v>6621</v>
      </c>
      <c r="E150" s="14" t="s">
        <v>6622</v>
      </c>
      <c r="F150" s="14" t="s">
        <v>6623</v>
      </c>
      <c r="G150" s="14" t="s">
        <v>6624</v>
      </c>
      <c r="H150" s="14" t="s">
        <v>6625</v>
      </c>
      <c r="I150" s="14" t="s">
        <v>6626</v>
      </c>
      <c r="J150" s="14" t="s">
        <v>6627</v>
      </c>
      <c r="K150" s="14" t="s">
        <v>6628</v>
      </c>
      <c r="L150" s="14" t="s">
        <v>6629</v>
      </c>
      <c r="M150" s="14" t="s">
        <v>6630</v>
      </c>
      <c r="O150" s="14" t="s">
        <v>6631</v>
      </c>
      <c r="P150" s="14" t="s">
        <v>6632</v>
      </c>
      <c r="Q150" s="14" t="s">
        <v>6633</v>
      </c>
      <c r="R150" s="14" t="s">
        <v>6634</v>
      </c>
      <c r="S150" s="14" t="s">
        <v>6635</v>
      </c>
      <c r="T150" s="14" t="s">
        <v>6636</v>
      </c>
      <c r="U150" s="14" t="s">
        <v>6637</v>
      </c>
      <c r="V150" s="14" t="s">
        <v>6638</v>
      </c>
      <c r="W150" s="14" t="s">
        <v>6639</v>
      </c>
    </row>
    <row r="151" spans="1:23" ht="409.5">
      <c r="A151" s="14" t="s">
        <v>1218</v>
      </c>
      <c r="B151" s="14" t="s">
        <v>6640</v>
      </c>
      <c r="C151" s="15" t="s">
        <v>6641</v>
      </c>
      <c r="D151" s="14" t="s">
        <v>6642</v>
      </c>
      <c r="E151" s="14" t="s">
        <v>6643</v>
      </c>
      <c r="F151" s="14" t="s">
        <v>6644</v>
      </c>
      <c r="G151" s="14" t="s">
        <v>6645</v>
      </c>
      <c r="H151" s="14" t="s">
        <v>6646</v>
      </c>
      <c r="I151" s="14" t="s">
        <v>6647</v>
      </c>
      <c r="J151" s="14" t="s">
        <v>6648</v>
      </c>
      <c r="K151" s="14" t="s">
        <v>6649</v>
      </c>
      <c r="L151" s="14" t="s">
        <v>6650</v>
      </c>
      <c r="M151" s="14" t="s">
        <v>6651</v>
      </c>
      <c r="O151" s="14" t="s">
        <v>6652</v>
      </c>
      <c r="P151" s="14" t="s">
        <v>6653</v>
      </c>
      <c r="Q151" s="14" t="s">
        <v>6654</v>
      </c>
      <c r="R151" s="14" t="s">
        <v>6655</v>
      </c>
      <c r="S151" s="14" t="s">
        <v>6656</v>
      </c>
      <c r="T151" s="14" t="s">
        <v>6657</v>
      </c>
      <c r="U151" s="14" t="s">
        <v>6658</v>
      </c>
      <c r="V151" s="14" t="s">
        <v>6659</v>
      </c>
      <c r="W151" s="14" t="s">
        <v>6660</v>
      </c>
    </row>
    <row r="152" spans="1:23" ht="409.5">
      <c r="A152" s="14" t="s">
        <v>1218</v>
      </c>
      <c r="B152" s="14" t="s">
        <v>6661</v>
      </c>
      <c r="C152" s="15" t="s">
        <v>6662</v>
      </c>
      <c r="D152" s="14" t="s">
        <v>6663</v>
      </c>
      <c r="E152" s="14" t="s">
        <v>6664</v>
      </c>
      <c r="F152" s="14" t="s">
        <v>6665</v>
      </c>
      <c r="G152" s="14" t="s">
        <v>6666</v>
      </c>
      <c r="H152" s="14" t="s">
        <v>6667</v>
      </c>
      <c r="I152" s="14" t="s">
        <v>6668</v>
      </c>
      <c r="J152" s="14" t="s">
        <v>6669</v>
      </c>
      <c r="K152" s="14" t="s">
        <v>6670</v>
      </c>
      <c r="L152" s="14" t="s">
        <v>6671</v>
      </c>
      <c r="M152" s="14" t="s">
        <v>6672</v>
      </c>
      <c r="O152" s="14" t="s">
        <v>6673</v>
      </c>
      <c r="P152" s="14" t="s">
        <v>6674</v>
      </c>
      <c r="Q152" s="14" t="s">
        <v>6675</v>
      </c>
      <c r="R152" s="14" t="s">
        <v>6676</v>
      </c>
      <c r="S152" s="14" t="s">
        <v>6677</v>
      </c>
      <c r="T152" s="14" t="s">
        <v>6678</v>
      </c>
      <c r="U152" s="14" t="s">
        <v>6679</v>
      </c>
      <c r="V152" s="14" t="s">
        <v>6680</v>
      </c>
      <c r="W152" s="14" t="s">
        <v>6681</v>
      </c>
    </row>
    <row r="153" spans="1:23" ht="409.5">
      <c r="A153" s="14" t="s">
        <v>1218</v>
      </c>
      <c r="B153" s="14" t="s">
        <v>6682</v>
      </c>
      <c r="C153" s="15" t="s">
        <v>6683</v>
      </c>
      <c r="D153" s="14" t="s">
        <v>6684</v>
      </c>
      <c r="E153" s="14" t="s">
        <v>6685</v>
      </c>
      <c r="F153" s="14" t="s">
        <v>6686</v>
      </c>
      <c r="G153" s="14" t="s">
        <v>6687</v>
      </c>
      <c r="H153" s="14" t="s">
        <v>6688</v>
      </c>
      <c r="I153" s="14" t="s">
        <v>6689</v>
      </c>
      <c r="J153" s="14" t="s">
        <v>6690</v>
      </c>
      <c r="K153" s="14" t="s">
        <v>6691</v>
      </c>
      <c r="L153" s="14" t="s">
        <v>6692</v>
      </c>
      <c r="M153" s="14" t="s">
        <v>6693</v>
      </c>
      <c r="O153" s="14" t="s">
        <v>6694</v>
      </c>
      <c r="P153" s="14" t="s">
        <v>6695</v>
      </c>
      <c r="Q153" s="14" t="s">
        <v>6696</v>
      </c>
      <c r="R153" s="14" t="s">
        <v>6697</v>
      </c>
      <c r="S153" s="14" t="s">
        <v>6698</v>
      </c>
      <c r="T153" s="14" t="s">
        <v>6699</v>
      </c>
      <c r="U153" s="14" t="s">
        <v>6700</v>
      </c>
      <c r="V153" s="14" t="s">
        <v>6701</v>
      </c>
      <c r="W153" s="14" t="s">
        <v>6702</v>
      </c>
    </row>
    <row r="154" spans="1:23" ht="409.5">
      <c r="A154" s="14" t="s">
        <v>1218</v>
      </c>
      <c r="B154" s="14" t="s">
        <v>6703</v>
      </c>
      <c r="C154" s="15" t="s">
        <v>6704</v>
      </c>
      <c r="D154" s="14" t="s">
        <v>6705</v>
      </c>
      <c r="E154" s="14" t="s">
        <v>6706</v>
      </c>
      <c r="F154" s="14" t="s">
        <v>6707</v>
      </c>
      <c r="G154" s="14" t="s">
        <v>6708</v>
      </c>
      <c r="H154" s="14" t="s">
        <v>6709</v>
      </c>
      <c r="I154" s="14" t="s">
        <v>6710</v>
      </c>
      <c r="J154" s="14" t="s">
        <v>6711</v>
      </c>
      <c r="K154" s="14" t="s">
        <v>6712</v>
      </c>
      <c r="L154" s="14" t="s">
        <v>6713</v>
      </c>
      <c r="M154" s="14" t="s">
        <v>6714</v>
      </c>
      <c r="O154" s="14" t="s">
        <v>6715</v>
      </c>
      <c r="P154" s="14" t="s">
        <v>6716</v>
      </c>
      <c r="Q154" s="14" t="s">
        <v>6717</v>
      </c>
      <c r="R154" s="14" t="s">
        <v>6718</v>
      </c>
      <c r="S154" s="14" t="s">
        <v>6719</v>
      </c>
      <c r="T154" s="14" t="s">
        <v>6720</v>
      </c>
      <c r="U154" s="14" t="s">
        <v>6721</v>
      </c>
      <c r="V154" s="14" t="s">
        <v>6722</v>
      </c>
      <c r="W154" s="14" t="s">
        <v>6723</v>
      </c>
    </row>
    <row r="155" spans="1:23" ht="409.5">
      <c r="A155" s="14" t="s">
        <v>1218</v>
      </c>
      <c r="B155" s="14" t="s">
        <v>6724</v>
      </c>
      <c r="C155" s="15" t="s">
        <v>6725</v>
      </c>
      <c r="D155" s="14" t="s">
        <v>6726</v>
      </c>
      <c r="E155" s="14" t="s">
        <v>6727</v>
      </c>
      <c r="F155" s="14" t="s">
        <v>6728</v>
      </c>
      <c r="G155" s="14" t="s">
        <v>6729</v>
      </c>
      <c r="H155" s="14" t="s">
        <v>6730</v>
      </c>
      <c r="I155" s="14" t="s">
        <v>6731</v>
      </c>
      <c r="J155" s="14" t="s">
        <v>6732</v>
      </c>
      <c r="K155" s="14" t="s">
        <v>6733</v>
      </c>
      <c r="L155" s="14" t="s">
        <v>6734</v>
      </c>
      <c r="M155" s="14" t="s">
        <v>6735</v>
      </c>
      <c r="O155" s="14" t="s">
        <v>6736</v>
      </c>
      <c r="P155" s="14" t="s">
        <v>6737</v>
      </c>
      <c r="Q155" s="14" t="s">
        <v>6738</v>
      </c>
      <c r="R155" s="14" t="s">
        <v>6739</v>
      </c>
      <c r="S155" s="14" t="s">
        <v>6740</v>
      </c>
      <c r="T155" s="14" t="s">
        <v>6741</v>
      </c>
      <c r="U155" s="14" t="s">
        <v>6742</v>
      </c>
      <c r="V155" s="14" t="s">
        <v>6743</v>
      </c>
      <c r="W155" s="14" t="s">
        <v>6744</v>
      </c>
    </row>
    <row r="156" spans="1:23" ht="409.5">
      <c r="A156" s="14" t="s">
        <v>1218</v>
      </c>
      <c r="B156" s="14" t="s">
        <v>6745</v>
      </c>
      <c r="C156" s="15" t="s">
        <v>6746</v>
      </c>
      <c r="D156" s="14" t="s">
        <v>6747</v>
      </c>
      <c r="E156" s="14" t="s">
        <v>6748</v>
      </c>
      <c r="F156" s="14" t="s">
        <v>6749</v>
      </c>
      <c r="G156" s="14" t="s">
        <v>6750</v>
      </c>
      <c r="H156" s="14" t="s">
        <v>6751</v>
      </c>
      <c r="I156" s="14" t="s">
        <v>6752</v>
      </c>
      <c r="J156" s="14" t="s">
        <v>6753</v>
      </c>
      <c r="K156" s="14" t="s">
        <v>6754</v>
      </c>
      <c r="L156" s="14" t="s">
        <v>6755</v>
      </c>
      <c r="M156" s="14" t="s">
        <v>6756</v>
      </c>
      <c r="O156" s="14" t="s">
        <v>6757</v>
      </c>
      <c r="P156" s="14" t="s">
        <v>6758</v>
      </c>
      <c r="Q156" s="14" t="s">
        <v>6759</v>
      </c>
      <c r="R156" s="14" t="s">
        <v>6760</v>
      </c>
      <c r="S156" s="14" t="s">
        <v>6761</v>
      </c>
      <c r="T156" s="14" t="s">
        <v>6762</v>
      </c>
      <c r="U156" s="14" t="s">
        <v>6763</v>
      </c>
      <c r="V156" s="14" t="s">
        <v>6764</v>
      </c>
      <c r="W156" s="14" t="s">
        <v>6765</v>
      </c>
    </row>
    <row r="157" spans="1:23" ht="409.5">
      <c r="A157" s="14" t="s">
        <v>1218</v>
      </c>
      <c r="B157" s="14" t="s">
        <v>6766</v>
      </c>
      <c r="C157" s="15" t="s">
        <v>6767</v>
      </c>
      <c r="D157" s="14" t="s">
        <v>6768</v>
      </c>
      <c r="E157" s="14" t="s">
        <v>6769</v>
      </c>
      <c r="F157" s="14" t="s">
        <v>6770</v>
      </c>
      <c r="G157" s="14" t="s">
        <v>6771</v>
      </c>
      <c r="H157" s="14" t="s">
        <v>6772</v>
      </c>
      <c r="I157" s="14" t="s">
        <v>6773</v>
      </c>
      <c r="J157" s="14" t="s">
        <v>6774</v>
      </c>
      <c r="K157" s="14" t="s">
        <v>6775</v>
      </c>
      <c r="L157" s="14" t="s">
        <v>6776</v>
      </c>
      <c r="M157" s="14" t="s">
        <v>6777</v>
      </c>
      <c r="O157" s="14" t="s">
        <v>6778</v>
      </c>
      <c r="P157" s="14" t="s">
        <v>6779</v>
      </c>
      <c r="Q157" s="14" t="s">
        <v>6780</v>
      </c>
      <c r="R157" s="14" t="s">
        <v>6781</v>
      </c>
      <c r="S157" s="14" t="s">
        <v>6782</v>
      </c>
      <c r="T157" s="14" t="s">
        <v>6783</v>
      </c>
      <c r="U157" s="14" t="s">
        <v>6784</v>
      </c>
      <c r="V157" s="14" t="s">
        <v>6785</v>
      </c>
      <c r="W157" s="14" t="s">
        <v>6786</v>
      </c>
    </row>
    <row r="158" spans="1:23" ht="409.5">
      <c r="A158" s="14" t="s">
        <v>1218</v>
      </c>
      <c r="B158" s="14" t="s">
        <v>6787</v>
      </c>
      <c r="C158" s="15" t="s">
        <v>6788</v>
      </c>
      <c r="D158" s="14" t="s">
        <v>6789</v>
      </c>
      <c r="E158" s="14" t="s">
        <v>6790</v>
      </c>
      <c r="F158" s="14" t="s">
        <v>6791</v>
      </c>
      <c r="G158" s="14" t="s">
        <v>6792</v>
      </c>
      <c r="H158" s="14" t="s">
        <v>6793</v>
      </c>
      <c r="I158" s="14" t="s">
        <v>6794</v>
      </c>
      <c r="J158" s="14" t="s">
        <v>6795</v>
      </c>
      <c r="K158" s="14" t="s">
        <v>6796</v>
      </c>
      <c r="L158" s="14" t="s">
        <v>6797</v>
      </c>
      <c r="M158" s="14" t="s">
        <v>6798</v>
      </c>
      <c r="O158" s="14" t="s">
        <v>6799</v>
      </c>
      <c r="P158" s="14" t="s">
        <v>6800</v>
      </c>
      <c r="Q158" s="14" t="s">
        <v>6801</v>
      </c>
      <c r="R158" s="14" t="s">
        <v>6802</v>
      </c>
      <c r="S158" s="14" t="s">
        <v>6803</v>
      </c>
      <c r="T158" s="14" t="s">
        <v>6804</v>
      </c>
      <c r="U158" s="14" t="s">
        <v>6805</v>
      </c>
      <c r="V158" s="14" t="s">
        <v>6806</v>
      </c>
      <c r="W158" s="14" t="s">
        <v>6807</v>
      </c>
    </row>
    <row r="159" spans="1:23" ht="409.5">
      <c r="A159" s="14" t="s">
        <v>1218</v>
      </c>
      <c r="B159" s="14" t="s">
        <v>6808</v>
      </c>
      <c r="C159" s="15" t="s">
        <v>6809</v>
      </c>
      <c r="D159" s="14" t="s">
        <v>6810</v>
      </c>
      <c r="E159" s="14" t="s">
        <v>6811</v>
      </c>
      <c r="F159" s="14" t="s">
        <v>6812</v>
      </c>
      <c r="G159" s="14" t="s">
        <v>6813</v>
      </c>
      <c r="H159" s="14" t="s">
        <v>6814</v>
      </c>
      <c r="I159" s="14" t="s">
        <v>6815</v>
      </c>
      <c r="J159" s="14" t="s">
        <v>6816</v>
      </c>
      <c r="K159" s="14" t="s">
        <v>6817</v>
      </c>
      <c r="L159" s="14" t="s">
        <v>6818</v>
      </c>
      <c r="M159" s="14" t="s">
        <v>6819</v>
      </c>
      <c r="O159" s="14" t="s">
        <v>6820</v>
      </c>
      <c r="P159" s="14" t="s">
        <v>6821</v>
      </c>
      <c r="Q159" s="14" t="s">
        <v>6822</v>
      </c>
      <c r="R159" s="14" t="s">
        <v>6823</v>
      </c>
      <c r="S159" s="14" t="s">
        <v>6824</v>
      </c>
      <c r="T159" s="14" t="s">
        <v>6825</v>
      </c>
      <c r="U159" s="14" t="s">
        <v>6826</v>
      </c>
      <c r="V159" s="14" t="s">
        <v>6827</v>
      </c>
      <c r="W159" s="14" t="s">
        <v>6828</v>
      </c>
    </row>
    <row r="160" spans="1:23" ht="409.5">
      <c r="A160" s="14" t="s">
        <v>1218</v>
      </c>
      <c r="B160" s="14" t="s">
        <v>6829</v>
      </c>
      <c r="C160" s="15" t="s">
        <v>6830</v>
      </c>
      <c r="D160" s="14" t="s">
        <v>6831</v>
      </c>
      <c r="E160" s="14" t="s">
        <v>6832</v>
      </c>
      <c r="F160" s="14" t="s">
        <v>6833</v>
      </c>
      <c r="G160" s="14" t="s">
        <v>6834</v>
      </c>
      <c r="H160" s="14" t="s">
        <v>6835</v>
      </c>
      <c r="I160" s="14" t="s">
        <v>6836</v>
      </c>
      <c r="J160" s="14" t="s">
        <v>6837</v>
      </c>
      <c r="K160" s="14" t="s">
        <v>6838</v>
      </c>
      <c r="L160" s="14" t="s">
        <v>6839</v>
      </c>
      <c r="M160" s="14" t="s">
        <v>6840</v>
      </c>
      <c r="O160" s="14" t="s">
        <v>6841</v>
      </c>
      <c r="P160" s="14" t="s">
        <v>6842</v>
      </c>
      <c r="Q160" s="14" t="s">
        <v>6843</v>
      </c>
      <c r="R160" s="14" t="s">
        <v>6844</v>
      </c>
      <c r="S160" s="14" t="s">
        <v>6845</v>
      </c>
      <c r="T160" s="14" t="s">
        <v>6846</v>
      </c>
      <c r="U160" s="14" t="s">
        <v>6847</v>
      </c>
      <c r="V160" s="14" t="s">
        <v>6848</v>
      </c>
      <c r="W160" s="14" t="s">
        <v>6849</v>
      </c>
    </row>
    <row r="161" spans="1:23" ht="409.5">
      <c r="A161" s="14" t="s">
        <v>1218</v>
      </c>
      <c r="B161" s="14" t="s">
        <v>6850</v>
      </c>
      <c r="C161" s="15" t="s">
        <v>6851</v>
      </c>
      <c r="D161" s="14" t="s">
        <v>6852</v>
      </c>
      <c r="E161" s="14" t="s">
        <v>6853</v>
      </c>
      <c r="F161" s="14" t="s">
        <v>6854</v>
      </c>
      <c r="G161" s="14" t="s">
        <v>6855</v>
      </c>
      <c r="H161" s="14" t="s">
        <v>6856</v>
      </c>
      <c r="I161" s="14" t="s">
        <v>6857</v>
      </c>
      <c r="J161" s="14" t="s">
        <v>6858</v>
      </c>
      <c r="K161" s="14" t="s">
        <v>6859</v>
      </c>
      <c r="L161" s="14" t="s">
        <v>6860</v>
      </c>
      <c r="M161" s="14" t="s">
        <v>6861</v>
      </c>
      <c r="O161" s="14" t="s">
        <v>6862</v>
      </c>
      <c r="P161" s="14" t="s">
        <v>6863</v>
      </c>
      <c r="Q161" s="14" t="s">
        <v>6864</v>
      </c>
      <c r="R161" s="14" t="s">
        <v>6865</v>
      </c>
      <c r="S161" s="14" t="s">
        <v>6866</v>
      </c>
      <c r="T161" s="14" t="s">
        <v>6867</v>
      </c>
      <c r="U161" s="14" t="s">
        <v>6868</v>
      </c>
      <c r="V161" s="14" t="s">
        <v>6869</v>
      </c>
      <c r="W161" s="14" t="s">
        <v>6870</v>
      </c>
    </row>
    <row r="162" spans="1:23" ht="409.5">
      <c r="A162" s="14" t="s">
        <v>1218</v>
      </c>
      <c r="B162" s="14" t="s">
        <v>6871</v>
      </c>
      <c r="C162" s="15" t="s">
        <v>6872</v>
      </c>
      <c r="D162" s="14" t="s">
        <v>6873</v>
      </c>
      <c r="E162" s="14" t="s">
        <v>6874</v>
      </c>
      <c r="F162" s="14" t="s">
        <v>6875</v>
      </c>
      <c r="G162" s="14" t="s">
        <v>6876</v>
      </c>
      <c r="H162" s="14" t="s">
        <v>6877</v>
      </c>
      <c r="I162" s="14" t="s">
        <v>6878</v>
      </c>
      <c r="J162" s="14" t="s">
        <v>6879</v>
      </c>
      <c r="K162" s="14" t="s">
        <v>6880</v>
      </c>
      <c r="L162" s="14" t="s">
        <v>6881</v>
      </c>
      <c r="M162" s="14" t="s">
        <v>6882</v>
      </c>
      <c r="O162" s="14" t="s">
        <v>6883</v>
      </c>
      <c r="P162" s="14" t="s">
        <v>6884</v>
      </c>
      <c r="Q162" s="14" t="s">
        <v>6885</v>
      </c>
      <c r="R162" s="14" t="s">
        <v>6886</v>
      </c>
      <c r="S162" s="14" t="s">
        <v>6887</v>
      </c>
      <c r="T162" s="14" t="s">
        <v>6888</v>
      </c>
      <c r="U162" s="14" t="s">
        <v>6889</v>
      </c>
      <c r="V162" s="14" t="s">
        <v>6890</v>
      </c>
      <c r="W162" s="14" t="s">
        <v>6891</v>
      </c>
    </row>
    <row r="163" spans="1:23" ht="409.5">
      <c r="A163" s="14" t="s">
        <v>1218</v>
      </c>
      <c r="B163" s="14" t="s">
        <v>6892</v>
      </c>
      <c r="C163" s="15" t="s">
        <v>6893</v>
      </c>
      <c r="D163" s="14" t="s">
        <v>6894</v>
      </c>
      <c r="E163" s="14" t="s">
        <v>6895</v>
      </c>
      <c r="F163" s="14" t="s">
        <v>6896</v>
      </c>
      <c r="G163" s="14" t="s">
        <v>6897</v>
      </c>
      <c r="H163" s="14" t="s">
        <v>6898</v>
      </c>
      <c r="I163" s="14" t="s">
        <v>6899</v>
      </c>
      <c r="J163" s="14" t="s">
        <v>6900</v>
      </c>
      <c r="K163" s="14" t="s">
        <v>6901</v>
      </c>
      <c r="L163" s="14" t="s">
        <v>6902</v>
      </c>
      <c r="M163" s="14" t="s">
        <v>6903</v>
      </c>
      <c r="O163" s="14" t="s">
        <v>6904</v>
      </c>
      <c r="P163" s="14" t="s">
        <v>6905</v>
      </c>
      <c r="Q163" s="14" t="s">
        <v>6906</v>
      </c>
      <c r="R163" s="14" t="s">
        <v>6907</v>
      </c>
      <c r="S163" s="14" t="s">
        <v>6908</v>
      </c>
      <c r="T163" s="14" t="s">
        <v>6909</v>
      </c>
      <c r="U163" s="14" t="s">
        <v>6910</v>
      </c>
      <c r="V163" s="14" t="s">
        <v>6911</v>
      </c>
      <c r="W163" s="14" t="s">
        <v>6912</v>
      </c>
    </row>
    <row r="164" spans="1:23" ht="409.5">
      <c r="A164" s="14" t="s">
        <v>1218</v>
      </c>
      <c r="B164" s="14" t="s">
        <v>6913</v>
      </c>
      <c r="C164" s="15" t="s">
        <v>6914</v>
      </c>
      <c r="D164" s="14" t="s">
        <v>6915</v>
      </c>
      <c r="E164" s="14" t="s">
        <v>6916</v>
      </c>
      <c r="F164" s="14" t="s">
        <v>6917</v>
      </c>
      <c r="G164" s="14" t="s">
        <v>6918</v>
      </c>
      <c r="H164" s="14" t="s">
        <v>6919</v>
      </c>
      <c r="I164" s="14" t="s">
        <v>6920</v>
      </c>
      <c r="J164" s="14" t="s">
        <v>6921</v>
      </c>
      <c r="K164" s="14" t="s">
        <v>6922</v>
      </c>
      <c r="L164" s="14" t="s">
        <v>6923</v>
      </c>
      <c r="M164" s="14" t="s">
        <v>6924</v>
      </c>
      <c r="O164" s="14" t="s">
        <v>6925</v>
      </c>
      <c r="P164" s="14" t="s">
        <v>6926</v>
      </c>
      <c r="Q164" s="14" t="s">
        <v>6927</v>
      </c>
      <c r="R164" s="14" t="s">
        <v>6928</v>
      </c>
      <c r="S164" s="14" t="s">
        <v>6929</v>
      </c>
      <c r="T164" s="14" t="s">
        <v>6930</v>
      </c>
      <c r="U164" s="14" t="s">
        <v>6931</v>
      </c>
      <c r="V164" s="14" t="s">
        <v>6932</v>
      </c>
      <c r="W164" s="14" t="s">
        <v>6933</v>
      </c>
    </row>
    <row r="165" spans="1:23" ht="409.5">
      <c r="A165" s="14" t="s">
        <v>1218</v>
      </c>
      <c r="B165" s="14" t="s">
        <v>6934</v>
      </c>
      <c r="C165" s="15" t="s">
        <v>6935</v>
      </c>
      <c r="D165" s="14" t="s">
        <v>6936</v>
      </c>
      <c r="E165" s="14" t="s">
        <v>6937</v>
      </c>
      <c r="F165" s="14" t="s">
        <v>6938</v>
      </c>
      <c r="G165" s="14" t="s">
        <v>6939</v>
      </c>
      <c r="H165" s="14" t="s">
        <v>6940</v>
      </c>
      <c r="I165" s="14" t="s">
        <v>6941</v>
      </c>
      <c r="J165" s="14" t="s">
        <v>6942</v>
      </c>
      <c r="K165" s="14" t="s">
        <v>6943</v>
      </c>
      <c r="L165" s="14" t="s">
        <v>6944</v>
      </c>
      <c r="M165" s="14" t="s">
        <v>6945</v>
      </c>
      <c r="O165" s="14" t="s">
        <v>6946</v>
      </c>
      <c r="P165" s="14" t="s">
        <v>6947</v>
      </c>
      <c r="Q165" s="14" t="s">
        <v>6948</v>
      </c>
      <c r="R165" s="14" t="s">
        <v>6949</v>
      </c>
      <c r="S165" s="14" t="s">
        <v>6950</v>
      </c>
      <c r="T165" s="14" t="s">
        <v>6951</v>
      </c>
      <c r="U165" s="14" t="s">
        <v>6952</v>
      </c>
      <c r="V165" s="14" t="s">
        <v>6953</v>
      </c>
      <c r="W165" s="14" t="s">
        <v>6954</v>
      </c>
    </row>
    <row r="166" spans="1:23" ht="409.5">
      <c r="A166" s="14" t="s">
        <v>1218</v>
      </c>
      <c r="B166" s="14" t="s">
        <v>6955</v>
      </c>
      <c r="C166" s="15" t="s">
        <v>6956</v>
      </c>
      <c r="D166" s="14" t="s">
        <v>6957</v>
      </c>
      <c r="E166" s="14" t="s">
        <v>6958</v>
      </c>
      <c r="F166" s="14" t="s">
        <v>6959</v>
      </c>
      <c r="G166" s="14" t="s">
        <v>6960</v>
      </c>
      <c r="H166" s="14" t="s">
        <v>6961</v>
      </c>
      <c r="I166" s="14" t="s">
        <v>6962</v>
      </c>
      <c r="J166" s="14" t="s">
        <v>6963</v>
      </c>
      <c r="K166" s="14" t="s">
        <v>6964</v>
      </c>
      <c r="L166" s="14" t="s">
        <v>6965</v>
      </c>
      <c r="M166" s="14" t="s">
        <v>6966</v>
      </c>
      <c r="O166" s="14" t="s">
        <v>6967</v>
      </c>
      <c r="P166" s="14" t="s">
        <v>6968</v>
      </c>
      <c r="Q166" s="14" t="s">
        <v>6969</v>
      </c>
      <c r="R166" s="14" t="s">
        <v>6970</v>
      </c>
      <c r="S166" s="14" t="s">
        <v>6971</v>
      </c>
      <c r="T166" s="14" t="s">
        <v>6972</v>
      </c>
      <c r="U166" s="14" t="s">
        <v>6973</v>
      </c>
      <c r="V166" s="14" t="s">
        <v>6974</v>
      </c>
      <c r="W166" s="14" t="s">
        <v>6975</v>
      </c>
    </row>
    <row r="167" spans="1:23" ht="409.5">
      <c r="A167" s="14" t="s">
        <v>1218</v>
      </c>
      <c r="B167" s="14" t="s">
        <v>6976</v>
      </c>
      <c r="C167" s="15" t="s">
        <v>6977</v>
      </c>
      <c r="D167" s="14" t="s">
        <v>6978</v>
      </c>
      <c r="E167" s="14" t="s">
        <v>6979</v>
      </c>
      <c r="F167" s="14" t="s">
        <v>6980</v>
      </c>
      <c r="G167" s="14" t="s">
        <v>6981</v>
      </c>
      <c r="H167" s="14" t="s">
        <v>6982</v>
      </c>
      <c r="I167" s="14" t="s">
        <v>6983</v>
      </c>
      <c r="J167" s="14" t="s">
        <v>6984</v>
      </c>
      <c r="K167" s="14" t="s">
        <v>6985</v>
      </c>
      <c r="L167" s="14" t="s">
        <v>6986</v>
      </c>
      <c r="M167" s="14" t="s">
        <v>6987</v>
      </c>
      <c r="O167" s="14" t="s">
        <v>6988</v>
      </c>
      <c r="P167" s="14" t="s">
        <v>6989</v>
      </c>
      <c r="Q167" s="14" t="s">
        <v>6990</v>
      </c>
      <c r="R167" s="14" t="s">
        <v>6991</v>
      </c>
      <c r="S167" s="14" t="s">
        <v>6992</v>
      </c>
      <c r="T167" s="14" t="s">
        <v>6993</v>
      </c>
      <c r="U167" s="14" t="s">
        <v>6994</v>
      </c>
      <c r="V167" s="14" t="s">
        <v>6995</v>
      </c>
      <c r="W167" s="14" t="s">
        <v>6996</v>
      </c>
    </row>
    <row r="168" spans="1:23" ht="409.5">
      <c r="A168" s="14" t="s">
        <v>1218</v>
      </c>
      <c r="B168" s="14" t="s">
        <v>6997</v>
      </c>
      <c r="C168" s="15" t="s">
        <v>6998</v>
      </c>
      <c r="D168" s="14" t="s">
        <v>6999</v>
      </c>
      <c r="E168" s="14" t="s">
        <v>7000</v>
      </c>
      <c r="F168" s="14" t="s">
        <v>7001</v>
      </c>
      <c r="G168" s="14" t="s">
        <v>7002</v>
      </c>
      <c r="H168" s="14" t="s">
        <v>7003</v>
      </c>
      <c r="I168" s="14" t="s">
        <v>7004</v>
      </c>
      <c r="J168" s="14" t="s">
        <v>7005</v>
      </c>
      <c r="K168" s="14" t="s">
        <v>7006</v>
      </c>
      <c r="L168" s="14" t="s">
        <v>7007</v>
      </c>
      <c r="M168" s="14" t="s">
        <v>7008</v>
      </c>
      <c r="O168" s="14" t="s">
        <v>7009</v>
      </c>
      <c r="P168" s="14" t="s">
        <v>7010</v>
      </c>
      <c r="Q168" s="14" t="s">
        <v>7011</v>
      </c>
      <c r="R168" s="14" t="s">
        <v>7012</v>
      </c>
      <c r="S168" s="14" t="s">
        <v>7013</v>
      </c>
      <c r="T168" s="14" t="s">
        <v>7014</v>
      </c>
      <c r="U168" s="14" t="s">
        <v>7015</v>
      </c>
      <c r="V168" s="14" t="s">
        <v>7016</v>
      </c>
      <c r="W168" s="14" t="s">
        <v>7017</v>
      </c>
    </row>
    <row r="169" spans="1:23" ht="409.5">
      <c r="A169" s="14" t="s">
        <v>1218</v>
      </c>
      <c r="B169" s="14" t="s">
        <v>7018</v>
      </c>
      <c r="C169" s="15" t="s">
        <v>7019</v>
      </c>
      <c r="D169" s="14" t="s">
        <v>7020</v>
      </c>
      <c r="E169" s="14" t="s">
        <v>7021</v>
      </c>
      <c r="F169" s="14" t="s">
        <v>7022</v>
      </c>
      <c r="G169" s="14" t="s">
        <v>7023</v>
      </c>
      <c r="H169" s="14" t="s">
        <v>7024</v>
      </c>
      <c r="I169" s="14" t="s">
        <v>7025</v>
      </c>
      <c r="J169" s="14" t="s">
        <v>7026</v>
      </c>
      <c r="K169" s="14" t="s">
        <v>7027</v>
      </c>
      <c r="L169" s="14" t="s">
        <v>7028</v>
      </c>
      <c r="M169" s="14" t="s">
        <v>7029</v>
      </c>
      <c r="O169" s="14" t="s">
        <v>7030</v>
      </c>
      <c r="P169" s="14" t="s">
        <v>7031</v>
      </c>
      <c r="Q169" s="14" t="s">
        <v>7032</v>
      </c>
      <c r="R169" s="14" t="s">
        <v>7033</v>
      </c>
      <c r="S169" s="14" t="s">
        <v>7034</v>
      </c>
      <c r="T169" s="14" t="s">
        <v>7035</v>
      </c>
      <c r="U169" s="14" t="s">
        <v>7036</v>
      </c>
      <c r="V169" s="14" t="s">
        <v>7037</v>
      </c>
      <c r="W169" s="14" t="s">
        <v>7038</v>
      </c>
    </row>
    <row r="170" spans="1:23" ht="409.5">
      <c r="A170" s="14" t="s">
        <v>1218</v>
      </c>
      <c r="B170" s="14" t="s">
        <v>7039</v>
      </c>
      <c r="C170" s="15" t="s">
        <v>7040</v>
      </c>
      <c r="D170" s="14" t="s">
        <v>7041</v>
      </c>
      <c r="E170" s="14" t="s">
        <v>7042</v>
      </c>
      <c r="F170" s="14" t="s">
        <v>7043</v>
      </c>
      <c r="G170" s="14" t="s">
        <v>7044</v>
      </c>
      <c r="H170" s="14" t="s">
        <v>7045</v>
      </c>
      <c r="I170" s="14" t="s">
        <v>7046</v>
      </c>
      <c r="J170" s="14" t="s">
        <v>7047</v>
      </c>
      <c r="K170" s="14" t="s">
        <v>7048</v>
      </c>
      <c r="L170" s="14" t="s">
        <v>7049</v>
      </c>
      <c r="M170" s="14" t="s">
        <v>7050</v>
      </c>
      <c r="O170" s="14" t="s">
        <v>7051</v>
      </c>
      <c r="P170" s="14" t="s">
        <v>7052</v>
      </c>
      <c r="Q170" s="14" t="s">
        <v>7053</v>
      </c>
      <c r="R170" s="14" t="s">
        <v>7054</v>
      </c>
      <c r="S170" s="14" t="s">
        <v>7055</v>
      </c>
      <c r="T170" s="14" t="s">
        <v>7056</v>
      </c>
      <c r="U170" s="14" t="s">
        <v>7057</v>
      </c>
      <c r="V170" s="14" t="s">
        <v>7058</v>
      </c>
      <c r="W170" s="14" t="s">
        <v>7059</v>
      </c>
    </row>
    <row r="171" spans="1:23" ht="409.5">
      <c r="A171" s="14" t="s">
        <v>1218</v>
      </c>
      <c r="B171" s="14" t="s">
        <v>7060</v>
      </c>
      <c r="C171" s="15" t="s">
        <v>7061</v>
      </c>
      <c r="D171" s="14" t="s">
        <v>7062</v>
      </c>
      <c r="E171" s="14" t="s">
        <v>7063</v>
      </c>
      <c r="F171" s="14" t="s">
        <v>7064</v>
      </c>
      <c r="G171" s="14" t="s">
        <v>7065</v>
      </c>
      <c r="H171" s="14" t="s">
        <v>7066</v>
      </c>
      <c r="I171" s="14" t="s">
        <v>7067</v>
      </c>
      <c r="J171" s="14" t="s">
        <v>7068</v>
      </c>
      <c r="K171" s="14" t="s">
        <v>7069</v>
      </c>
      <c r="L171" s="14" t="s">
        <v>7070</v>
      </c>
      <c r="M171" s="14" t="s">
        <v>7071</v>
      </c>
      <c r="O171" s="14" t="s">
        <v>7072</v>
      </c>
      <c r="P171" s="14" t="s">
        <v>7073</v>
      </c>
      <c r="Q171" s="14" t="s">
        <v>7074</v>
      </c>
      <c r="R171" s="14" t="s">
        <v>7075</v>
      </c>
      <c r="S171" s="14" t="s">
        <v>7076</v>
      </c>
      <c r="T171" s="14" t="s">
        <v>7077</v>
      </c>
      <c r="U171" s="14" t="s">
        <v>7078</v>
      </c>
      <c r="V171" s="14" t="s">
        <v>7079</v>
      </c>
      <c r="W171" s="14" t="s">
        <v>7080</v>
      </c>
    </row>
    <row r="172" spans="1:23" ht="409.5">
      <c r="A172" s="14" t="s">
        <v>1218</v>
      </c>
      <c r="B172" s="14" t="s">
        <v>7081</v>
      </c>
      <c r="C172" s="15" t="s">
        <v>7082</v>
      </c>
      <c r="D172" s="14" t="s">
        <v>7083</v>
      </c>
      <c r="E172" s="14" t="s">
        <v>7084</v>
      </c>
      <c r="F172" s="14" t="s">
        <v>7085</v>
      </c>
      <c r="G172" s="14" t="s">
        <v>7086</v>
      </c>
      <c r="H172" s="14" t="s">
        <v>7087</v>
      </c>
      <c r="I172" s="14" t="s">
        <v>7088</v>
      </c>
      <c r="J172" s="14" t="s">
        <v>7089</v>
      </c>
      <c r="K172" s="14" t="s">
        <v>7090</v>
      </c>
      <c r="L172" s="14" t="s">
        <v>7091</v>
      </c>
      <c r="M172" s="14" t="s">
        <v>7092</v>
      </c>
      <c r="O172" s="14" t="s">
        <v>7093</v>
      </c>
      <c r="P172" s="14" t="s">
        <v>7094</v>
      </c>
      <c r="Q172" s="14" t="s">
        <v>7095</v>
      </c>
      <c r="R172" s="14" t="s">
        <v>7096</v>
      </c>
      <c r="S172" s="14" t="s">
        <v>7097</v>
      </c>
      <c r="T172" s="14" t="s">
        <v>7098</v>
      </c>
      <c r="U172" s="14" t="s">
        <v>7099</v>
      </c>
      <c r="V172" s="14" t="s">
        <v>7100</v>
      </c>
      <c r="W172" s="14" t="s">
        <v>7101</v>
      </c>
    </row>
    <row r="173" spans="1:23" ht="409.5">
      <c r="A173" s="14" t="s">
        <v>1218</v>
      </c>
      <c r="B173" s="14" t="s">
        <v>7102</v>
      </c>
      <c r="C173" s="15" t="s">
        <v>7103</v>
      </c>
      <c r="D173" s="14" t="s">
        <v>7104</v>
      </c>
      <c r="E173" s="14" t="s">
        <v>7105</v>
      </c>
      <c r="F173" s="14" t="s">
        <v>7106</v>
      </c>
      <c r="G173" s="14" t="s">
        <v>7107</v>
      </c>
      <c r="H173" s="14" t="s">
        <v>7108</v>
      </c>
      <c r="I173" s="14" t="s">
        <v>7109</v>
      </c>
      <c r="J173" s="14" t="s">
        <v>7110</v>
      </c>
      <c r="K173" s="14" t="s">
        <v>7111</v>
      </c>
      <c r="L173" s="14" t="s">
        <v>7112</v>
      </c>
      <c r="M173" s="14" t="s">
        <v>7113</v>
      </c>
      <c r="O173" s="14" t="s">
        <v>7114</v>
      </c>
      <c r="P173" s="14" t="s">
        <v>7115</v>
      </c>
      <c r="Q173" s="14" t="s">
        <v>7116</v>
      </c>
      <c r="R173" s="14" t="s">
        <v>7117</v>
      </c>
      <c r="S173" s="14" t="s">
        <v>7118</v>
      </c>
      <c r="T173" s="14" t="s">
        <v>7119</v>
      </c>
      <c r="U173" s="14" t="s">
        <v>7120</v>
      </c>
      <c r="V173" s="14" t="s">
        <v>7121</v>
      </c>
      <c r="W173" s="14" t="s">
        <v>7122</v>
      </c>
    </row>
    <row r="174" spans="1:23" ht="409.5">
      <c r="A174" s="14" t="s">
        <v>1218</v>
      </c>
      <c r="B174" s="14" t="s">
        <v>7123</v>
      </c>
      <c r="C174" s="15" t="s">
        <v>7124</v>
      </c>
      <c r="D174" s="14" t="s">
        <v>7125</v>
      </c>
      <c r="E174" s="14" t="s">
        <v>7126</v>
      </c>
      <c r="F174" s="14" t="s">
        <v>7127</v>
      </c>
      <c r="G174" s="14" t="s">
        <v>7128</v>
      </c>
      <c r="H174" s="14" t="s">
        <v>7129</v>
      </c>
      <c r="I174" s="14" t="s">
        <v>7130</v>
      </c>
      <c r="J174" s="14" t="s">
        <v>7131</v>
      </c>
      <c r="K174" s="14" t="s">
        <v>7132</v>
      </c>
      <c r="L174" s="14" t="s">
        <v>7133</v>
      </c>
      <c r="M174" s="14" t="s">
        <v>7134</v>
      </c>
      <c r="O174" s="14" t="s">
        <v>7135</v>
      </c>
      <c r="P174" s="14" t="s">
        <v>7136</v>
      </c>
      <c r="Q174" s="14" t="s">
        <v>7137</v>
      </c>
      <c r="R174" s="14" t="s">
        <v>7138</v>
      </c>
      <c r="S174" s="14" t="s">
        <v>7139</v>
      </c>
      <c r="T174" s="14" t="s">
        <v>7140</v>
      </c>
      <c r="U174" s="14" t="s">
        <v>7141</v>
      </c>
      <c r="V174" s="14" t="s">
        <v>7142</v>
      </c>
      <c r="W174" s="14" t="s">
        <v>7143</v>
      </c>
    </row>
    <row r="175" spans="1:23" ht="409.5">
      <c r="A175" s="14" t="s">
        <v>1218</v>
      </c>
      <c r="B175" s="14" t="s">
        <v>7144</v>
      </c>
      <c r="C175" s="15" t="s">
        <v>7145</v>
      </c>
      <c r="D175" s="14" t="s">
        <v>7146</v>
      </c>
      <c r="E175" s="14" t="s">
        <v>7147</v>
      </c>
      <c r="F175" s="14" t="s">
        <v>7148</v>
      </c>
      <c r="G175" s="14" t="s">
        <v>7149</v>
      </c>
      <c r="H175" s="14" t="s">
        <v>7150</v>
      </c>
      <c r="I175" s="14" t="s">
        <v>7151</v>
      </c>
      <c r="J175" s="14" t="s">
        <v>7152</v>
      </c>
      <c r="K175" s="14" t="s">
        <v>7153</v>
      </c>
      <c r="L175" s="14" t="s">
        <v>7154</v>
      </c>
      <c r="M175" s="14" t="s">
        <v>7155</v>
      </c>
      <c r="O175" s="14" t="s">
        <v>7156</v>
      </c>
      <c r="P175" s="14" t="s">
        <v>7157</v>
      </c>
      <c r="Q175" s="14" t="s">
        <v>7158</v>
      </c>
      <c r="R175" s="14" t="s">
        <v>7159</v>
      </c>
      <c r="S175" s="14" t="s">
        <v>7160</v>
      </c>
      <c r="T175" s="14" t="s">
        <v>7161</v>
      </c>
      <c r="U175" s="14" t="s">
        <v>7162</v>
      </c>
      <c r="V175" s="14" t="s">
        <v>7163</v>
      </c>
      <c r="W175" s="14" t="s">
        <v>7164</v>
      </c>
    </row>
    <row r="176" spans="1:23" ht="409.5">
      <c r="A176" s="14" t="s">
        <v>1218</v>
      </c>
      <c r="B176" s="14" t="s">
        <v>7165</v>
      </c>
      <c r="C176" s="15" t="s">
        <v>7166</v>
      </c>
      <c r="D176" s="14" t="s">
        <v>7167</v>
      </c>
      <c r="E176" s="14" t="s">
        <v>7168</v>
      </c>
      <c r="F176" s="14" t="s">
        <v>7169</v>
      </c>
      <c r="G176" s="14" t="s">
        <v>7170</v>
      </c>
      <c r="H176" s="14" t="s">
        <v>7171</v>
      </c>
      <c r="I176" s="14" t="s">
        <v>7172</v>
      </c>
      <c r="J176" s="14" t="s">
        <v>7173</v>
      </c>
      <c r="K176" s="14" t="s">
        <v>7174</v>
      </c>
      <c r="L176" s="14" t="s">
        <v>7175</v>
      </c>
      <c r="M176" s="14" t="s">
        <v>7176</v>
      </c>
      <c r="O176" s="14" t="s">
        <v>7177</v>
      </c>
      <c r="P176" s="14" t="s">
        <v>7178</v>
      </c>
      <c r="Q176" s="14" t="s">
        <v>7179</v>
      </c>
      <c r="R176" s="14" t="s">
        <v>7180</v>
      </c>
      <c r="S176" s="14" t="s">
        <v>7181</v>
      </c>
      <c r="T176" s="14" t="s">
        <v>7182</v>
      </c>
      <c r="U176" s="14" t="s">
        <v>7183</v>
      </c>
      <c r="V176" s="14" t="s">
        <v>7184</v>
      </c>
      <c r="W176" s="14" t="s">
        <v>7185</v>
      </c>
    </row>
    <row r="177" spans="1:23" ht="409.5">
      <c r="A177" s="14" t="s">
        <v>1218</v>
      </c>
      <c r="B177" s="14" t="s">
        <v>7186</v>
      </c>
      <c r="C177" s="15" t="s">
        <v>7187</v>
      </c>
      <c r="D177" s="14" t="s">
        <v>7188</v>
      </c>
      <c r="E177" s="14" t="s">
        <v>7189</v>
      </c>
      <c r="F177" s="14" t="s">
        <v>7190</v>
      </c>
      <c r="G177" s="14" t="s">
        <v>7191</v>
      </c>
      <c r="H177" s="14" t="s">
        <v>7192</v>
      </c>
      <c r="I177" s="14" t="s">
        <v>7193</v>
      </c>
      <c r="J177" s="14" t="s">
        <v>7194</v>
      </c>
      <c r="K177" s="14" t="s">
        <v>7195</v>
      </c>
      <c r="L177" s="14" t="s">
        <v>7196</v>
      </c>
      <c r="M177" s="14" t="s">
        <v>7197</v>
      </c>
      <c r="O177" s="14" t="s">
        <v>7198</v>
      </c>
      <c r="P177" s="14" t="s">
        <v>7199</v>
      </c>
      <c r="Q177" s="14" t="s">
        <v>7200</v>
      </c>
      <c r="R177" s="14" t="s">
        <v>7201</v>
      </c>
      <c r="S177" s="14" t="s">
        <v>7202</v>
      </c>
      <c r="T177" s="14" t="s">
        <v>7203</v>
      </c>
      <c r="U177" s="14" t="s">
        <v>7204</v>
      </c>
      <c r="V177" s="14" t="s">
        <v>7205</v>
      </c>
      <c r="W177" s="14" t="s">
        <v>7206</v>
      </c>
    </row>
    <row r="178" spans="1:23" ht="409.5">
      <c r="A178" s="14" t="s">
        <v>1218</v>
      </c>
      <c r="B178" s="14" t="s">
        <v>7207</v>
      </c>
      <c r="C178" s="15" t="s">
        <v>7208</v>
      </c>
      <c r="D178" s="14" t="s">
        <v>7209</v>
      </c>
      <c r="E178" s="14" t="s">
        <v>7210</v>
      </c>
      <c r="F178" s="14" t="s">
        <v>7211</v>
      </c>
      <c r="G178" s="14" t="s">
        <v>7212</v>
      </c>
      <c r="H178" s="14" t="s">
        <v>7213</v>
      </c>
      <c r="I178" s="14" t="s">
        <v>7214</v>
      </c>
      <c r="J178" s="14" t="s">
        <v>7215</v>
      </c>
      <c r="K178" s="14" t="s">
        <v>7216</v>
      </c>
      <c r="L178" s="14" t="s">
        <v>7217</v>
      </c>
      <c r="M178" s="14" t="s">
        <v>7218</v>
      </c>
      <c r="O178" s="14" t="s">
        <v>7219</v>
      </c>
      <c r="P178" s="14" t="s">
        <v>7220</v>
      </c>
      <c r="Q178" s="14" t="s">
        <v>7221</v>
      </c>
      <c r="R178" s="14" t="s">
        <v>7222</v>
      </c>
      <c r="S178" s="14" t="s">
        <v>7223</v>
      </c>
      <c r="T178" s="14" t="s">
        <v>7224</v>
      </c>
      <c r="U178" s="14" t="s">
        <v>7225</v>
      </c>
      <c r="V178" s="14" t="s">
        <v>7226</v>
      </c>
      <c r="W178" s="14" t="s">
        <v>7227</v>
      </c>
    </row>
    <row r="179" spans="1:23" ht="409.5">
      <c r="A179" s="14" t="s">
        <v>1218</v>
      </c>
      <c r="B179" s="14" t="s">
        <v>7228</v>
      </c>
      <c r="C179" s="15" t="s">
        <v>7229</v>
      </c>
      <c r="D179" s="14" t="s">
        <v>7230</v>
      </c>
      <c r="E179" s="14" t="s">
        <v>7231</v>
      </c>
      <c r="F179" s="14" t="s">
        <v>7232</v>
      </c>
      <c r="G179" s="14" t="s">
        <v>7233</v>
      </c>
      <c r="H179" s="14" t="s">
        <v>7234</v>
      </c>
      <c r="I179" s="14" t="s">
        <v>7235</v>
      </c>
      <c r="J179" s="14" t="s">
        <v>7236</v>
      </c>
      <c r="K179" s="14" t="s">
        <v>7237</v>
      </c>
      <c r="L179" s="14" t="s">
        <v>7238</v>
      </c>
      <c r="M179" s="14" t="s">
        <v>7239</v>
      </c>
      <c r="O179" s="14" t="s">
        <v>7240</v>
      </c>
      <c r="P179" s="14" t="s">
        <v>7241</v>
      </c>
      <c r="Q179" s="14" t="s">
        <v>7242</v>
      </c>
      <c r="R179" s="14" t="s">
        <v>7243</v>
      </c>
      <c r="S179" s="14" t="s">
        <v>7244</v>
      </c>
      <c r="T179" s="14" t="s">
        <v>7245</v>
      </c>
      <c r="U179" s="14" t="s">
        <v>7246</v>
      </c>
      <c r="V179" s="14" t="s">
        <v>7247</v>
      </c>
      <c r="W179" s="14" t="s">
        <v>7248</v>
      </c>
    </row>
    <row r="180" spans="1:23" ht="409.5">
      <c r="A180" s="14" t="s">
        <v>1218</v>
      </c>
      <c r="B180" s="14" t="s">
        <v>7249</v>
      </c>
      <c r="C180" s="15" t="s">
        <v>7250</v>
      </c>
      <c r="D180" s="14" t="s">
        <v>7251</v>
      </c>
      <c r="E180" s="14" t="s">
        <v>7252</v>
      </c>
      <c r="F180" s="14" t="s">
        <v>7253</v>
      </c>
      <c r="G180" s="14" t="s">
        <v>7254</v>
      </c>
      <c r="H180" s="14" t="s">
        <v>7255</v>
      </c>
      <c r="I180" s="14" t="s">
        <v>7256</v>
      </c>
      <c r="J180" s="14" t="s">
        <v>7257</v>
      </c>
      <c r="K180" s="14" t="s">
        <v>7258</v>
      </c>
      <c r="L180" s="14" t="s">
        <v>7259</v>
      </c>
      <c r="M180" s="14" t="s">
        <v>7260</v>
      </c>
      <c r="O180" s="14" t="s">
        <v>7261</v>
      </c>
      <c r="P180" s="14" t="s">
        <v>7262</v>
      </c>
      <c r="Q180" s="14" t="s">
        <v>7263</v>
      </c>
      <c r="R180" s="14" t="s">
        <v>7264</v>
      </c>
      <c r="S180" s="14" t="s">
        <v>7265</v>
      </c>
      <c r="T180" s="14" t="s">
        <v>7266</v>
      </c>
      <c r="U180" s="14" t="s">
        <v>7267</v>
      </c>
      <c r="V180" s="14" t="s">
        <v>7268</v>
      </c>
      <c r="W180" s="14" t="s">
        <v>7269</v>
      </c>
    </row>
    <row r="181" spans="1:23" ht="409.5">
      <c r="A181" s="14" t="s">
        <v>1218</v>
      </c>
      <c r="B181" s="14" t="s">
        <v>7270</v>
      </c>
      <c r="C181" s="15" t="s">
        <v>7271</v>
      </c>
      <c r="D181" s="14" t="s">
        <v>7272</v>
      </c>
      <c r="E181" s="14" t="s">
        <v>7273</v>
      </c>
      <c r="F181" s="14" t="s">
        <v>7274</v>
      </c>
      <c r="G181" s="14" t="s">
        <v>7275</v>
      </c>
      <c r="H181" s="14" t="s">
        <v>7276</v>
      </c>
      <c r="I181" s="14" t="s">
        <v>7277</v>
      </c>
      <c r="J181" s="14" t="s">
        <v>7278</v>
      </c>
      <c r="K181" s="14" t="s">
        <v>7279</v>
      </c>
      <c r="L181" s="14" t="s">
        <v>7280</v>
      </c>
      <c r="M181" s="14" t="s">
        <v>7281</v>
      </c>
      <c r="O181" s="14" t="s">
        <v>7282</v>
      </c>
      <c r="P181" s="14" t="s">
        <v>7283</v>
      </c>
      <c r="Q181" s="14" t="s">
        <v>7284</v>
      </c>
      <c r="R181" s="14" t="s">
        <v>7285</v>
      </c>
      <c r="S181" s="14" t="s">
        <v>7286</v>
      </c>
      <c r="T181" s="14" t="s">
        <v>7287</v>
      </c>
      <c r="U181" s="14" t="s">
        <v>7288</v>
      </c>
      <c r="V181" s="14" t="s">
        <v>7289</v>
      </c>
      <c r="W181" s="14" t="s">
        <v>7290</v>
      </c>
    </row>
    <row r="182" spans="1:23" ht="409.5">
      <c r="A182" s="14" t="s">
        <v>1218</v>
      </c>
      <c r="B182" s="14" t="s">
        <v>7291</v>
      </c>
      <c r="C182" s="15" t="s">
        <v>7292</v>
      </c>
      <c r="D182" s="14" t="s">
        <v>7293</v>
      </c>
      <c r="E182" s="14" t="s">
        <v>7294</v>
      </c>
      <c r="F182" s="14" t="s">
        <v>7295</v>
      </c>
      <c r="G182" s="14" t="s">
        <v>7296</v>
      </c>
      <c r="H182" s="14" t="s">
        <v>7297</v>
      </c>
      <c r="I182" s="14" t="s">
        <v>7298</v>
      </c>
      <c r="J182" s="14" t="s">
        <v>7299</v>
      </c>
      <c r="K182" s="14" t="s">
        <v>7300</v>
      </c>
      <c r="L182" s="14" t="s">
        <v>7301</v>
      </c>
      <c r="M182" s="14" t="s">
        <v>7302</v>
      </c>
      <c r="O182" s="14" t="s">
        <v>7303</v>
      </c>
      <c r="P182" s="14" t="s">
        <v>7304</v>
      </c>
      <c r="Q182" s="14" t="s">
        <v>7305</v>
      </c>
      <c r="R182" s="14" t="s">
        <v>7306</v>
      </c>
      <c r="S182" s="14" t="s">
        <v>7307</v>
      </c>
      <c r="T182" s="14" t="s">
        <v>7308</v>
      </c>
      <c r="U182" s="14" t="s">
        <v>7309</v>
      </c>
      <c r="V182" s="14" t="s">
        <v>7310</v>
      </c>
      <c r="W182" s="14" t="s">
        <v>7311</v>
      </c>
    </row>
    <row r="183" spans="1:23" ht="409.5">
      <c r="A183" s="14" t="s">
        <v>1218</v>
      </c>
      <c r="B183" s="14" t="s">
        <v>7312</v>
      </c>
      <c r="C183" s="15" t="s">
        <v>7313</v>
      </c>
      <c r="D183" s="14" t="s">
        <v>7314</v>
      </c>
      <c r="E183" s="14" t="s">
        <v>7315</v>
      </c>
      <c r="F183" s="14" t="s">
        <v>7316</v>
      </c>
      <c r="G183" s="14" t="s">
        <v>7317</v>
      </c>
      <c r="H183" s="14" t="s">
        <v>7318</v>
      </c>
      <c r="I183" s="14" t="s">
        <v>7319</v>
      </c>
      <c r="J183" s="14" t="s">
        <v>7320</v>
      </c>
      <c r="K183" s="14" t="s">
        <v>7321</v>
      </c>
      <c r="L183" s="14" t="s">
        <v>7322</v>
      </c>
      <c r="M183" s="14" t="s">
        <v>7323</v>
      </c>
      <c r="O183" s="14" t="s">
        <v>7324</v>
      </c>
      <c r="P183" s="14" t="s">
        <v>7325</v>
      </c>
      <c r="Q183" s="14" t="s">
        <v>7326</v>
      </c>
      <c r="R183" s="14" t="s">
        <v>7327</v>
      </c>
      <c r="S183" s="14" t="s">
        <v>7328</v>
      </c>
      <c r="T183" s="14" t="s">
        <v>7329</v>
      </c>
      <c r="U183" s="14" t="s">
        <v>7330</v>
      </c>
      <c r="V183" s="14" t="s">
        <v>7331</v>
      </c>
      <c r="W183" s="14" t="s">
        <v>7332</v>
      </c>
    </row>
    <row r="184" spans="1:23" ht="409.5">
      <c r="A184" s="14" t="s">
        <v>1218</v>
      </c>
      <c r="B184" s="14" t="s">
        <v>7333</v>
      </c>
      <c r="C184" s="15" t="s">
        <v>7334</v>
      </c>
      <c r="D184" s="14" t="s">
        <v>7335</v>
      </c>
      <c r="E184" s="14" t="s">
        <v>7336</v>
      </c>
      <c r="F184" s="14" t="s">
        <v>7337</v>
      </c>
      <c r="G184" s="14" t="s">
        <v>7338</v>
      </c>
      <c r="H184" s="14" t="s">
        <v>7339</v>
      </c>
      <c r="I184" s="14" t="s">
        <v>7340</v>
      </c>
      <c r="J184" s="14" t="s">
        <v>7341</v>
      </c>
      <c r="K184" s="14" t="s">
        <v>7342</v>
      </c>
      <c r="L184" s="14" t="s">
        <v>7343</v>
      </c>
      <c r="M184" s="14" t="s">
        <v>7344</v>
      </c>
      <c r="O184" s="14" t="s">
        <v>7345</v>
      </c>
      <c r="P184" s="14" t="s">
        <v>7346</v>
      </c>
      <c r="Q184" s="14" t="s">
        <v>7347</v>
      </c>
      <c r="R184" s="14" t="s">
        <v>7348</v>
      </c>
      <c r="S184" s="14" t="s">
        <v>7349</v>
      </c>
      <c r="T184" s="14" t="s">
        <v>7350</v>
      </c>
      <c r="U184" s="14" t="s">
        <v>7351</v>
      </c>
      <c r="V184" s="14" t="s">
        <v>7352</v>
      </c>
      <c r="W184" s="14" t="s">
        <v>7353</v>
      </c>
    </row>
    <row r="185" spans="1:23" ht="409.5">
      <c r="A185" s="14" t="s">
        <v>1218</v>
      </c>
      <c r="B185" s="14" t="s">
        <v>7354</v>
      </c>
      <c r="C185" s="15" t="s">
        <v>7355</v>
      </c>
      <c r="D185" s="14" t="s">
        <v>7356</v>
      </c>
      <c r="E185" s="14" t="s">
        <v>7357</v>
      </c>
      <c r="F185" s="14" t="s">
        <v>7358</v>
      </c>
      <c r="G185" s="14" t="s">
        <v>7359</v>
      </c>
      <c r="H185" s="14" t="s">
        <v>7360</v>
      </c>
      <c r="I185" s="14" t="s">
        <v>7361</v>
      </c>
      <c r="J185" s="14" t="s">
        <v>7362</v>
      </c>
      <c r="K185" s="14" t="s">
        <v>7363</v>
      </c>
      <c r="L185" s="14" t="s">
        <v>7364</v>
      </c>
      <c r="M185" s="14" t="s">
        <v>7365</v>
      </c>
      <c r="O185" s="14" t="s">
        <v>7366</v>
      </c>
      <c r="P185" s="14" t="s">
        <v>7367</v>
      </c>
      <c r="Q185" s="14" t="s">
        <v>7368</v>
      </c>
      <c r="R185" s="14" t="s">
        <v>7369</v>
      </c>
      <c r="S185" s="14" t="s">
        <v>7370</v>
      </c>
      <c r="T185" s="14" t="s">
        <v>7371</v>
      </c>
      <c r="U185" s="14" t="s">
        <v>7372</v>
      </c>
      <c r="V185" s="14" t="s">
        <v>7373</v>
      </c>
      <c r="W185" s="14" t="s">
        <v>7374</v>
      </c>
    </row>
    <row r="186" spans="1:23" ht="409.5">
      <c r="A186" s="14" t="s">
        <v>1218</v>
      </c>
      <c r="B186" s="14" t="s">
        <v>7375</v>
      </c>
      <c r="C186" s="15" t="s">
        <v>7376</v>
      </c>
      <c r="D186" s="14" t="s">
        <v>7377</v>
      </c>
      <c r="E186" s="14" t="s">
        <v>7378</v>
      </c>
      <c r="F186" s="14" t="s">
        <v>7379</v>
      </c>
      <c r="G186" s="14" t="s">
        <v>7380</v>
      </c>
      <c r="H186" s="14" t="s">
        <v>7381</v>
      </c>
      <c r="I186" s="14" t="s">
        <v>7382</v>
      </c>
      <c r="J186" s="14" t="s">
        <v>7383</v>
      </c>
      <c r="K186" s="14" t="s">
        <v>7384</v>
      </c>
      <c r="L186" s="14" t="s">
        <v>7385</v>
      </c>
      <c r="M186" s="14" t="s">
        <v>7386</v>
      </c>
      <c r="O186" s="14" t="s">
        <v>7387</v>
      </c>
      <c r="P186" s="14" t="s">
        <v>7388</v>
      </c>
      <c r="Q186" s="14" t="s">
        <v>7389</v>
      </c>
      <c r="R186" s="14" t="s">
        <v>7390</v>
      </c>
      <c r="S186" s="14" t="s">
        <v>7391</v>
      </c>
      <c r="T186" s="14" t="s">
        <v>7392</v>
      </c>
      <c r="U186" s="14" t="s">
        <v>7393</v>
      </c>
      <c r="V186" s="14" t="s">
        <v>7394</v>
      </c>
      <c r="W186" s="14" t="s">
        <v>7395</v>
      </c>
    </row>
    <row r="187" spans="1:23" ht="409.5">
      <c r="A187" s="14" t="s">
        <v>1218</v>
      </c>
      <c r="B187" s="14" t="s">
        <v>7396</v>
      </c>
      <c r="C187" s="15" t="s">
        <v>7397</v>
      </c>
      <c r="D187" s="14" t="s">
        <v>7398</v>
      </c>
      <c r="E187" s="14" t="s">
        <v>7399</v>
      </c>
      <c r="F187" s="14" t="s">
        <v>7400</v>
      </c>
      <c r="G187" s="14" t="s">
        <v>7401</v>
      </c>
      <c r="H187" s="14" t="s">
        <v>7402</v>
      </c>
      <c r="I187" s="14" t="s">
        <v>7403</v>
      </c>
      <c r="J187" s="14" t="s">
        <v>7404</v>
      </c>
      <c r="K187" s="14" t="s">
        <v>7405</v>
      </c>
      <c r="L187" s="14" t="s">
        <v>7406</v>
      </c>
      <c r="M187" s="14" t="s">
        <v>7407</v>
      </c>
      <c r="O187" s="14" t="s">
        <v>7408</v>
      </c>
      <c r="P187" s="14" t="s">
        <v>7409</v>
      </c>
      <c r="Q187" s="14" t="s">
        <v>7410</v>
      </c>
      <c r="R187" s="14" t="s">
        <v>7411</v>
      </c>
      <c r="S187" s="14" t="s">
        <v>7412</v>
      </c>
      <c r="T187" s="14" t="s">
        <v>7413</v>
      </c>
      <c r="U187" s="14" t="s">
        <v>7414</v>
      </c>
      <c r="V187" s="14" t="s">
        <v>7415</v>
      </c>
      <c r="W187" s="14" t="s">
        <v>7416</v>
      </c>
    </row>
    <row r="188" spans="1:23" ht="409.5">
      <c r="A188" s="14" t="s">
        <v>1218</v>
      </c>
      <c r="B188" s="14" t="s">
        <v>7417</v>
      </c>
      <c r="C188" s="15" t="s">
        <v>7418</v>
      </c>
      <c r="D188" s="14" t="s">
        <v>7419</v>
      </c>
      <c r="E188" s="14" t="s">
        <v>7420</v>
      </c>
      <c r="F188" s="14" t="s">
        <v>7421</v>
      </c>
      <c r="G188" s="14" t="s">
        <v>7422</v>
      </c>
      <c r="H188" s="14" t="s">
        <v>7423</v>
      </c>
      <c r="I188" s="14" t="s">
        <v>7424</v>
      </c>
      <c r="J188" s="14" t="s">
        <v>7425</v>
      </c>
      <c r="K188" s="14" t="s">
        <v>7426</v>
      </c>
      <c r="L188" s="14" t="s">
        <v>7427</v>
      </c>
      <c r="M188" s="14" t="s">
        <v>7428</v>
      </c>
      <c r="O188" s="14" t="s">
        <v>7429</v>
      </c>
      <c r="P188" s="14" t="s">
        <v>7430</v>
      </c>
      <c r="Q188" s="14" t="s">
        <v>7431</v>
      </c>
      <c r="R188" s="14" t="s">
        <v>7432</v>
      </c>
      <c r="S188" s="14" t="s">
        <v>7433</v>
      </c>
      <c r="T188" s="14" t="s">
        <v>7434</v>
      </c>
      <c r="U188" s="14" t="s">
        <v>7435</v>
      </c>
      <c r="V188" s="14" t="s">
        <v>7436</v>
      </c>
      <c r="W188" s="14" t="s">
        <v>7437</v>
      </c>
    </row>
    <row r="189" spans="1:23" ht="409.5">
      <c r="A189" s="14" t="s">
        <v>1218</v>
      </c>
      <c r="B189" s="14" t="s">
        <v>7438</v>
      </c>
      <c r="C189" s="15" t="s">
        <v>7439</v>
      </c>
      <c r="D189" s="14" t="s">
        <v>7440</v>
      </c>
      <c r="E189" s="14" t="s">
        <v>7441</v>
      </c>
      <c r="F189" s="14" t="s">
        <v>7442</v>
      </c>
      <c r="G189" s="14" t="s">
        <v>7443</v>
      </c>
      <c r="H189" s="14" t="s">
        <v>7444</v>
      </c>
      <c r="I189" s="14" t="s">
        <v>7445</v>
      </c>
      <c r="J189" s="14" t="s">
        <v>7446</v>
      </c>
      <c r="K189" s="14" t="s">
        <v>7447</v>
      </c>
      <c r="L189" s="14" t="s">
        <v>7448</v>
      </c>
      <c r="M189" s="14" t="s">
        <v>7449</v>
      </c>
      <c r="O189" s="14" t="s">
        <v>7450</v>
      </c>
      <c r="P189" s="14" t="s">
        <v>7451</v>
      </c>
      <c r="Q189" s="14" t="s">
        <v>7452</v>
      </c>
      <c r="R189" s="14" t="s">
        <v>7453</v>
      </c>
      <c r="S189" s="14" t="s">
        <v>7454</v>
      </c>
      <c r="T189" s="14" t="s">
        <v>7455</v>
      </c>
      <c r="U189" s="14" t="s">
        <v>7456</v>
      </c>
      <c r="V189" s="14" t="s">
        <v>7457</v>
      </c>
      <c r="W189" s="14" t="s">
        <v>7458</v>
      </c>
    </row>
    <row r="190" spans="1:23" ht="409.5">
      <c r="A190" s="14" t="s">
        <v>1218</v>
      </c>
      <c r="B190" s="14" t="s">
        <v>7459</v>
      </c>
      <c r="C190" s="15" t="s">
        <v>7460</v>
      </c>
      <c r="D190" s="14" t="s">
        <v>7461</v>
      </c>
      <c r="E190" s="14" t="s">
        <v>7462</v>
      </c>
      <c r="F190" s="14" t="s">
        <v>7463</v>
      </c>
      <c r="G190" s="14" t="s">
        <v>7464</v>
      </c>
      <c r="H190" s="14" t="s">
        <v>7465</v>
      </c>
      <c r="I190" s="14" t="s">
        <v>7466</v>
      </c>
      <c r="J190" s="14" t="s">
        <v>7467</v>
      </c>
      <c r="K190" s="14" t="s">
        <v>7468</v>
      </c>
      <c r="L190" s="14" t="s">
        <v>7469</v>
      </c>
      <c r="M190" s="14" t="s">
        <v>7470</v>
      </c>
      <c r="O190" s="14" t="s">
        <v>7471</v>
      </c>
      <c r="P190" s="14" t="s">
        <v>7472</v>
      </c>
      <c r="Q190" s="14" t="s">
        <v>7473</v>
      </c>
      <c r="R190" s="14" t="s">
        <v>7474</v>
      </c>
      <c r="S190" s="14" t="s">
        <v>7475</v>
      </c>
      <c r="T190" s="14" t="s">
        <v>7476</v>
      </c>
      <c r="U190" s="14" t="s">
        <v>7477</v>
      </c>
      <c r="V190" s="14" t="s">
        <v>7478</v>
      </c>
      <c r="W190" s="14" t="s">
        <v>7479</v>
      </c>
    </row>
    <row r="191" spans="1:23" ht="409.5">
      <c r="A191" s="14" t="s">
        <v>1218</v>
      </c>
      <c r="B191" s="14" t="s">
        <v>7480</v>
      </c>
      <c r="C191" s="15" t="s">
        <v>7481</v>
      </c>
      <c r="D191" s="14" t="s">
        <v>7482</v>
      </c>
      <c r="E191" s="14" t="s">
        <v>7483</v>
      </c>
      <c r="F191" s="14" t="s">
        <v>7484</v>
      </c>
      <c r="G191" s="14" t="s">
        <v>7485</v>
      </c>
      <c r="H191" s="14" t="s">
        <v>7486</v>
      </c>
      <c r="I191" s="14" t="s">
        <v>7487</v>
      </c>
      <c r="J191" s="14" t="s">
        <v>7488</v>
      </c>
      <c r="K191" s="14" t="s">
        <v>7489</v>
      </c>
      <c r="L191" s="14" t="s">
        <v>7490</v>
      </c>
      <c r="M191" s="14" t="s">
        <v>7491</v>
      </c>
      <c r="O191" s="14" t="s">
        <v>7492</v>
      </c>
      <c r="P191" s="14" t="s">
        <v>7493</v>
      </c>
      <c r="Q191" s="14" t="s">
        <v>7494</v>
      </c>
      <c r="R191" s="14" t="s">
        <v>7495</v>
      </c>
      <c r="S191" s="14" t="s">
        <v>7496</v>
      </c>
      <c r="T191" s="14" t="s">
        <v>7497</v>
      </c>
      <c r="U191" s="14" t="s">
        <v>7498</v>
      </c>
      <c r="V191" s="14" t="s">
        <v>7499</v>
      </c>
      <c r="W191" s="14" t="s">
        <v>7500</v>
      </c>
    </row>
    <row r="192" spans="1:23" ht="409.5">
      <c r="A192" s="14" t="s">
        <v>1218</v>
      </c>
      <c r="B192" s="14" t="s">
        <v>7501</v>
      </c>
      <c r="C192" s="15" t="s">
        <v>7502</v>
      </c>
      <c r="D192" s="14" t="s">
        <v>7503</v>
      </c>
      <c r="E192" s="14" t="s">
        <v>7504</v>
      </c>
      <c r="F192" s="14" t="s">
        <v>7505</v>
      </c>
      <c r="G192" s="14" t="s">
        <v>7506</v>
      </c>
      <c r="H192" s="14" t="s">
        <v>7507</v>
      </c>
      <c r="I192" s="14" t="s">
        <v>7508</v>
      </c>
      <c r="J192" s="14" t="s">
        <v>7509</v>
      </c>
      <c r="K192" s="14" t="s">
        <v>7510</v>
      </c>
      <c r="L192" s="14" t="s">
        <v>7511</v>
      </c>
      <c r="M192" s="14" t="s">
        <v>7512</v>
      </c>
      <c r="O192" s="14" t="s">
        <v>7513</v>
      </c>
      <c r="P192" s="14" t="s">
        <v>7514</v>
      </c>
      <c r="Q192" s="14" t="s">
        <v>7515</v>
      </c>
      <c r="R192" s="14" t="s">
        <v>7516</v>
      </c>
      <c r="S192" s="14" t="s">
        <v>7517</v>
      </c>
      <c r="T192" s="14" t="s">
        <v>7518</v>
      </c>
      <c r="U192" s="14" t="s">
        <v>7519</v>
      </c>
      <c r="V192" s="14" t="s">
        <v>7520</v>
      </c>
      <c r="W192" s="14" t="s">
        <v>7521</v>
      </c>
    </row>
    <row r="193" spans="1:23" ht="409.5">
      <c r="A193" s="14" t="s">
        <v>1218</v>
      </c>
      <c r="B193" s="14" t="s">
        <v>7522</v>
      </c>
      <c r="C193" s="15" t="s">
        <v>7523</v>
      </c>
      <c r="D193" s="14" t="s">
        <v>7524</v>
      </c>
      <c r="E193" s="14" t="s">
        <v>7525</v>
      </c>
      <c r="F193" s="14" t="s">
        <v>7526</v>
      </c>
      <c r="G193" s="14" t="s">
        <v>7527</v>
      </c>
      <c r="H193" s="14" t="s">
        <v>7528</v>
      </c>
      <c r="I193" s="14" t="s">
        <v>7529</v>
      </c>
      <c r="J193" s="14" t="s">
        <v>7530</v>
      </c>
      <c r="K193" s="14" t="s">
        <v>7531</v>
      </c>
      <c r="L193" s="14" t="s">
        <v>7532</v>
      </c>
      <c r="M193" s="14" t="s">
        <v>7533</v>
      </c>
      <c r="O193" s="14" t="s">
        <v>7534</v>
      </c>
      <c r="P193" s="14" t="s">
        <v>7535</v>
      </c>
      <c r="Q193" s="14" t="s">
        <v>7536</v>
      </c>
      <c r="R193" s="14" t="s">
        <v>7537</v>
      </c>
      <c r="S193" s="14" t="s">
        <v>7538</v>
      </c>
      <c r="T193" s="14" t="s">
        <v>7539</v>
      </c>
      <c r="U193" s="14" t="s">
        <v>7540</v>
      </c>
      <c r="V193" s="14" t="s">
        <v>7541</v>
      </c>
      <c r="W193" s="14" t="s">
        <v>7542</v>
      </c>
    </row>
    <row r="194" spans="1:23" ht="409.5">
      <c r="A194" s="14" t="s">
        <v>1218</v>
      </c>
      <c r="B194" s="14" t="s">
        <v>7543</v>
      </c>
      <c r="C194" s="15" t="s">
        <v>7544</v>
      </c>
      <c r="D194" s="14" t="s">
        <v>7545</v>
      </c>
      <c r="E194" s="14" t="s">
        <v>7546</v>
      </c>
      <c r="F194" s="14" t="s">
        <v>7547</v>
      </c>
      <c r="G194" s="14" t="s">
        <v>7548</v>
      </c>
      <c r="H194" s="14" t="s">
        <v>7549</v>
      </c>
      <c r="I194" s="14" t="s">
        <v>7550</v>
      </c>
      <c r="J194" s="14" t="s">
        <v>7551</v>
      </c>
      <c r="K194" s="14" t="s">
        <v>7552</v>
      </c>
      <c r="L194" s="14" t="s">
        <v>7553</v>
      </c>
      <c r="M194" s="14" t="s">
        <v>7554</v>
      </c>
      <c r="O194" s="14" t="s">
        <v>7555</v>
      </c>
      <c r="P194" s="14" t="s">
        <v>7556</v>
      </c>
      <c r="Q194" s="14" t="s">
        <v>7557</v>
      </c>
      <c r="R194" s="14" t="s">
        <v>7558</v>
      </c>
      <c r="S194" s="14" t="s">
        <v>7559</v>
      </c>
      <c r="T194" s="14" t="s">
        <v>7560</v>
      </c>
      <c r="U194" s="14" t="s">
        <v>7561</v>
      </c>
      <c r="V194" s="14" t="s">
        <v>7562</v>
      </c>
      <c r="W194" s="14" t="s">
        <v>7563</v>
      </c>
    </row>
    <row r="195" spans="1:23" ht="409.5">
      <c r="A195" s="14" t="s">
        <v>1218</v>
      </c>
      <c r="B195" s="14" t="s">
        <v>7564</v>
      </c>
      <c r="C195" s="15" t="s">
        <v>7565</v>
      </c>
      <c r="D195" s="14" t="s">
        <v>7566</v>
      </c>
      <c r="E195" s="14" t="s">
        <v>7567</v>
      </c>
      <c r="F195" s="14" t="s">
        <v>7568</v>
      </c>
      <c r="G195" s="14" t="s">
        <v>7569</v>
      </c>
      <c r="H195" s="14" t="s">
        <v>7570</v>
      </c>
      <c r="I195" s="14" t="s">
        <v>7571</v>
      </c>
      <c r="J195" s="14" t="s">
        <v>7572</v>
      </c>
      <c r="K195" s="14" t="s">
        <v>7573</v>
      </c>
      <c r="L195" s="14" t="s">
        <v>7574</v>
      </c>
      <c r="M195" s="14" t="s">
        <v>7575</v>
      </c>
      <c r="O195" s="14" t="s">
        <v>7576</v>
      </c>
      <c r="P195" s="14" t="s">
        <v>7577</v>
      </c>
      <c r="Q195" s="14" t="s">
        <v>7578</v>
      </c>
      <c r="R195" s="14" t="s">
        <v>7579</v>
      </c>
      <c r="S195" s="14" t="s">
        <v>7580</v>
      </c>
      <c r="T195" s="14" t="s">
        <v>7581</v>
      </c>
      <c r="U195" s="14" t="s">
        <v>7582</v>
      </c>
      <c r="V195" s="14" t="s">
        <v>7583</v>
      </c>
      <c r="W195" s="14" t="s">
        <v>7584</v>
      </c>
    </row>
    <row r="196" spans="1:23" ht="409.5">
      <c r="A196" s="14" t="s">
        <v>1218</v>
      </c>
      <c r="B196" s="14" t="s">
        <v>7585</v>
      </c>
      <c r="C196" s="15" t="s">
        <v>7586</v>
      </c>
      <c r="D196" s="14" t="s">
        <v>7587</v>
      </c>
      <c r="E196" s="14" t="s">
        <v>7588</v>
      </c>
      <c r="F196" s="14" t="s">
        <v>7589</v>
      </c>
      <c r="G196" s="14" t="s">
        <v>7590</v>
      </c>
      <c r="H196" s="14" t="s">
        <v>7591</v>
      </c>
      <c r="I196" s="14" t="s">
        <v>7592</v>
      </c>
      <c r="J196" s="14" t="s">
        <v>7593</v>
      </c>
      <c r="K196" s="14" t="s">
        <v>7594</v>
      </c>
      <c r="L196" s="14" t="s">
        <v>7595</v>
      </c>
      <c r="M196" s="14" t="s">
        <v>7596</v>
      </c>
      <c r="O196" s="14" t="s">
        <v>7597</v>
      </c>
      <c r="P196" s="14" t="s">
        <v>7598</v>
      </c>
      <c r="Q196" s="14" t="s">
        <v>7599</v>
      </c>
      <c r="R196" s="14" t="s">
        <v>7600</v>
      </c>
      <c r="S196" s="14" t="s">
        <v>7601</v>
      </c>
      <c r="T196" s="14" t="s">
        <v>7602</v>
      </c>
      <c r="U196" s="14" t="s">
        <v>7603</v>
      </c>
      <c r="V196" s="14" t="s">
        <v>7604</v>
      </c>
      <c r="W196" s="14" t="s">
        <v>7605</v>
      </c>
    </row>
    <row r="197" spans="1:23" ht="409.5">
      <c r="A197" s="14" t="s">
        <v>1218</v>
      </c>
      <c r="B197" s="14" t="s">
        <v>7606</v>
      </c>
      <c r="C197" s="15" t="s">
        <v>7607</v>
      </c>
      <c r="D197" s="14" t="s">
        <v>7608</v>
      </c>
      <c r="E197" s="14" t="s">
        <v>7609</v>
      </c>
      <c r="F197" s="14" t="s">
        <v>7610</v>
      </c>
      <c r="G197" s="14" t="s">
        <v>7611</v>
      </c>
      <c r="H197" s="14" t="s">
        <v>7612</v>
      </c>
      <c r="I197" s="14" t="s">
        <v>7613</v>
      </c>
      <c r="J197" s="14" t="s">
        <v>7614</v>
      </c>
      <c r="K197" s="14" t="s">
        <v>7615</v>
      </c>
      <c r="L197" s="14" t="s">
        <v>7616</v>
      </c>
      <c r="M197" s="14" t="s">
        <v>7617</v>
      </c>
      <c r="O197" s="14" t="s">
        <v>7618</v>
      </c>
      <c r="P197" s="14" t="s">
        <v>7619</v>
      </c>
      <c r="Q197" s="14" t="s">
        <v>7620</v>
      </c>
      <c r="R197" s="14" t="s">
        <v>7621</v>
      </c>
      <c r="S197" s="14" t="s">
        <v>7622</v>
      </c>
      <c r="T197" s="14" t="s">
        <v>7623</v>
      </c>
      <c r="U197" s="14" t="s">
        <v>7624</v>
      </c>
      <c r="V197" s="14" t="s">
        <v>7625</v>
      </c>
      <c r="W197" s="14" t="s">
        <v>7626</v>
      </c>
    </row>
    <row r="198" spans="1:23" ht="409.5">
      <c r="A198" s="14" t="s">
        <v>1218</v>
      </c>
      <c r="B198" s="14" t="s">
        <v>7627</v>
      </c>
      <c r="C198" s="15" t="s">
        <v>7628</v>
      </c>
      <c r="D198" s="14" t="s">
        <v>7629</v>
      </c>
      <c r="E198" s="14" t="s">
        <v>7630</v>
      </c>
      <c r="F198" s="14" t="s">
        <v>7631</v>
      </c>
      <c r="G198" s="14" t="s">
        <v>7632</v>
      </c>
      <c r="H198" s="14" t="s">
        <v>7633</v>
      </c>
      <c r="I198" s="14" t="s">
        <v>7634</v>
      </c>
      <c r="J198" s="14" t="s">
        <v>7635</v>
      </c>
      <c r="K198" s="14" t="s">
        <v>7636</v>
      </c>
      <c r="L198" s="14" t="s">
        <v>7637</v>
      </c>
      <c r="M198" s="14" t="s">
        <v>7638</v>
      </c>
      <c r="O198" s="14" t="s">
        <v>7639</v>
      </c>
      <c r="P198" s="14" t="s">
        <v>7640</v>
      </c>
      <c r="Q198" s="14" t="s">
        <v>7641</v>
      </c>
      <c r="R198" s="14" t="s">
        <v>7642</v>
      </c>
      <c r="S198" s="14" t="s">
        <v>7643</v>
      </c>
      <c r="T198" s="14" t="s">
        <v>7644</v>
      </c>
      <c r="U198" s="14" t="s">
        <v>7645</v>
      </c>
      <c r="V198" s="14" t="s">
        <v>7646</v>
      </c>
      <c r="W198" s="14" t="s">
        <v>7647</v>
      </c>
    </row>
    <row r="199" spans="1:23" ht="409.5">
      <c r="A199" s="14" t="s">
        <v>1218</v>
      </c>
      <c r="B199" s="14" t="s">
        <v>7648</v>
      </c>
      <c r="C199" s="15" t="s">
        <v>7649</v>
      </c>
      <c r="D199" s="14" t="s">
        <v>7650</v>
      </c>
      <c r="E199" s="14" t="s">
        <v>7651</v>
      </c>
      <c r="F199" s="14" t="s">
        <v>7652</v>
      </c>
      <c r="G199" s="14" t="s">
        <v>7653</v>
      </c>
      <c r="H199" s="14" t="s">
        <v>7654</v>
      </c>
      <c r="I199" s="14" t="s">
        <v>7655</v>
      </c>
      <c r="J199" s="14" t="s">
        <v>7656</v>
      </c>
      <c r="K199" s="14" t="s">
        <v>7657</v>
      </c>
      <c r="L199" s="14" t="s">
        <v>7658</v>
      </c>
      <c r="M199" s="14" t="s">
        <v>7659</v>
      </c>
      <c r="O199" s="14" t="s">
        <v>7660</v>
      </c>
      <c r="P199" s="14" t="s">
        <v>7661</v>
      </c>
      <c r="Q199" s="14" t="s">
        <v>7662</v>
      </c>
      <c r="R199" s="14" t="s">
        <v>7663</v>
      </c>
      <c r="S199" s="14" t="s">
        <v>7664</v>
      </c>
      <c r="T199" s="14" t="s">
        <v>7665</v>
      </c>
      <c r="U199" s="14" t="s">
        <v>7666</v>
      </c>
      <c r="V199" s="14" t="s">
        <v>7667</v>
      </c>
      <c r="W199" s="14" t="s">
        <v>7668</v>
      </c>
    </row>
    <row r="200" spans="1:23" ht="409.5">
      <c r="A200" s="14" t="s">
        <v>1218</v>
      </c>
      <c r="B200" s="14" t="s">
        <v>7669</v>
      </c>
      <c r="C200" s="15" t="s">
        <v>7670</v>
      </c>
      <c r="D200" s="14" t="s">
        <v>7671</v>
      </c>
      <c r="E200" s="14" t="s">
        <v>7672</v>
      </c>
      <c r="F200" s="14" t="s">
        <v>7673</v>
      </c>
      <c r="G200" s="14" t="s">
        <v>7674</v>
      </c>
      <c r="H200" s="14" t="s">
        <v>7675</v>
      </c>
      <c r="I200" s="14" t="s">
        <v>7676</v>
      </c>
      <c r="J200" s="14" t="s">
        <v>7677</v>
      </c>
      <c r="K200" s="14" t="s">
        <v>7678</v>
      </c>
      <c r="L200" s="14" t="s">
        <v>7679</v>
      </c>
      <c r="M200" s="14" t="s">
        <v>7680</v>
      </c>
      <c r="O200" s="14" t="s">
        <v>7681</v>
      </c>
      <c r="P200" s="14" t="s">
        <v>7682</v>
      </c>
      <c r="Q200" s="14" t="s">
        <v>7683</v>
      </c>
      <c r="R200" s="14" t="s">
        <v>7684</v>
      </c>
      <c r="S200" s="14" t="s">
        <v>7685</v>
      </c>
      <c r="T200" s="14" t="s">
        <v>7686</v>
      </c>
      <c r="U200" s="14" t="s">
        <v>7687</v>
      </c>
      <c r="V200" s="14" t="s">
        <v>7688</v>
      </c>
      <c r="W200" s="14" t="s">
        <v>7689</v>
      </c>
    </row>
    <row r="201" spans="1:23" ht="409.5">
      <c r="A201" s="14" t="s">
        <v>1218</v>
      </c>
      <c r="B201" s="14" t="s">
        <v>7690</v>
      </c>
      <c r="C201" s="15" t="s">
        <v>7691</v>
      </c>
      <c r="D201" s="14" t="s">
        <v>7692</v>
      </c>
      <c r="E201" s="14" t="s">
        <v>7693</v>
      </c>
      <c r="F201" s="14" t="s">
        <v>7694</v>
      </c>
      <c r="G201" s="14" t="s">
        <v>7695</v>
      </c>
      <c r="H201" s="14" t="s">
        <v>7696</v>
      </c>
      <c r="I201" s="14" t="s">
        <v>7697</v>
      </c>
      <c r="J201" s="14" t="s">
        <v>7698</v>
      </c>
      <c r="K201" s="14" t="s">
        <v>7699</v>
      </c>
      <c r="L201" s="14" t="s">
        <v>7700</v>
      </c>
      <c r="M201" s="14" t="s">
        <v>7701</v>
      </c>
      <c r="O201" s="14" t="s">
        <v>7702</v>
      </c>
      <c r="P201" s="14" t="s">
        <v>7703</v>
      </c>
      <c r="Q201" s="14" t="s">
        <v>7704</v>
      </c>
      <c r="R201" s="14" t="s">
        <v>7705</v>
      </c>
      <c r="S201" s="14" t="s">
        <v>7706</v>
      </c>
      <c r="T201" s="14" t="s">
        <v>7707</v>
      </c>
      <c r="U201" s="14" t="s">
        <v>7708</v>
      </c>
      <c r="V201" s="14" t="s">
        <v>7709</v>
      </c>
      <c r="W201" s="14" t="s">
        <v>7710</v>
      </c>
    </row>
    <row r="202" spans="1:23" ht="409.5">
      <c r="A202" s="14" t="s">
        <v>1218</v>
      </c>
      <c r="B202" s="14" t="s">
        <v>7711</v>
      </c>
      <c r="C202" s="15" t="s">
        <v>7712</v>
      </c>
      <c r="D202" s="14" t="s">
        <v>7713</v>
      </c>
      <c r="E202" s="14" t="s">
        <v>7714</v>
      </c>
      <c r="F202" s="14" t="s">
        <v>7715</v>
      </c>
      <c r="G202" s="14" t="s">
        <v>7716</v>
      </c>
      <c r="H202" s="14" t="s">
        <v>7717</v>
      </c>
      <c r="I202" s="14" t="s">
        <v>7718</v>
      </c>
      <c r="J202" s="14" t="s">
        <v>7719</v>
      </c>
      <c r="K202" s="14" t="s">
        <v>7720</v>
      </c>
      <c r="L202" s="14" t="s">
        <v>7721</v>
      </c>
      <c r="M202" s="14" t="s">
        <v>7722</v>
      </c>
      <c r="O202" s="14" t="s">
        <v>7723</v>
      </c>
      <c r="P202" s="14" t="s">
        <v>7724</v>
      </c>
      <c r="Q202" s="14" t="s">
        <v>7725</v>
      </c>
      <c r="R202" s="14" t="s">
        <v>7726</v>
      </c>
      <c r="S202" s="14" t="s">
        <v>7727</v>
      </c>
      <c r="T202" s="14" t="s">
        <v>7728</v>
      </c>
      <c r="U202" s="14" t="s">
        <v>7729</v>
      </c>
      <c r="V202" s="14" t="s">
        <v>7730</v>
      </c>
      <c r="W202" s="14" t="s">
        <v>7731</v>
      </c>
    </row>
    <row r="203" spans="1:23" ht="409.5">
      <c r="A203" s="14" t="s">
        <v>1218</v>
      </c>
      <c r="B203" s="14" t="s">
        <v>7732</v>
      </c>
      <c r="C203" s="15" t="s">
        <v>7733</v>
      </c>
      <c r="D203" s="14" t="s">
        <v>7734</v>
      </c>
      <c r="E203" s="14" t="s">
        <v>7735</v>
      </c>
      <c r="F203" s="14" t="s">
        <v>7736</v>
      </c>
      <c r="G203" s="14" t="s">
        <v>7737</v>
      </c>
      <c r="H203" s="14" t="s">
        <v>7738</v>
      </c>
      <c r="I203" s="14" t="s">
        <v>7739</v>
      </c>
      <c r="J203" s="14" t="s">
        <v>7740</v>
      </c>
      <c r="K203" s="14" t="s">
        <v>7741</v>
      </c>
      <c r="L203" s="14" t="s">
        <v>7742</v>
      </c>
      <c r="M203" s="14" t="s">
        <v>7743</v>
      </c>
      <c r="O203" s="14" t="s">
        <v>7744</v>
      </c>
      <c r="P203" s="14" t="s">
        <v>7745</v>
      </c>
      <c r="Q203" s="14" t="s">
        <v>7746</v>
      </c>
      <c r="R203" s="14" t="s">
        <v>7747</v>
      </c>
      <c r="S203" s="14" t="s">
        <v>7748</v>
      </c>
      <c r="T203" s="14" t="s">
        <v>7749</v>
      </c>
      <c r="U203" s="14" t="s">
        <v>7750</v>
      </c>
      <c r="V203" s="14" t="s">
        <v>7751</v>
      </c>
      <c r="W203" s="14" t="s">
        <v>7752</v>
      </c>
    </row>
    <row r="204" spans="1:23" ht="409.5">
      <c r="A204" s="14" t="s">
        <v>1218</v>
      </c>
      <c r="B204" s="14" t="s">
        <v>7753</v>
      </c>
      <c r="C204" s="15" t="s">
        <v>7754</v>
      </c>
      <c r="D204" s="14" t="s">
        <v>7755</v>
      </c>
      <c r="E204" s="14" t="s">
        <v>7756</v>
      </c>
      <c r="F204" s="14" t="s">
        <v>7757</v>
      </c>
      <c r="G204" s="14" t="s">
        <v>7758</v>
      </c>
      <c r="H204" s="14" t="s">
        <v>7759</v>
      </c>
      <c r="I204" s="14" t="s">
        <v>7760</v>
      </c>
      <c r="J204" s="14" t="s">
        <v>7761</v>
      </c>
      <c r="K204" s="14" t="s">
        <v>7762</v>
      </c>
      <c r="L204" s="14" t="s">
        <v>7763</v>
      </c>
      <c r="M204" s="14" t="s">
        <v>7764</v>
      </c>
      <c r="O204" s="14" t="s">
        <v>7765</v>
      </c>
      <c r="P204" s="14" t="s">
        <v>7766</v>
      </c>
      <c r="Q204" s="14" t="s">
        <v>7767</v>
      </c>
      <c r="R204" s="14" t="s">
        <v>7768</v>
      </c>
      <c r="S204" s="14" t="s">
        <v>7769</v>
      </c>
      <c r="T204" s="14" t="s">
        <v>7770</v>
      </c>
      <c r="U204" s="14" t="s">
        <v>7771</v>
      </c>
      <c r="V204" s="14" t="s">
        <v>7772</v>
      </c>
      <c r="W204" s="14" t="s">
        <v>7773</v>
      </c>
    </row>
    <row r="205" spans="1:23" ht="409.5">
      <c r="A205" s="14" t="s">
        <v>1218</v>
      </c>
      <c r="B205" s="14" t="s">
        <v>7774</v>
      </c>
      <c r="C205" s="15" t="s">
        <v>7775</v>
      </c>
      <c r="D205" s="14" t="s">
        <v>7776</v>
      </c>
      <c r="E205" s="14" t="s">
        <v>7777</v>
      </c>
      <c r="F205" s="14" t="s">
        <v>7778</v>
      </c>
      <c r="G205" s="14" t="s">
        <v>7779</v>
      </c>
      <c r="H205" s="14" t="s">
        <v>7780</v>
      </c>
      <c r="I205" s="14" t="s">
        <v>7781</v>
      </c>
      <c r="J205" s="14" t="s">
        <v>7782</v>
      </c>
      <c r="K205" s="14" t="s">
        <v>7783</v>
      </c>
      <c r="L205" s="14" t="s">
        <v>7784</v>
      </c>
      <c r="M205" s="14" t="s">
        <v>7785</v>
      </c>
      <c r="O205" s="14" t="s">
        <v>7786</v>
      </c>
      <c r="P205" s="14" t="s">
        <v>7787</v>
      </c>
      <c r="Q205" s="14" t="s">
        <v>7788</v>
      </c>
      <c r="R205" s="14" t="s">
        <v>7789</v>
      </c>
      <c r="S205" s="14" t="s">
        <v>7790</v>
      </c>
      <c r="T205" s="14" t="s">
        <v>7791</v>
      </c>
      <c r="U205" s="14" t="s">
        <v>7792</v>
      </c>
      <c r="V205" s="14" t="s">
        <v>7793</v>
      </c>
      <c r="W205" s="14" t="s">
        <v>7794</v>
      </c>
    </row>
    <row r="206" spans="1:23" ht="409.5">
      <c r="A206" s="14" t="s">
        <v>1218</v>
      </c>
      <c r="B206" s="14" t="s">
        <v>7795</v>
      </c>
      <c r="C206" s="15" t="s">
        <v>7796</v>
      </c>
      <c r="D206" s="14" t="s">
        <v>7797</v>
      </c>
      <c r="E206" s="14" t="s">
        <v>7798</v>
      </c>
      <c r="F206" s="14" t="s">
        <v>7799</v>
      </c>
      <c r="G206" s="14" t="s">
        <v>7800</v>
      </c>
      <c r="H206" s="14" t="s">
        <v>7801</v>
      </c>
      <c r="I206" s="14" t="s">
        <v>7802</v>
      </c>
      <c r="J206" s="14" t="s">
        <v>7803</v>
      </c>
      <c r="K206" s="14" t="s">
        <v>7804</v>
      </c>
      <c r="L206" s="14" t="s">
        <v>7805</v>
      </c>
      <c r="M206" s="14" t="s">
        <v>7806</v>
      </c>
      <c r="O206" s="14" t="s">
        <v>7807</v>
      </c>
      <c r="P206" s="14" t="s">
        <v>7808</v>
      </c>
      <c r="Q206" s="14" t="s">
        <v>7809</v>
      </c>
      <c r="R206" s="14" t="s">
        <v>7810</v>
      </c>
      <c r="S206" s="14" t="s">
        <v>7811</v>
      </c>
      <c r="T206" s="14" t="s">
        <v>7812</v>
      </c>
      <c r="U206" s="14" t="s">
        <v>7813</v>
      </c>
      <c r="V206" s="14" t="s">
        <v>7814</v>
      </c>
      <c r="W206" s="14" t="s">
        <v>7815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730db8-e339-4070-9a40-14345e58ba8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7E496E75F43449807DA20AEA9E5BD1" ma:contentTypeVersion="9" ma:contentTypeDescription="Crear nuevo documento." ma:contentTypeScope="" ma:versionID="bd36b69422572bc71ef08c610672583f">
  <xsd:schema xmlns:xsd="http://www.w3.org/2001/XMLSchema" xmlns:xs="http://www.w3.org/2001/XMLSchema" xmlns:p="http://schemas.microsoft.com/office/2006/metadata/properties" xmlns:ns2="0a730db8-e339-4070-9a40-14345e58ba8b" targetNamespace="http://schemas.microsoft.com/office/2006/metadata/properties" ma:root="true" ma:fieldsID="134dd4ea042b346e68867fe958e6da99" ns2:_="">
    <xsd:import namespace="0a730db8-e339-4070-9a40-14345e58ba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30db8-e339-4070-9a40-14345e58ba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49825b88-26fc-4896-8a03-1a222bf385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B64C3A-F1E8-4EA0-8DEC-86C3F00BB98B}"/>
</file>

<file path=customXml/itemProps2.xml><?xml version="1.0" encoding="utf-8"?>
<ds:datastoreItem xmlns:ds="http://schemas.openxmlformats.org/officeDocument/2006/customXml" ds:itemID="{B516F435-628A-4FE2-A19D-D25FCD51EA9B}"/>
</file>

<file path=customXml/itemProps3.xml><?xml version="1.0" encoding="utf-8"?>
<ds:datastoreItem xmlns:ds="http://schemas.openxmlformats.org/officeDocument/2006/customXml" ds:itemID="{7CA425F4-BA27-45C3-8165-E72C93F3CE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Julián Raveglia Rodriguez</dc:creator>
  <cp:keywords/>
  <dc:description/>
  <cp:lastModifiedBy>Nallibe Rivera Grisales | h&amp;k</cp:lastModifiedBy>
  <cp:revision/>
  <dcterms:created xsi:type="dcterms:W3CDTF">2010-09-06T15:34:11Z</dcterms:created>
  <dcterms:modified xsi:type="dcterms:W3CDTF">2026-06-09T13:26:18Z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Design Mode Active">
    <vt:bool>false</vt:bool>
  </property>
  <property fmtid="{D5CDD505-2E9C-101B-9397-08002B2CF9AE}" pid="3" name="Jet Reports Function Literals">
    <vt:lpwstr>\	;	;	{	}	[@[{0}]]	3082</vt:lpwstr>
  </property>
  <property fmtid="{D5CDD505-2E9C-101B-9397-08002B2CF9AE}" pid="4" name="ContentTypeId">
    <vt:lpwstr>0x0101002C7E496E75F43449807DA20AEA9E5BD1</vt:lpwstr>
  </property>
  <property fmtid="{D5CDD505-2E9C-101B-9397-08002B2CF9AE}" pid="5" name="MediaServiceImageTags">
    <vt:lpwstr/>
  </property>
</Properties>
</file>