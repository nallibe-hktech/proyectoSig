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gespana.sharepoint.com/sites/msteams_850f13_051111-GALYCO/Documentos compartidos/GALYCO/ALMACENAJE/2026/05 2026/"/>
    </mc:Choice>
  </mc:AlternateContent>
  <xr:revisionPtr revIDLastSave="146" documentId="13_ncr:1_{BDD72AD2-3E98-4679-BEFC-052143BEA03F}" xr6:coauthVersionLast="47" xr6:coauthVersionMax="47" xr10:uidLastSave="{FE5C17A2-EB71-41A8-9F9D-9AD1E231D0BC}"/>
  <bookViews>
    <workbookView xWindow="-120" yWindow="-120" windowWidth="29040" windowHeight="15720" firstSheet="4" activeTab="4" xr2:uid="{B6486902-6B0A-4343-BB7B-76FF263AC39F}"/>
  </bookViews>
  <sheets>
    <sheet name="APPLE" sheetId="1" r:id="rId1"/>
    <sheet name="META" sheetId="3" r:id="rId2"/>
    <sheet name="ROLLOUT" sheetId="4" r:id="rId3"/>
    <sheet name="DJI" sheetId="6" r:id="rId4"/>
    <sheet name="OTROS" sheetId="5" r:id="rId5"/>
    <sheet name="TD OTROS" sheetId="7" r:id="rId6"/>
    <sheet name="OTROS (2)" sheetId="8" r:id="rId7"/>
  </sheets>
  <definedNames>
    <definedName name="_xlnm._FilterDatabase" localSheetId="4" hidden="1">OTROS!$A$4:$J$1019</definedName>
    <definedName name="_xlnm._FilterDatabase" localSheetId="6" hidden="1">'OTROS (2)'!$A$1:$G$785</definedName>
  </definedNames>
  <calcPr calcId="191028" calcCompleted="0"/>
  <pivotCaches>
    <pivotCache cacheId="256" r:id="rId8"/>
    <pivotCache cacheId="25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85" i="5" l="1"/>
  <c r="N784" i="5"/>
  <c r="G18" i="7"/>
  <c r="G17" i="7"/>
  <c r="G7" i="6" l="1"/>
  <c r="I789" i="5"/>
  <c r="I789" i="5" a="1"/>
  <c r="G785" i="8"/>
  <c r="G785" i="8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<sst xmlns="http://schemas.openxmlformats.org/spreadsheetml/2006/main" count="10900" uniqueCount="2662">
  <si>
    <t>ALMACENAJE MAYO 2026</t>
  </si>
  <si>
    <t>CLIENTE</t>
  </si>
  <si>
    <t>MARCA</t>
  </si>
  <si>
    <t>IRC</t>
  </si>
  <si>
    <t>UBICACIÓN</t>
  </si>
  <si>
    <t>ARTICULO</t>
  </si>
  <si>
    <t>MUEBLES</t>
  </si>
  <si>
    <t>COSTE</t>
  </si>
  <si>
    <t>PALET</t>
  </si>
  <si>
    <t>APPLE</t>
  </si>
  <si>
    <t>003-00029</t>
  </si>
  <si>
    <t>APPLE.03</t>
  </si>
  <si>
    <t>MTI VHB Adhesive Removal Tool</t>
  </si>
  <si>
    <t>CCS_FNACBIL_BTS</t>
  </si>
  <si>
    <t>AL.01</t>
  </si>
  <si>
    <t>2D CCS FNAC Bilbao 300725</t>
  </si>
  <si>
    <t>CCS_KTUALI_BTS25</t>
  </si>
  <si>
    <t>KTUIN ALIC. BTS25</t>
  </si>
  <si>
    <t>408202-01</t>
  </si>
  <si>
    <t>AL.06</t>
  </si>
  <si>
    <t xml:space="preserve">UNIDAD DYSON 553 </t>
  </si>
  <si>
    <t>DYSON TOOL SIG -1</t>
  </si>
  <si>
    <t>JUEGO DE PUNTAS</t>
  </si>
  <si>
    <t>OUTFORM-MGS-4</t>
  </si>
  <si>
    <t>DYSON AIRWRAP</t>
  </si>
  <si>
    <t>AF6313-USADO</t>
  </si>
  <si>
    <t>AL.07</t>
  </si>
  <si>
    <t>InVue Multi Tool</t>
  </si>
  <si>
    <t>APPLEDEVOL</t>
  </si>
  <si>
    <t>DEVOLUCIONES MATERIAL APPLE</t>
  </si>
  <si>
    <t>622-00119</t>
  </si>
  <si>
    <t>AL.08</t>
  </si>
  <si>
    <t>iPad Universal Keyboard SeKure Security Cable</t>
  </si>
  <si>
    <t>PILAS</t>
  </si>
  <si>
    <t>818-03008</t>
  </si>
  <si>
    <t>Universal Adhesive Removal Tool</t>
  </si>
  <si>
    <t>CH0AC16-ADH</t>
  </si>
  <si>
    <t>Adhesive for Common Acrylics</t>
  </si>
  <si>
    <t>DBH635-B</t>
  </si>
  <si>
    <t>lnVue Fall 2023 Bracket</t>
  </si>
  <si>
    <t>SK-981P-W-01</t>
  </si>
  <si>
    <t>SeKure Flat Tab Cable – Single</t>
  </si>
  <si>
    <t>SUITCASE_120625</t>
  </si>
  <si>
    <t>SUITCA_120625</t>
  </si>
  <si>
    <t>TTDISPLAY_0512</t>
  </si>
  <si>
    <t>Touch &amp; Try Display</t>
  </si>
  <si>
    <t>010724-2DAPPLE</t>
  </si>
  <si>
    <t>AL.09</t>
  </si>
  <si>
    <t>Comparison iPad 010724</t>
  </si>
  <si>
    <t>040624-AS ARVATO</t>
  </si>
  <si>
    <t>Entrada Arvato sin ID 040624</t>
  </si>
  <si>
    <t>050924-PEAK</t>
  </si>
  <si>
    <t>Entrada Arvato 3.0 Peak 050924</t>
  </si>
  <si>
    <t>120424-POPTOWERS</t>
  </si>
  <si>
    <t>POP nuevos Torres iTunes</t>
  </si>
  <si>
    <t>160524-MAITE GARCÍA</t>
  </si>
  <si>
    <t>Toallitas alcohol Maite (avión)</t>
  </si>
  <si>
    <t>200524-MAITE GARCÍA</t>
  </si>
  <si>
    <t>Entrada Arvato Ba Program 200524</t>
  </si>
  <si>
    <t>200524-XFP02</t>
  </si>
  <si>
    <t>Entrada Arvato Solid Surface 200524</t>
  </si>
  <si>
    <t>220524-SKD-1111PW-04</t>
  </si>
  <si>
    <t>SEKURE 2 PORTS SPLITTER</t>
  </si>
  <si>
    <t>220824-3DPEAK</t>
  </si>
  <si>
    <t>Entrada Arvato 3.0 Peak 220824</t>
  </si>
  <si>
    <t>290824-PREMIOWSMG</t>
  </si>
  <si>
    <t>Premio WS Maite García 290824</t>
  </si>
  <si>
    <t>2D TIER SPARES_</t>
  </si>
  <si>
    <t>Sobrante 2D T2MB 16E</t>
  </si>
  <si>
    <t>2D_ECIAZN</t>
  </si>
  <si>
    <t>ARIAN 2D ECI AZN</t>
  </si>
  <si>
    <t>2D_MMLLEI</t>
  </si>
  <si>
    <t>ARIAN 2D MM LLEIDA</t>
  </si>
  <si>
    <t>2D_Tier</t>
  </si>
  <si>
    <t>Gráficos T2MB 16E Arian</t>
  </si>
  <si>
    <t>2DFnacTower</t>
  </si>
  <si>
    <t>Gráfico Torre Fnac</t>
  </si>
  <si>
    <t>300824-278523</t>
  </si>
  <si>
    <t>Entrada Arvato MM 3 Mayo 300824</t>
  </si>
  <si>
    <t>3D ECI TENERIFE 0810</t>
  </si>
  <si>
    <t>Entrada Arvato 3D ECI Tenerife</t>
  </si>
  <si>
    <t>3N701Z/A</t>
  </si>
  <si>
    <t>Narvi Watch NFU Ti Gl LG (3533)</t>
  </si>
  <si>
    <t>3N702Z/A</t>
  </si>
  <si>
    <t>Narvi Watch NFU Ti Dk LG (G532)</t>
  </si>
  <si>
    <t>3N704Z/A</t>
  </si>
  <si>
    <t>Narvi Watch NFU Ti Dk XL (G538)</t>
  </si>
  <si>
    <t>3N766ZM/A</t>
  </si>
  <si>
    <t>F231 Display Riser</t>
  </si>
  <si>
    <t>3P263ZM/A</t>
  </si>
  <si>
    <t>Turing E Merchandiser</t>
  </si>
  <si>
    <t>53JT18</t>
  </si>
  <si>
    <t>PH #1 Screwdriver (AMR/EMEIA)</t>
  </si>
  <si>
    <t>604-38609_CH</t>
  </si>
  <si>
    <t>AW T&amp;T Retractor 40mm</t>
  </si>
  <si>
    <t>604-38614_CH</t>
  </si>
  <si>
    <t>AW T&amp;T rectractor - 44mm</t>
  </si>
  <si>
    <t>604-38615_CH</t>
  </si>
  <si>
    <t>AW Touch&amp;Try Display-Retractor XL</t>
  </si>
  <si>
    <t>604-50126</t>
  </si>
  <si>
    <t>AW Touch&amp;Try Display-V2 Retr. L</t>
  </si>
  <si>
    <t>604-50135</t>
  </si>
  <si>
    <t>AW Touch&amp;Try Display-V2 Retr S</t>
  </si>
  <si>
    <t>622-00202</t>
  </si>
  <si>
    <t>iPad SeKure Security USBC Combo Cable</t>
  </si>
  <si>
    <t>631-07974-CH</t>
  </si>
  <si>
    <t>Touch &amp; Try Power Cable</t>
  </si>
  <si>
    <t>677-05168</t>
  </si>
  <si>
    <t>Apple Pencil SeKure Security Cable</t>
  </si>
  <si>
    <t>818-05437</t>
  </si>
  <si>
    <t>SPUDGER</t>
  </si>
  <si>
    <t>818-11170</t>
  </si>
  <si>
    <t>F220 Mylar Tool</t>
  </si>
  <si>
    <t>818-18890</t>
  </si>
  <si>
    <t>F229 Press Fixt 40mm</t>
  </si>
  <si>
    <t>818-18916</t>
  </si>
  <si>
    <t>Pressure Fixture: X-Large</t>
  </si>
  <si>
    <t>818-18944</t>
  </si>
  <si>
    <t>F229 Press Fixt 44mm</t>
  </si>
  <si>
    <t>818-23301-CH</t>
  </si>
  <si>
    <t>F229 Pressure Fixture S 2024</t>
  </si>
  <si>
    <t>818-23302-CH</t>
  </si>
  <si>
    <t>F229 Pressure Fixture L 2024</t>
  </si>
  <si>
    <t>818-24446-CH</t>
  </si>
  <si>
    <t>F231 Puck Locator</t>
  </si>
  <si>
    <t>875-07954-A</t>
  </si>
  <si>
    <t>AirPods Merch Adh</t>
  </si>
  <si>
    <t>875-09280-CH</t>
  </si>
  <si>
    <t>iPhone T&amp;T Display</t>
  </si>
  <si>
    <t>946-8929-A</t>
  </si>
  <si>
    <t>ADH FOR PUCK SEC. CABLE</t>
  </si>
  <si>
    <t>A4Varios-Adeje</t>
  </si>
  <si>
    <t>A4 Varios Adeje</t>
  </si>
  <si>
    <t>AC23</t>
  </si>
  <si>
    <t>A6 Landscape Acrylic Sign Holder</t>
  </si>
  <si>
    <t>AC56</t>
  </si>
  <si>
    <t>Acrylic SH A5 Angl</t>
  </si>
  <si>
    <t>ADH2440</t>
  </si>
  <si>
    <t>iPad mini Adh.</t>
  </si>
  <si>
    <t>APPLE BA BADGES</t>
  </si>
  <si>
    <t>Tarjetas BA</t>
  </si>
  <si>
    <t>ARIAN_T2GIR7</t>
  </si>
  <si>
    <t>Arian T2MB Fnac Girona_NPI Air</t>
  </si>
  <si>
    <t>ARIAN_T2GRX7</t>
  </si>
  <si>
    <t>Arian T2MB Fnac Granada_NPI Air</t>
  </si>
  <si>
    <t>ARIAN_T2MAJ7</t>
  </si>
  <si>
    <t>Arian T2MB Fnac Majadahonda_NPI Air</t>
  </si>
  <si>
    <t>ARIAN_T2PAM7</t>
  </si>
  <si>
    <t>Arian T2MB Fnac Pamplona_NPI Air</t>
  </si>
  <si>
    <t>ARIAN_T2SPL7</t>
  </si>
  <si>
    <t>Arian T2MB Fnac Splau_NPI Air</t>
  </si>
  <si>
    <t>ARIAN_T2SPRS7</t>
  </si>
  <si>
    <t>Arian T2MB Spares_NPI Air</t>
  </si>
  <si>
    <t>ARIAN_T2SVQ7</t>
  </si>
  <si>
    <t>Arian T2MB Fnac Torre Sevilla_NPI Air</t>
  </si>
  <si>
    <t>ARIAN0511</t>
  </si>
  <si>
    <t>P350395</t>
  </si>
  <si>
    <t>ARIE.7PAL071125</t>
  </si>
  <si>
    <t>ARIE.CORU071125</t>
  </si>
  <si>
    <t>ARIE.LP1071125</t>
  </si>
  <si>
    <t>ARV_Acry1909</t>
  </si>
  <si>
    <t>ABP1812649</t>
  </si>
  <si>
    <t>ARVA_ALC1701</t>
  </si>
  <si>
    <t>Alcohol Wipes 1701</t>
  </si>
  <si>
    <t>ARVA_APPLE1601</t>
  </si>
  <si>
    <t>Arvato AS 1601</t>
  </si>
  <si>
    <t>ARVA_MAITE0925</t>
  </si>
  <si>
    <t>ARVA_MAITE1104</t>
  </si>
  <si>
    <t>PEDIDO MENSUAL MAITE G 1104</t>
  </si>
  <si>
    <t>AW081024</t>
  </si>
  <si>
    <t>APPLE WATCH 081024</t>
  </si>
  <si>
    <t>CAJAAPPLE</t>
  </si>
  <si>
    <t>CAJA APPLE NPI</t>
  </si>
  <si>
    <t>CCS_FTRIANGLE</t>
  </si>
  <si>
    <t>GPF_FTRIANGLE</t>
  </si>
  <si>
    <t>CCS_MMALC7</t>
  </si>
  <si>
    <t>GPF85_AS3 MM ALICANTE</t>
  </si>
  <si>
    <t>CCS_MMFAN7</t>
  </si>
  <si>
    <t>GPF85_AS3 MM MALLORCA FAN</t>
  </si>
  <si>
    <t>CCS_MMLLE7</t>
  </si>
  <si>
    <t>GPF85_AS3 MM LLEIDA</t>
  </si>
  <si>
    <t>CCS_MMLLEIDA</t>
  </si>
  <si>
    <t>GPF_AS MM LLEIDA</t>
  </si>
  <si>
    <t>CCS_MMTAR7</t>
  </si>
  <si>
    <t>GPF85_AS3 MM TARRAGONA</t>
  </si>
  <si>
    <t>CCS_SPARE161025</t>
  </si>
  <si>
    <t>CCSBCAST161025</t>
  </si>
  <si>
    <t>CCSBLAG161025</t>
  </si>
  <si>
    <t>CH00013</t>
  </si>
  <si>
    <t>Adhesive fot Top Hat Combo Cable</t>
  </si>
  <si>
    <t>CHOAC16-ADH</t>
  </si>
  <si>
    <t>Adhesive for Common Acrylics (1 -pk)</t>
  </si>
  <si>
    <t>DBD273-W</t>
  </si>
  <si>
    <t>Narv'i B Bracket Large</t>
  </si>
  <si>
    <t>EPAY 100</t>
  </si>
  <si>
    <t>EPAY 15</t>
  </si>
  <si>
    <t>EPAY 25</t>
  </si>
  <si>
    <t>EPAY 50</t>
  </si>
  <si>
    <t>EPAY100_1501</t>
  </si>
  <si>
    <t>Epay 100 Euros</t>
  </si>
  <si>
    <t>EPAY100_1706</t>
  </si>
  <si>
    <t>Epay 100 Euros 2025</t>
  </si>
  <si>
    <t>EPAY15_1501</t>
  </si>
  <si>
    <t>Epay 15 Euros</t>
  </si>
  <si>
    <t>EPAY25_1501</t>
  </si>
  <si>
    <t>Epay 25 Euros</t>
  </si>
  <si>
    <t>EPAY25_1706</t>
  </si>
  <si>
    <t>Epay 25 Euros 2025</t>
  </si>
  <si>
    <t>EPAY50_1501</t>
  </si>
  <si>
    <t>Epay 50 Euros</t>
  </si>
  <si>
    <t>GPX02</t>
  </si>
  <si>
    <t>VISUAL CAJA NPI</t>
  </si>
  <si>
    <t>KA16502J-Adeje</t>
  </si>
  <si>
    <t>GPF16_WP</t>
  </si>
  <si>
    <t>LABELNPIOCT25</t>
  </si>
  <si>
    <t>NPI LABEL ARIAN IPAD PRO</t>
  </si>
  <si>
    <t>MAGSAFE</t>
  </si>
  <si>
    <t>MAITEG_170225</t>
  </si>
  <si>
    <t>Arvato Maite García 1702</t>
  </si>
  <si>
    <t>MFFH4ZM/A</t>
  </si>
  <si>
    <t>Turing Watch L(B702)</t>
  </si>
  <si>
    <t>MFFM4ZM/A</t>
  </si>
  <si>
    <t>Turing Watch L (B703)</t>
  </si>
  <si>
    <t>MFGV4ZM/A</t>
  </si>
  <si>
    <t>Turing Watch L (B693)</t>
  </si>
  <si>
    <t>MFH04ZM/A</t>
  </si>
  <si>
    <t>Turing Watch L (B694)</t>
  </si>
  <si>
    <t>MFH04ZW/A</t>
  </si>
  <si>
    <t>TW L Sport Band (B694)</t>
  </si>
  <si>
    <t>MFTH4ZM/A</t>
  </si>
  <si>
    <t>Turing Watch XL(B709)</t>
  </si>
  <si>
    <t>MGC44ZM/A</t>
  </si>
  <si>
    <t>Turing Watch L (B715)</t>
  </si>
  <si>
    <t>MGCL4ZM/A</t>
  </si>
  <si>
    <t>Turing Watch XL (B706)</t>
  </si>
  <si>
    <t>MGD54ZM/A</t>
  </si>
  <si>
    <t>Turing Watch L (B717)</t>
  </si>
  <si>
    <t>MXLQ3ZM/A</t>
  </si>
  <si>
    <t>Narvi Watch Mil Loop LG B658</t>
  </si>
  <si>
    <t>MXLX3ZM/A</t>
  </si>
  <si>
    <t>Narvi Watch Band LG B647</t>
  </si>
  <si>
    <t>MXM63ZM/A</t>
  </si>
  <si>
    <t>Narvi Watch Band LG B684</t>
  </si>
  <si>
    <t>MYP83ZM/A</t>
  </si>
  <si>
    <t>Narvi Watch Ocean Band LG 8671</t>
  </si>
  <si>
    <t>NARVIE11410</t>
  </si>
  <si>
    <t>NARVIE1MERCH</t>
  </si>
  <si>
    <t>PALOS NEGROS</t>
  </si>
  <si>
    <t>PINCHO SIM</t>
  </si>
  <si>
    <t>REFRESHAW360</t>
  </si>
  <si>
    <t>RefreshAW360 (ENTRADA 12/03/2024)</t>
  </si>
  <si>
    <t>SOBRE SPARES_16</t>
  </si>
  <si>
    <t>Sobrante Sobre 16E</t>
  </si>
  <si>
    <t>SOBRETS0811</t>
  </si>
  <si>
    <t>TABLE SIGNS</t>
  </si>
  <si>
    <t>SPARE1410</t>
  </si>
  <si>
    <t>Badge1410</t>
  </si>
  <si>
    <t>TIRAS APPLE BA BADGE</t>
  </si>
  <si>
    <t>Tiras Tarjetas BA</t>
  </si>
  <si>
    <t>Z667-0932_CH</t>
  </si>
  <si>
    <t>AC Duckhead - Euro</t>
  </si>
  <si>
    <t>2D_RHIEM_SPARES</t>
  </si>
  <si>
    <t>AL.10</t>
  </si>
  <si>
    <t>8241-T</t>
  </si>
  <si>
    <t>ALCOHOL WIPES 70&amp; IPA</t>
  </si>
  <si>
    <t>ABP1902477</t>
  </si>
  <si>
    <t>BAND</t>
  </si>
  <si>
    <t>ABP1913037</t>
  </si>
  <si>
    <t>BUMPER</t>
  </si>
  <si>
    <t>ABP1913151</t>
  </si>
  <si>
    <t>ABP1913315</t>
  </si>
  <si>
    <t>ABP1913497</t>
  </si>
  <si>
    <t>ABP1913737</t>
  </si>
  <si>
    <t>ABP1913755</t>
  </si>
  <si>
    <t>AC53</t>
  </si>
  <si>
    <t>Acrylic Sign Holder - A6 Landscape</t>
  </si>
  <si>
    <t>ARIAN_LOTX0406</t>
  </si>
  <si>
    <t>LOTX LABEL PACK iPhone/iPad</t>
  </si>
  <si>
    <t>ARIAN171025</t>
  </si>
  <si>
    <t>ARIANSPARE0310</t>
  </si>
  <si>
    <t>ARV_180925</t>
  </si>
  <si>
    <t>PLACEMAT180925</t>
  </si>
  <si>
    <t>ARV_PEAK020925</t>
  </si>
  <si>
    <t>ARV1010-2</t>
  </si>
  <si>
    <t>ABP1888529</t>
  </si>
  <si>
    <t>ARV161025</t>
  </si>
  <si>
    <t>ABP1889303</t>
  </si>
  <si>
    <t>ARVA_MAITE0905</t>
  </si>
  <si>
    <t>PEDIDO MENSUAL MAITE G 0905</t>
  </si>
  <si>
    <t>ARVA_MAITE1908</t>
  </si>
  <si>
    <t>BACKORDER0725</t>
  </si>
  <si>
    <t>ARVA_MAITE2504</t>
  </si>
  <si>
    <t>PEDIDO MENSUAL MAITE G 2504</t>
  </si>
  <si>
    <t>ARVE.TEN160925</t>
  </si>
  <si>
    <t>ARVMAITEG241125</t>
  </si>
  <si>
    <t>ABP1903294</t>
  </si>
  <si>
    <t>ARVMAYTE191225</t>
  </si>
  <si>
    <t>PED. MENSUAL MAYTE</t>
  </si>
  <si>
    <t>ARVMAYTE19123D</t>
  </si>
  <si>
    <t>PED MENSUAL MAYTE</t>
  </si>
  <si>
    <t>ARVSJAZNAL</t>
  </si>
  <si>
    <t>ABP1899105</t>
  </si>
  <si>
    <t>BPLZESARV</t>
  </si>
  <si>
    <t>ABP1881308</t>
  </si>
  <si>
    <t>CSS_SPARE_LOTX</t>
  </si>
  <si>
    <t>GPF_ ESSES_ LOTX</t>
  </si>
  <si>
    <t>FNACANDHA</t>
  </si>
  <si>
    <t>INCOMM100_2401</t>
  </si>
  <si>
    <t>Incomm 100 Euros</t>
  </si>
  <si>
    <t>INCOMM15_2401</t>
  </si>
  <si>
    <t>Incomm 15 Euros</t>
  </si>
  <si>
    <t>INCOMM25_2401</t>
  </si>
  <si>
    <t>Incomm 25 Euros</t>
  </si>
  <si>
    <t>INCOMM50_2401</t>
  </si>
  <si>
    <t>Incomm 50 Euros</t>
  </si>
  <si>
    <t>MAYT_PEAK0925</t>
  </si>
  <si>
    <t>ARV_MAYTPEAK0925</t>
  </si>
  <si>
    <t>MAYTE ACRY</t>
  </si>
  <si>
    <t>MDT74ZWA</t>
  </si>
  <si>
    <t>Lio Watch Sport Band Lg (B688)</t>
  </si>
  <si>
    <t>MG9E4ZM/A</t>
  </si>
  <si>
    <t>Turing Watch XL (B710)</t>
  </si>
  <si>
    <t>SBRE2DAIRPODES</t>
  </si>
  <si>
    <t>2D NPI AIRPOD ES</t>
  </si>
  <si>
    <t>SIMs</t>
  </si>
  <si>
    <t>Tarjetas SIMs</t>
  </si>
  <si>
    <t>SK.981P.W.01</t>
  </si>
  <si>
    <t>Sekure Flat Tab Cable - Single</t>
  </si>
  <si>
    <t>SOBRENPIMCIPAD</t>
  </si>
  <si>
    <t>ARIAN195974</t>
  </si>
  <si>
    <t>SPARE_LTX_12062</t>
  </si>
  <si>
    <t>SPARE_LOTX_120625</t>
  </si>
  <si>
    <t>SPARESAIRPODES</t>
  </si>
  <si>
    <t>2D NPI SPARES ES</t>
  </si>
  <si>
    <t>003-0094-00</t>
  </si>
  <si>
    <t>AL.11</t>
  </si>
  <si>
    <t>VHB Removal Tool</t>
  </si>
  <si>
    <t>280X84</t>
  </si>
  <si>
    <t>MATERIAL 3D</t>
  </si>
  <si>
    <t>875-07125</t>
  </si>
  <si>
    <t>F220 Adhesives for Plinth (1 pack of 4)</t>
  </si>
  <si>
    <t>INVUE PUCK</t>
  </si>
  <si>
    <t>ABP1920496</t>
  </si>
  <si>
    <t>CEUTA 3D</t>
  </si>
  <si>
    <t>ABP1920496_PARC</t>
  </si>
  <si>
    <t>WATCH TOUCH&amp;TRY DSPLAY</t>
  </si>
  <si>
    <t>ABP2021734</t>
  </si>
  <si>
    <t>ABP2036164</t>
  </si>
  <si>
    <t>ABP2036165</t>
  </si>
  <si>
    <t>ABP2036166</t>
  </si>
  <si>
    <t>AC48</t>
  </si>
  <si>
    <t>AC62</t>
  </si>
  <si>
    <t>Acrylic SIGN HOLDER-A4-GC</t>
  </si>
  <si>
    <t>ARV_SANTZ200126</t>
  </si>
  <si>
    <t>SANITIZANTES</t>
  </si>
  <si>
    <t>CC12A-ESES</t>
  </si>
  <si>
    <t>MATERIAL 2D</t>
  </si>
  <si>
    <t>CC18A-ESES</t>
  </si>
  <si>
    <t>CC4A-ESES</t>
  </si>
  <si>
    <t>LS0003037647</t>
  </si>
  <si>
    <t>GPF23 MBNEOAPR</t>
  </si>
  <si>
    <t>LS0003149148</t>
  </si>
  <si>
    <t>PIMAWSPARES</t>
  </si>
  <si>
    <t>SPAR2DAIRPODS26</t>
  </si>
  <si>
    <t>SPAREAIRPODMAX</t>
  </si>
  <si>
    <t>ARIAN AIRPODS MAX SPARE</t>
  </si>
  <si>
    <t>SPARESA4V</t>
  </si>
  <si>
    <t>MATERIAL 2D ARIAN</t>
  </si>
  <si>
    <t>003-0146-00</t>
  </si>
  <si>
    <t>APPLE.01</t>
  </si>
  <si>
    <t>MTI TOLL 3.0</t>
  </si>
  <si>
    <t>604-07468-01</t>
  </si>
  <si>
    <t>Apple Pencil Tray Rev. A</t>
  </si>
  <si>
    <t>622-00158</t>
  </si>
  <si>
    <t>Apple Sekure Security Cable</t>
  </si>
  <si>
    <t>622-00164</t>
  </si>
  <si>
    <t>iPhone SeKure Combo Cable</t>
  </si>
  <si>
    <t>622-00184</t>
  </si>
  <si>
    <t>iPad 9th Gen SeKure Security Cable</t>
  </si>
  <si>
    <t>622-0084</t>
  </si>
  <si>
    <t>Apple TV SeKure Top Hat Cable</t>
  </si>
  <si>
    <t>622-0577</t>
  </si>
  <si>
    <t>622-0578</t>
  </si>
  <si>
    <t>622-0667</t>
  </si>
  <si>
    <t>Mac Pro SeKure Ethernet Sec. Cable</t>
  </si>
  <si>
    <t>677-02678</t>
  </si>
  <si>
    <t>limpiadores negros de AW</t>
  </si>
  <si>
    <t>677-03585</t>
  </si>
  <si>
    <t>iOS Lightning Dock AMR/EMEIA A1605</t>
  </si>
  <si>
    <t>818-1624</t>
  </si>
  <si>
    <t>MacBook Pro Cable Clip</t>
  </si>
  <si>
    <t>946-04171</t>
  </si>
  <si>
    <t>Adhesive for Pencil Tray - 2 pack</t>
  </si>
  <si>
    <t>582120APLSP</t>
  </si>
  <si>
    <t>APPLE.02</t>
  </si>
  <si>
    <t>ADH RISER</t>
  </si>
  <si>
    <t>A731183A-WW</t>
  </si>
  <si>
    <t>CAJA ALARMA 6 POSICIONES</t>
  </si>
  <si>
    <t>MOSQUETONES</t>
  </si>
  <si>
    <t>RISER USADOS</t>
  </si>
  <si>
    <t>SK-554NP-AC-W-AP</t>
  </si>
  <si>
    <t>CAJA ALARMA 2 POSICIONES</t>
  </si>
  <si>
    <t>SK-T12MAA-W-395</t>
  </si>
  <si>
    <t>CAJA ALARMA 12 POSICIONES</t>
  </si>
  <si>
    <t>5JLH6</t>
  </si>
  <si>
    <t>APPLE.04</t>
  </si>
  <si>
    <t>VELCRO</t>
  </si>
  <si>
    <t>611-00381-CH</t>
  </si>
  <si>
    <t>30W USB C Power Adapter - No Plug</t>
  </si>
  <si>
    <t>800-WFK672-01</t>
  </si>
  <si>
    <t>iPad Blotter Repl. Adhesive 2pcs</t>
  </si>
  <si>
    <t>818-02365</t>
  </si>
  <si>
    <t>818-04105</t>
  </si>
  <si>
    <t>BRIDAS 14 INCH</t>
  </si>
  <si>
    <t>946-03015</t>
  </si>
  <si>
    <t>Adhesive for iPhone Lightning Dock</t>
  </si>
  <si>
    <t>946-05566</t>
  </si>
  <si>
    <t>Adhesive for watch Touch</t>
  </si>
  <si>
    <t>946-08613</t>
  </si>
  <si>
    <t>Adhesive for SeKure Combo Cable (20/set)</t>
  </si>
  <si>
    <t>946-1542</t>
  </si>
  <si>
    <t>B4M9C-APLSHP</t>
  </si>
  <si>
    <t>BRIDAS 4 INCH (PACK 100)</t>
  </si>
  <si>
    <t>CH0AC16</t>
  </si>
  <si>
    <t>SKD-1111PW-04-AP</t>
  </si>
  <si>
    <t>SeKure 2 Port Splitter - 2022 Version</t>
  </si>
  <si>
    <t>1FG50ENFR</t>
  </si>
  <si>
    <t>APPLE.05</t>
  </si>
  <si>
    <t>LIMPIA PANTALLA</t>
  </si>
  <si>
    <t>ALICATES CORTE</t>
  </si>
  <si>
    <t>ALICATES DE CORTE AZULES</t>
  </si>
  <si>
    <t>BOLSA BASURA</t>
  </si>
  <si>
    <t>BOTES ALCOHOL</t>
  </si>
  <si>
    <t>BOTES ALCOHOL DESINFECTANTE</t>
  </si>
  <si>
    <t>CINTA CARROCERO</t>
  </si>
  <si>
    <t>CINTA MONTAJE UHU</t>
  </si>
  <si>
    <t>ETIQUETAS CAJAS</t>
  </si>
  <si>
    <t>ETIQUETAS PARA CAJAS</t>
  </si>
  <si>
    <t>S031203</t>
  </si>
  <si>
    <t>PIPETTES</t>
  </si>
  <si>
    <t>SACOS BASURAS</t>
  </si>
  <si>
    <t>SPRAY LIMPIA TECLADO</t>
  </si>
  <si>
    <t>WIPES EN BOTE</t>
  </si>
  <si>
    <t>1FG100XLENFR</t>
  </si>
  <si>
    <t>APPLE.06</t>
  </si>
  <si>
    <t>Whoosh!</t>
  </si>
  <si>
    <t>914-07308-05</t>
  </si>
  <si>
    <t>AirPods Max Placement Template</t>
  </si>
  <si>
    <t>946-20876-CH</t>
  </si>
  <si>
    <t>AirPods Max Ear Cup Adhesive</t>
  </si>
  <si>
    <t>A2525</t>
  </si>
  <si>
    <t>LABEL STUDIO DISPLAY</t>
  </si>
  <si>
    <t>A2993</t>
  </si>
  <si>
    <t>LABEL IPAD MINI</t>
  </si>
  <si>
    <t>A3090</t>
  </si>
  <si>
    <t>LABEL IPHONE 15</t>
  </si>
  <si>
    <t>A3266</t>
  </si>
  <si>
    <t>LABEL IPAD AIR 11</t>
  </si>
  <si>
    <t>A3269</t>
  </si>
  <si>
    <t>LABEL IPAD AIR 13</t>
  </si>
  <si>
    <t>A3287</t>
  </si>
  <si>
    <t>LABEL IPHONE 16</t>
  </si>
  <si>
    <t>A3354</t>
  </si>
  <si>
    <t>LABEL IPAD</t>
  </si>
  <si>
    <t>A3357</t>
  </si>
  <si>
    <t>A3360</t>
  </si>
  <si>
    <t>A3409</t>
  </si>
  <si>
    <t>LABEL IPHONE 16E</t>
  </si>
  <si>
    <t>A3517</t>
  </si>
  <si>
    <t>LABEL IPHONE AIR</t>
  </si>
  <si>
    <t>A3520</t>
  </si>
  <si>
    <t>LABEL IPHONE 17</t>
  </si>
  <si>
    <t>A3523</t>
  </si>
  <si>
    <t>LABEL IPHONE 17 PRO</t>
  </si>
  <si>
    <t>A3526</t>
  </si>
  <si>
    <t>LABEL IPHONE 17 PRO MAX</t>
  </si>
  <si>
    <t>CAMISETAS NEGRAS</t>
  </si>
  <si>
    <t>CHAPAS SIG</t>
  </si>
  <si>
    <t>MOCHILA SIG</t>
  </si>
  <si>
    <t>PEGATINA CALL CENTER</t>
  </si>
  <si>
    <t>POLOS NEGROS</t>
  </si>
  <si>
    <t>SW-0002</t>
  </si>
  <si>
    <t>SWIFFER</t>
  </si>
  <si>
    <t>ZAPATILLAS SEGURIDAD</t>
  </si>
  <si>
    <t>APPLE.07</t>
  </si>
  <si>
    <t>APPLE.08</t>
  </si>
  <si>
    <t>53YR57</t>
  </si>
  <si>
    <t>Socket: 1/4</t>
  </si>
  <si>
    <t>53YV76</t>
  </si>
  <si>
    <t>Hand Ratchet</t>
  </si>
  <si>
    <t>AF8050</t>
  </si>
  <si>
    <t>PEAK Tool Puck Alignment &amp; Removal</t>
  </si>
  <si>
    <t>AF8400</t>
  </si>
  <si>
    <t>2.5mm Hex key</t>
  </si>
  <si>
    <t>CSHEXKEY</t>
  </si>
  <si>
    <t>4mm Hex Key</t>
  </si>
  <si>
    <t>J4708LM</t>
  </si>
  <si>
    <t>Steel Socket 8mm</t>
  </si>
  <si>
    <t>OK4000</t>
  </si>
  <si>
    <t>InVue IR4 KEY</t>
  </si>
  <si>
    <t>3321B-AS</t>
  </si>
  <si>
    <t>APPLE.09</t>
  </si>
  <si>
    <t>ACRYLIC RISER 9.7</t>
  </si>
  <si>
    <t>677-23110</t>
  </si>
  <si>
    <t>AirPods Max Grey Cushion (Right)</t>
  </si>
  <si>
    <t>CH_AWRKEY_B</t>
  </si>
  <si>
    <t>Hex Key</t>
  </si>
  <si>
    <t>CH0011</t>
  </si>
  <si>
    <t>Adhesive for A4 Angled Acrylic/Digital Signage</t>
  </si>
  <si>
    <t>APPLE.10</t>
  </si>
  <si>
    <t>604-26361-CH</t>
  </si>
  <si>
    <t>F7 Alignment Fixture 44mm</t>
  </si>
  <si>
    <t>604-38609 CH</t>
  </si>
  <si>
    <t>AW Touch&amp;Try Retractor - 40mm</t>
  </si>
  <si>
    <t>604-38614 CH</t>
  </si>
  <si>
    <t>AW Touch&amp;Try Retractor - 44mm</t>
  </si>
  <si>
    <t>604-38615 CH</t>
  </si>
  <si>
    <t>AW  Retractor - 49mm</t>
  </si>
  <si>
    <t>631-09600</t>
  </si>
  <si>
    <t>HomePod Security Cable</t>
  </si>
  <si>
    <t>677-30325-CH</t>
  </si>
  <si>
    <t>Tch &amp; Try Displ Retract Adh 18m</t>
  </si>
  <si>
    <t>818-17776</t>
  </si>
  <si>
    <t>Touch &amp; Try Service Tool</t>
  </si>
  <si>
    <t>818-18890-05</t>
  </si>
  <si>
    <t>F229 Pressure Fixture 40mm</t>
  </si>
  <si>
    <t>818-18916-03</t>
  </si>
  <si>
    <t>F229 Pressure Fixture 49mm</t>
  </si>
  <si>
    <t>818-18944-02</t>
  </si>
  <si>
    <t>F229 Pressure Fixture 44mm</t>
  </si>
  <si>
    <t>818-20705</t>
  </si>
  <si>
    <t>F226 Puck Locator Fall 2023+</t>
  </si>
  <si>
    <t>875-14050-06-CH</t>
  </si>
  <si>
    <t>F226 Bumper</t>
  </si>
  <si>
    <t>ADH2410</t>
  </si>
  <si>
    <t>Adhesive (iPhone Puck) 2 PK</t>
  </si>
  <si>
    <t>AF8125</t>
  </si>
  <si>
    <t>PEAK Security Tool</t>
  </si>
  <si>
    <t>DAH520</t>
  </si>
  <si>
    <t>PEAK Bracket 2.OC</t>
  </si>
  <si>
    <t>CAJAS CORREAS</t>
  </si>
  <si>
    <t>APPLE.11</t>
  </si>
  <si>
    <t>MICROFIBRA</t>
  </si>
  <si>
    <t>TRAPOS MICROFIBRA</t>
  </si>
  <si>
    <t>GOTERO ALCOHOL</t>
  </si>
  <si>
    <t>APPLE.12</t>
  </si>
  <si>
    <t>Gotero Alcohol Isopropilico</t>
  </si>
  <si>
    <t>APPLE.13</t>
  </si>
  <si>
    <t>622-0524</t>
  </si>
  <si>
    <t>iPad SeKure Combo Cable</t>
  </si>
  <si>
    <t>677-16031</t>
  </si>
  <si>
    <t>Apple Pencil 2nd gen Security Cable</t>
  </si>
  <si>
    <t>SK-981P-W</t>
  </si>
  <si>
    <t>SEKURE FLAT TAB CABLE</t>
  </si>
  <si>
    <t>223245-175</t>
  </si>
  <si>
    <t>APPLE.14</t>
  </si>
  <si>
    <t>AGUJA CROCHE</t>
  </si>
  <si>
    <t>ADH2180074</t>
  </si>
  <si>
    <t>InVue Puck Adhesive</t>
  </si>
  <si>
    <t>AF6313</t>
  </si>
  <si>
    <t>AF7910</t>
  </si>
  <si>
    <t>InVue Universal iPhone &amp; iPad OnePOD Bracket Align</t>
  </si>
  <si>
    <t>DBG400</t>
  </si>
  <si>
    <t>LOCKDOWN TOOL 4 PACK</t>
  </si>
  <si>
    <t>DBH518A29</t>
  </si>
  <si>
    <t>NEW INVUE USBC CABLE - SEPT 23</t>
  </si>
  <si>
    <t>DBH710-W</t>
  </si>
  <si>
    <t>DBT510-W</t>
  </si>
  <si>
    <t>InVue Lightning Connector - iPad - OnePOD Tablet</t>
  </si>
  <si>
    <t>DBT703-W</t>
  </si>
  <si>
    <t>IR2 Programming Station</t>
  </si>
  <si>
    <t>DBT705-W</t>
  </si>
  <si>
    <t>iPad Invue bracket</t>
  </si>
  <si>
    <t>MULTITOOL &amp; SIM</t>
  </si>
  <si>
    <t>PK4401</t>
  </si>
  <si>
    <t>PS512-EU</t>
  </si>
  <si>
    <t>inVue IR3 Key Station Power Supply -  C/ AC Powe C</t>
  </si>
  <si>
    <t>PS535</t>
  </si>
  <si>
    <t>InVue Power Supply - 5 PIN - PD Enabled Power Supp</t>
  </si>
  <si>
    <t>S23-16</t>
  </si>
  <si>
    <t>PUNTAS DESTORNILLADOR</t>
  </si>
  <si>
    <t>YC11</t>
  </si>
  <si>
    <t>InVue Power Cable - C7 AC Power Cable EU</t>
  </si>
  <si>
    <t>604-03489</t>
  </si>
  <si>
    <t>APPLE.15</t>
  </si>
  <si>
    <t>Acrylic Riser for iPad Pro 12.9</t>
  </si>
  <si>
    <t>818-05116</t>
  </si>
  <si>
    <t>Fixture channel F208</t>
  </si>
  <si>
    <t>818-05117</t>
  </si>
  <si>
    <t>Fixture vitrine B F208</t>
  </si>
  <si>
    <t>818-05120</t>
  </si>
  <si>
    <t>Fixture Table F208</t>
  </si>
  <si>
    <t>AC35</t>
  </si>
  <si>
    <t>Flat A5 Landscape Acrylic Sign Holder</t>
  </si>
  <si>
    <t>S2 PH1</t>
  </si>
  <si>
    <t>XF-PO2-C</t>
  </si>
  <si>
    <t>TAPON DE MESA CON AGUJERO</t>
  </si>
  <si>
    <t>XF-PO2-C-1</t>
  </si>
  <si>
    <t>TAPON MESA SIN AGUJERO</t>
  </si>
  <si>
    <t>APPLE.16</t>
  </si>
  <si>
    <t>ESPATULA DE PLASTICO</t>
  </si>
  <si>
    <t>805-8465</t>
  </si>
  <si>
    <t>SIM EJECT TOOL</t>
  </si>
  <si>
    <t>BOLSAS ZIP</t>
  </si>
  <si>
    <t>CTU7614</t>
  </si>
  <si>
    <t>CINTAS MÉTRICAS</t>
  </si>
  <si>
    <t>S2 T27</t>
  </si>
  <si>
    <t>TOALLITAS ALCOHOL</t>
  </si>
  <si>
    <t>AC04F</t>
  </si>
  <si>
    <t>APPLE.17</t>
  </si>
  <si>
    <t>ACRYLIC A4 SIGN HOLDER</t>
  </si>
  <si>
    <t>CH0002</t>
  </si>
  <si>
    <t>ACRYLIC A5 SIGN HOLDER - LANDSCAPE</t>
  </si>
  <si>
    <t>CH0004</t>
  </si>
  <si>
    <t>ACRYLIC A5 SIGN HOLDER - PORTRAIT ANGLED</t>
  </si>
  <si>
    <t>CH0AC15</t>
  </si>
  <si>
    <t>ACRYLIC A5 SIGN HOLDER- LANDSCAPE ANGLED</t>
  </si>
  <si>
    <t>NPI</t>
  </si>
  <si>
    <t>KITS HECHOS NPI</t>
  </si>
  <si>
    <t>S2-TT10</t>
  </si>
  <si>
    <t>A2124322</t>
  </si>
  <si>
    <t>APPLE.18</t>
  </si>
  <si>
    <t>5 Port USB Hub Type F (EU)</t>
  </si>
  <si>
    <t>AL06-6</t>
  </si>
  <si>
    <t>TEMPORIZADORES</t>
  </si>
  <si>
    <t>ALARGADERAS</t>
  </si>
  <si>
    <t>ALLEN INVUE</t>
  </si>
  <si>
    <t>CAJA DEXTER</t>
  </si>
  <si>
    <t>MR20</t>
  </si>
  <si>
    <t>MERAKI Y ENCHUFES</t>
  </si>
  <si>
    <t>S2 T20</t>
  </si>
  <si>
    <t>APPLE.19</t>
  </si>
  <si>
    <t>APPLE.20</t>
  </si>
  <si>
    <t>604-3657</t>
  </si>
  <si>
    <t>RISER ACRYLIC MINI</t>
  </si>
  <si>
    <t>APPLE.21</t>
  </si>
  <si>
    <t>9-800-07-62-02-00</t>
  </si>
  <si>
    <t>APPLE.22</t>
  </si>
  <si>
    <t>80" White Cable Assembly</t>
  </si>
  <si>
    <t>ALICATES</t>
  </si>
  <si>
    <t>APPLE.23</t>
  </si>
  <si>
    <t>ALICATES AMARILLOS</t>
  </si>
  <si>
    <t>8K-76MAA-W4510</t>
  </si>
  <si>
    <t>APPLE.24</t>
  </si>
  <si>
    <t>DBH635U73</t>
  </si>
  <si>
    <t>APPLE.25</t>
  </si>
  <si>
    <t>NEW BRACKET INVUE -  SEPT 23</t>
  </si>
  <si>
    <t>APPLE.26</t>
  </si>
  <si>
    <t>NPI_PMI211124</t>
  </si>
  <si>
    <t>DESTRUCCION</t>
  </si>
  <si>
    <t>2D_NPI_AS</t>
  </si>
  <si>
    <t>DEV-NPI_SA SANT</t>
  </si>
  <si>
    <t>DEVOLUCION</t>
  </si>
  <si>
    <t>MMSIE- KITSPEAK</t>
  </si>
  <si>
    <t>NPI- KITSPEAK</t>
  </si>
  <si>
    <t>RECAIRALE080526</t>
  </si>
  <si>
    <t>MATERIAL</t>
  </si>
  <si>
    <t>RECAIRCAR180526</t>
  </si>
  <si>
    <t>RECAIRFER130526</t>
  </si>
  <si>
    <t>RECAIRFRA080526</t>
  </si>
  <si>
    <t>RECAIRIVA080526</t>
  </si>
  <si>
    <t>RECAIRJON080526</t>
  </si>
  <si>
    <t>RECAIRLUI080526</t>
  </si>
  <si>
    <t>RECAIRMAR060526</t>
  </si>
  <si>
    <t>RECAIRTOM080526</t>
  </si>
  <si>
    <t>RECNPIALE160426</t>
  </si>
  <si>
    <t>RECNPIALI160426</t>
  </si>
  <si>
    <t>RECNPICAR160426</t>
  </si>
  <si>
    <t>RECNPIDAV160426</t>
  </si>
  <si>
    <t>RECNPIFER160426</t>
  </si>
  <si>
    <t>RECNPIFRA160426</t>
  </si>
  <si>
    <t>RECNPIGUA160426</t>
  </si>
  <si>
    <t>RECNPIIVA160426</t>
  </si>
  <si>
    <t>RECNPIJAV140426</t>
  </si>
  <si>
    <t>RECNPIJON160426</t>
  </si>
  <si>
    <t>RECNPILUI160426</t>
  </si>
  <si>
    <t>RECNPIMAR170426</t>
  </si>
  <si>
    <t>RECNPITOM140426</t>
  </si>
  <si>
    <t>SA-ECIMALAGA</t>
  </si>
  <si>
    <t>MATERIAL 2D Y 3D</t>
  </si>
  <si>
    <t>SA-MMFAN</t>
  </si>
  <si>
    <t>SOBRAIR_ALE</t>
  </si>
  <si>
    <t>MATERIAL SOBRANTE 16/IPAD/MAC</t>
  </si>
  <si>
    <t>SOBRAIR_CAR</t>
  </si>
  <si>
    <t>SOBRAIR_DAV</t>
  </si>
  <si>
    <t>SOBRAIR_FER</t>
  </si>
  <si>
    <t>SOBRAIR_ISM</t>
  </si>
  <si>
    <t>SOBRAIR_IVA</t>
  </si>
  <si>
    <t>SOBRAIR_JAV</t>
  </si>
  <si>
    <t>SOBRAIR_JC</t>
  </si>
  <si>
    <t>SOBRAIR_JON</t>
  </si>
  <si>
    <t>SOBRAIR_LC</t>
  </si>
  <si>
    <t>SOBRAIR_LUPE</t>
  </si>
  <si>
    <t>SOBRAIR_TOM</t>
  </si>
  <si>
    <t>X</t>
  </si>
  <si>
    <t>604-26361 -CH</t>
  </si>
  <si>
    <t>F7 Alignment Fixt 44mm</t>
  </si>
  <si>
    <t>611-00444-CH</t>
  </si>
  <si>
    <t>96W USB C Power Adapter - No Plug</t>
  </si>
  <si>
    <t>622-00072</t>
  </si>
  <si>
    <t>MacBook SeKure Combo Cable</t>
  </si>
  <si>
    <t>946-43659-04-CH</t>
  </si>
  <si>
    <t>F226 Bumper Adhesive</t>
  </si>
  <si>
    <t>AC61</t>
  </si>
  <si>
    <t>Acrylic Sign Holder - A5 - GC</t>
  </si>
  <si>
    <t>ADH2341</t>
  </si>
  <si>
    <t>InVue Puck Adhesive - 2 Pack</t>
  </si>
  <si>
    <t>ARIAN_CEUTA1</t>
  </si>
  <si>
    <t>ARIAN_NPI_Q226</t>
  </si>
  <si>
    <t>SOBRES ARIAN NPI Q226</t>
  </si>
  <si>
    <t>ARIAN3MAYO25</t>
  </si>
  <si>
    <t>ARIAN3MAYONPI25</t>
  </si>
  <si>
    <t>ARIAN7PALMA</t>
  </si>
  <si>
    <t>ARIANCASTILLO</t>
  </si>
  <si>
    <t>ARIANE.TEN</t>
  </si>
  <si>
    <t>ARIANE.TENERIFE</t>
  </si>
  <si>
    <t>ARIANKTUIN</t>
  </si>
  <si>
    <t>ARIANLAGUNA</t>
  </si>
  <si>
    <t>ARIANLPG1</t>
  </si>
  <si>
    <t>ARIANPLZES</t>
  </si>
  <si>
    <t>ARIANROSSE</t>
  </si>
  <si>
    <t>ARIANSPARE25</t>
  </si>
  <si>
    <t>ARIANSPARENPI25</t>
  </si>
  <si>
    <t>ARIANTRIANA</t>
  </si>
  <si>
    <t>CAJAS_Tier360</t>
  </si>
  <si>
    <t>CCSECICORDOBA</t>
  </si>
  <si>
    <t>CCSFNPARQUESUR</t>
  </si>
  <si>
    <t>CCSMMCASTELLO</t>
  </si>
  <si>
    <t>CCSMMLANZA</t>
  </si>
  <si>
    <t>CCSMMROQUETAS</t>
  </si>
  <si>
    <t>CCSMMVAGUADA</t>
  </si>
  <si>
    <t>CCSMMVAQUA</t>
  </si>
  <si>
    <t>CCSMMVELEZ</t>
  </si>
  <si>
    <t>CHOAC16-ADH-5</t>
  </si>
  <si>
    <t>Adh Acrylics (5-pk)</t>
  </si>
  <si>
    <t>CSS_SPARE25</t>
  </si>
  <si>
    <t>CSSKTUIN25</t>
  </si>
  <si>
    <t>CSSKTUINNPI25</t>
  </si>
  <si>
    <t>DAH530</t>
  </si>
  <si>
    <t>PEAK iPh Bracket3.OC</t>
  </si>
  <si>
    <t>ENERGY_LABEL</t>
  </si>
  <si>
    <t>ENERGY LABEL</t>
  </si>
  <si>
    <t>GPFNPIQ226</t>
  </si>
  <si>
    <t>FABRIC PANEL NPI Q226</t>
  </si>
  <si>
    <t>MATSOBIPHONE17</t>
  </si>
  <si>
    <t>MIXLX3ZM/A</t>
  </si>
  <si>
    <t>Turing Watch L(B647)</t>
  </si>
  <si>
    <t>NPI-KITSINVUE </t>
  </si>
  <si>
    <t>KIT NPI  TACTICOS WHITE</t>
  </si>
  <si>
    <t>NPI-KITSPEAK</t>
  </si>
  <si>
    <t>KIT NPI  TACTICOS APPLE SHOP</t>
  </si>
  <si>
    <t>OUTFORM-MGS-2</t>
  </si>
  <si>
    <t>DYSON AIRSTRAIT</t>
  </si>
  <si>
    <t>SK-944MPLE-W-T</t>
  </si>
  <si>
    <t>iMac Cable</t>
  </si>
  <si>
    <t>SOBRE</t>
  </si>
  <si>
    <t>SOBRES_iP17</t>
  </si>
  <si>
    <t>Z677-0932</t>
  </si>
  <si>
    <t>Z677-0932_CH</t>
  </si>
  <si>
    <t>META</t>
  </si>
  <si>
    <t>TOOL-BT031039</t>
  </si>
  <si>
    <t>AL.12</t>
  </si>
  <si>
    <t>DESTORNILLADORE TORX8</t>
  </si>
  <si>
    <t>ROLLOUT</t>
  </si>
  <si>
    <t>RE10062026</t>
  </si>
  <si>
    <t>KA.021.03.2</t>
  </si>
  <si>
    <t>GONDOLA RE FNAC DONOSTIA</t>
  </si>
  <si>
    <t>ACCHEXP01</t>
  </si>
  <si>
    <t>AL.04</t>
  </si>
  <si>
    <t>HOOKS EXPOSITOR TARJETAS</t>
  </si>
  <si>
    <t>ACCMECHSTY</t>
  </si>
  <si>
    <t>MECHANICAL LOCK</t>
  </si>
  <si>
    <t>GFXCLABWES</t>
  </si>
  <si>
    <t>CARD CLARA-BW-ES</t>
  </si>
  <si>
    <t>GFXCLACOLES</t>
  </si>
  <si>
    <t>CARD CLARA-COLOUR-ES</t>
  </si>
  <si>
    <t>GFXDPFX100ES</t>
  </si>
  <si>
    <t>DISPLAY FOREX 100 ES</t>
  </si>
  <si>
    <t>GFXELIES</t>
  </si>
  <si>
    <t>CARD ELIPSA 2E-ES</t>
  </si>
  <si>
    <t>GFXLIBCOLES</t>
  </si>
  <si>
    <t>CARD LIBRA-COLOUR-ES</t>
  </si>
  <si>
    <t>GFXPSL</t>
  </si>
  <si>
    <t>BLACK PRESPACED LOGO</t>
  </si>
  <si>
    <t>GFXSAGEES</t>
  </si>
  <si>
    <t>CARD SAGE-ES</t>
  </si>
  <si>
    <t>GFXSTRQRES</t>
  </si>
  <si>
    <t>QR STRIP C DISPLAY-ES</t>
  </si>
  <si>
    <t>GFXVYNLES</t>
  </si>
  <si>
    <t>WALL VYNIL LARGE ES</t>
  </si>
  <si>
    <t>GFXWALLFXLCAT</t>
  </si>
  <si>
    <t>WALL FOREX CAT</t>
  </si>
  <si>
    <t>GFXWHFLM</t>
  </si>
  <si>
    <t>WHITE FILM</t>
  </si>
  <si>
    <t>KOBO-EXP01</t>
  </si>
  <si>
    <t>KOBO EXPOSITOR TARJETAS</t>
  </si>
  <si>
    <t>MEXP5GDET</t>
  </si>
  <si>
    <t>COUNTER DISPLAY G BROKEN</t>
  </si>
  <si>
    <t>COSTE EXTRA</t>
  </si>
  <si>
    <t>DJI</t>
  </si>
  <si>
    <t>ATLANT</t>
  </si>
  <si>
    <t>ATLANTENDCAP1M</t>
  </si>
  <si>
    <t>KA.019.04.1</t>
  </si>
  <si>
    <t>MUEBLE ENDCAP 1M</t>
  </si>
  <si>
    <t>ENDCAPDAÑADOPT</t>
  </si>
  <si>
    <t>KA.019.27.2</t>
  </si>
  <si>
    <t>MUEBLE ENDCAP 12M</t>
  </si>
  <si>
    <t>COTY</t>
  </si>
  <si>
    <t>MAXFACTOR</t>
  </si>
  <si>
    <t>DEV230625.2</t>
  </si>
  <si>
    <t>BASE MAX FACTOR PARA DESTRUIR</t>
  </si>
  <si>
    <t>RIMMEL</t>
  </si>
  <si>
    <t>TIRA_RIMIF01</t>
  </si>
  <si>
    <t>MESA</t>
  </si>
  <si>
    <t>TIRA GRÁFICA - RIM IF 01</t>
  </si>
  <si>
    <t>MARKWINS</t>
  </si>
  <si>
    <t>WET N WILD</t>
  </si>
  <si>
    <t>ECUBBY122</t>
  </si>
  <si>
    <t>TALLER</t>
  </si>
  <si>
    <t>MEGALAS LIP COLOR TRAY</t>
  </si>
  <si>
    <t>TAULA2</t>
  </si>
  <si>
    <t>VISUAL PRIMER E ILUMINADOR MULTITASKER H2FY25</t>
  </si>
  <si>
    <t>RIMP145_F26</t>
  </si>
  <si>
    <t>VALL.G.01.01.01</t>
  </si>
  <si>
    <t>60 SEC</t>
  </si>
  <si>
    <t>BOURJOIS</t>
  </si>
  <si>
    <t>BNEXTGEN120_26</t>
  </si>
  <si>
    <t>VALL.G.01.01.02</t>
  </si>
  <si>
    <t>BASE NEXT GEN 120 H2FY26</t>
  </si>
  <si>
    <t>NEXTGENBASE120</t>
  </si>
  <si>
    <t>VALL.G.01.02.01</t>
  </si>
  <si>
    <t>NEXT GEN BASE 120 H2FY25 WILLSON</t>
  </si>
  <si>
    <t>VALL.G.01.02.02</t>
  </si>
  <si>
    <t>VALL.G.01.03.01</t>
  </si>
  <si>
    <t>VALL.G.01.03.02</t>
  </si>
  <si>
    <t>VALL.G.01.04.01</t>
  </si>
  <si>
    <t>VALL.G.01.04.02</t>
  </si>
  <si>
    <t>VALL.G.01.05.01</t>
  </si>
  <si>
    <t>KIT_PUSHRIM210</t>
  </si>
  <si>
    <t>VALL.G.01.06.01</t>
  </si>
  <si>
    <t>KITS PUSH PARA CRF_ACTUALIZ H1 Y H2FY26</t>
  </si>
  <si>
    <t>VALL.G.01.07.01</t>
  </si>
  <si>
    <t>VALL.G.01.08.01</t>
  </si>
  <si>
    <t>RIMP138_F26</t>
  </si>
  <si>
    <t>VALL.G.01.09.01</t>
  </si>
  <si>
    <t>MATCH PERFECTION (F4+VISUAL)</t>
  </si>
  <si>
    <t>VALL.G.01.10.01</t>
  </si>
  <si>
    <t>RIMP139_F26</t>
  </si>
  <si>
    <t>VALL.G.01.11.01</t>
  </si>
  <si>
    <t>MATCH PERFECTION (5F)</t>
  </si>
  <si>
    <t>VALL.G.01.12.01</t>
  </si>
  <si>
    <t>VALL.G.01.13.01</t>
  </si>
  <si>
    <t>MXF_IF07</t>
  </si>
  <si>
    <t>VALL.G.01.13.02</t>
  </si>
  <si>
    <t>MXF IF 07</t>
  </si>
  <si>
    <t>RIMP149_F26</t>
  </si>
  <si>
    <t>VALL.G.01.14.01</t>
  </si>
  <si>
    <t>BETTER THAN FILTER</t>
  </si>
  <si>
    <t>VALL.G.01.14.02</t>
  </si>
  <si>
    <t>VALL.G.01.15.01</t>
  </si>
  <si>
    <t>VALL.G.01.15.02</t>
  </si>
  <si>
    <t>VALL.G.01.16.01</t>
  </si>
  <si>
    <t>VALL.G.01.16.02</t>
  </si>
  <si>
    <t>MXFP176_F26</t>
  </si>
  <si>
    <t>VALL.G.01.17.01</t>
  </si>
  <si>
    <t>PORTAVISUALES 10X20</t>
  </si>
  <si>
    <t>VALL.G.01.17.02</t>
  </si>
  <si>
    <t>VALL.G.01.18.01</t>
  </si>
  <si>
    <t>VALL.G.01.18.02</t>
  </si>
  <si>
    <t>RIMP150_F26</t>
  </si>
  <si>
    <t>VALL.G.01.19.01</t>
  </si>
  <si>
    <t>VALL.G.01.19.02</t>
  </si>
  <si>
    <t>VALL.G.01.20.01</t>
  </si>
  <si>
    <t>VALL.G.01.20.02</t>
  </si>
  <si>
    <t>MXFP150_F26</t>
  </si>
  <si>
    <t>VALL.G.01.21.01</t>
  </si>
  <si>
    <t>2K CALORIES GLOSS</t>
  </si>
  <si>
    <t>DEV19</t>
  </si>
  <si>
    <t>VALL.G.01.22.01</t>
  </si>
  <si>
    <t>RIM_BASE_IBAR 1.2M DEV</t>
  </si>
  <si>
    <t>MXFP152_F26</t>
  </si>
  <si>
    <t>VALL.G.01.25.01</t>
  </si>
  <si>
    <t>BRONZER HIGHLIGHTER</t>
  </si>
  <si>
    <t>RIMP129_F26</t>
  </si>
  <si>
    <t>VALL.G.01.26.01</t>
  </si>
  <si>
    <t>HOT SPOT</t>
  </si>
  <si>
    <t>VALL.G.01.27.01</t>
  </si>
  <si>
    <t>COTY FOOD</t>
  </si>
  <si>
    <t>MXF153_F26</t>
  </si>
  <si>
    <t>VALL.G.01.27.03</t>
  </si>
  <si>
    <t>MASCARAS PUSH PARA MUEBLE NEO</t>
  </si>
  <si>
    <t>VALL.G.01.28.01</t>
  </si>
  <si>
    <t>MXF155_F26</t>
  </si>
  <si>
    <t>VALL.G.01.28.03</t>
  </si>
  <si>
    <t>BANDEJA LIP ENHANCER PARA MUEBLE NEO</t>
  </si>
  <si>
    <t>MXF154_F26</t>
  </si>
  <si>
    <t>VALL.G.01.29.03</t>
  </si>
  <si>
    <t>BANDEJA ILUMINOUS TOUCH PARA MUEBLE NEO</t>
  </si>
  <si>
    <t>RIM129W_F26</t>
  </si>
  <si>
    <t>VALL.G.01.30.03</t>
  </si>
  <si>
    <t>BANDEJA RIM 129 PARA MUEBLE NEO</t>
  </si>
  <si>
    <t>RIM129S_F26</t>
  </si>
  <si>
    <t>VALL.G.01.31.03</t>
  </si>
  <si>
    <t>RIM_IF117_F26</t>
  </si>
  <si>
    <t>VALL.G.01.32.03</t>
  </si>
  <si>
    <t>BANDEJA RIM IF 117 PARA MUEBLE NEO</t>
  </si>
  <si>
    <t>VALL.G.01.33.01</t>
  </si>
  <si>
    <t>VALL.G.01.33.02</t>
  </si>
  <si>
    <t>VALL.G.01.33.03</t>
  </si>
  <si>
    <t>VALL.G.01.34.01</t>
  </si>
  <si>
    <t>VALL.G.01.34.02</t>
  </si>
  <si>
    <t>VALL.G.01.35.01</t>
  </si>
  <si>
    <t>VALL.G.01.35.02</t>
  </si>
  <si>
    <t>VALL.G.01.36.01</t>
  </si>
  <si>
    <t>VALL.G.01.37.01</t>
  </si>
  <si>
    <t>FLORMAR</t>
  </si>
  <si>
    <t>VALL.G.01.40.03</t>
  </si>
  <si>
    <t>ENG EYES EVENT HOTSPOT</t>
  </si>
  <si>
    <t>VALL.G.01.41.03</t>
  </si>
  <si>
    <t>NC WU PUSHER SEPARATOR</t>
  </si>
  <si>
    <t>BJ0015</t>
  </si>
  <si>
    <t>VALL.G.01.42.03</t>
  </si>
  <si>
    <t>BJ_BASE_FD 120CM</t>
  </si>
  <si>
    <t>VALL.G.01.43.03</t>
  </si>
  <si>
    <t>KITATIBLISTER</t>
  </si>
  <si>
    <t>VALL.G.01.45.01</t>
  </si>
  <si>
    <t>LADRILLO +12 GANCHOS+PORTA ETIQUETAS</t>
  </si>
  <si>
    <t>VALL.G.01.46.01</t>
  </si>
  <si>
    <t>VALL.G.02.02.02</t>
  </si>
  <si>
    <t>VALL.G.02.03.02</t>
  </si>
  <si>
    <t>VALL.G.02.04.02</t>
  </si>
  <si>
    <t>TAPETA_RIMIF01</t>
  </si>
  <si>
    <t>VALL.G.02.07.01</t>
  </si>
  <si>
    <t>TAPETA RIM IF 01</t>
  </si>
  <si>
    <t>RIM_B 03</t>
  </si>
  <si>
    <t>VALL.G.02.08.01</t>
  </si>
  <si>
    <t>RIMMEL_BASE_1200X450X100 NEGRA</t>
  </si>
  <si>
    <t>MXF_RIM</t>
  </si>
  <si>
    <t>REV_VISUALES</t>
  </si>
  <si>
    <t>VALL.G.02.12.03</t>
  </si>
  <si>
    <t>MINI VISUALES PARA AHORRAMAS</t>
  </si>
  <si>
    <t>VALL.G.02.13.03</t>
  </si>
  <si>
    <t>RIM_B 01</t>
  </si>
  <si>
    <t>VALL.G.02.15.01</t>
  </si>
  <si>
    <t>RIMMEL_BASE_1200x450x100 BLANCA</t>
  </si>
  <si>
    <t xml:space="preserve">RIMMEL </t>
  </si>
  <si>
    <t>I-00015-01-R</t>
  </si>
  <si>
    <t>VALL.G.02.17.01</t>
  </si>
  <si>
    <t>RIM_BANDEJA_MASCARAS 3F RECUPERADA</t>
  </si>
  <si>
    <t>VALL.G.02.21.01</t>
  </si>
  <si>
    <t>RIM_BASE MIBAR 1.2M</t>
  </si>
  <si>
    <t>VALL.G.02.22.01</t>
  </si>
  <si>
    <t>BASE NEXT GEN 120CM H2 FY24 WILLSON DEV</t>
  </si>
  <si>
    <t>VALL.G.02.25.01</t>
  </si>
  <si>
    <t>RIMUÑASBLIS</t>
  </si>
  <si>
    <t>VALL.G.02.29.01</t>
  </si>
  <si>
    <t>ladrillo uñas loos atila bliser hibrido</t>
  </si>
  <si>
    <t>VALL.G.02.44.01</t>
  </si>
  <si>
    <t>MATERIAL OFICINAS COTY</t>
  </si>
  <si>
    <t>BAND_QUITADAS</t>
  </si>
  <si>
    <t>VALL.G.03.01.03</t>
  </si>
  <si>
    <t>BANDEJAS QUE QUITAMOS DE ACT H2FY26</t>
  </si>
  <si>
    <t>SALLY HANSEN</t>
  </si>
  <si>
    <t>SHCREMALLERAS</t>
  </si>
  <si>
    <t>VALL.G.03.08.01</t>
  </si>
  <si>
    <t>KIT SPINNER CREMALLERAS</t>
  </si>
  <si>
    <t>OKBASEH4120</t>
  </si>
  <si>
    <t>VALL.G.03.14.01</t>
  </si>
  <si>
    <t>BASE H4 1.2M RECUPERADA</t>
  </si>
  <si>
    <t>BMIBAR120_26</t>
  </si>
  <si>
    <t>VALL.G.03.31.02</t>
  </si>
  <si>
    <t>BASE MIBAR 120 H2FY26</t>
  </si>
  <si>
    <t>VALL.G.03.32.02</t>
  </si>
  <si>
    <t>VALL.G.03.33.01</t>
  </si>
  <si>
    <t>NC WU POWDER FAMILY 3SKU-VISUAL</t>
  </si>
  <si>
    <t>COTY0122</t>
  </si>
  <si>
    <t>VALL.G.03.35.03</t>
  </si>
  <si>
    <t>BJ BASE NEXT GEN 120CM FY23</t>
  </si>
  <si>
    <t>VALL.G.03.36.03</t>
  </si>
  <si>
    <t>BASELIVERIM120</t>
  </si>
  <si>
    <t>VALL.G.03.37.01</t>
  </si>
  <si>
    <t>BASE LIVE RIMMEL 120 FY25</t>
  </si>
  <si>
    <t>VALL.G.03.42.01</t>
  </si>
  <si>
    <t>180325KIT1.3</t>
  </si>
  <si>
    <t>VALL.G.03.45.01</t>
  </si>
  <si>
    <t>KIT PIEZAS SH SPINNER  1/3</t>
  </si>
  <si>
    <t>VALL.G.03.45.02</t>
  </si>
  <si>
    <t>VALL.G.03.46.01</t>
  </si>
  <si>
    <t>180325KIT2.3</t>
  </si>
  <si>
    <t>VALL.G.03.46.02</t>
  </si>
  <si>
    <t>KIT PIEZAS SH SPINNER  2/3</t>
  </si>
  <si>
    <t>VALL.G.03.47.01</t>
  </si>
  <si>
    <t>180325KIT3.3</t>
  </si>
  <si>
    <t>VALL.G.03.47.02</t>
  </si>
  <si>
    <t>KIT PIEZAS SH SPINNER  3/3</t>
  </si>
  <si>
    <t>VALL.G.03.48.01</t>
  </si>
  <si>
    <t>VALL.G.03.49.01</t>
  </si>
  <si>
    <t>VALL.G.03.50.01</t>
  </si>
  <si>
    <t>VALL.G.03.51.01</t>
  </si>
  <si>
    <t>VALL.G.03.52.01</t>
  </si>
  <si>
    <t>VALL.G.03.53.01</t>
  </si>
  <si>
    <t>VALL.G.03.54.01</t>
  </si>
  <si>
    <t>VALL.G.03.55.01</t>
  </si>
  <si>
    <t>VALL.G.03.56.01</t>
  </si>
  <si>
    <t>WW_2025_T</t>
  </si>
  <si>
    <t>VALL.G.04.02.01</t>
  </si>
  <si>
    <t>TESTER</t>
  </si>
  <si>
    <t>SHBALDAS</t>
  </si>
  <si>
    <t>VALL.G.04.02.02</t>
  </si>
  <si>
    <t>KIT SPINNER BALDAS</t>
  </si>
  <si>
    <t>VALL.G.04.03.01</t>
  </si>
  <si>
    <t>ACT GONDOLA NOV PENCILS</t>
  </si>
  <si>
    <t>BH4120_26</t>
  </si>
  <si>
    <t>VALL.G.04.07.01</t>
  </si>
  <si>
    <t>BASE H4 120 H2FY26</t>
  </si>
  <si>
    <t>VALL.G.04.08.02</t>
  </si>
  <si>
    <t>MAX FACTOR</t>
  </si>
  <si>
    <t>DEVMXF_BASEH412</t>
  </si>
  <si>
    <t>VALL.G.04.11.01</t>
  </si>
  <si>
    <t>MXF BASE BB 120 H1FY26</t>
  </si>
  <si>
    <t>PHYSICIANS FORM</t>
  </si>
  <si>
    <t>PF_BASE BLANCA</t>
  </si>
  <si>
    <t>VALL.G.04.12.01</t>
  </si>
  <si>
    <t>PHYSICIANS FORMULA_BASE_BLANCA</t>
  </si>
  <si>
    <t>VALL.G.04.14.01</t>
  </si>
  <si>
    <t>PORT_MXFHEATHER</t>
  </si>
  <si>
    <t>VALL.G.04.17.01</t>
  </si>
  <si>
    <t>MAX FACTOR_HEATHERS SET OF 4 PORTUGUES LIVE 1.2M</t>
  </si>
  <si>
    <t>VALL.G.04.18.01</t>
  </si>
  <si>
    <t>kit_pushMXF150</t>
  </si>
  <si>
    <t>VALL.G.04.20.01</t>
  </si>
  <si>
    <t>MXF_BaseH4120</t>
  </si>
  <si>
    <t>VALL.G.04.21.01</t>
  </si>
  <si>
    <t>MXF BASE BBH4 1.2M H1 FY24 DIAM</t>
  </si>
  <si>
    <t>VALL.G.04.22.01</t>
  </si>
  <si>
    <t>KIT ACT WALL UNIT 1/2 NOV</t>
  </si>
  <si>
    <t>VALL.G.04.23.01</t>
  </si>
  <si>
    <t>BASE_MUEBLE_MIBAR 1.2M SPANISH H1 FY23</t>
  </si>
  <si>
    <t>VALL.G.04.28.01</t>
  </si>
  <si>
    <t>NC WU POWDER FAMILY 1 SKU</t>
  </si>
  <si>
    <t>DEV050625.4</t>
  </si>
  <si>
    <t>VALL.G.04.38.01</t>
  </si>
  <si>
    <t>BASE MIBAR 1.2M DEV H1FY25</t>
  </si>
  <si>
    <t>VALL.G.04.42.01</t>
  </si>
  <si>
    <t>BASE NEXT GEN 1.2M DEV</t>
  </si>
  <si>
    <t>MXFATILA98</t>
  </si>
  <si>
    <t>VALL.G.04.44.01</t>
  </si>
  <si>
    <t>KIT ATILA 98 Y 120 H1FY25</t>
  </si>
  <si>
    <t>CAJON _URGE 2024</t>
  </si>
  <si>
    <t>VALL.G.04.47.01</t>
  </si>
  <si>
    <t>WET N WILD CAJON 2024</t>
  </si>
  <si>
    <t>NEONAIL</t>
  </si>
  <si>
    <t>NEO_ ALARGA</t>
  </si>
  <si>
    <t>VALL.G.05.01.01</t>
  </si>
  <si>
    <t>ALARGADOR CABLE NEONAIL</t>
  </si>
  <si>
    <t>VALL.G.05.01.02</t>
  </si>
  <si>
    <t>1 SECOND UÑAS</t>
  </si>
  <si>
    <t>MXF 112</t>
  </si>
  <si>
    <t>VALL.G.05.01.03</t>
  </si>
  <si>
    <t>MXF_BANDEJA_112 LASTING PERF FOUNDATION FOOD</t>
  </si>
  <si>
    <t>VALL.G.05.02.02</t>
  </si>
  <si>
    <t>PF_2025_T</t>
  </si>
  <si>
    <t>VALL.G.05.03.01</t>
  </si>
  <si>
    <t>TESTERS 2025</t>
  </si>
  <si>
    <t>VALL.G.05.03.02</t>
  </si>
  <si>
    <t>FARD JOUES</t>
  </si>
  <si>
    <t>VALL.G.05.03.03</t>
  </si>
  <si>
    <t>VALL.G.05.04.03</t>
  </si>
  <si>
    <t>RIMMEL_BANDEJA_CUBILETE</t>
  </si>
  <si>
    <t>VALL.G.05.05.02</t>
  </si>
  <si>
    <t>MXF FACEFINITY ADF C80 BRONZE SAMPLE</t>
  </si>
  <si>
    <t>RIMP159_F26</t>
  </si>
  <si>
    <t>VALL.G.05.05.03</t>
  </si>
  <si>
    <t>MULTITASKER CONCEALER</t>
  </si>
  <si>
    <t>VALL.G.05.06.01</t>
  </si>
  <si>
    <t>VALL.G.05.07.03</t>
  </si>
  <si>
    <t>VOLUME CLUBBING / VOLUMIZER / BEAUTIFULL</t>
  </si>
  <si>
    <t>PGT410108001</t>
  </si>
  <si>
    <t>VALL.G.05.08.02</t>
  </si>
  <si>
    <t>CREME PUFF 3F</t>
  </si>
  <si>
    <t>PGT410182001</t>
  </si>
  <si>
    <t>VALL.G.05.08.03</t>
  </si>
  <si>
    <t>NUDE PALETTE 2F</t>
  </si>
  <si>
    <t>PGT410196001</t>
  </si>
  <si>
    <t>VALL.G.05.09.02</t>
  </si>
  <si>
    <t>ALL DAY FLAWLESS 2F</t>
  </si>
  <si>
    <t>RIM/BJ/MXF</t>
  </si>
  <si>
    <t>PORTAVIS_MINI</t>
  </si>
  <si>
    <t>VALL.G.05.10.01</t>
  </si>
  <si>
    <t>MINI PORTAVISUALES</t>
  </si>
  <si>
    <t>PGT410368001</t>
  </si>
  <si>
    <t>VALL.G.05.10.02</t>
  </si>
  <si>
    <t>3F NAIL MODULE H4 (ASTOR SMALL BOTTLE) 3F</t>
  </si>
  <si>
    <t>PGT410127001</t>
  </si>
  <si>
    <t>VALL.G.05.10.03</t>
  </si>
  <si>
    <t>FALSE LASH EFFECT MASCARA 2F</t>
  </si>
  <si>
    <t>VALL.G.05.11.01</t>
  </si>
  <si>
    <t>PGT410125001</t>
  </si>
  <si>
    <t>VALL.G.05.11.02</t>
  </si>
  <si>
    <t>MASTERPIECE MAX MASCARA 3F</t>
  </si>
  <si>
    <t>MXF 116</t>
  </si>
  <si>
    <t>VALL.G.05.11.03</t>
  </si>
  <si>
    <t>MXF_BANDEJA_116 LIPFINITY VELVET MATTE FOOD</t>
  </si>
  <si>
    <t>PGT410125002</t>
  </si>
  <si>
    <t>VALL.G.05.12.02</t>
  </si>
  <si>
    <t>MASTERPIECE 2IN1 LASH WOW MASCARA 3F</t>
  </si>
  <si>
    <t>PGT410124001</t>
  </si>
  <si>
    <t>VALL.G.05.12.03</t>
  </si>
  <si>
    <t>MASTERPIECE MASCARA 3F</t>
  </si>
  <si>
    <t>PGT410409001</t>
  </si>
  <si>
    <t>VALL.G.05.13.03</t>
  </si>
  <si>
    <t>LINER BAR 57F</t>
  </si>
  <si>
    <t>VALL.G.05.14.01</t>
  </si>
  <si>
    <t>Pieza HOTSPOT RIM Mibar 1.2M_KIT ACT Q1 FY21</t>
  </si>
  <si>
    <t>VALL.G.05.14.02</t>
  </si>
  <si>
    <t>MASC EYECATCHING</t>
  </si>
  <si>
    <t>VALL.G.05.14.03</t>
  </si>
  <si>
    <t>VALL.G.05.15.02</t>
  </si>
  <si>
    <t>H4 - 1.5 M H-2 FY 16/17 CURL</t>
  </si>
  <si>
    <t>VALL.G.05.17.02</t>
  </si>
  <si>
    <t xml:space="preserve">VOLUME GLAMOUR </t>
  </si>
  <si>
    <t>MXF 131</t>
  </si>
  <si>
    <t>VALL.G.05.17.03</t>
  </si>
  <si>
    <t>MXF_BANDEJA_131 MIRACLE PURE FOUNDATION FOOD</t>
  </si>
  <si>
    <t>VALL.G.05.20.02</t>
  </si>
  <si>
    <t>BJS TEMPLE 200 FY20</t>
  </si>
  <si>
    <t>COTY0091</t>
  </si>
  <si>
    <t>VALL.G.05.22.02</t>
  </si>
  <si>
    <t>FOOD_GANCHOS BLANCOS DOBLE L 242 MM</t>
  </si>
  <si>
    <t>VALL.G.05.23.01</t>
  </si>
  <si>
    <t>VALL.G.05.24.02</t>
  </si>
  <si>
    <t>VISUAL 10 CM</t>
  </si>
  <si>
    <t>VALL.G.05.27.01</t>
  </si>
  <si>
    <t>COTY0103</t>
  </si>
  <si>
    <t>VALL.G.05.29.03</t>
  </si>
  <si>
    <t>MXF_TESTERS_ATILA 98/120 (FOOD)</t>
  </si>
  <si>
    <t>RIM 101</t>
  </si>
  <si>
    <t>VALL.G.05.30.03</t>
  </si>
  <si>
    <t>RIM_BANDEJA_101 WONDER CLOUD FOOD</t>
  </si>
  <si>
    <t>KIT120_PUSH_MXFFY24</t>
  </si>
  <si>
    <t>VALL.G.05.31.02</t>
  </si>
  <si>
    <t>kit120_mxf push_fy24</t>
  </si>
  <si>
    <t>VALL.G.05.32.02</t>
  </si>
  <si>
    <t>COTY0043</t>
  </si>
  <si>
    <t>VALL.G.05.33.01</t>
  </si>
  <si>
    <t>KIT_CABECERA UÑAS FOOD_MAYO 2022</t>
  </si>
  <si>
    <t>VALL.G.05.33.02</t>
  </si>
  <si>
    <t>SHGANCHOS</t>
  </si>
  <si>
    <t>VALL.G.05.38.01</t>
  </si>
  <si>
    <t>KIT SPINNER GANCHOS</t>
  </si>
  <si>
    <t>KIT120_PUSH_SHFY24-1</t>
  </si>
  <si>
    <t>VALL.G.05.42.01</t>
  </si>
  <si>
    <t>KIT120_SH PUSH_FY24 INCOMPLETO</t>
  </si>
  <si>
    <t>KIT120_PUSH_SHFY24</t>
  </si>
  <si>
    <t>VALL.G.05.42.02</t>
  </si>
  <si>
    <t>KIT120_SH PUSH_FY24</t>
  </si>
  <si>
    <t>VALL.G.05.43.01</t>
  </si>
  <si>
    <t>VALL.G.05.43.02</t>
  </si>
  <si>
    <t>VALL.G.05.44.02</t>
  </si>
  <si>
    <t>VALL.G.05.45.01</t>
  </si>
  <si>
    <t>VALL.G.05.45.02</t>
  </si>
  <si>
    <t>VALL.G.05.46.02</t>
  </si>
  <si>
    <t>VALL.G.05.47.02</t>
  </si>
  <si>
    <t>VALL.G.05.48.01</t>
  </si>
  <si>
    <t>VALL.G.05.49.01</t>
  </si>
  <si>
    <t>RIMKIT90_PUSH</t>
  </si>
  <si>
    <t>VALL.G.05.52.01</t>
  </si>
  <si>
    <t>PALLET CON BANDEJAS PUSH DE 90CM</t>
  </si>
  <si>
    <t>KITRIMATILA120</t>
  </si>
  <si>
    <t>VALL.G.05.55.01</t>
  </si>
  <si>
    <t>KIT RIMMEL ATILA 120CM H2FY25</t>
  </si>
  <si>
    <t>MXF 103</t>
  </si>
  <si>
    <t>VALL.G.06.01.01</t>
  </si>
  <si>
    <t>MXF_BANDEJA_103 COVER STICK CONCEALER FOOD</t>
  </si>
  <si>
    <t>VALL.G.06.01.02</t>
  </si>
  <si>
    <t>MAXFACTOR_PORTAVISUAL_BANDEJA FOOD</t>
  </si>
  <si>
    <t>kit_pushMXF90</t>
  </si>
  <si>
    <t>VALL.G.06.01.03</t>
  </si>
  <si>
    <t>DEV220425.1</t>
  </si>
  <si>
    <t>VALL.G.06.02.01</t>
  </si>
  <si>
    <t>SH_CAJAS PIEZAS_SPINNER DEV</t>
  </si>
  <si>
    <t>BASE_ATILA98_NEGRO</t>
  </si>
  <si>
    <t>VALL.G.06.02.02</t>
  </si>
  <si>
    <t>BASE ATILA 980 NEGRO ALCAMPO</t>
  </si>
  <si>
    <t>kit_pushRIM180</t>
  </si>
  <si>
    <t>VALL.G.06.02.03</t>
  </si>
  <si>
    <t>MXF 109 CEM</t>
  </si>
  <si>
    <t>VALL.G.06.03.01</t>
  </si>
  <si>
    <t>MXF_BANDEJA_109 CEM C.ELIXIR+C.ELIXIR MATTE FOOD</t>
  </si>
  <si>
    <t>I-00037-03</t>
  </si>
  <si>
    <t>VALL.G.06.03.02</t>
  </si>
  <si>
    <t>RIM_BANDEJA RECUPERADA</t>
  </si>
  <si>
    <t>BASE_ATILA98_BLANCO</t>
  </si>
  <si>
    <t>VALL.G.06.03.03</t>
  </si>
  <si>
    <t>BASE ATILA 980 BLANCO ALCAMPO</t>
  </si>
  <si>
    <t>MXF 109 CE</t>
  </si>
  <si>
    <t>VALL.G.06.04.01</t>
  </si>
  <si>
    <t>MXF_BANDEJA_109 CE COLOR ELIXIR FOOD</t>
  </si>
  <si>
    <t>ALCLOSENLACES</t>
  </si>
  <si>
    <t>VALL.G.06.04.02</t>
  </si>
  <si>
    <t>KIT120_RIM PUSH_FY24_ALCAMPO LOS ENLACES</t>
  </si>
  <si>
    <t>VALL.G.06.04.03</t>
  </si>
  <si>
    <t>BASE_ATILA56_NEGRO</t>
  </si>
  <si>
    <t>VALL.G.06.05.02</t>
  </si>
  <si>
    <t>BASE ATILA 560 NEGRO ALCAMPO</t>
  </si>
  <si>
    <t>WW_ZOCALO</t>
  </si>
  <si>
    <t>VALL.G.06.06.01</t>
  </si>
  <si>
    <t>ZOCALO WET N WILD</t>
  </si>
  <si>
    <t>VALL.G.06.06.02</t>
  </si>
  <si>
    <t>VALL.G.06.06.03</t>
  </si>
  <si>
    <t>VALL.G.06.07.01</t>
  </si>
  <si>
    <t>BASE_ATILA120_NEGRO</t>
  </si>
  <si>
    <t>VALL.G.06.07.02</t>
  </si>
  <si>
    <t>BASE ATILA 1200 NEGRO ALCAMPO</t>
  </si>
  <si>
    <t>RIM 107</t>
  </si>
  <si>
    <t>VALL.G.06.08.02</t>
  </si>
  <si>
    <t>RIM_BANDEJA_107 K&amp;F FOOD</t>
  </si>
  <si>
    <t>VALL.G.06.09.01</t>
  </si>
  <si>
    <t>SH MULT GWP XMAS SET 3 1 VAC FORM 19GB</t>
  </si>
  <si>
    <t>BASE_ATILA120_BLANCO</t>
  </si>
  <si>
    <t>VALL.G.06.09.02</t>
  </si>
  <si>
    <t>BASE ATILA 1200 BLANCO ALCAMPO</t>
  </si>
  <si>
    <t>MXF 117</t>
  </si>
  <si>
    <t>VALL.G.06.10.01</t>
  </si>
  <si>
    <t>MXF_BANDEJA_107 MASCARE FLE FOOD</t>
  </si>
  <si>
    <t>VALL.G.06.10.03</t>
  </si>
  <si>
    <t>KITpushMXF90SB</t>
  </si>
  <si>
    <t>VALL.G.06.11.01</t>
  </si>
  <si>
    <t>KITS PUSH SIN BARRA METALICA</t>
  </si>
  <si>
    <t>kit_pushMXF120</t>
  </si>
  <si>
    <t>VALL.G.06.11.02</t>
  </si>
  <si>
    <t>VALL.G.06.11.03</t>
  </si>
  <si>
    <t>CONVKIT 23</t>
  </si>
  <si>
    <t>VALL.G.06.12.01</t>
  </si>
  <si>
    <t>KITS CONVERSION WET FY23</t>
  </si>
  <si>
    <t>KIT_PUSHRIM120</t>
  </si>
  <si>
    <t>VALL.G.06.12.02</t>
  </si>
  <si>
    <t>MXF0108</t>
  </si>
  <si>
    <t>VALL.G.06.13.02</t>
  </si>
  <si>
    <t>MXF_KIT_ACT_HIPERCOR 240 H2 FY22</t>
  </si>
  <si>
    <t>VALL.G.06.13.03</t>
  </si>
  <si>
    <t>RIM_KIT ACT_MIBAR 2M SPANISH H2 FY22</t>
  </si>
  <si>
    <t>RIM 106</t>
  </si>
  <si>
    <t>VALL.G.06.14.01</t>
  </si>
  <si>
    <t>RIM_BANDEJA_106 K&amp;F FOOD</t>
  </si>
  <si>
    <t>GOND_KIT_JUN26</t>
  </si>
  <si>
    <t>VALL.G.06.15.01</t>
  </si>
  <si>
    <t>KIT ACT. GOND UNIT JUNIO 26</t>
  </si>
  <si>
    <t>VALL.G.06.15.03</t>
  </si>
  <si>
    <t>ROUGE VELVET</t>
  </si>
  <si>
    <t>WALL_KIT_JUN26</t>
  </si>
  <si>
    <t>VALL.G.06.16.01</t>
  </si>
  <si>
    <t>KIT ACT. WALL UNIT JUNIO 26</t>
  </si>
  <si>
    <t>VALL.G.06.16.03</t>
  </si>
  <si>
    <t>MASC PUSH UP</t>
  </si>
  <si>
    <t>MXF 111</t>
  </si>
  <si>
    <t>VALL.G.06.17.01</t>
  </si>
  <si>
    <t>MXF_BANDEJA_111 FACEFINITY FOOD</t>
  </si>
  <si>
    <t>BASESH1M</t>
  </si>
  <si>
    <t>VALL.G.06.18.01</t>
  </si>
  <si>
    <t>BASE SALLY HANSEN 1M BB H2FY25</t>
  </si>
  <si>
    <t>NOTE COSMETICS</t>
  </si>
  <si>
    <t>NOTE_BASE</t>
  </si>
  <si>
    <t>VALL.G.06.20.01</t>
  </si>
  <si>
    <t>NOTE_BASE_BASES SUELTAS</t>
  </si>
  <si>
    <t>VALL.G.06.20.03</t>
  </si>
  <si>
    <t>LAPICES BJS MULT MCH CRAYONS 5X1</t>
  </si>
  <si>
    <t>KIT120_RIMPUSH_FY24</t>
  </si>
  <si>
    <t>VALL.G.06.22.01</t>
  </si>
  <si>
    <t>KIT120_RIM PUSH_FY24</t>
  </si>
  <si>
    <t>RIM 108</t>
  </si>
  <si>
    <t>VALL.G.06.22.02</t>
  </si>
  <si>
    <t>RIM_BANDEJA_108 K&amp;F FOOD</t>
  </si>
  <si>
    <t>VALL.G.06.22.03</t>
  </si>
  <si>
    <t>BJ_BANDEJA_Brow Gel &amp; Máscara Healthy Mix h1 FY23</t>
  </si>
  <si>
    <t>VALL.G.06.23.01</t>
  </si>
  <si>
    <t>SOBRE NAILS CHIPS COMPLETO H2FY25</t>
  </si>
  <si>
    <t>VALL.G.06.23.03</t>
  </si>
  <si>
    <t>SACAPUNTAS</t>
  </si>
  <si>
    <t>MXF 133</t>
  </si>
  <si>
    <t>VALL.G.06.27.01</t>
  </si>
  <si>
    <t>MXF_BANDEJA_133 MIRACLE PURE BLUSH FOOD</t>
  </si>
  <si>
    <t>VALL.G.06.27.02</t>
  </si>
  <si>
    <t>BJ_BANDEJA_Adaptador Foundation HM H1 FY23</t>
  </si>
  <si>
    <t>VALL.G.06.28.02</t>
  </si>
  <si>
    <t>29166145000_MARU</t>
  </si>
  <si>
    <t>VALL.G.06.29.01</t>
  </si>
  <si>
    <t>BJ_BANDEJA</t>
  </si>
  <si>
    <t>KIT120_PUSH_BJFY24</t>
  </si>
  <si>
    <t>VALL.G.06.31.01</t>
  </si>
  <si>
    <t>VALL.G.06.31.02</t>
  </si>
  <si>
    <t>VALL.G.06.32.01</t>
  </si>
  <si>
    <t>VALL.G.06.32.02</t>
  </si>
  <si>
    <t>VALL.G.06.32.03</t>
  </si>
  <si>
    <t>VOLUME REVEAL</t>
  </si>
  <si>
    <t>VALL.G.06.33.01</t>
  </si>
  <si>
    <t>VALL.G.06.33.02</t>
  </si>
  <si>
    <t>BJS MULT MCH MODPOP SHARPENER 5cmX1</t>
  </si>
  <si>
    <t>VALL.G.06.33.03</t>
  </si>
  <si>
    <t>VALL.G.06.34.01</t>
  </si>
  <si>
    <t>99350168005_MARU</t>
  </si>
  <si>
    <t>VALL.G.06.34.02</t>
  </si>
  <si>
    <t>99350124537_MARU</t>
  </si>
  <si>
    <t>VALL.G.06.35.01</t>
  </si>
  <si>
    <t>VALL.G.06.35.02</t>
  </si>
  <si>
    <t xml:space="preserve">HEALTHY MIX POWDER </t>
  </si>
  <si>
    <t>VALL.G.06.35.03</t>
  </si>
  <si>
    <t>VALL.G.06.36.01</t>
  </si>
  <si>
    <t>NC WU MAT TOUCH FOUN. - INV.HD FOUN.</t>
  </si>
  <si>
    <t>VALL.G.06.36.03</t>
  </si>
  <si>
    <t>ROUGE FABULEUX</t>
  </si>
  <si>
    <t>NEO_CAJA2</t>
  </si>
  <si>
    <t>VALL.G.06.37.01</t>
  </si>
  <si>
    <t>NEO_CAJA2_PRODUCTO</t>
  </si>
  <si>
    <t>VALL.G.06.37.02</t>
  </si>
  <si>
    <t>VALL.G.06.37.03</t>
  </si>
  <si>
    <t>VALL.G.06.38.02</t>
  </si>
  <si>
    <t>VALL.G.06.39.01</t>
  </si>
  <si>
    <t>VALL.G.06.39.02</t>
  </si>
  <si>
    <t>VALL.G.06.40.02</t>
  </si>
  <si>
    <t>BJ_BANDEJA_Foundcealer</t>
  </si>
  <si>
    <t>29185185000_MARU</t>
  </si>
  <si>
    <t>VALL.G.06.41.01</t>
  </si>
  <si>
    <t>99350168007_MARU</t>
  </si>
  <si>
    <t>VALL.G.06.42.01</t>
  </si>
  <si>
    <t>VALL.G.06.43.01</t>
  </si>
  <si>
    <t>VALL.G.06.43.02</t>
  </si>
  <si>
    <t>BOU MULT MCH EXP HM LIPSORB ARCHP2 (LIP SORBET)</t>
  </si>
  <si>
    <t>VALL.G.06.43.03</t>
  </si>
  <si>
    <t>BJ_BANDEJA_BEAU REGARD</t>
  </si>
  <si>
    <t>VALL.G.06.44.01</t>
  </si>
  <si>
    <t>VALL.G.06.44.02</t>
  </si>
  <si>
    <t>VALL.G.06.45.01</t>
  </si>
  <si>
    <t>EYESHADOW VOLUME GLAMOUR 1FX6</t>
  </si>
  <si>
    <t>99350145002_MARU</t>
  </si>
  <si>
    <t>VALL.G.06.45.02</t>
  </si>
  <si>
    <t>VALL.G.06.48.01</t>
  </si>
  <si>
    <t>VALL.G.06.49.03</t>
  </si>
  <si>
    <t>HEALTHY MIX FOUNDATION</t>
  </si>
  <si>
    <t>VALL.G.06.50.01</t>
  </si>
  <si>
    <t>VALL.G.06.50.03</t>
  </si>
  <si>
    <t>VALL.G.06.51.01</t>
  </si>
  <si>
    <t>VALL.G.06.51.03</t>
  </si>
  <si>
    <t>ROUGE LAQUE+CONC ALW</t>
  </si>
  <si>
    <t>VALL.G.06.52.01</t>
  </si>
  <si>
    <t>VALL.G.06.52.02</t>
  </si>
  <si>
    <t>LINER PINCEU</t>
  </si>
  <si>
    <t>VALL.G.06.52.03</t>
  </si>
  <si>
    <t>VALL.G.06.53.02</t>
  </si>
  <si>
    <t>VELVET THE LIPSTICK</t>
  </si>
  <si>
    <t>VALL.G.06.54.01</t>
  </si>
  <si>
    <t>VALL.G.06.54.03</t>
  </si>
  <si>
    <t>VALL.G.06.55.01</t>
  </si>
  <si>
    <t>VALL.G.06.55.02</t>
  </si>
  <si>
    <t>ROUGE EDITION/BLUR THE LINES</t>
  </si>
  <si>
    <t>WWCONVKIT23</t>
  </si>
  <si>
    <t>VALL.G.06.56.01</t>
  </si>
  <si>
    <t>WET N WILD KIT CONVERSION 2023</t>
  </si>
  <si>
    <t>VALL.G.07.01.01</t>
  </si>
  <si>
    <t>HOTSPOT TO GO PRE PACK</t>
  </si>
  <si>
    <t>COTY0128</t>
  </si>
  <si>
    <t>VALL.G.07.02.01</t>
  </si>
  <si>
    <t>MXF_MODULO_AIR BAR</t>
  </si>
  <si>
    <t>VALL.G.07.02.03</t>
  </si>
  <si>
    <t>BJ_BANDEJA_VELVET IMK</t>
  </si>
  <si>
    <t>TESTERGPVBJ_26</t>
  </si>
  <si>
    <t>VALL.G.07.03.01</t>
  </si>
  <si>
    <t>TESTER GPV BOURJOIS 26</t>
  </si>
  <si>
    <t>I-00012-01</t>
  </si>
  <si>
    <t>VALL.G.07.03.02</t>
  </si>
  <si>
    <t>mascara WonderCareSerum 2F</t>
  </si>
  <si>
    <t>GOND_TIRAS_26</t>
  </si>
  <si>
    <t>VALL.G.07.04.01</t>
  </si>
  <si>
    <t>TIRAS GOND JUNIO 26</t>
  </si>
  <si>
    <t>VALL.G.07.04.02</t>
  </si>
  <si>
    <t>TESTERMXF_26</t>
  </si>
  <si>
    <t>VALL.G.07.05.01</t>
  </si>
  <si>
    <t>TESTER MAX FACTOR FOOD 26</t>
  </si>
  <si>
    <t>I-00031-01</t>
  </si>
  <si>
    <t>VALL.G.07.05.03</t>
  </si>
  <si>
    <t>BANDEJA RIMMEL SUELTA MIBAR 2M SPANISH</t>
  </si>
  <si>
    <t>NEO_MAYO25_3</t>
  </si>
  <si>
    <t>VALL.G.07.06.01</t>
  </si>
  <si>
    <t>I-00021-01</t>
  </si>
  <si>
    <t>VALL.G.07.06.03</t>
  </si>
  <si>
    <t>Brow This Way 1F</t>
  </si>
  <si>
    <t>TESTERSRIM_NEO</t>
  </si>
  <si>
    <t>VALL.G.07.07.01</t>
  </si>
  <si>
    <t>TestersRIM_NEO_H2FY24</t>
  </si>
  <si>
    <t>MXF-110-ADA</t>
  </si>
  <si>
    <t>VALL.G.07.07.02</t>
  </si>
  <si>
    <t>VISUAL 100 (CAMBIAR IMAGEN) FOOD</t>
  </si>
  <si>
    <t>TESTERSMXF_NEO</t>
  </si>
  <si>
    <t>VALL.G.07.08.01</t>
  </si>
  <si>
    <t>TestersMXF_NEO_H2FY24</t>
  </si>
  <si>
    <t>MXF 107</t>
  </si>
  <si>
    <t>VALL.G.07.08.03</t>
  </si>
  <si>
    <t>MXF_BANDEJA_107 CONCEALER FOOD</t>
  </si>
  <si>
    <t>RIM_TESTERATI56</t>
  </si>
  <si>
    <t>VALL.G.07.09.01</t>
  </si>
  <si>
    <t>TESTER PARA MUEBLE ATILA 56</t>
  </si>
  <si>
    <t>I-00016-01</t>
  </si>
  <si>
    <t>VALL.G.07.10.01</t>
  </si>
  <si>
    <t>BANDEJA MASCARAS 4FX7 RIM MIBAR 1.2M</t>
  </si>
  <si>
    <t>I-00015-01</t>
  </si>
  <si>
    <t>VALL.G.07.10.03</t>
  </si>
  <si>
    <t>BANDEJA MASCARAS 3FX7 RIM MIBAR 1.2M</t>
  </si>
  <si>
    <t>VALL.G.07.11.01</t>
  </si>
  <si>
    <t>BJNEO.4</t>
  </si>
  <si>
    <t>VALL.G.07.11.02</t>
  </si>
  <si>
    <t>NEO 270 H1FY25</t>
  </si>
  <si>
    <t>VALL.G.07.11.03</t>
  </si>
  <si>
    <t>COTY0184_26</t>
  </si>
  <si>
    <t>VALL.G.07.12.01</t>
  </si>
  <si>
    <t>RIM_TESTERS</t>
  </si>
  <si>
    <t>MXF 102-A</t>
  </si>
  <si>
    <t>VALL.G.07.12.03</t>
  </si>
  <si>
    <t>MXF_BANDEJA_102-A LINERS FOOD</t>
  </si>
  <si>
    <t>COTY0182_26</t>
  </si>
  <si>
    <t>VALL.G.07.13.01</t>
  </si>
  <si>
    <t>MXF_TESTERS</t>
  </si>
  <si>
    <t>VALL.G.07.13.03</t>
  </si>
  <si>
    <t>XG3006.1</t>
  </si>
  <si>
    <t>VALL.G.07.14.01</t>
  </si>
  <si>
    <t>KITS MIBAR 2M H2FY25</t>
  </si>
  <si>
    <t>VALL.G.07.14.02</t>
  </si>
  <si>
    <t>TesterRIM120</t>
  </si>
  <si>
    <t>VALL.G.07.15.01</t>
  </si>
  <si>
    <t>KIT TESTERS RIMMEL 120 PUSH</t>
  </si>
  <si>
    <t>VALL.G.07.15.03</t>
  </si>
  <si>
    <t>CHANSON</t>
  </si>
  <si>
    <t>TESTERS_EDMJASMIN</t>
  </si>
  <si>
    <t>VALL.G.07.16.01</t>
  </si>
  <si>
    <t>Testers_FragEDMJASMIN</t>
  </si>
  <si>
    <t>VALL.G.07.16.02</t>
  </si>
  <si>
    <t>VALL.G.07.16.03</t>
  </si>
  <si>
    <t>TESTERRIM_26</t>
  </si>
  <si>
    <t>VALL.G.07.17.01</t>
  </si>
  <si>
    <t>TESTER RIMMEL FOOD 26</t>
  </si>
  <si>
    <t>MXF 115</t>
  </si>
  <si>
    <t>VALL.G.07.17.02</t>
  </si>
  <si>
    <t>MXF_BANDEJA_115 LIPFINITY FOOD</t>
  </si>
  <si>
    <t>TESTERMXF120</t>
  </si>
  <si>
    <t>VALL.G.07.18.01</t>
  </si>
  <si>
    <t>TESTER PARA MUEBLES PUSH 120</t>
  </si>
  <si>
    <t>MXF_B1</t>
  </si>
  <si>
    <t>VALL.G.07.18.02</t>
  </si>
  <si>
    <t>MXF_BANDEJA 1_H3 150CM H2FY22</t>
  </si>
  <si>
    <t>VALL.G.07.18.03</t>
  </si>
  <si>
    <t>TESTERS_120AHORRAMAS</t>
  </si>
  <si>
    <t>VALL.G.07.19.01</t>
  </si>
  <si>
    <t>Testers_Rim120Ahorramas</t>
  </si>
  <si>
    <t>MXF_B5</t>
  </si>
  <si>
    <t>VALL.G.07.19.02</t>
  </si>
  <si>
    <t>MXF_BANDEJA 1_H4 120CM H2FY22</t>
  </si>
  <si>
    <t>246FOOD</t>
  </si>
  <si>
    <t>VALL.G.07.19.03</t>
  </si>
  <si>
    <t>FOOD_CABCEREA UÑAS</t>
  </si>
  <si>
    <t>FOOD0016</t>
  </si>
  <si>
    <t>VALL.G.07.20.01</t>
  </si>
  <si>
    <t>RIM_TESTERS_NEO/ATILA (FOOD)</t>
  </si>
  <si>
    <t>PF_DIC2</t>
  </si>
  <si>
    <t>VALL.G.07.21.01</t>
  </si>
  <si>
    <t>TESTER PF 2024</t>
  </si>
  <si>
    <t>VALL.G.07.21.02</t>
  </si>
  <si>
    <t>VALL.G.07.21.03</t>
  </si>
  <si>
    <t>COTY0183</t>
  </si>
  <si>
    <t>VALL.G.07.22.01</t>
  </si>
  <si>
    <t>BJ_TESTERS</t>
  </si>
  <si>
    <t>VALL.G.07.22.02</t>
  </si>
  <si>
    <t>VALL.G.07.23.02</t>
  </si>
  <si>
    <t>COTY0183_26</t>
  </si>
  <si>
    <t>VALL.G.07.24.01</t>
  </si>
  <si>
    <t>VALL.G.07.24.02</t>
  </si>
  <si>
    <t>VALL.G.07.25.02</t>
  </si>
  <si>
    <t>VALL.G.07.26.01</t>
  </si>
  <si>
    <t>VALL.G.07.28.01</t>
  </si>
  <si>
    <t>VALL.G.07.28.02</t>
  </si>
  <si>
    <t>COTY0136</t>
  </si>
  <si>
    <t>VALL.G.07.29.01</t>
  </si>
  <si>
    <t>RIMMEL_TESTERS_NEO 90 (FOOD)</t>
  </si>
  <si>
    <t>VALL.G.07.30.01</t>
  </si>
  <si>
    <t>VALL.G.07.33.01</t>
  </si>
  <si>
    <t>VALL.G.07.33.03</t>
  </si>
  <si>
    <t>BASELIVEMXF120</t>
  </si>
  <si>
    <t>VALL.G.07.34.01</t>
  </si>
  <si>
    <t>BASE LIVE MAX FACTOR 120 FY25</t>
  </si>
  <si>
    <t>VALL.G.07.34.03</t>
  </si>
  <si>
    <t>VALL.G.07.35.01</t>
  </si>
  <si>
    <t>VALL.G.07.35.03</t>
  </si>
  <si>
    <t>CRFMIJAS110</t>
  </si>
  <si>
    <t>VALL.G.07.36.01</t>
  </si>
  <si>
    <t>PALET ARMADO PARA TIENDA CRF MIJAS_MUEBLE 110CM</t>
  </si>
  <si>
    <t>NEO_ MAYO25_2</t>
  </si>
  <si>
    <t>VALL.G.07.38.01</t>
  </si>
  <si>
    <t>PRODUCTO BOX 2</t>
  </si>
  <si>
    <t>VALL.G.07.40.01</t>
  </si>
  <si>
    <t>NEO_EXPO2025</t>
  </si>
  <si>
    <t>VALL.G.07.41.01</t>
  </si>
  <si>
    <t>VALL.G.07.41.02</t>
  </si>
  <si>
    <t>VALL.G.07.41.03</t>
  </si>
  <si>
    <t>VALL.G.07.42.03</t>
  </si>
  <si>
    <t>FUTURE</t>
  </si>
  <si>
    <t>GOSH</t>
  </si>
  <si>
    <t>GOSH_BASE</t>
  </si>
  <si>
    <t>VALL.G.07.43.01</t>
  </si>
  <si>
    <t>BASE GOSH</t>
  </si>
  <si>
    <t>VALL.G.07.43.03</t>
  </si>
  <si>
    <t>SH_BASEBB 1M 2HFY24</t>
  </si>
  <si>
    <t>VALL.G.07.44.01</t>
  </si>
  <si>
    <t>SH base mueble 1m 2HFY24</t>
  </si>
  <si>
    <t>VALL.G.07.44.02</t>
  </si>
  <si>
    <t>VALL.G.07.44.03</t>
  </si>
  <si>
    <t>VALL.G.07.45.01</t>
  </si>
  <si>
    <t>VALL.G.07.46.01</t>
  </si>
  <si>
    <t>VALL.G.07.46.02</t>
  </si>
  <si>
    <t>BJS_NEWGENBASE120</t>
  </si>
  <si>
    <t>VALL.G.07.47.01</t>
  </si>
  <si>
    <t>BJS BB 120 base H2 FY24 WILLSON</t>
  </si>
  <si>
    <t>VALL.G.07.47.02</t>
  </si>
  <si>
    <t>VALL.G.07.48.01</t>
  </si>
  <si>
    <t>VALL.G.07.48.02</t>
  </si>
  <si>
    <t>VALL.G.07.50.01</t>
  </si>
  <si>
    <t>MXF_KIT ACT_H4 1.5M H2 FY22</t>
  </si>
  <si>
    <t>VALL.G.07.51.01</t>
  </si>
  <si>
    <t>VALL.G.07.53.03</t>
  </si>
  <si>
    <t>VALL.G.07.54.01</t>
  </si>
  <si>
    <t>VALL.G.07.55.01</t>
  </si>
  <si>
    <t>VALL.G.07.55.03</t>
  </si>
  <si>
    <t>VALL.G.07.56.01</t>
  </si>
  <si>
    <t>VALL.G.07.56.02</t>
  </si>
  <si>
    <t>BASE WALLUNIT _</t>
  </si>
  <si>
    <t>VALL.PLAYA.01.01.01</t>
  </si>
  <si>
    <t>BASE</t>
  </si>
  <si>
    <t>ZONAA</t>
  </si>
  <si>
    <t>COSMETIX</t>
  </si>
  <si>
    <t>ESSENCE</t>
  </si>
  <si>
    <t>INSERTS 3-25</t>
  </si>
  <si>
    <t>ZONAB</t>
  </si>
  <si>
    <t>ACT 03-25</t>
  </si>
  <si>
    <t>INCOMM</t>
  </si>
  <si>
    <t>INCOMMMAITE26</t>
  </si>
  <si>
    <t>DEVOLUCION INCOMM MAITE</t>
  </si>
  <si>
    <t>DEV230625.4</t>
  </si>
  <si>
    <t>BASE RIMMEL PARA DESTRUIR</t>
  </si>
  <si>
    <t>DEV230625.6</t>
  </si>
  <si>
    <t>BASE BOURJOIS PARA DESTRUIR</t>
  </si>
  <si>
    <t>RIMM/MXF</t>
  </si>
  <si>
    <t>COTY0101</t>
  </si>
  <si>
    <t>RIM/MXF_VISUAL_LOGO MIXTO CANARIAS (FOOD)</t>
  </si>
  <si>
    <t>COTY0107</t>
  </si>
  <si>
    <t>RIM_TESTERS_1 CAJA TESTER VARIOS ATILA (FOOD)</t>
  </si>
  <si>
    <t>COTY0180</t>
  </si>
  <si>
    <t>BJ_VINILO_BASE GONDOLA 2M - NEXT GEN</t>
  </si>
  <si>
    <t>COVERPORTBJ1</t>
  </si>
  <si>
    <t>COVERCARD GRANDE BJNEXTGEN PORTUGAL</t>
  </si>
  <si>
    <t>COVERPORTBJ2</t>
  </si>
  <si>
    <t>COVERCARD PEQUEÑO BJNEXTGEN PORTUGAL</t>
  </si>
  <si>
    <t>COVERPORTRIM1</t>
  </si>
  <si>
    <t>COVERCARD GRANDE RIMLIVE120 PORTUGAL</t>
  </si>
  <si>
    <t>COVERPORTRIM2</t>
  </si>
  <si>
    <t>COVERCARD PEQUEÑO RIMLIVE120 PORTUGAL</t>
  </si>
  <si>
    <t>FLOR_VISUAL _ 1</t>
  </si>
  <si>
    <t>VISUALES PARED 1 M</t>
  </si>
  <si>
    <t>FLOR_VISUAL _ 2</t>
  </si>
  <si>
    <t>VISUALES GONDOLA 2M</t>
  </si>
  <si>
    <t>I-00032-01</t>
  </si>
  <si>
    <t>RIM_BANDEJA_ LASTING PROVOCALIPS 2F</t>
  </si>
  <si>
    <t>I-00034-03</t>
  </si>
  <si>
    <t>INCIBJPORT</t>
  </si>
  <si>
    <t>INCIBOOKLET BJ PORTUGAL</t>
  </si>
  <si>
    <t>KITBJPORT1</t>
  </si>
  <si>
    <t>TIRAS GRAFICAS BJNEXTGEN120 PORTUGAL</t>
  </si>
  <si>
    <t>KITBJPORT2</t>
  </si>
  <si>
    <t>TIRAS GRAFICAS BJNEXTGEN2M PORTUGAL</t>
  </si>
  <si>
    <t>KITMXFPORT</t>
  </si>
  <si>
    <t>TIRAS GRAFICAS MXFLIVE120 PORTUGAL</t>
  </si>
  <si>
    <t>KITRIMPORT</t>
  </si>
  <si>
    <t>TIRAS GRAFICAS RIMLIVE120 PORTUGAL</t>
  </si>
  <si>
    <t>MF7201015001</t>
  </si>
  <si>
    <t>MXF_BANDEJA RECUPERADA</t>
  </si>
  <si>
    <t>MXF0032</t>
  </si>
  <si>
    <t>MXF_VISUAL_LOGO APERTURAS ALCAMPO (FOOD)</t>
  </si>
  <si>
    <t>NEO_CAJA9</t>
  </si>
  <si>
    <t>PLUM12004</t>
  </si>
  <si>
    <t>MARWINS</t>
  </si>
  <si>
    <t>PEGATINAS</t>
  </si>
  <si>
    <t>PEGATINAS REETIQUETADO MARKWINS</t>
  </si>
  <si>
    <t>PEGTESTER</t>
  </si>
  <si>
    <t>RIMMEL_PEGATINAS TESTERS RIMMEL</t>
  </si>
  <si>
    <t>RIM IF 02 V2</t>
  </si>
  <si>
    <t>RIM001_V</t>
  </si>
  <si>
    <t>RIM_VISUAL_PROVOCALIPS 100_NEO</t>
  </si>
  <si>
    <t>RIM002_V</t>
  </si>
  <si>
    <t>RIM_VISUAL_UÑAS 100_NEO</t>
  </si>
  <si>
    <t>RIM003_V</t>
  </si>
  <si>
    <t>RIM_VISUAL_MULTI-TASKER 100_NEO</t>
  </si>
  <si>
    <t>RIM005_V</t>
  </si>
  <si>
    <t>RIM_VISUAL_PROVOCALIPS 200_NEO</t>
  </si>
  <si>
    <t>RIM006_V</t>
  </si>
  <si>
    <t>RIM_VISUAL_UÑAS 200_NEO</t>
  </si>
  <si>
    <t>RIM007_V</t>
  </si>
  <si>
    <t>RIM_VISUAL_MULTI-TASKER 200_NEO</t>
  </si>
  <si>
    <t>RMM0047</t>
  </si>
  <si>
    <t>VISUAL_10CM MULTI-TASKER</t>
  </si>
  <si>
    <t>RMM0051</t>
  </si>
  <si>
    <t>VISUAL _30CM SCANDALEYES VOLUME ON DEMAND</t>
  </si>
  <si>
    <t>RMM0073</t>
  </si>
  <si>
    <t>VISUAL _20CM LASTING FINISH EXTREME MATTE</t>
  </si>
  <si>
    <t>RMM0074</t>
  </si>
  <si>
    <t>VISUAL _20CM NATURAL BRONZER</t>
  </si>
  <si>
    <t>RMM0075</t>
  </si>
  <si>
    <t>VISUAL _20CM LASTING FINISH</t>
  </si>
  <si>
    <t>RMM0076</t>
  </si>
  <si>
    <t>VISUAL _20CM LASTING MATTE PRIMER</t>
  </si>
  <si>
    <t>RMM0080</t>
  </si>
  <si>
    <t>VISUAL _30CM WONDER LUXE</t>
  </si>
  <si>
    <t>T_19_HMTB</t>
  </si>
  <si>
    <t>BJ_T_HealthyMixTinteBeautifier</t>
  </si>
  <si>
    <t>T_LRP</t>
  </si>
  <si>
    <t>BJ_T_Colorete LRP</t>
  </si>
  <si>
    <t>T_MXFLIVE2M</t>
  </si>
  <si>
    <t>MAX FACTOR LIVE 2M TIRAS EN PORTUGUES</t>
  </si>
  <si>
    <t>T_RIMLIVE2M</t>
  </si>
  <si>
    <t>RIMMEL LIVE 2M TIRAS EN PORTUGUES</t>
  </si>
  <si>
    <t>TIRA_RIM124_F26</t>
  </si>
  <si>
    <t>TIRA RIM 124 PARA MUEBLE NEO</t>
  </si>
  <si>
    <t>TIRAS_COMP_0426</t>
  </si>
  <si>
    <t>NUEVAS TIRAS GRÁFICAS COMPLETAS ABRIL 2026</t>
  </si>
  <si>
    <t>V_ LF35HNEO</t>
  </si>
  <si>
    <t>VISUAL LF 35H NEO</t>
  </si>
  <si>
    <t>V_10_CP</t>
  </si>
  <si>
    <t>MXF_V_CremePuff</t>
  </si>
  <si>
    <t>V_11_HMCP</t>
  </si>
  <si>
    <t>BJ_V_HealthyMixClearPowder</t>
  </si>
  <si>
    <t>V_12_AFC</t>
  </si>
  <si>
    <t>BJ_V_AlwaysFabulousConcealer</t>
  </si>
  <si>
    <t>V_13_AFF</t>
  </si>
  <si>
    <t>BJ_V_AlwaysFabulousFoundation</t>
  </si>
  <si>
    <t>V_14_TUV</t>
  </si>
  <si>
    <t>BJ_V_TwistUpVolume</t>
  </si>
  <si>
    <t>V_15_PVGI</t>
  </si>
  <si>
    <t>BJ_V_PaletteVolumneGlamourInt</t>
  </si>
  <si>
    <t>V_16_FG</t>
  </si>
  <si>
    <t>BJ_V_FabuleuxGel</t>
  </si>
  <si>
    <t>V_2STEPS_F26</t>
  </si>
  <si>
    <t>VISUAL MXF- LIPFINITY 2STEPS 199x197</t>
  </si>
  <si>
    <t>V_3_DL</t>
  </si>
  <si>
    <t>MXF_V_DivineLashes</t>
  </si>
  <si>
    <t>V_5_MPSR</t>
  </si>
  <si>
    <t>MXF_V_MPSkinResert</t>
  </si>
  <si>
    <t>V_6_LO</t>
  </si>
  <si>
    <t>BJS_V_LipOil10cm</t>
  </si>
  <si>
    <t>V_60SEC_MINI</t>
  </si>
  <si>
    <t>MINI_VISUAL_ 60SEC_80X200</t>
  </si>
  <si>
    <t>V_7_LO</t>
  </si>
  <si>
    <t>BJS_V_LipOil25cm</t>
  </si>
  <si>
    <t>V_8_LRP</t>
  </si>
  <si>
    <t>BJS_V_LRP5cm</t>
  </si>
  <si>
    <t>V_9_HS</t>
  </si>
  <si>
    <t>BJ_V_HM Serum 5cm</t>
  </si>
  <si>
    <t>V_BETTE_MINI</t>
  </si>
  <si>
    <t>MINI_VISUAL_ BETTERTHANFILTERS_80X200</t>
  </si>
  <si>
    <t>V_BETTER_F26</t>
  </si>
  <si>
    <t>VISUAL RIM- MULTITASKERBTTERTHAN_100x197</t>
  </si>
  <si>
    <t>V_BETTER20X20</t>
  </si>
  <si>
    <t>VISUAL RIM- MULTITASKERBETTERTHAN_200x200</t>
  </si>
  <si>
    <t>V_BLUS__MINI</t>
  </si>
  <si>
    <t>MINI_VISUAL_ BLUS_HIGHLIGHTER_80X200</t>
  </si>
  <si>
    <t>V_BRONZ_MINI</t>
  </si>
  <si>
    <t>MINI_VISUAL_ BRONZING_STICK_80X200</t>
  </si>
  <si>
    <t>V_BRONZER39X20</t>
  </si>
  <si>
    <t>VISUAL MXF-BRONZER_39X200</t>
  </si>
  <si>
    <t>V_BROWS39X20</t>
  </si>
  <si>
    <t>MXF_BROWS_39X200_CEJAS</t>
  </si>
  <si>
    <t>V_CEJAS_MINI</t>
  </si>
  <si>
    <t>MINI_VISUAL_ CEJAS_80X200</t>
  </si>
  <si>
    <t>V_COELIX_MINI</t>
  </si>
  <si>
    <t>MINI_VISUAL_COLORELIXIR_80X200</t>
  </si>
  <si>
    <t>V_COLORETE_F26</t>
  </si>
  <si>
    <t>VISUAL MXF_FCECOLORETE_100x197</t>
  </si>
  <si>
    <t>V_COLRET_MINI</t>
  </si>
  <si>
    <t>MINI_VISUAL_ COLORETE_80X200</t>
  </si>
  <si>
    <t>V_COMPACT_F26</t>
  </si>
  <si>
    <t>VISUAL MXF_COMPACT_100x197</t>
  </si>
  <si>
    <t>V_CONCE20X20_F26</t>
  </si>
  <si>
    <t>VISUAL RIM-MULTITASKERCONCEALER_199X197</t>
  </si>
  <si>
    <t>V_CONCEALER_F26</t>
  </si>
  <si>
    <t>VISUAL MXF_FCECONCEALER_100x197</t>
  </si>
  <si>
    <t>V_FAC3EN1_MINI</t>
  </si>
  <si>
    <t>MINI_VISUAL_ FACEFINITY3EN1_80X200</t>
  </si>
  <si>
    <t>V_FACEFIN39X20</t>
  </si>
  <si>
    <t>VISUAL MXF-FACEFINITY 3EN1_39x200</t>
  </si>
  <si>
    <t>V_FACOMP_MINI</t>
  </si>
  <si>
    <t>MINI_VISUAL_  FACEFINITYCOMPACT_80X200</t>
  </si>
  <si>
    <t>V_FACONC_MINI</t>
  </si>
  <si>
    <t>MINI_VISUAL_ FACEFINITYCONCEALER_80X200</t>
  </si>
  <si>
    <t>V_FCE20X20</t>
  </si>
  <si>
    <t>VISUAL MXF- FCE CONCEALER_200x200</t>
  </si>
  <si>
    <t>V_FFFDT</t>
  </si>
  <si>
    <t>MXF VISUAL FACEFINITY FOUNDATION</t>
  </si>
  <si>
    <t>V_FLAWLES_F26</t>
  </si>
  <si>
    <t>VISUAL MXF_FCEFLAWLESS_100x197</t>
  </si>
  <si>
    <t>V_FLAWLES20X20</t>
  </si>
  <si>
    <t>VISUAL MXF- FCE FLAWLESS_200x200</t>
  </si>
  <si>
    <t>V_FLEMASC_F26</t>
  </si>
  <si>
    <t>VISUAL MXF- FLE MASCARA 199x197</t>
  </si>
  <si>
    <t>V_FLIGERA_F26</t>
  </si>
  <si>
    <t>VISUAL RIM- FORMULALIGERA_199x197?</t>
  </si>
  <si>
    <t>V_FMASCA_MINI</t>
  </si>
  <si>
    <t>MINI_VISUAL_ FLEMASCARA80X200</t>
  </si>
  <si>
    <t>V_GEL_8_MINI</t>
  </si>
  <si>
    <t>MINI_VISUAL_ GEL_80X200</t>
  </si>
  <si>
    <t>V_GLOS_MINI</t>
  </si>
  <si>
    <t>MINI_VISUAL_ GLOSS_80X200</t>
  </si>
  <si>
    <t>V_GLOWFRA39X20</t>
  </si>
  <si>
    <t>VISUAL MXF-GLOW FRAMER_39x200</t>
  </si>
  <si>
    <t>V_K&amp;F_F26</t>
  </si>
  <si>
    <t>VISUAL RIM- K&amp;F_100x197</t>
  </si>
  <si>
    <t>V_K&amp;F20X20_F26</t>
  </si>
  <si>
    <t>VISUAL RIM-K&amp;F_199X197</t>
  </si>
  <si>
    <t>V_LASTI_MINI</t>
  </si>
  <si>
    <t>MINI_VISUAL_ LASTING_MEGA_MATTE_80X200</t>
  </si>
  <si>
    <t>V_LASTINGF_F26</t>
  </si>
  <si>
    <t>VISUAL RIM- LASTINGFINISH_100x197</t>
  </si>
  <si>
    <t>V_LASTINGF20X20</t>
  </si>
  <si>
    <t>VISUAL RIM- LASTINGFINISH_200x200</t>
  </si>
  <si>
    <t>V_LASTPE_MINI</t>
  </si>
  <si>
    <t>MINI_VISUAL_ LASTINGPERFORMANCE_80X200</t>
  </si>
  <si>
    <t>V_LF_35_MINI</t>
  </si>
  <si>
    <t>MINI_VISUAL_ LF_35H_80X200</t>
  </si>
  <si>
    <t>V_LF_EX_MINI</t>
  </si>
  <si>
    <t>MINI_VISUAL_ LF_EXTREME_MATTE_80X200</t>
  </si>
  <si>
    <t>V_LF35H_39X200</t>
  </si>
  <si>
    <t>VISUAL RIM-LASTING FINISH 35H_39x200</t>
  </si>
  <si>
    <t>V_LF35HNEO</t>
  </si>
  <si>
    <t>V_LINER 1</t>
  </si>
  <si>
    <t>VISUAL RIM-LINERS_39x200</t>
  </si>
  <si>
    <t>V_LINER 2</t>
  </si>
  <si>
    <t>VISUAL RIM-LINERS2_39x200</t>
  </si>
  <si>
    <t>V_LIP_L_MINI</t>
  </si>
  <si>
    <t>MINI_VISUAL_ LIP_LATEX_80X200</t>
  </si>
  <si>
    <t>V_LIPENH_MINI</t>
  </si>
  <si>
    <t>MINI_VISUAL_ LIPENHANCER_80X200</t>
  </si>
  <si>
    <t>V_LIPFI_MINI</t>
  </si>
  <si>
    <t>MINI_VISUAL_ LIPFINITY_80X200</t>
  </si>
  <si>
    <t>V_LIPL_MINI</t>
  </si>
  <si>
    <t>MINI_VISUAL_ LIPLINER_80X200</t>
  </si>
  <si>
    <t>V_LIPLIN39X20</t>
  </si>
  <si>
    <t>VISUAL MXF-LIP LINERS_39x200</t>
  </si>
  <si>
    <t>V_LIPLINER_F26</t>
  </si>
  <si>
    <t>VISUAL MXF- COLOR ELIXIR LIPLINER 199x197</t>
  </si>
  <si>
    <t>V_LIPOI_MINI</t>
  </si>
  <si>
    <t>MINI_VISUAL_ LIPOIL_80X200</t>
  </si>
  <si>
    <t>V_LIPOIL_F26</t>
  </si>
  <si>
    <t>VISUAL RIM- LIPOIL 199x197</t>
  </si>
  <si>
    <t>V_LIPSTICK_F26</t>
  </si>
  <si>
    <t>VISUAL MXF- COLOR ELIXIR LIPSTICK 199x197</t>
  </si>
  <si>
    <t>V_LOGORIM_F26</t>
  </si>
  <si>
    <t>VISUAL_LOGO_RIM_400x200</t>
  </si>
  <si>
    <t>V_MAEXP_MINI</t>
  </si>
  <si>
    <t>MINI_VISUAL_ MASTERXPRESS_80X200</t>
  </si>
  <si>
    <t>V_MASC2X1_F26</t>
  </si>
  <si>
    <t>VISUAL MXF - FLE 2-1 MASCARA 199x197</t>
  </si>
  <si>
    <t>V_MASCA_MINI</t>
  </si>
  <si>
    <t>MINI_VISUAL_ MASTERPIECEMASCARA_80X200</t>
  </si>
  <si>
    <t>v_mascara39x20</t>
  </si>
  <si>
    <t>VISUAL MXF-MASCARAS_199x43_5</t>
  </si>
  <si>
    <t>V_MASTERPIECE2-IN-1</t>
  </si>
  <si>
    <t>MXF VISUAL MASCARA MASTERPIECE 2 EN 1</t>
  </si>
  <si>
    <t>V_MATCH_MINI</t>
  </si>
  <si>
    <t>MINI_VISUAL_ MATCH_PERFECTION_80X200</t>
  </si>
  <si>
    <t>V_MATCHP_F26</t>
  </si>
  <si>
    <t>VISUAL RIM- MATCHPERFECTION_100x197</t>
  </si>
  <si>
    <t>V_MATCHP20X20</t>
  </si>
  <si>
    <t>VISUAL RIM- MATCHPERFECTION_200x200</t>
  </si>
  <si>
    <t>V_MATP_39X200</t>
  </si>
  <si>
    <t>VISUAL RIM- MATCH PERFECTION_39x200</t>
  </si>
  <si>
    <t>V_MIBLU_MINI</t>
  </si>
  <si>
    <t>MINI_VISUAL_ MIRACLEPUREBLUSH_80X200</t>
  </si>
  <si>
    <t>V_MICONC_MINI</t>
  </si>
  <si>
    <t>MINI_VISUAL_ MIRACLEPURECONCEALER_80X200</t>
  </si>
  <si>
    <t>V_MICROMAK_F26</t>
  </si>
  <si>
    <t>VISUAL MXF- MASTERPIECE MICROMAKER 200X200</t>
  </si>
  <si>
    <t>V_MIPURE_MINI</t>
  </si>
  <si>
    <t>MINI_VISUAL_ MIRACLEPURE_80X200</t>
  </si>
  <si>
    <t>V_MIRACLUM</t>
  </si>
  <si>
    <t>VISUAL MIRACLE PURE LUMINOUS TOUCH</t>
  </si>
  <si>
    <t>V_MISKIN_MINI</t>
  </si>
  <si>
    <t>MINI_VISUAL_ MIRACLESKIN_80X200</t>
  </si>
  <si>
    <t>V_MULTCONC_F26</t>
  </si>
  <si>
    <t>VISUAL RIM- MULTITASKERCONCEALER_100x197</t>
  </si>
  <si>
    <t>V_MULTIC_MINI</t>
  </si>
  <si>
    <t>MINI_VISUAL_ MULTITASKER_CONCEALER_80X200</t>
  </si>
  <si>
    <t>V_MULTIP_MINI</t>
  </si>
  <si>
    <t>MINI_VISUAL_ MULTIPERFECTOR_80X200</t>
  </si>
  <si>
    <t>V_MXFMETA_F26</t>
  </si>
  <si>
    <t>VISUAL_IMAGEN_MXF_400x200</t>
  </si>
  <si>
    <t>V_NAIL__MINI</t>
  </si>
  <si>
    <t>MINI_VISUAL_ NAIL_TREATMENT_80X200</t>
  </si>
  <si>
    <t>V_NAILF_MINI</t>
  </si>
  <si>
    <t>MINI_VISUAL_ NAILFINITY_80X200</t>
  </si>
  <si>
    <t>V_PERFORM_F26</t>
  </si>
  <si>
    <t>VISUAL MXF_LASTINGPERFORMANCE_100x197</t>
  </si>
  <si>
    <t>V_PERFORM39X20</t>
  </si>
  <si>
    <t>VISUAL MXF-LASTING PERFORMANCE_39x200</t>
  </si>
  <si>
    <t>V_POLVO_MINI</t>
  </si>
  <si>
    <t>MINI_VISUAL_ POLVOS_80X200</t>
  </si>
  <si>
    <t>V_PROVO_MINI</t>
  </si>
  <si>
    <t>MINI_VISUAL_ PROVOCALIPS_80X200</t>
  </si>
  <si>
    <t>V_RBROWN20_F26</t>
  </si>
  <si>
    <t>VISUAL MXF_ REALBROW_199x197</t>
  </si>
  <si>
    <t>V_RIMMETA_F26</t>
  </si>
  <si>
    <t>VISUAL_IMAGEN_RIM_400x200</t>
  </si>
  <si>
    <t>V_SCAND_F26</t>
  </si>
  <si>
    <t>VISUAL RIM- SCANDALEYES_100x197</t>
  </si>
  <si>
    <t>V_SCAND_MINI</t>
  </si>
  <si>
    <t>MINI_VISUAL_ SCANDALEYES_80X200</t>
  </si>
  <si>
    <t>V_SCAND20_F26</t>
  </si>
  <si>
    <t>VISUAL RIM- SCANDALEYES_199x197</t>
  </si>
  <si>
    <t>V_SERUMFUND</t>
  </si>
  <si>
    <t>VISUAL MIRACLE PURE SKIN RESET 2 EN 1SERUM</t>
  </si>
  <si>
    <t>V_SHAD_MINI</t>
  </si>
  <si>
    <t>MINI_VISUAL_ SHADOWSTICK_80X200</t>
  </si>
  <si>
    <t>V_SOMB_MINI</t>
  </si>
  <si>
    <t>MINI_VISUAL_ MASTERPIECESOMBRAS_80X200</t>
  </si>
  <si>
    <t>V_STAYM10X20</t>
  </si>
  <si>
    <t>VISUAL RIM-SATYMATTE_100x97</t>
  </si>
  <si>
    <t>V_STAYM20X20</t>
  </si>
  <si>
    <t>VISUAL RIM-SATYMATTE_200x200</t>
  </si>
  <si>
    <t>V_SUPERGELNEO</t>
  </si>
  <si>
    <t>VISUAL SUPER GEL NEO 30x30</t>
  </si>
  <si>
    <t>V_SUPGEL_10X20</t>
  </si>
  <si>
    <t>VISUAL RIM -SUPERGEL_100x97</t>
  </si>
  <si>
    <t>V_THRILL_F26</t>
  </si>
  <si>
    <t>VISUAL RIM- THRILL_SEEKER_100x197</t>
  </si>
  <si>
    <t>V_THRILL20_F26</t>
  </si>
  <si>
    <t>VISUAL MXF - THRILL_SEEKER_199x197</t>
  </si>
  <si>
    <t>V_THS_8_MINI</t>
  </si>
  <si>
    <t>MINI_VISUAL_ THS_80X200</t>
  </si>
  <si>
    <t>V_THSGL_MINI</t>
  </si>
  <si>
    <t>MINI_VISUAL_ THSGLOSS_80X200</t>
  </si>
  <si>
    <t>V_WONDE_MINI</t>
  </si>
  <si>
    <t>MINI_VISUAL_ WONDER_80X200</t>
  </si>
  <si>
    <t>V_WONDER_F26</t>
  </si>
  <si>
    <t>VISUAL RIM- WONDERBOND_100x197</t>
  </si>
  <si>
    <t>V_WONDER20_F26</t>
  </si>
  <si>
    <t>VISUAL RIM- WONDERBOND_199x197</t>
  </si>
  <si>
    <t>V_WOWL_MINI</t>
  </si>
  <si>
    <t>MINI_VISUAL_ WOWLINER_80X200</t>
  </si>
  <si>
    <t>V_WOWLIN39X20</t>
  </si>
  <si>
    <t>VISUAL MXF-MASTERPIECE WOW_39x200</t>
  </si>
  <si>
    <t>V_WOWLINER_F26</t>
  </si>
  <si>
    <t>VISUAL MXF - MASTEPIECE WOW LINER 199x197</t>
  </si>
  <si>
    <t>VBJPORT1</t>
  </si>
  <si>
    <t>VISUALES BJNEXTGEN120 PORTUGAL</t>
  </si>
  <si>
    <t>VBJPORT2</t>
  </si>
  <si>
    <t>VISUALES BJNEXTGEN2M PORTUGAL</t>
  </si>
  <si>
    <t>XG030725</t>
  </si>
  <si>
    <t>KIT H2FY25</t>
  </si>
  <si>
    <t>RIMP146_F26</t>
  </si>
  <si>
    <t>GEL</t>
  </si>
  <si>
    <t>RIM IF 125</t>
  </si>
  <si>
    <t>LASTING FINISH 35H + MULTITASKER</t>
  </si>
  <si>
    <t>RIMP156_F26</t>
  </si>
  <si>
    <t>NAIL TREATMENT</t>
  </si>
  <si>
    <t>RIMP160_F26</t>
  </si>
  <si>
    <t>LF COMPACT</t>
  </si>
  <si>
    <t>MXFP155_F26</t>
  </si>
  <si>
    <t>FACEFINITY BLUSH</t>
  </si>
  <si>
    <t>ACT GONDOLA NOV SHINE</t>
  </si>
  <si>
    <t>RIM127_F26</t>
  </si>
  <si>
    <t>BANDEJA MULTITASKER PUSH PARA MUEBLE NEO</t>
  </si>
  <si>
    <t>RIM128_F26</t>
  </si>
  <si>
    <t>BANDEJA LIP LATEX+LIPOIL PARA MUEBLE NEO</t>
  </si>
  <si>
    <t>RIM130_F26</t>
  </si>
  <si>
    <t>BANDEJA MASCARAS THS+K&amp;F+SERUM PARA MUEBLE NEO</t>
  </si>
  <si>
    <t>MXF152_F26</t>
  </si>
  <si>
    <t>BANDEJA COLOUR EXILIR PARA MUEBLE NEO</t>
  </si>
  <si>
    <t>HOTSPOT GONDOLA 2M FY25_EVCASH</t>
  </si>
  <si>
    <t>HOTSPOT GONDOLA 2M FY25_SHINE</t>
  </si>
  <si>
    <t>ACT GONDOLA NOV JUICY LIPGLOSS</t>
  </si>
  <si>
    <t>ACT GONDOLA NOV BLUSHER</t>
  </si>
  <si>
    <t>VARIAS</t>
  </si>
  <si>
    <t>REVMATERIAL</t>
  </si>
  <si>
    <t>MATERIAL PARA REVISAR</t>
  </si>
  <si>
    <t>MXF_BASEH4120</t>
  </si>
  <si>
    <t>NC WU BLUSH FAMILY 3SKU-VISUAL</t>
  </si>
  <si>
    <t>NC WU LOOSE POWDER 3SKU-VISUAL</t>
  </si>
  <si>
    <t>NC WU LWLP STICK-WATER LIP STAIN-VISUAL</t>
  </si>
  <si>
    <t>NC WU SMOOTH SKIN FOUN.-HD FOUN.-VISUAL</t>
  </si>
  <si>
    <t>NC WU CC CREAM-ALL DAY SPRAY</t>
  </si>
  <si>
    <t>NC WU STAY PERFECT CONCEALER 5F</t>
  </si>
  <si>
    <t>NC WU PERFECT COVERAGE&amp;STAY PERFECT&amp;LIP&amp;CHEEK</t>
  </si>
  <si>
    <t>MXFKIT_ATILA98</t>
  </si>
  <si>
    <t>MXF KIT H1FY24 ATILA 98</t>
  </si>
  <si>
    <t>XG150725.1</t>
  </si>
  <si>
    <t>KITS H2FY25 RIMMEL Y MAX FACTOR</t>
  </si>
  <si>
    <t>WW TEST2024</t>
  </si>
  <si>
    <t>PGT410150001</t>
  </si>
  <si>
    <t>COLOUR ELIXIR LIPSTICK AND PENCILS 6F</t>
  </si>
  <si>
    <t>PGT410360001</t>
  </si>
  <si>
    <t>COLOUR X-PERT SOFT TOUCH PALETTE 2F</t>
  </si>
  <si>
    <t>PGT410361001</t>
  </si>
  <si>
    <t>DIVINE LASHES MASCARA 2F</t>
  </si>
  <si>
    <t>PGT410442001</t>
  </si>
  <si>
    <t>LASTING PERFORMANCE RESTAGE (2020) 2F</t>
  </si>
  <si>
    <t>PGT410540001</t>
  </si>
  <si>
    <t>MIRACLE PURE FOUNDATION (TESTER ROOF) 3F</t>
  </si>
  <si>
    <t>PGT410541001</t>
  </si>
  <si>
    <t>MIRACLE PURE SERUM - TESTING (CLEAR) 2F</t>
  </si>
  <si>
    <t>PGT410542001</t>
  </si>
  <si>
    <t>MIRACLE PURE FOUNDATION (CLEAR) 2F</t>
  </si>
  <si>
    <t>PGT410197001.1</t>
  </si>
  <si>
    <t>ALL DAY FLAWLESS 3F</t>
  </si>
  <si>
    <t>PGT410197001.2</t>
  </si>
  <si>
    <t>RESTAGE LASTING PERFORMANCE 3F</t>
  </si>
  <si>
    <t>RL2110120001</t>
  </si>
  <si>
    <t>3F NAILS 2 TIER 6F</t>
  </si>
  <si>
    <t>PGT410406001</t>
  </si>
  <si>
    <t>FACEFINITY ALL DAY CONCEALER 3F</t>
  </si>
  <si>
    <t>PGT410406004</t>
  </si>
  <si>
    <t>MIRACLE PURE CONCEALER (CLEAR) 3F</t>
  </si>
  <si>
    <t>PGT410515001.1</t>
  </si>
  <si>
    <t>2000 CALORIE LIP GLAZE 3F</t>
  </si>
  <si>
    <t>PGT410515001.2</t>
  </si>
  <si>
    <t>FACEFINITY MULTI PERFECTOR CONCEALER 3F</t>
  </si>
  <si>
    <t>PGT410539003</t>
  </si>
  <si>
    <t>MASTERPIECE MONO EYESHADOW 3F</t>
  </si>
  <si>
    <t>PGT410885002</t>
  </si>
  <si>
    <t>FACEFINITY COMPACT REFILL 4F</t>
  </si>
  <si>
    <t>PGT410138001</t>
  </si>
  <si>
    <t>LIPFINITY VELVET MATTE 3F</t>
  </si>
  <si>
    <t>PGT410152001</t>
  </si>
  <si>
    <t>LIPFINITY 2F</t>
  </si>
  <si>
    <t>PGT410405004</t>
  </si>
  <si>
    <t>MIRACLE PURE CONCEALER (CLEAR) 2F</t>
  </si>
  <si>
    <t>PGT410128001.1</t>
  </si>
  <si>
    <t>FALSE LASH EFFECT MASCARA 3F</t>
  </si>
  <si>
    <t>PGT410128001.2</t>
  </si>
  <si>
    <t>LASH REVIVAL 3F</t>
  </si>
  <si>
    <t>PGT410153001</t>
  </si>
  <si>
    <t>LIPFINITY 3F</t>
  </si>
  <si>
    <t>PGT410381001</t>
  </si>
  <si>
    <t>LASTING PERFORMANCE SETTING SPRAY 1F</t>
  </si>
  <si>
    <t>PGT410399001</t>
  </si>
  <si>
    <t>MIRACLE VEIL 1F</t>
  </si>
  <si>
    <t>PGT410927001</t>
  </si>
  <si>
    <t>NAIL MODULE (NAILFINITY)</t>
  </si>
  <si>
    <t>PGT410607002.1</t>
  </si>
  <si>
    <t>MIRACLE PURE BLUSH (CLEAR) 2F</t>
  </si>
  <si>
    <t>PGT410607002.2</t>
  </si>
  <si>
    <t>MIRACLE PURE GOLDEN GLOW BRONZER 2F</t>
  </si>
  <si>
    <t>PGT410610002</t>
  </si>
  <si>
    <t>MIRACLE PURE EYE ENHANCER 3F</t>
  </si>
  <si>
    <t>COTY0092</t>
  </si>
  <si>
    <t>FOOD_PORTA ETIQUETA 65X40 MM</t>
  </si>
  <si>
    <t>MXF 114</t>
  </si>
  <si>
    <t>MXF_BANDEJA_114 MIRACLE TOUCH FOUNDATION FOOD</t>
  </si>
  <si>
    <t>MXF 125</t>
  </si>
  <si>
    <t>MXF_BANDEJA_125 SECOND SKIN+SETTING SPRAY FOOD</t>
  </si>
  <si>
    <t>MXF 139</t>
  </si>
  <si>
    <t>MXF_BANDEJA_139 SERUM FOOD</t>
  </si>
  <si>
    <t>MXF 134</t>
  </si>
  <si>
    <t>MXF_BANDEJA_134 MASTERPIECE SHADOW FOOD</t>
  </si>
  <si>
    <t>PREXMXF</t>
  </si>
  <si>
    <t>PREX MAX FACTOR</t>
  </si>
  <si>
    <t>PREXRIM</t>
  </si>
  <si>
    <t>PREX RIMMEL</t>
  </si>
  <si>
    <t>RIM 120</t>
  </si>
  <si>
    <t>RIM_BANDEJA_120 Lasting Mega Matte</t>
  </si>
  <si>
    <t>MXF178_NEO</t>
  </si>
  <si>
    <t>BANDEJA PARA NEO SIN VISUAL</t>
  </si>
  <si>
    <t>RIM159_NEO</t>
  </si>
  <si>
    <t>RIM160_NEO</t>
  </si>
  <si>
    <t>TIRAS_2025_PO</t>
  </si>
  <si>
    <t>tiras graficas 2025 portugues</t>
  </si>
  <si>
    <t>RIM 119</t>
  </si>
  <si>
    <t>RIM_BANDEJA_119 Lasting Finish 35h NEO</t>
  </si>
  <si>
    <t>TIRAS_08_2025</t>
  </si>
  <si>
    <t>TIRAS GRAFICAS AGOSTO 2025</t>
  </si>
  <si>
    <t>RIM 118</t>
  </si>
  <si>
    <t>RIM_BANDEJA_118 MASCARAS</t>
  </si>
  <si>
    <t>XG150725.2</t>
  </si>
  <si>
    <t>KITS H1FY25 RIMMEL Y MAX FACTOR</t>
  </si>
  <si>
    <t>CONVKIT 24</t>
  </si>
  <si>
    <t>KITS CONVERSION WET FY24</t>
  </si>
  <si>
    <t>NC WU PNCL SINGLE</t>
  </si>
  <si>
    <t>NC WU KISS ME MORE LIP TATTOO 10 SKU</t>
  </si>
  <si>
    <t>NC WU LIGHTW. LIP POWDER-SUPERMATTE</t>
  </si>
  <si>
    <t>NC WU EYESHADOW PALETTE 3SKU-PENCIL</t>
  </si>
  <si>
    <t>NC WU SILK MATTE 12F-VISUAL</t>
  </si>
  <si>
    <t>NC WU SUPERMATTE 6F-LIP PENCILS 4F</t>
  </si>
  <si>
    <t>NC WU EQUIPMENT FOR MODULE TESTER SHORT</t>
  </si>
  <si>
    <t>NC WU EQUIPMENT FOR MODULE TESTER LONG</t>
  </si>
  <si>
    <t>NEO_CAJA1</t>
  </si>
  <si>
    <t>NEO_CAJA1_PRODUCTO</t>
  </si>
  <si>
    <t>NEO_CAJAS</t>
  </si>
  <si>
    <t xml:space="preserve">SOBRANTE </t>
  </si>
  <si>
    <t>29185261000_MARU</t>
  </si>
  <si>
    <t>99350124542_MARU</t>
  </si>
  <si>
    <t>29175008000_MARU</t>
  </si>
  <si>
    <t>BACKTOBACK</t>
  </si>
  <si>
    <t>BACK TO BACK ESSENCE</t>
  </si>
  <si>
    <t>CABUÑASCRF4</t>
  </si>
  <si>
    <t>CABECERAS DE UÑAS PARA X 4 UNIDADES</t>
  </si>
  <si>
    <t>MXF_TESTERATI56</t>
  </si>
  <si>
    <t>NEO_CAJA 16</t>
  </si>
  <si>
    <t>LACAS DE UÑAS</t>
  </si>
  <si>
    <t>XG3006.2</t>
  </si>
  <si>
    <t>KITS MIBAR 2M H1FY25</t>
  </si>
  <si>
    <t>TESTERGPVMXF_26</t>
  </si>
  <si>
    <t>TESTER GPV MAX FACTOR 26</t>
  </si>
  <si>
    <t>TESTERGPVRIM_26</t>
  </si>
  <si>
    <t>TESTER GPV RIMMEL 26</t>
  </si>
  <si>
    <t>I-00028-01</t>
  </si>
  <si>
    <t>Foundation regular 1F</t>
  </si>
  <si>
    <t>I-00033-01</t>
  </si>
  <si>
    <t>RIM_BANDEJA_ LASTING PROVOCALIPS 3F</t>
  </si>
  <si>
    <t>I-00035-01</t>
  </si>
  <si>
    <t>lipstick HideTheBlemish 3F</t>
  </si>
  <si>
    <t>I-00035-03</t>
  </si>
  <si>
    <t>lipstick LastingExtremeMatte 3F</t>
  </si>
  <si>
    <t>I-00036-03</t>
  </si>
  <si>
    <t>lipstick LastingFinishSatin 4F</t>
  </si>
  <si>
    <t>I-00126-04</t>
  </si>
  <si>
    <t>Magnif'eyes E/S 1F</t>
  </si>
  <si>
    <t>NEO_CABLE</t>
  </si>
  <si>
    <t>CABLE CON ADAPTADOR</t>
  </si>
  <si>
    <t>TESTERBJPORT</t>
  </si>
  <si>
    <t>TESTER BOURJOIS PORTUGAL</t>
  </si>
  <si>
    <t>TIRAS_04_2026</t>
  </si>
  <si>
    <t>TIRAS GRAFICAS ABRIL 2026</t>
  </si>
  <si>
    <t>TIRAS_04_2026_2</t>
  </si>
  <si>
    <t>TIRAS GRAFICAS ABRIL 2026 2º ENVIO</t>
  </si>
  <si>
    <t>TIRAS_GOND_NOV25</t>
  </si>
  <si>
    <t>ACT GONDOLA NOV</t>
  </si>
  <si>
    <t>TIRAS_WALL_NOV25</t>
  </si>
  <si>
    <t>ACT WALL UNIT NOV</t>
  </si>
  <si>
    <t>WALL_TIRAS_26</t>
  </si>
  <si>
    <t>TIRAS WALL UNIT JUNIO 26</t>
  </si>
  <si>
    <t>I-00038-01</t>
  </si>
  <si>
    <t>I-00681-02</t>
  </si>
  <si>
    <t>Foundation K&amp;F 1F</t>
  </si>
  <si>
    <t>I-03065-01</t>
  </si>
  <si>
    <t>Concealer/multi tasker 3F</t>
  </si>
  <si>
    <t>I-00027-01</t>
  </si>
  <si>
    <t>Foundation regular 4F</t>
  </si>
  <si>
    <t>I-00033-12</t>
  </si>
  <si>
    <t>LipBalm K&amp;F 3F</t>
  </si>
  <si>
    <t>I-00682-02</t>
  </si>
  <si>
    <t>Foundation K&amp;F 2F</t>
  </si>
  <si>
    <t>COTY0186_S</t>
  </si>
  <si>
    <t>TESTERS SUELTOS ATILAFY24 (FOOD)</t>
  </si>
  <si>
    <t>TESTERS_EDMLEMON</t>
  </si>
  <si>
    <t>Testers_FragEDMLemon</t>
  </si>
  <si>
    <t>TESTERS_EDMROSE</t>
  </si>
  <si>
    <t>Testers_FragEDMRose</t>
  </si>
  <si>
    <t>TESTERS_EDMVANILLA</t>
  </si>
  <si>
    <t>Testers_FragEDMVanilla</t>
  </si>
  <si>
    <t>X9999011290</t>
  </si>
  <si>
    <t>ACT 03-26</t>
  </si>
  <si>
    <t>MXF_B2</t>
  </si>
  <si>
    <t>MXF_B3</t>
  </si>
  <si>
    <t>MXF_BANDEJA 3_H3 150CM H2FY22</t>
  </si>
  <si>
    <t>MXF_B4</t>
  </si>
  <si>
    <t>MXF_BANDEJA 4_H3 150CM H2FY22</t>
  </si>
  <si>
    <t>MXF_B6</t>
  </si>
  <si>
    <t>MXF_BANDEJA 2_H4 120CM H2FY22</t>
  </si>
  <si>
    <t>MXF_B7</t>
  </si>
  <si>
    <t>MXF_BANDEJA 3_H4 120CM H2FY22</t>
  </si>
  <si>
    <t>MXF_B8</t>
  </si>
  <si>
    <t>MXF_BANDEJA 4_H4 120CM H2FY22</t>
  </si>
  <si>
    <t>RMM0040</t>
  </si>
  <si>
    <t>RIM_KIT ACT_RIM 1.2M AHORRAMAS FOOD</t>
  </si>
  <si>
    <t>REVRIMTESTER_26</t>
  </si>
  <si>
    <t>TESTER RIMMEL 2026 REV</t>
  </si>
  <si>
    <t>MXF 120</t>
  </si>
  <si>
    <t>MXF_BANDEJA_120 CREMEPUFF+BRONZER+HIGHLIGHTER FOOD</t>
  </si>
  <si>
    <t>COTY0142</t>
  </si>
  <si>
    <t>MXF_TESTERS_NEO 90 (FOOD)</t>
  </si>
  <si>
    <t>RIM-02-ADA</t>
  </si>
  <si>
    <t>RIM_BANDEJA_NAILS 60 SEG FOOD</t>
  </si>
  <si>
    <t>NEO_MAYO25_1</t>
  </si>
  <si>
    <t>PRODUCTO BOX 1</t>
  </si>
  <si>
    <t>NextGenBase120</t>
  </si>
  <si>
    <t>TESTER120AHOR</t>
  </si>
  <si>
    <t>KITS TESTER PARA AHORRAMAS</t>
  </si>
  <si>
    <t>BJS_NewGenBase120</t>
  </si>
  <si>
    <t>RIMM_BASEMIBAR120WAL</t>
  </si>
  <si>
    <t>rimm base mibar120 h2 fy24 willson</t>
  </si>
  <si>
    <t>RIMM_BASEMIBAR120</t>
  </si>
  <si>
    <t>RIM BASE MIBAR 1.2M H1 FY24 W&amp;B</t>
  </si>
  <si>
    <t>CRFALAME120</t>
  </si>
  <si>
    <t>PALET ARMADO PARA CRF ALAMEDA MALAGA_MUEBLE 120</t>
  </si>
  <si>
    <t>EQP00159492</t>
  </si>
  <si>
    <t>BARRAS METALICAS CRF PUSH 90CM H1FY26</t>
  </si>
  <si>
    <t>EQP00159493</t>
  </si>
  <si>
    <t>BARRAS METALICAS CRF PUSH 110CM H1FY26</t>
  </si>
  <si>
    <t>EQP00159497</t>
  </si>
  <si>
    <t>BARRAS METALICAS CRF PUSH 120CM H1FY26</t>
  </si>
  <si>
    <t>EQP00159498</t>
  </si>
  <si>
    <t>BARRAS METALICAS CRF PUSH 130CM H1FY26</t>
  </si>
  <si>
    <t>EQP00159500</t>
  </si>
  <si>
    <t>BARRAS METALICAS CRF PUSH 180CM H1FY26</t>
  </si>
  <si>
    <t>GOND_KIT_JUN26X</t>
  </si>
  <si>
    <t>KIT ACT. GOND INCOMPLETO</t>
  </si>
  <si>
    <t>kit_pushRIM150</t>
  </si>
  <si>
    <t>MXFP154_FY26</t>
  </si>
  <si>
    <t>COLOUR ELIXIR</t>
  </si>
  <si>
    <t>MXFP156_FY26</t>
  </si>
  <si>
    <t>FACEFINITY CONCELEAR</t>
  </si>
  <si>
    <t>MXFP157_F26</t>
  </si>
  <si>
    <t>MXFP159_FY26</t>
  </si>
  <si>
    <t>LIPFINITY</t>
  </si>
  <si>
    <t>MXFP160_FY26</t>
  </si>
  <si>
    <t>MASCARA 4+2</t>
  </si>
  <si>
    <t>MXFP161_FY26</t>
  </si>
  <si>
    <t>MASCARA 5</t>
  </si>
  <si>
    <t>FOOD</t>
  </si>
  <si>
    <t>MXFP162_F26</t>
  </si>
  <si>
    <t>MASTERPIECE SOMBRAS</t>
  </si>
  <si>
    <t>MXFP163_F26</t>
  </si>
  <si>
    <t>MASTERPIECE XPRESS</t>
  </si>
  <si>
    <t>MXFP164_F26</t>
  </si>
  <si>
    <t>MP CONCEALER</t>
  </si>
  <si>
    <t>MXFP165_F26</t>
  </si>
  <si>
    <t>MULTIPERFECTOR</t>
  </si>
  <si>
    <t>MXFP166_F26</t>
  </si>
  <si>
    <t>NAILFINITY</t>
  </si>
  <si>
    <t>MXFP167_F26</t>
  </si>
  <si>
    <t>PORTAVISUAL 20X20 ACT H1FY26</t>
  </si>
  <si>
    <t>MXFP168_F26</t>
  </si>
  <si>
    <t>FACEFINITY FDT</t>
  </si>
  <si>
    <t>MXFP170_FY26</t>
  </si>
  <si>
    <t>MP BLUSH</t>
  </si>
  <si>
    <t>MXFP171_FY26</t>
  </si>
  <si>
    <t>MP FDT</t>
  </si>
  <si>
    <t>MXFP172_F26</t>
  </si>
  <si>
    <t>MP SERUM FDT</t>
  </si>
  <si>
    <t>MXFP173_F26</t>
  </si>
  <si>
    <t>FF COMPACT</t>
  </si>
  <si>
    <t>MXFP174_F26</t>
  </si>
  <si>
    <t>FACEFINITY FDT  + VISUAL</t>
  </si>
  <si>
    <t>MXFP175_F26</t>
  </si>
  <si>
    <t>LASTING PERFORMANCE + VISUAL</t>
  </si>
  <si>
    <t>MXFP177_F26</t>
  </si>
  <si>
    <t>LIP ENHANCER</t>
  </si>
  <si>
    <t>MXFP178_F26</t>
  </si>
  <si>
    <t>MP BRONZER</t>
  </si>
  <si>
    <t>MXPF151CE_FY26</t>
  </si>
  <si>
    <t>VISUAL DE CEJAS</t>
  </si>
  <si>
    <t>MXPF151EY_FY26</t>
  </si>
  <si>
    <t>VISUAL DE EYLINERS</t>
  </si>
  <si>
    <t>MXPF169_FY26</t>
  </si>
  <si>
    <t>LASTING PERFORMANCE</t>
  </si>
  <si>
    <t>NextGenBase_26</t>
  </si>
  <si>
    <t>NEXT GEN BASE 120 H2FY26</t>
  </si>
  <si>
    <t>PORTA VISUAL 1</t>
  </si>
  <si>
    <t>PUSH_PORTAVISUAL_LAST MEGA MAT LIQ LIP</t>
  </si>
  <si>
    <t>PORTA VISUAL 2</t>
  </si>
  <si>
    <t>PUSH_PORTAVISUAL_SUPER GEL</t>
  </si>
  <si>
    <t>PORTA VISUAL 3</t>
  </si>
  <si>
    <t>PUSH_PORTAVISUAL_60 SECONDS SUPER SHINE</t>
  </si>
  <si>
    <t>PORTA VISUAL 4</t>
  </si>
  <si>
    <t>PUSH_PORTAVISUAL_LASTING FINISH MATTE</t>
  </si>
  <si>
    <t>PORTA VISUAL 5</t>
  </si>
  <si>
    <t>PUSH_PORTAVISUAL_LASTING FINISH PROVOCALIPS</t>
  </si>
  <si>
    <t>RIM P 127 V1</t>
  </si>
  <si>
    <t>PUSH_ ANCILIARIES_ LINERS</t>
  </si>
  <si>
    <t>RIM P 127 V2</t>
  </si>
  <si>
    <t>PUSH_ ANCILIARIES_CEJAS Y LIPS</t>
  </si>
  <si>
    <t>RIM P 128</t>
  </si>
  <si>
    <t>PUSH_ MULTITASKER</t>
  </si>
  <si>
    <t>RIM P 129</t>
  </si>
  <si>
    <t>PUSH_ HOT SPOT</t>
  </si>
  <si>
    <t>RIM P 132</t>
  </si>
  <si>
    <t>PUSH_ MEGA MATTE</t>
  </si>
  <si>
    <t>RIM P 133</t>
  </si>
  <si>
    <t>PUSH_ LASTING FINISH 35H_CON VISUAL</t>
  </si>
  <si>
    <t>RIM P 134</t>
  </si>
  <si>
    <t>PUSH_ LASTING FINISH 35H_SIN VISUAL</t>
  </si>
  <si>
    <t>RIM P 135</t>
  </si>
  <si>
    <t>PUSH_ LF EXTREME MATTE</t>
  </si>
  <si>
    <t>RIM P 136</t>
  </si>
  <si>
    <t>PUSH_ MASCARAS WONDER + THRILL SEEKER</t>
  </si>
  <si>
    <t>RIM P 137</t>
  </si>
  <si>
    <t>PUSH_ MASCARAS SCANDALEYES</t>
  </si>
  <si>
    <t>RIM P 138</t>
  </si>
  <si>
    <t>PUSH_ MATCH PERFECTION_CON VISUAL</t>
  </si>
  <si>
    <t>RIM P 139</t>
  </si>
  <si>
    <t>PUSH_ MATCH PERFECTION_SIN VISUAL</t>
  </si>
  <si>
    <t>RIM P 140</t>
  </si>
  <si>
    <t>PUSH_ BLUSH + HIGHLIGHTER</t>
  </si>
  <si>
    <t>RIM P 141</t>
  </si>
  <si>
    <t>PUSH_ PROVOCALIPS</t>
  </si>
  <si>
    <t>RIM P 142</t>
  </si>
  <si>
    <t>PUSH_ SOMBRAS LIQUIDAS</t>
  </si>
  <si>
    <t>RIM P 143</t>
  </si>
  <si>
    <t>PUSH_ PALETA DE SOMBRAS</t>
  </si>
  <si>
    <t>RIM P 144</t>
  </si>
  <si>
    <t>PUSH_STAY MATTE_ BRONZER</t>
  </si>
  <si>
    <t>RIM P 145 V1</t>
  </si>
  <si>
    <t>PUSH_ 60 SECONDS</t>
  </si>
  <si>
    <t>RIM P 145 V2</t>
  </si>
  <si>
    <t>RIM P 146 V1</t>
  </si>
  <si>
    <t>PUSH_ SUPER GEL_ COLOR</t>
  </si>
  <si>
    <t>RIM P 146 V2</t>
  </si>
  <si>
    <t>PUSH_ SUPER GEL_ COLOR + TOP COAT</t>
  </si>
  <si>
    <t>RIM P 147 V1</t>
  </si>
  <si>
    <t>PUSH_PORTA VISUAL_WONDER</t>
  </si>
  <si>
    <t>RIM P 147 V2</t>
  </si>
  <si>
    <t>PUSH_PORTA VISUAL_SCANDALEYES</t>
  </si>
  <si>
    <t>RIM P 147 V3</t>
  </si>
  <si>
    <t>PUSH_PORTA VISUAL_MULTITASKER</t>
  </si>
  <si>
    <t>RIM P 148</t>
  </si>
  <si>
    <t>PUSH_ THS GLOSS</t>
  </si>
  <si>
    <t>RIM P 149</t>
  </si>
  <si>
    <t>PUSH_ BETTER THAN FILTERS</t>
  </si>
  <si>
    <t>RIM_141124</t>
  </si>
  <si>
    <t>KITS RIMMEL IBAR 120CM H1FY25</t>
  </si>
  <si>
    <t>RIM_141124.1</t>
  </si>
  <si>
    <t>KITS RIMMEL IBAR 120CM ANT H1FY25</t>
  </si>
  <si>
    <t>RIM_141124.2</t>
  </si>
  <si>
    <t>KIT RIMMEL MASCARA BAR H2FY24</t>
  </si>
  <si>
    <t>RIMP128_F26</t>
  </si>
  <si>
    <t>MULTITASKER</t>
  </si>
  <si>
    <t>RIMP132_F26</t>
  </si>
  <si>
    <t>LASTING MEGA MATE</t>
  </si>
  <si>
    <t>RIMP133_F26</t>
  </si>
  <si>
    <t>LF 35H(4F + VISUAL)</t>
  </si>
  <si>
    <t>RIMP134_F26</t>
  </si>
  <si>
    <t>LF 35H (5F)</t>
  </si>
  <si>
    <t>RIMP135_F26</t>
  </si>
  <si>
    <t>LF EXTREME MATTE</t>
  </si>
  <si>
    <t>RIMP136_F26</t>
  </si>
  <si>
    <t>SCANDALEYES(6F)</t>
  </si>
  <si>
    <t>RIMP136W_F26</t>
  </si>
  <si>
    <t>WONDER</t>
  </si>
  <si>
    <t>RIMP140_F26</t>
  </si>
  <si>
    <t>BLUSH+ HIGHLIGHTER</t>
  </si>
  <si>
    <t>RIMP141_F26</t>
  </si>
  <si>
    <t>PROVOCALIPS</t>
  </si>
  <si>
    <t>RIMP142_F26</t>
  </si>
  <si>
    <t>CEJAS</t>
  </si>
  <si>
    <t>RIMP144_F26</t>
  </si>
  <si>
    <t>STAY MATTE + BRONZER</t>
  </si>
  <si>
    <t>RIMP147_F26</t>
  </si>
  <si>
    <t>VISUAL 20X20</t>
  </si>
  <si>
    <t>RIMP148_F26</t>
  </si>
  <si>
    <t>THS GLOSS</t>
  </si>
  <si>
    <t>RIMP152_F26</t>
  </si>
  <si>
    <t>THS+K&amp;F(5F)</t>
  </si>
  <si>
    <t>RIMP153_F26</t>
  </si>
  <si>
    <t>EYELINERS+SOMBRAS WONDER</t>
  </si>
  <si>
    <t>RIMP154_F26</t>
  </si>
  <si>
    <t>LIP OIL</t>
  </si>
  <si>
    <t>RIMP155_F26</t>
  </si>
  <si>
    <t>LIP LATEX</t>
  </si>
  <si>
    <t>RIMP157_F26</t>
  </si>
  <si>
    <t>MULTI STICK BRONZER</t>
  </si>
  <si>
    <t>RIMP158_F26</t>
  </si>
  <si>
    <t>MULTITASKER SE</t>
  </si>
  <si>
    <t>RIMP173_F26</t>
  </si>
  <si>
    <t>RIMP177_F26</t>
  </si>
  <si>
    <t>LIP ENHACER</t>
  </si>
  <si>
    <t>KITS 120AHOR</t>
  </si>
  <si>
    <t>KITS PUSH 120CM PARA AHORRAMAS</t>
  </si>
  <si>
    <t>INSERTS 9-25</t>
  </si>
  <si>
    <t>ACT 09-25</t>
  </si>
  <si>
    <t>VAGUADA</t>
  </si>
  <si>
    <t>VALL.G.03.28.01</t>
  </si>
  <si>
    <t>FLORMAR_MUEBLE_WALL UNIT 1 M</t>
  </si>
  <si>
    <t>COTY0019</t>
  </si>
  <si>
    <t>VALL.G.05.51.03</t>
  </si>
  <si>
    <t>PDTE_MUEBLE_ATILA UNA CARA MIXTO 0.58 SIN LUZ</t>
  </si>
  <si>
    <t>VALL.G.05.55.03</t>
  </si>
  <si>
    <t>VALL.G.05.50.03</t>
  </si>
  <si>
    <t>COTY0031</t>
  </si>
  <si>
    <t>VALL.G.05.47.01</t>
  </si>
  <si>
    <t>MXF_MUEBLE_ATILA 058 SIN LUZ</t>
  </si>
  <si>
    <t>DEV16</t>
  </si>
  <si>
    <t>RIM_MUEBLE_MIBAR 1.2M DEV</t>
  </si>
  <si>
    <t>VALL.G.02.10.01</t>
  </si>
  <si>
    <t>VALL.G.02.12.01</t>
  </si>
  <si>
    <t>FLOR003</t>
  </si>
  <si>
    <t>VALL.G.03.36.01</t>
  </si>
  <si>
    <t>FLORMAR_MUEBLE_MAKEUPSTATION</t>
  </si>
  <si>
    <t>MXF_ATILA98</t>
  </si>
  <si>
    <t>VALL.G.03.32.03</t>
  </si>
  <si>
    <t>MXF_MUEBLE_ATILA MXF negro con luz 98 FY23</t>
  </si>
  <si>
    <t>VALL.G.03.34.02</t>
  </si>
  <si>
    <t>VALL.G.03.34.03</t>
  </si>
  <si>
    <t>VALL.G.03.33.02</t>
  </si>
  <si>
    <t>VALL.G.03.33.03</t>
  </si>
  <si>
    <t>VALL.G.03.31.03</t>
  </si>
  <si>
    <t>MXF0028</t>
  </si>
  <si>
    <t>VALL.G.02.28.01</t>
  </si>
  <si>
    <t>MXF_MUEBLE_ATILA MAX FACTOR 058 CON LUZ FOOD</t>
  </si>
  <si>
    <t>VALL.G.05.26.01</t>
  </si>
  <si>
    <t>VALL.G.04.50.01</t>
  </si>
  <si>
    <t>VALL.G.04.48.01</t>
  </si>
  <si>
    <t>MXF0044</t>
  </si>
  <si>
    <t>VALL.G.01.32.01</t>
  </si>
  <si>
    <t>MXF_MUEBLE_ATILA MAX FACTOR 098 CON LUZ FOOD</t>
  </si>
  <si>
    <t>VALL.G.04.01.01</t>
  </si>
  <si>
    <t>VALL.G.02.05.01</t>
  </si>
  <si>
    <t>VALL.G.01.29.01</t>
  </si>
  <si>
    <t>VALL.G.01.30.01</t>
  </si>
  <si>
    <t>VALL.G.01.31.01</t>
  </si>
  <si>
    <t>MXF0065</t>
  </si>
  <si>
    <t>VALL.G.03.38.02</t>
  </si>
  <si>
    <t>MXF_MUEBLE_ATILA MAX FACTOR 120 CON LUZ FOOD</t>
  </si>
  <si>
    <t>VALL.G.03.45.03</t>
  </si>
  <si>
    <t>VALL.G.03.41.03</t>
  </si>
  <si>
    <t>VALL.G.03.43.02</t>
  </si>
  <si>
    <t>VALL.G.03.38.03</t>
  </si>
  <si>
    <t>VALL.G.03.37.03</t>
  </si>
  <si>
    <t>VALL.G.03.40.03</t>
  </si>
  <si>
    <t>VALL.G.03.46.03</t>
  </si>
  <si>
    <t>VALL.G.03.47.03</t>
  </si>
  <si>
    <t>VALL.G.03.39.03</t>
  </si>
  <si>
    <t>VALL.G.03.44.02</t>
  </si>
  <si>
    <t>VALL.G.03.39.02</t>
  </si>
  <si>
    <t>VALL.G.03.37.02</t>
  </si>
  <si>
    <t>VALL.G.03.41.02</t>
  </si>
  <si>
    <t>VALL.G.03.42.03</t>
  </si>
  <si>
    <t>VALL.G.03.40.02</t>
  </si>
  <si>
    <t>VALL.G.03.44.03</t>
  </si>
  <si>
    <t>MXF0095</t>
  </si>
  <si>
    <t>VALL.G.05.37.02</t>
  </si>
  <si>
    <t>MAXFACTOR_MUEBLE_ATILA SIN LUZ 560 (PRIMACAT)</t>
  </si>
  <si>
    <t>VALL.G.05.38.02</t>
  </si>
  <si>
    <t>VALL.G.05.39.02</t>
  </si>
  <si>
    <t>VALL.G.05.37.01</t>
  </si>
  <si>
    <t>RMM0043</t>
  </si>
  <si>
    <t>RIM_MUEBLE_ATILA RIMMEL 098 CON LUZ FOOD</t>
  </si>
  <si>
    <t>MFE560001001</t>
  </si>
  <si>
    <t>VALL.G.02.31.01</t>
  </si>
  <si>
    <t>MXF MUEBLE GONDOLA 2M DIAM H2 FY23</t>
  </si>
  <si>
    <t>FLORMAR_MUEBLE_WALL UNIT 1M (4 CAJAS TESTERS)</t>
  </si>
  <si>
    <t>GONDOLA 2M</t>
  </si>
  <si>
    <t>090125HP</t>
  </si>
  <si>
    <t>VALL.G.05.25.01</t>
  </si>
  <si>
    <t>SH_SPINNER HIPERCOR</t>
  </si>
  <si>
    <t>VALL.G.05.39.01</t>
  </si>
  <si>
    <t>MUEBLE NEXT GEN 1.2M DEV H2FY25</t>
  </si>
  <si>
    <t>GONDOLA 2M DEV</t>
  </si>
  <si>
    <t>VALL.G.03.20.01</t>
  </si>
  <si>
    <t>SH Spinner móvil 2HFY24 PIEZAS</t>
  </si>
  <si>
    <t>VALL.G.02.02.01</t>
  </si>
  <si>
    <t>VALL.G.04.13.01</t>
  </si>
  <si>
    <t>MIBAR 2M OFICINAS COTY DEV</t>
  </si>
  <si>
    <t>GONDOLA 2M OFINICAS COTY DEV</t>
  </si>
  <si>
    <t>MUEBLE NEXT GEN 120CM H1 FY25 DEV</t>
  </si>
  <si>
    <t>VALL.G.04.16.01</t>
  </si>
  <si>
    <t>VALL.G.03.02.01</t>
  </si>
  <si>
    <t>MUEBLEL MIBAR 1.2M H1 FY25 DEV</t>
  </si>
  <si>
    <t>WALL UNIT 1M</t>
  </si>
  <si>
    <t>VALL.G.01.48.01</t>
  </si>
  <si>
    <t>APT.FUENC</t>
  </si>
  <si>
    <t>VALL.G.02.01.01</t>
  </si>
  <si>
    <t>MUEBLE</t>
  </si>
  <si>
    <t>VALL.G.03.05.01</t>
  </si>
  <si>
    <t>APT.UBEDA</t>
  </si>
  <si>
    <t>VALL.G.05.18.01</t>
  </si>
  <si>
    <t>ASTRA</t>
  </si>
  <si>
    <t>ASTRA_CATARROJA</t>
  </si>
  <si>
    <t>VALL.G.02.14.01</t>
  </si>
  <si>
    <t>MUEBLE + PRODUCTO</t>
  </si>
  <si>
    <t>VALL.G.02.13.01</t>
  </si>
  <si>
    <t>ATILA120MIXTO</t>
  </si>
  <si>
    <t>ESTRUCTURA ATILA 120 MIXTO CON LUZ BLANCO H2FY25</t>
  </si>
  <si>
    <t>VALL.G.03.10.01</t>
  </si>
  <si>
    <t>ATILA120RIM</t>
  </si>
  <si>
    <t>VALL.G.04.10.01</t>
  </si>
  <si>
    <t>ESTRUCTURA ATILA 120 RIMMEL CON LUZ BLANCO H2FY25</t>
  </si>
  <si>
    <t>ATILA120RIM-I</t>
  </si>
  <si>
    <t>VALL.G.04.37.01</t>
  </si>
  <si>
    <t>ESTRUCTURA ATILA 120 RIMMEL CON LUZ BLANCO</t>
  </si>
  <si>
    <t>VALL.G.03.11.01</t>
  </si>
  <si>
    <t>VALL.G.04.40.01</t>
  </si>
  <si>
    <t>ATILA98RIMBP</t>
  </si>
  <si>
    <t>ATILA98 BON PREU BLANCO_CON LUZ_ H1FY25</t>
  </si>
  <si>
    <t>BJS_NEWGEN2MGONDOLA</t>
  </si>
  <si>
    <t>bjs new gen 2m H1FY25</t>
  </si>
  <si>
    <t>COTY0020</t>
  </si>
  <si>
    <t>VALL.G.02.36.01</t>
  </si>
  <si>
    <t>PDTE_MUEBLE_ATILA DOLBE CARA MIXTO 0.58 SIN LUZ</t>
  </si>
  <si>
    <t>GF.VALLG</t>
  </si>
  <si>
    <t>VALL.G.04.52.01</t>
  </si>
  <si>
    <t>COTY0031.1</t>
  </si>
  <si>
    <t>MXF_MUEBLE_ATILA 0.58 SIN LUZ DEV</t>
  </si>
  <si>
    <t>COTY0031_DEV</t>
  </si>
  <si>
    <t>VALL.G.03.09.01</t>
  </si>
  <si>
    <t>RECOGIDA DE 7 ATILA FOOD</t>
  </si>
  <si>
    <t>VALL.G.03.15.01</t>
  </si>
  <si>
    <t>COTY0031DEV</t>
  </si>
  <si>
    <t>VALL.G.04.08.01</t>
  </si>
  <si>
    <t>COTY0031-I</t>
  </si>
  <si>
    <t>VALL.G.02.35.01</t>
  </si>
  <si>
    <t>ATILA MXF NEGRO_SIN LUZ_ 56</t>
  </si>
  <si>
    <t>COTY0046</t>
  </si>
  <si>
    <t>VALL.G.04.25.01</t>
  </si>
  <si>
    <t>RIM_MUEBLE_BLISTER</t>
  </si>
  <si>
    <t>VALL.G.04.15.01</t>
  </si>
  <si>
    <t>VALL.G.04.27.01</t>
  </si>
  <si>
    <t>VALL.G.03.04.01</t>
  </si>
  <si>
    <t>VALL.G.04.26.01</t>
  </si>
  <si>
    <t>COTY0046DEV</t>
  </si>
  <si>
    <t>VALL.G.03.32.01</t>
  </si>
  <si>
    <t>VALL.G.03.31.01</t>
  </si>
  <si>
    <t>COTY0047</t>
  </si>
  <si>
    <t>VALL.G.05.24.01</t>
  </si>
  <si>
    <t>PDTE_MUEBLE_ATILA 40 CFR</t>
  </si>
  <si>
    <t>COTY0123</t>
  </si>
  <si>
    <t>BJ MUEBLE NEXT GEN GONDOLA 2MFY23</t>
  </si>
  <si>
    <t>COTY0126</t>
  </si>
  <si>
    <t>VALL.G.04.06.01</t>
  </si>
  <si>
    <t>RIM_MUEBLE_ATILA RIMMEL 120 CON LUZ FOOD</t>
  </si>
  <si>
    <t>COTY0127</t>
  </si>
  <si>
    <t>VALL.G.03.10.02</t>
  </si>
  <si>
    <t>MUEBLE ATILA BLISTER 560- RIMMEL</t>
  </si>
  <si>
    <t>VALL.G.03.11.02</t>
  </si>
  <si>
    <t>VALL.G.03.02.02</t>
  </si>
  <si>
    <t>VALL.G.03.03.02</t>
  </si>
  <si>
    <t>VALL.G.03.08.02</t>
  </si>
  <si>
    <t>VALL.G.03.09.02</t>
  </si>
  <si>
    <t>VALL.G.03.12.02</t>
  </si>
  <si>
    <t>VALL.G.02.23.01</t>
  </si>
  <si>
    <t>COTY0127+KITS</t>
  </si>
  <si>
    <t>VALL.G.05.15.01</t>
  </si>
  <si>
    <t>MUEBLE ATILA BLISTER 56 HIBRIDO +KITS</t>
  </si>
  <si>
    <t>VALL.G.05.32.01</t>
  </si>
  <si>
    <t>VALL.G.05.46.01</t>
  </si>
  <si>
    <t>COTY0127DEV</t>
  </si>
  <si>
    <t>VALL.G.03.24.01</t>
  </si>
  <si>
    <t>RIM_MUEBLE_ATILA BLISTER 56</t>
  </si>
  <si>
    <t>DEST_280526</t>
  </si>
  <si>
    <t>MUEBLE RIMMEL MIBAR 120 PARA DESTRUIR</t>
  </si>
  <si>
    <t>DEST_280526.1</t>
  </si>
  <si>
    <t>MUEBLE RIMMEL H4 120 PARA DESTRUIR</t>
  </si>
  <si>
    <t>DEST_280526.2</t>
  </si>
  <si>
    <t>MUEBLE RIMMEL BOURJOIS GEN120 PARA DESTRUIR</t>
  </si>
  <si>
    <t>DEV_LIVEMXF120</t>
  </si>
  <si>
    <t>VALL.G.03.19.01</t>
  </si>
  <si>
    <t>MUEBLE LIVE MAX FACTOR 120 FY26</t>
  </si>
  <si>
    <t>DEV_LIVERIMM120</t>
  </si>
  <si>
    <t>MUEBLE LIVE RIMMEL 120 FY25</t>
  </si>
  <si>
    <t>DEV0207.1</t>
  </si>
  <si>
    <t>MIBAR 2M DEV</t>
  </si>
  <si>
    <t>DEV0207.2</t>
  </si>
  <si>
    <t>DEV07</t>
  </si>
  <si>
    <t>VALL.G.02.06.01</t>
  </si>
  <si>
    <t>RIM_MUEBLE_MIBAR 1.2M SPANISH H2 FY24 DEV</t>
  </si>
  <si>
    <t>DEV081025</t>
  </si>
  <si>
    <t>VALL.G.02.39.01</t>
  </si>
  <si>
    <t>MIBAR 2M_H2FY25 DEV</t>
  </si>
  <si>
    <t>DEV081025.1</t>
  </si>
  <si>
    <t>VALL.G.03.06.01</t>
  </si>
  <si>
    <t>MXF_MUEBLE_H41.2M H2FY25 DEV</t>
  </si>
  <si>
    <t>DEV120625.1</t>
  </si>
  <si>
    <t>VALL.G.05.30.01</t>
  </si>
  <si>
    <t>DEV160525.3</t>
  </si>
  <si>
    <t>VALL.G.07.32.01</t>
  </si>
  <si>
    <t>MUEBLE NEXT GEN GONDOLA PIEZAS</t>
  </si>
  <si>
    <t>DEV17</t>
  </si>
  <si>
    <t>VALL.G.05.02.01</t>
  </si>
  <si>
    <t>GONDOLA SALLY HANSEN DEV</t>
  </si>
  <si>
    <t>DEV230625.3</t>
  </si>
  <si>
    <t>VALL.G.04.05.01</t>
  </si>
  <si>
    <t>MIBAR 1.2M PARA RECUPERAR</t>
  </si>
  <si>
    <t>DEV230625.5</t>
  </si>
  <si>
    <t>MUEBLE BOURJOIS PARA DESTRUIR</t>
  </si>
  <si>
    <t>DEV230625.7</t>
  </si>
  <si>
    <t>VALL.G.05.16.01</t>
  </si>
  <si>
    <t>PARED 1M SIN GANCHOS PARA RECUPERAR</t>
  </si>
  <si>
    <t>DEV250425.1</t>
  </si>
  <si>
    <t>VALL.G.02.37.01</t>
  </si>
  <si>
    <t>DEV250425.3</t>
  </si>
  <si>
    <t>MXF_MUEBLE_H4 1.2M DEV</t>
  </si>
  <si>
    <t>DEV260825</t>
  </si>
  <si>
    <t>RIM_MUEBLE MIBAR 1.2M DEV</t>
  </si>
  <si>
    <t>DEVMXFH4120</t>
  </si>
  <si>
    <t>MXF H4120 120 H1FY26</t>
  </si>
  <si>
    <t>DEVSH_ECI_26</t>
  </si>
  <si>
    <t>VALL.G.05.04.01</t>
  </si>
  <si>
    <t>SALLY HANSEN SPINNER ECI DEVOLUCION</t>
  </si>
  <si>
    <t>ESSENCE 2M</t>
  </si>
  <si>
    <t>VALL.G.05.21.01</t>
  </si>
  <si>
    <t>ESSENCE_2M_NUEVO</t>
  </si>
  <si>
    <t>VALL.G.05.22.01</t>
  </si>
  <si>
    <t>ESSENCE 2M PART</t>
  </si>
  <si>
    <t>VALL.G.04.32.01</t>
  </si>
  <si>
    <t>ESSENCE 2M MODULOS DERECHOS</t>
  </si>
  <si>
    <t>VALL.G.04.31.01</t>
  </si>
  <si>
    <t>ESSENCE 2M PARTES IZ</t>
  </si>
  <si>
    <t>ESSENCE 2M MODULO IZQ</t>
  </si>
  <si>
    <t>VALL.G.06.24.01</t>
  </si>
  <si>
    <t>ESSENCE SINGLE</t>
  </si>
  <si>
    <t>ESSENCE_ MUEBLE_NUEVO</t>
  </si>
  <si>
    <t>VALL.G.05.19.01</t>
  </si>
  <si>
    <t>FLOR_00020_24</t>
  </si>
  <si>
    <t>GONDOLA 2 M</t>
  </si>
  <si>
    <t>FLOR_REV5</t>
  </si>
  <si>
    <t>VALL.G.06.19.01</t>
  </si>
  <si>
    <t>ENTRADAS NUEVAS PARA REVISAR_5</t>
  </si>
  <si>
    <t>MDIAM2M_26</t>
  </si>
  <si>
    <t>MUEBLE GONDOLA DIAM 2M H2FY26</t>
  </si>
  <si>
    <t>MH4120_26</t>
  </si>
  <si>
    <t>MUEBLE H4 120 H2FY26</t>
  </si>
  <si>
    <t>MIXTO_ATILA 98</t>
  </si>
  <si>
    <t>VALL.G.02.23.02</t>
  </si>
  <si>
    <t>MIXTO_MUEBLE_ATILA mixto 98 (58Rimm+58MXF) negro c</t>
  </si>
  <si>
    <t>VALL.G.02.22.02</t>
  </si>
  <si>
    <t>VALL.G.02.19.01</t>
  </si>
  <si>
    <t>VALL.G.02.24.02</t>
  </si>
  <si>
    <t>VALL.G.02.21.02</t>
  </si>
  <si>
    <t>VALL.G.02.25.02</t>
  </si>
  <si>
    <t>VALL.G.02.20.02</t>
  </si>
  <si>
    <t>VALL.G.02.19.02</t>
  </si>
  <si>
    <t>MLIVERIM120PREX</t>
  </si>
  <si>
    <t>MUEBLE LIVE RIMMEL 120 FY25 PREX</t>
  </si>
  <si>
    <t>MMIBAR120_26</t>
  </si>
  <si>
    <t>MUEBLE MIBAR 120 H2FY26</t>
  </si>
  <si>
    <t>MMIBAR120_26I</t>
  </si>
  <si>
    <t>VALL.G.04.45.01</t>
  </si>
  <si>
    <t>MUEBLE MIBAR 120 H2FY26  INCOMPLETO</t>
  </si>
  <si>
    <t>MMIBAR2M_26</t>
  </si>
  <si>
    <t>MUEBLE MIBAR 2M H2FY26</t>
  </si>
  <si>
    <t>MNEXTGEN120_26</t>
  </si>
  <si>
    <t>MUEBLE NEXT GEN 120 H2FY26</t>
  </si>
  <si>
    <t>MNEXTGEN120_26D</t>
  </si>
  <si>
    <t>MUEBLE NEXT GEN 120 H2FY26 DAÑADO</t>
  </si>
  <si>
    <t>MNEXTGEN2M_26</t>
  </si>
  <si>
    <t>MUEBLE NEXT GEN 2M H2FY26</t>
  </si>
  <si>
    <t>MSPINNER_26</t>
  </si>
  <si>
    <t>MUEBLE SPINNER H2FY26</t>
  </si>
  <si>
    <t>MUEBLEADAPTSH</t>
  </si>
  <si>
    <t>VALL.G.06.40.01</t>
  </si>
  <si>
    <t>SPINNER SALLY HANSEN ADAPTADO A 148H</t>
  </si>
  <si>
    <t>MUEBLEADAPTSH-I</t>
  </si>
  <si>
    <t>VALL.G.06.26.01</t>
  </si>
  <si>
    <t>SPINNER SALLY HANSEN ADAPTADO A 148H INCOMPLETO</t>
  </si>
  <si>
    <t>MUEBLECARCASASH</t>
  </si>
  <si>
    <t>SPINNER SALLY HANSEN CARCASA</t>
  </si>
  <si>
    <t>MUEBLELIVEMXF120</t>
  </si>
  <si>
    <t>MUEBLE LIVE MAX FACTOR 120 FY25</t>
  </si>
  <si>
    <t>MUEBLELIVEMXF2M</t>
  </si>
  <si>
    <t>MUEBLE LIVE MAX FACTOR 2M FY25</t>
  </si>
  <si>
    <t>MUEBLELIVERIM120</t>
  </si>
  <si>
    <t>MUEBLESH1M</t>
  </si>
  <si>
    <t>MUEBLE SALLY HANSEN 1M BB H2FY25</t>
  </si>
  <si>
    <t>VALL.G.03.44.01</t>
  </si>
  <si>
    <t>VALL.G.03.43.01</t>
  </si>
  <si>
    <t>MXF_APERTURAS</t>
  </si>
  <si>
    <t>VALL.G.03.21.01</t>
  </si>
  <si>
    <t>MXF_ATILA120F25</t>
  </si>
  <si>
    <t>VALL.G.05.31.01</t>
  </si>
  <si>
    <t>MUEBLE ATILA MAXFACTOR _NEGRO-LUZ_FY25</t>
  </si>
  <si>
    <t>MXF_ATILA56_F25</t>
  </si>
  <si>
    <t>VALL.G.01.11.02</t>
  </si>
  <si>
    <t>MXF_MUEBLE_ATILA 56_NEGRO_SIN LUZ</t>
  </si>
  <si>
    <t>VALL.G.01.10.02</t>
  </si>
  <si>
    <t>VALL.G.01.07.02</t>
  </si>
  <si>
    <t>VALL.G.01.09.02</t>
  </si>
  <si>
    <t>VALL.G.01.12.02</t>
  </si>
  <si>
    <t>VALL.G.01.08.02</t>
  </si>
  <si>
    <t>MXF_ATILA56_SIN</t>
  </si>
  <si>
    <t>VALL.G.05.44.01</t>
  </si>
  <si>
    <t>MXF_MUEBLE_ATILA 56 VACIO</t>
  </si>
  <si>
    <t>MXF_ATILA98DEV</t>
  </si>
  <si>
    <t>MXF_GONDOLA2M</t>
  </si>
  <si>
    <t>MXF BB 2M H1 FY24 DIAM</t>
  </si>
  <si>
    <t>MXF0065-I</t>
  </si>
  <si>
    <t>ATILA MXF NEGRO_CON LUZ_ 120 FY23</t>
  </si>
  <si>
    <t>MXF2M_REV</t>
  </si>
  <si>
    <t>VALL.G.02.43.02</t>
  </si>
  <si>
    <t>MUEBLE MAXFACTOR 2M_REV</t>
  </si>
  <si>
    <t>VALL.G.02.32.01</t>
  </si>
  <si>
    <t>NEOMUEBLE_I</t>
  </si>
  <si>
    <t>VALL.G.07.49.01</t>
  </si>
  <si>
    <t>MUEBLE INCOMPLETO</t>
  </si>
  <si>
    <t>NextGen120</t>
  </si>
  <si>
    <t>NEXT GEN MUEBLE 1.2M H2FY25</t>
  </si>
  <si>
    <t>NextGen120_26</t>
  </si>
  <si>
    <t>NEXT GEN MUEBLE 1.2M H2FY26</t>
  </si>
  <si>
    <t>NextGen120Port</t>
  </si>
  <si>
    <t>NEXT GEN MUEBLE PORTUGAL 1.2M H2FY25</t>
  </si>
  <si>
    <t>OKMXFH4120</t>
  </si>
  <si>
    <t>MUEBLE H4 1.2M RECUPERADO</t>
  </si>
  <si>
    <t>PF_NUEVO_2025</t>
  </si>
  <si>
    <t>VALL.G.02.27.01</t>
  </si>
  <si>
    <t>MUEBLE PHYSICIANS FORMULA 2025</t>
  </si>
  <si>
    <t>VALL.G.02.26.01</t>
  </si>
  <si>
    <t>PRO_015</t>
  </si>
  <si>
    <t>RIM_MUEBLE_MIBAR 2M SPANISH FY22 H1 BCNA</t>
  </si>
  <si>
    <t>PRO_028P</t>
  </si>
  <si>
    <t>MXF MUEBLE GONDOLA 2M PARA PIEZAS</t>
  </si>
  <si>
    <t>PTEREVI_COTY012</t>
  </si>
  <si>
    <t>MUEBLE ATILA BLISTER 56_ BLANCO_HIBRID</t>
  </si>
  <si>
    <t>REV_NEXTGEN120</t>
  </si>
  <si>
    <t>VALL.G.04.29.01</t>
  </si>
  <si>
    <t>MUEBLE NEXT GEN 1.2M REV</t>
  </si>
  <si>
    <t>VALL.G.03.01.01</t>
  </si>
  <si>
    <t>REVH4120G</t>
  </si>
  <si>
    <t>H4 120 REVISON GOIARA</t>
  </si>
  <si>
    <t>VALL.G.04.24.01</t>
  </si>
  <si>
    <t>VALL.G.03.25.01</t>
  </si>
  <si>
    <t>REVI_ATILA120RI</t>
  </si>
  <si>
    <t>VALL.G.05.41.01</t>
  </si>
  <si>
    <t>MUEBLE ATILA RIMMEL _BLANCO-LUZ_</t>
  </si>
  <si>
    <t>REVMIBAR120</t>
  </si>
  <si>
    <t>VALL.G.05.13.01</t>
  </si>
  <si>
    <t>MIBAR 120 REVISION</t>
  </si>
  <si>
    <t>VALL.G.02.41.01</t>
  </si>
  <si>
    <t>REVMIBAR120G</t>
  </si>
  <si>
    <t>VALL.G.03.35.01</t>
  </si>
  <si>
    <t>MIBAR 120 REVISION GOIARA</t>
  </si>
  <si>
    <t>REVMXFH4120</t>
  </si>
  <si>
    <t>H4 1.2M REVISION</t>
  </si>
  <si>
    <t>RIM_ATILA56_F25</t>
  </si>
  <si>
    <t>RIMMEL_MUEBLE_ATILA 56_NEGRO_CON LUZ</t>
  </si>
  <si>
    <t>VALL.G.05.30.02</t>
  </si>
  <si>
    <t>VALL.G.05.29.02</t>
  </si>
  <si>
    <t>Rim_Mibar2mD.2</t>
  </si>
  <si>
    <t>RIMM MIBAR 2M H2 FY24 WILLSON DAÑADO</t>
  </si>
  <si>
    <t>RIM2M_REV</t>
  </si>
  <si>
    <t>VALL.G.02.39.02</t>
  </si>
  <si>
    <t>MUEBLE RIMMEL 2M_REV</t>
  </si>
  <si>
    <t>VALL.G.04.46.01</t>
  </si>
  <si>
    <t>RIMAT56_SINBAN</t>
  </si>
  <si>
    <t>VALL.G.04.39.01</t>
  </si>
  <si>
    <t>RIM_MUEBLE_ATILA 56 VACIO</t>
  </si>
  <si>
    <t>RIMAT56DEV</t>
  </si>
  <si>
    <t>RIM_MUEBLE_ATILA 56 DEV</t>
  </si>
  <si>
    <t>RIMM_MIBAR120</t>
  </si>
  <si>
    <t>RIMMEL MIBAR 1.2M H1 FY24 W&amp;B</t>
  </si>
  <si>
    <t>RIMM_MIBAR2MGONDOLAD</t>
  </si>
  <si>
    <t>RIMM MIBAR 2M H2 FY24 WILLSON DAÑADA</t>
  </si>
  <si>
    <t>RMM0037DEV</t>
  </si>
  <si>
    <t>VALL.G.04.34.01</t>
  </si>
  <si>
    <t>RIM_MUEBLE_ATILA 0.58 CON LUZ</t>
  </si>
  <si>
    <t>VALL.G.04.33.01</t>
  </si>
  <si>
    <t>SHEGLAM</t>
  </si>
  <si>
    <t>SHGLM_2M_2026</t>
  </si>
  <si>
    <t>MUEBLE SHEGLAM 2M 2026</t>
  </si>
  <si>
    <t>SHSPINNER_REV</t>
  </si>
  <si>
    <t>MUEBLE SPINNER_REV</t>
  </si>
  <si>
    <t>WW_NUEVO_25</t>
  </si>
  <si>
    <t>MUEBLE 2025</t>
  </si>
  <si>
    <t>VALL.G.06.28.01</t>
  </si>
  <si>
    <t>WW_USADO2024</t>
  </si>
  <si>
    <t>VALL.G.03.34.01</t>
  </si>
  <si>
    <t>WET N WILD 2024 _DRUNI EL ROSAL</t>
  </si>
  <si>
    <t>ESPACIO LAURA G</t>
  </si>
  <si>
    <t>Etiquetas de fila</t>
  </si>
  <si>
    <t>Suma de COSTE EXTRA</t>
  </si>
  <si>
    <t>Suma de COSTE2</t>
  </si>
  <si>
    <t>Suma de COSTE</t>
  </si>
  <si>
    <t>Total general</t>
  </si>
  <si>
    <t>Cuenta de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</si>
</sst>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#,##0.00\ &quot;€&quot;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164" fontId="3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3" fillId="4" borderId="1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0" fontId="1" fillId="0" borderId="0" xfId="0" applyFont="1"/>
    <xf numFmtId="164" fontId="3" fillId="5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ntxa Val" refreshedDate="46174.694233101851" createdVersion="8" refreshedVersion="8" minRefreshableVersion="3" recordCount="1014" xr:uid="{BBD0E2F3-FE34-45D8-A5C1-FF550103F2FE}">
  <cacheSource type="worksheet">
    <worksheetSource ref="A4:J1018" sheet="OTROS"/>
  </cacheSource>
  <cacheFields count="10">
    <cacheField name="CLIENTE" numFmtId="0">
      <sharedItems count="11">
        <s v="COTY"/>
        <s v="FLORMAR"/>
        <s v="MARKWINS"/>
        <s v="ASTRA"/>
        <s v="COSMETIX"/>
        <s v="NEONAIL"/>
        <s v="FUTURE"/>
        <s v="INCOMM"/>
        <s v="COTY FOOD"/>
        <s v="NOTE COSMETICS"/>
        <s v="FOOD"/>
      </sharedItems>
    </cacheField>
    <cacheField name="MARCA" numFmtId="0">
      <sharedItems containsBlank="1"/>
    </cacheField>
    <cacheField name="IRC" numFmtId="0">
      <sharedItems containsMixedTypes="1" containsNumber="1" minValue="1" maxValue="99350168006"/>
    </cacheField>
    <cacheField name="UBICACIÓN" numFmtId="0">
      <sharedItems containsBlank="1"/>
    </cacheField>
    <cacheField name="ARTICULO" numFmtId="0">
      <sharedItems containsBlank="1"/>
    </cacheField>
    <cacheField name="MUEBLES" numFmtId="0">
      <sharedItems containsString="0" containsBlank="1" containsNumber="1" containsInteger="1" minValue="1" maxValue="41"/>
    </cacheField>
    <cacheField name="COSTE" numFmtId="164">
      <sharedItems containsString="0" containsBlank="1" containsNumber="1" minValue="11.64" maxValue="477.24"/>
    </cacheField>
    <cacheField name="PALET" numFmtId="0">
      <sharedItems containsString="0" containsBlank="1" containsNumber="1" containsInteger="1" minValue="0" maxValue="1"/>
    </cacheField>
    <cacheField name="COSTE2" numFmtId="164">
      <sharedItems containsString="0" containsBlank="1" containsNumber="1" minValue="0" maxValue="8.99"/>
    </cacheField>
    <cacheField name="COSTE EXTRA" numFmtId="164">
      <sharedItems containsString="0" containsBlank="1" containsNumber="1" minValue="288.12" maxValue="288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Lopez" refreshedDate="46182.543808449074" createdVersion="8" refreshedVersion="8" minRefreshableVersion="3" recordCount="784" xr:uid="{13EB637A-2BBF-4DBF-855C-7714498C3B24}">
  <cacheSource type="worksheet">
    <worksheetSource ref="A1:G785" sheet="OTROS (2)"/>
  </cacheSource>
  <cacheFields count="7">
    <cacheField name="CLIENTE" numFmtId="0">
      <sharedItems count="10">
        <s v="INCOMM"/>
        <s v="COTY"/>
        <s v="FLORMAR"/>
        <s v="NEONAIL"/>
        <s v="MARKWINS"/>
        <s v="COTY FOOD"/>
        <s v="COSMETIX"/>
        <s v="FOOD"/>
        <s v="NOTE COSMETICS"/>
        <s v="FUTURE"/>
      </sharedItems>
    </cacheField>
    <cacheField name="MARCA" numFmtId="0">
      <sharedItems containsBlank="1"/>
    </cacheField>
    <cacheField name="IRC" numFmtId="0">
      <sharedItems containsMixedTypes="1" containsNumber="1" minValue="1104" maxValue="99350168006"/>
    </cacheField>
    <cacheField name="UBICACIÓN" numFmtId="0">
      <sharedItems count="364">
        <s v="AL.09"/>
        <s v="DESTRUCCION"/>
        <s v="TAULA2"/>
        <s v="VALL.G.01.02.01"/>
        <s v="VALL.G.01.03.01"/>
        <s v="VALL.G.01.04.01"/>
        <s v="VALL.G.01.05.01"/>
        <s v="VALL.G.01.06.01"/>
        <s v="VALL.G.01.07.01"/>
        <s v="VALL.G.01.08.01"/>
        <s v="VALL.G.01.18.01"/>
        <s v="VALL.G.01.22.01"/>
        <s v="VALL.G.01.35.01"/>
        <s v="VALL.G.01.36.01"/>
        <s v="VALL.G.01.37.01"/>
        <s v="VALL.G.01.40.03"/>
        <s v="VALL.G.01.41.03"/>
        <s v="VALL.G.01.42.03"/>
        <s v="VALL.G.01.43.03"/>
        <s v="VALL.G.03.33.01"/>
        <s v="VALL.G.04.03.01"/>
        <s v="VALL.G.04.07.01"/>
        <s v="VALL.G.04.17.01"/>
        <s v="VALL.G.04.18.01"/>
        <s v="VALL.G.04.23.01"/>
        <s v="VALL.G.04.28.01"/>
        <s v="VALL.G.04.44.01"/>
        <s v="VALL.G.05.01.01"/>
        <s v="VALL.G.05.03.01"/>
        <s v="VALL.G.05.03.03"/>
        <s v="VALL.G.05.08.02"/>
        <s v="VALL.G.05.08.03"/>
        <s v="VALL.G.05.09.02"/>
        <s v="VALL.G.05.10.02"/>
        <s v="VALL.G.05.10.03"/>
        <s v="VALL.G.05.11.02"/>
        <s v="VALL.G.05.12.02"/>
        <s v="VALL.G.05.12.03"/>
        <s v="VALL.G.05.14.03"/>
        <s v="VALL.G.05.22.02"/>
        <s v="VALL.G.05.27.01"/>
        <s v="VALL.G.06.01.01"/>
        <s v="VALL.G.06.02.01"/>
        <s v="VALL.G.06.03.01"/>
        <s v="VALL.G.06.04.01"/>
        <s v="VALL.G.06.06.02"/>
        <s v="VALL.G.06.11.01"/>
        <s v="VALL.G.06.12.01"/>
        <s v="VALL.G.06.27.01"/>
        <s v="VALL.G.06.36.01"/>
        <s v="VALL.G.06.39.01"/>
        <s v="VALL.G.06.43.01"/>
        <s v="VALL.G.06.43.03"/>
        <s v="VALL.G.06.45.01"/>
        <s v="VALL.G.06.48.01"/>
        <s v="VALL.G.07.01.01"/>
        <s v="VALL.G.07.03.01"/>
        <s v="VALL.G.07.03.02"/>
        <s v="VALL.G.07.04.01"/>
        <s v="VALL.G.07.05.03"/>
        <s v="VALL.G.07.06.03"/>
        <s v="VALL.G.07.13.01"/>
        <s v="VALL.G.07.16.01"/>
        <s v="VALL.G.07.18.02"/>
        <s v="VALL.G.07.19.02"/>
        <s v="VALL.G.07.21.03"/>
        <s v="VALL.G.07.23.02"/>
        <s v="VALL.G.07.26.01"/>
        <s v="VALL.G.07.28.01"/>
        <s v="VALL.G.07.29.01"/>
        <s v="VALL.G.07.34.01"/>
        <s v="VALL.G.07.38.01"/>
        <s v="VALL.G.07.45.01"/>
        <s v="VALL.G.07.48.01"/>
        <s v="VALL.G.07.50.01"/>
        <s v="VALL.PLAYA.01.01.01"/>
        <s v="X"/>
        <s v="ZONAB"/>
        <s v="MESA"/>
        <s v="TALLER"/>
        <s v="VALL.G.01.01.01"/>
        <s v="VALL.G.01.01.02"/>
        <s v="VALL.G.01.02.02"/>
        <s v="VALL.G.01.03.02"/>
        <s v="VALL.G.01.04.02"/>
        <s v="VALL.G.01.09.01"/>
        <s v="VALL.G.01.10.01"/>
        <s v="VALL.G.01.11.01"/>
        <s v="VALL.G.01.12.01"/>
        <s v="VALL.G.01.13.01"/>
        <s v="VALL.G.01.13.02"/>
        <s v="VALL.G.01.14.01"/>
        <s v="VALL.G.01.14.02"/>
        <s v="VALL.G.01.15.01"/>
        <s v="VALL.G.01.15.02"/>
        <s v="VALL.G.01.16.01"/>
        <s v="VALL.G.01.16.02"/>
        <s v="VALL.G.01.17.01"/>
        <s v="VALL.G.01.17.02"/>
        <s v="VALL.G.01.18.02"/>
        <s v="VALL.G.01.19.01"/>
        <s v="VALL.G.01.19.02"/>
        <s v="VALL.G.01.20.01"/>
        <s v="VALL.G.01.20.02"/>
        <s v="VALL.G.01.21.01"/>
        <s v="VALL.G.01.25.01"/>
        <s v="VALL.G.01.26.01"/>
        <s v="VALL.G.01.27.01"/>
        <s v="VALL.G.01.27.03"/>
        <s v="VALL.G.01.28.01"/>
        <s v="VALL.G.01.28.03"/>
        <s v="VALL.G.01.29.03"/>
        <s v="VALL.G.01.30.03"/>
        <s v="VALL.G.01.31.03"/>
        <s v="VALL.G.01.32.03"/>
        <s v="VALL.G.01.33.01"/>
        <s v="VALL.G.01.33.02"/>
        <s v="VALL.G.01.33.03"/>
        <s v="VALL.G.01.34.01"/>
        <s v="VALL.G.01.34.02"/>
        <s v="VALL.G.01.35.02"/>
        <s v="VALL.G.01.45.01"/>
        <s v="VALL.G.01.46.01"/>
        <s v="VALL.G.02.02.02"/>
        <s v="VALL.G.02.03.02"/>
        <s v="VALL.G.02.04.02"/>
        <s v="VALL.G.02.07.01"/>
        <s v="VALL.G.02.08.01"/>
        <s v="VALL.G.02.12.03"/>
        <s v="VALL.G.02.13.03"/>
        <s v="VALL.G.02.15.01"/>
        <s v="VALL.G.02.17.01"/>
        <s v="VALL.G.02.21.01"/>
        <s v="VALL.G.02.22.01"/>
        <s v="VALL.G.02.25.01"/>
        <s v="VALL.G.02.29.01"/>
        <s v="VALL.G.02.44.01"/>
        <s v="VALL.G.03.01.03"/>
        <s v="VALL.G.03.08.01"/>
        <s v="VALL.G.03.14.01"/>
        <s v="VALL.G.03.31.02"/>
        <s v="VALL.G.03.32.02"/>
        <s v="VALL.G.03.35.03"/>
        <s v="VALL.G.03.36.03"/>
        <s v="VALL.G.03.37.01"/>
        <s v="VALL.G.03.42.01"/>
        <s v="VALL.G.03.45.01"/>
        <s v="VALL.G.03.45.02"/>
        <s v="VALL.G.03.46.01"/>
        <s v="VALL.G.03.46.02"/>
        <s v="VALL.G.03.47.01"/>
        <s v="VALL.G.03.47.02"/>
        <s v="VALL.G.03.48.01"/>
        <s v="VALL.G.03.49.01"/>
        <s v="VALL.G.03.50.01"/>
        <s v="VALL.G.03.51.01"/>
        <s v="VALL.G.03.52.01"/>
        <s v="VALL.G.03.53.01"/>
        <s v="VALL.G.03.54.01"/>
        <s v="VALL.G.03.55.01"/>
        <s v="VALL.G.03.56.01"/>
        <s v="VALL.G.04.02.01"/>
        <s v="VALL.G.04.02.02"/>
        <s v="VALL.G.04.08.02"/>
        <s v="VALL.G.04.11.01"/>
        <s v="VALL.G.04.12.01"/>
        <s v="VALL.G.04.14.01"/>
        <s v="VALL.G.04.20.01"/>
        <s v="VALL.G.04.21.01"/>
        <s v="VALL.G.04.22.01"/>
        <s v="VALL.G.04.38.01"/>
        <s v="VALL.G.04.42.01"/>
        <s v="VALL.G.04.47.01"/>
        <s v="VALL.G.05.01.02"/>
        <s v="VALL.G.05.01.03"/>
        <s v="VALL.G.05.02.02"/>
        <s v="VALL.G.05.03.02"/>
        <s v="VALL.G.05.04.03"/>
        <s v="VALL.G.05.05.02"/>
        <s v="VALL.G.05.05.03"/>
        <s v="VALL.G.05.06.01"/>
        <s v="VALL.G.05.07.03"/>
        <s v="VALL.G.05.10.01"/>
        <s v="VALL.G.05.11.01"/>
        <s v="VALL.G.05.11.03"/>
        <s v="VALL.G.05.13.03"/>
        <s v="VALL.G.05.14.01"/>
        <s v="VALL.G.05.14.02"/>
        <s v="VALL.G.05.15.02"/>
        <s v="VALL.G.05.17.02"/>
        <s v="VALL.G.05.17.03"/>
        <s v="VALL.G.05.20.02"/>
        <s v="VALL.G.05.23.01"/>
        <s v="VALL.G.05.24.02"/>
        <s v="VALL.G.05.29.03"/>
        <s v="VALL.G.05.30.03"/>
        <s v="VALL.G.05.31.02"/>
        <s v="VALL.G.05.32.02"/>
        <s v="VALL.G.05.33.01"/>
        <s v="VALL.G.05.33.02"/>
        <s v="VALL.G.05.38.01"/>
        <s v="VALL.G.05.42.01"/>
        <s v="VALL.G.05.42.02"/>
        <s v="VALL.G.05.43.01"/>
        <s v="VALL.G.05.43.02"/>
        <s v="VALL.G.05.44.02"/>
        <s v="VALL.G.05.45.01"/>
        <s v="VALL.G.05.45.02"/>
        <s v="VALL.G.05.46.02"/>
        <s v="VALL.G.05.47.02"/>
        <s v="VALL.G.05.48.01"/>
        <s v="VALL.G.05.49.01"/>
        <s v="VALL.G.05.52.01"/>
        <s v="VALL.G.05.55.01"/>
        <s v="VALL.G.06.01.02"/>
        <s v="VALL.G.06.01.03"/>
        <s v="VALL.G.06.02.02"/>
        <s v="VALL.G.06.02.03"/>
        <s v="VALL.G.06.03.02"/>
        <s v="VALL.G.06.03.03"/>
        <s v="VALL.G.06.04.02"/>
        <s v="VALL.G.06.04.03"/>
        <s v="VALL.G.06.05.02"/>
        <s v="VALL.G.06.06.01"/>
        <s v="VALL.G.06.06.03"/>
        <s v="VALL.G.06.07.01"/>
        <s v="VALL.G.06.07.02"/>
        <s v="VALL.G.06.08.02"/>
        <s v="VALL.G.06.09.01"/>
        <s v="VALL.G.06.09.02"/>
        <s v="VALL.G.06.10.01"/>
        <s v="VALL.G.06.10.03"/>
        <s v="VALL.G.06.11.02"/>
        <s v="VALL.G.06.11.03"/>
        <s v="VALL.G.06.12.02"/>
        <s v="VALL.G.06.13.02"/>
        <s v="VALL.G.06.13.03"/>
        <s v="VALL.G.06.14.01"/>
        <s v="VALL.G.06.15.01"/>
        <s v="VALL.G.06.15.03"/>
        <s v="VALL.G.06.16.01"/>
        <s v="VALL.G.06.16.03"/>
        <s v="VALL.G.06.17.01"/>
        <s v="VALL.G.06.18.01"/>
        <s v="VALL.G.06.20.01"/>
        <s v="VALL.G.06.20.03"/>
        <s v="VALL.G.06.22.01"/>
        <s v="VALL.G.06.22.02"/>
        <s v="VALL.G.06.22.03"/>
        <s v="VALL.G.06.23.01"/>
        <s v="VALL.G.06.23.03"/>
        <s v="VALL.G.06.27.02"/>
        <s v="VALL.G.06.28.02"/>
        <s v="VALL.G.06.29.01"/>
        <s v="VALL.G.06.31.01"/>
        <s v="VALL.G.06.31.02"/>
        <s v="VALL.G.06.32.01"/>
        <s v="VALL.G.06.32.02"/>
        <s v="VALL.G.06.32.03"/>
        <s v="VALL.G.06.33.01"/>
        <s v="VALL.G.06.33.02"/>
        <s v="VALL.G.06.33.03"/>
        <s v="VALL.G.06.34.01"/>
        <s v="VALL.G.06.34.02"/>
        <s v="VALL.G.06.35.01"/>
        <s v="VALL.G.06.35.02"/>
        <s v="VALL.G.06.35.03"/>
        <s v="VALL.G.06.36.03"/>
        <s v="VALL.G.06.37.01"/>
        <s v="VALL.G.06.37.02"/>
        <s v="VALL.G.06.37.03"/>
        <s v="VALL.G.06.38.02"/>
        <s v="VALL.G.06.39.02"/>
        <s v="VALL.G.06.40.02"/>
        <s v="VALL.G.06.41.01"/>
        <s v="VALL.G.06.42.01"/>
        <s v="VALL.G.06.43.02"/>
        <s v="VALL.G.06.44.01"/>
        <s v="VALL.G.06.44.02"/>
        <s v="VALL.G.06.45.02"/>
        <s v="VALL.G.06.49.03"/>
        <s v="VALL.G.06.50.01"/>
        <s v="VALL.G.06.50.03"/>
        <s v="VALL.G.06.51.01"/>
        <s v="VALL.G.06.51.03"/>
        <s v="VALL.G.06.52.01"/>
        <s v="VALL.G.06.52.02"/>
        <s v="VALL.G.06.52.03"/>
        <s v="VALL.G.06.53.02"/>
        <s v="VALL.G.06.54.01"/>
        <s v="VALL.G.06.54.03"/>
        <s v="VALL.G.06.55.01"/>
        <s v="VALL.G.06.55.02"/>
        <s v="VALL.G.06.56.01"/>
        <s v="VALL.G.07.02.01"/>
        <s v="VALL.G.07.02.03"/>
        <s v="VALL.G.07.04.02"/>
        <s v="VALL.G.07.05.01"/>
        <s v="VALL.G.07.06.01"/>
        <s v="VALL.G.07.07.01"/>
        <s v="VALL.G.07.07.02"/>
        <s v="VALL.G.07.08.01"/>
        <s v="VALL.G.07.08.03"/>
        <s v="VALL.G.07.09.01"/>
        <s v="VALL.G.07.10.01"/>
        <s v="VALL.G.07.10.03"/>
        <s v="VALL.G.07.11.01"/>
        <s v="VALL.G.07.11.02"/>
        <s v="VALL.G.07.11.03"/>
        <s v="VALL.G.07.12.01"/>
        <s v="VALL.G.07.12.03"/>
        <s v="VALL.G.07.13.03"/>
        <s v="VALL.G.07.14.01"/>
        <s v="VALL.G.07.14.02"/>
        <s v="VALL.G.07.15.01"/>
        <s v="VALL.G.07.15.03"/>
        <s v="VALL.G.07.16.02"/>
        <s v="VALL.G.07.16.03"/>
        <s v="VALL.G.07.17.01"/>
        <s v="VALL.G.07.17.02"/>
        <s v="VALL.G.07.18.01"/>
        <s v="VALL.G.07.18.03"/>
        <s v="VALL.G.07.19.01"/>
        <s v="VALL.G.07.19.03"/>
        <s v="VALL.G.07.20.01"/>
        <s v="VALL.G.07.21.01"/>
        <s v="VALL.G.07.21.02"/>
        <s v="VALL.G.07.22.01"/>
        <s v="VALL.G.07.22.02"/>
        <s v="VALL.G.07.24.01"/>
        <s v="VALL.G.07.24.02"/>
        <s v="VALL.G.07.25.02"/>
        <s v="VALL.G.07.28.02"/>
        <s v="VALL.G.07.30.01"/>
        <s v="VALL.G.07.33.01"/>
        <s v="VALL.G.07.33.03"/>
        <s v="VALL.G.07.34.03"/>
        <s v="VALL.G.07.35.01"/>
        <s v="VALL.G.07.35.03"/>
        <s v="VALL.G.07.36.01"/>
        <s v="VALL.G.07.40.01"/>
        <s v="VALL.G.07.41.01"/>
        <s v="VALL.G.07.41.02"/>
        <s v="VALL.G.07.41.03"/>
        <s v="VALL.G.07.42.03"/>
        <s v="VALL.G.07.43.01"/>
        <s v="VALL.G.07.43.03"/>
        <s v="VALL.G.07.44.01"/>
        <s v="VALL.G.07.44.02"/>
        <s v="VALL.G.07.44.03"/>
        <s v="VALL.G.07.46.01"/>
        <s v="VALL.G.07.46.02"/>
        <s v="VALL.G.07.47.01"/>
        <s v="VALL.G.07.47.02"/>
        <s v="VALL.G.07.48.02"/>
        <s v="VALL.G.07.51.01"/>
        <s v="VALL.G.07.53.03"/>
        <s v="VALL.G.07.54.01"/>
        <s v="VALL.G.07.55.01"/>
        <s v="VALL.G.07.55.03"/>
        <s v="VALL.G.07.56.01"/>
        <s v="VALL.G.07.56.02"/>
        <s v="ZONAA"/>
        <s v="VALL.G.03.28.01"/>
      </sharedItems>
    </cacheField>
    <cacheField name="ARTICULO" numFmtId="0">
      <sharedItems containsBlank="1"/>
    </cacheField>
    <cacheField name="PALET" numFmtId="0">
      <sharedItems containsString="0" containsBlank="1" containsNumber="1" containsInteger="1" minValue="0" maxValue="1"/>
    </cacheField>
    <cacheField name="COSTE" numFmtId="164">
      <sharedItems containsSemiMixedTypes="0" containsString="0" containsNumber="1" minValue="0" maxValue="8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">
  <r>
    <x v="0"/>
    <s v="RIMMEL"/>
    <s v="COTY0019"/>
    <s v="VALL.G.05.51.03"/>
    <s v="PDTE_MUEBLE_ATILA UNA CARA MIXTO 0.58 SIN LUZ"/>
    <n v="2"/>
    <n v="23.28"/>
    <m/>
    <m/>
    <m/>
  </r>
  <r>
    <x v="0"/>
    <s v="RIMMEL"/>
    <s v="COTY0019"/>
    <s v="VALL.G.05.55.03"/>
    <s v="PDTE_MUEBLE_ATILA UNA CARA MIXTO 0.58 SIN LUZ"/>
    <n v="2"/>
    <n v="23.28"/>
    <m/>
    <m/>
    <m/>
  </r>
  <r>
    <x v="0"/>
    <s v="RIMMEL"/>
    <s v="COTY0019"/>
    <s v="VALL.G.05.50.03"/>
    <s v="PDTE_MUEBLE_ATILA UNA CARA MIXTO 0.58 SIN LUZ"/>
    <n v="1"/>
    <n v="11.64"/>
    <m/>
    <m/>
    <m/>
  </r>
  <r>
    <x v="0"/>
    <s v="MAXFACTOR"/>
    <s v="COTY0031"/>
    <s v="VALL.G.05.47.01"/>
    <s v="MXF_MUEBLE_ATILA 058 SIN LUZ"/>
    <n v="1"/>
    <n v="11.64"/>
    <m/>
    <m/>
    <m/>
  </r>
  <r>
    <x v="0"/>
    <s v="RIMMEL"/>
    <s v="DEV16"/>
    <s v="VALL.G.04.17.01"/>
    <s v="RIM_MUEBLE_MIBAR 1.2M DEV"/>
    <n v="1"/>
    <n v="11.64"/>
    <m/>
    <m/>
    <m/>
  </r>
  <r>
    <x v="0"/>
    <s v="RIMMEL"/>
    <s v="DEV16"/>
    <s v="VALL.G.02.10.01"/>
    <s v="RIM_MUEBLE_MIBAR 1.2M DEV"/>
    <n v="1"/>
    <n v="11.64"/>
    <m/>
    <m/>
    <m/>
  </r>
  <r>
    <x v="0"/>
    <s v="RIMMEL"/>
    <s v="DEV16"/>
    <s v="VALL.G.02.12.01"/>
    <s v="RIM_MUEBLE_MIBAR 1.2M DEV"/>
    <n v="1"/>
    <n v="11.64"/>
    <m/>
    <m/>
    <m/>
  </r>
  <r>
    <x v="1"/>
    <m/>
    <s v="FLOR003"/>
    <s v="VALL.G.03.36.01"/>
    <s v="FLORMAR_MUEBLE_MAKEUPSTATION"/>
    <n v="2"/>
    <n v="23.28"/>
    <m/>
    <m/>
    <m/>
  </r>
  <r>
    <x v="0"/>
    <s v="MAXFACTOR"/>
    <s v="MXF_ATILA98"/>
    <s v="VALL.G.03.32.03"/>
    <s v="MXF_MUEBLE_ATILA MXF negro con luz 98 FY23"/>
    <n v="2"/>
    <n v="23.28"/>
    <m/>
    <m/>
    <m/>
  </r>
  <r>
    <x v="0"/>
    <s v="MAXFACTOR"/>
    <s v="MXF_ATILA98"/>
    <s v="VALL.G.03.31.02"/>
    <s v="MXF_MUEBLE_ATILA MXF negro con luz 98 FY23"/>
    <n v="1"/>
    <n v="11.64"/>
    <m/>
    <m/>
    <m/>
  </r>
  <r>
    <x v="0"/>
    <s v="MAXFACTOR"/>
    <s v="MXF_ATILA98"/>
    <s v="VALL.G.03.34.02"/>
    <s v="MXF_MUEBLE_ATILA MXF negro con luz 98 FY23"/>
    <n v="2"/>
    <n v="23.28"/>
    <m/>
    <m/>
    <m/>
  </r>
  <r>
    <x v="0"/>
    <s v="MAXFACTOR"/>
    <s v="MXF_ATILA98"/>
    <s v="VALL.G.03.34.03"/>
    <s v="MXF_MUEBLE_ATILA MXF negro con luz 98 FY23"/>
    <n v="2"/>
    <n v="23.28"/>
    <m/>
    <m/>
    <m/>
  </r>
  <r>
    <x v="0"/>
    <s v="MAXFACTOR"/>
    <s v="MXF_ATILA98"/>
    <s v="VALL.G.03.33.02"/>
    <s v="MXF_MUEBLE_ATILA MXF negro con luz 98 FY23"/>
    <n v="1"/>
    <n v="11.64"/>
    <m/>
    <m/>
    <m/>
  </r>
  <r>
    <x v="0"/>
    <s v="MAXFACTOR"/>
    <s v="MXF_ATILA98"/>
    <s v="VALL.G.03.33.03"/>
    <s v="MXF_MUEBLE_ATILA MXF negro con luz 98 FY23"/>
    <n v="2"/>
    <n v="23.28"/>
    <m/>
    <m/>
    <m/>
  </r>
  <r>
    <x v="0"/>
    <s v="MAXFACTOR"/>
    <s v="MXF_ATILA98"/>
    <s v="VALL.G.03.31.03"/>
    <s v="MXF_MUEBLE_ATILA MXF negro con luz 98 FY23"/>
    <n v="2"/>
    <n v="23.28"/>
    <m/>
    <m/>
    <m/>
  </r>
  <r>
    <x v="0"/>
    <s v="MAXFACTOR"/>
    <s v="MXF0028"/>
    <s v="VALL.G.02.28.01"/>
    <s v="MXF_MUEBLE_ATILA MAX FACTOR 058 CON LUZ FOOD"/>
    <n v="1"/>
    <n v="11.64"/>
    <m/>
    <m/>
    <m/>
  </r>
  <r>
    <x v="0"/>
    <s v="MAXFACTOR"/>
    <s v="MXF0028"/>
    <s v="VALL.G.05.26.01"/>
    <s v="MXF_MUEBLE_ATILA MAX FACTOR 058 CON LUZ FOOD"/>
    <n v="1"/>
    <n v="11.64"/>
    <m/>
    <m/>
    <m/>
  </r>
  <r>
    <x v="0"/>
    <s v="MAXFACTOR"/>
    <s v="MXF0028"/>
    <s v="VALL.G.04.50.01"/>
    <s v="MXF_MUEBLE_ATILA MAX FACTOR 058 CON LUZ FOOD"/>
    <n v="3"/>
    <n v="34.92"/>
    <m/>
    <m/>
    <m/>
  </r>
  <r>
    <x v="0"/>
    <s v="MAXFACTOR"/>
    <s v="MXF0028"/>
    <s v="VALL.G.04.48.01"/>
    <s v="MXF_MUEBLE_ATILA MAX FACTOR 058 CON LUZ FOOD"/>
    <n v="3"/>
    <n v="34.92"/>
    <m/>
    <m/>
    <m/>
  </r>
  <r>
    <x v="0"/>
    <s v="MAXFACTOR"/>
    <s v="MXF0044"/>
    <s v="VALL.G.01.32.01"/>
    <s v="MXF_MUEBLE_ATILA MAX FACTOR 098 CON LUZ FOOD"/>
    <n v="2"/>
    <n v="23.28"/>
    <m/>
    <m/>
    <m/>
  </r>
  <r>
    <x v="0"/>
    <s v="MAXFACTOR"/>
    <s v="MXF0044"/>
    <s v="VALL.G.04.01.01"/>
    <s v="MXF_MUEBLE_ATILA MAX FACTOR 098 CON LUZ FOOD"/>
    <n v="1"/>
    <n v="11.64"/>
    <m/>
    <m/>
    <m/>
  </r>
  <r>
    <x v="0"/>
    <s v="MAXFACTOR"/>
    <s v="MXF0044"/>
    <s v="VALL.G.02.05.01"/>
    <s v="MXF_MUEBLE_ATILA MAX FACTOR 098 CON LUZ FOOD"/>
    <n v="1"/>
    <n v="11.64"/>
    <m/>
    <m/>
    <m/>
  </r>
  <r>
    <x v="0"/>
    <s v="MAXFACTOR"/>
    <s v="MXF0044"/>
    <s v="VALL.G.01.29.01"/>
    <s v="MXF_MUEBLE_ATILA MAX FACTOR 098 CON LUZ FOOD"/>
    <n v="2"/>
    <n v="23.28"/>
    <m/>
    <m/>
    <m/>
  </r>
  <r>
    <x v="0"/>
    <s v="MAXFACTOR"/>
    <s v="MXF0044"/>
    <s v="VALL.G.01.30.01"/>
    <s v="MXF_MUEBLE_ATILA MAX FACTOR 098 CON LUZ FOOD"/>
    <n v="2"/>
    <n v="23.28"/>
    <m/>
    <m/>
    <m/>
  </r>
  <r>
    <x v="0"/>
    <s v="MAXFACTOR"/>
    <s v="MXF0044"/>
    <s v="VALL.G.01.31.01"/>
    <s v="MXF_MUEBLE_ATILA MAX FACTOR 098 CON LUZ FOOD"/>
    <n v="2"/>
    <n v="23.28"/>
    <m/>
    <m/>
    <m/>
  </r>
  <r>
    <x v="0"/>
    <s v="MAXFACTOR"/>
    <s v="MXF0065"/>
    <s v="VALL.G.03.38.02"/>
    <s v="MXF_MUEBLE_ATILA MAX FACTOR 120 CON LUZ FOOD"/>
    <n v="2"/>
    <n v="23.28"/>
    <m/>
    <m/>
    <m/>
  </r>
  <r>
    <x v="0"/>
    <s v="MAXFACTOR"/>
    <s v="MXF0065"/>
    <s v="VALL.G.03.45.03"/>
    <s v="MXF_MUEBLE_ATILA MAX FACTOR 120 CON LUZ FOOD"/>
    <n v="2"/>
    <n v="23.28"/>
    <m/>
    <m/>
    <m/>
  </r>
  <r>
    <x v="0"/>
    <s v="MAXFACTOR"/>
    <s v="MXF0065"/>
    <s v="VALL.G.03.41.03"/>
    <s v="MXF_MUEBLE_ATILA MAX FACTOR 120 CON LUZ FOOD"/>
    <n v="2"/>
    <n v="23.28"/>
    <m/>
    <m/>
    <m/>
  </r>
  <r>
    <x v="0"/>
    <s v="MAXFACTOR"/>
    <s v="MXF0065"/>
    <s v="VALL.G.03.43.02"/>
    <s v="MXF_MUEBLE_ATILA MAX FACTOR 120 CON LUZ FOOD"/>
    <n v="2"/>
    <n v="23.28"/>
    <m/>
    <m/>
    <m/>
  </r>
  <r>
    <x v="0"/>
    <s v="MAXFACTOR"/>
    <s v="MXF0065"/>
    <s v="VALL.G.03.38.03"/>
    <s v="MXF_MUEBLE_ATILA MAX FACTOR 120 CON LUZ FOOD"/>
    <n v="2"/>
    <n v="23.28"/>
    <m/>
    <m/>
    <m/>
  </r>
  <r>
    <x v="0"/>
    <s v="MAXFACTOR"/>
    <s v="MXF0065"/>
    <s v="VALL.G.03.37.03"/>
    <s v="MXF_MUEBLE_ATILA MAX FACTOR 120 CON LUZ FOOD"/>
    <n v="2"/>
    <n v="23.28"/>
    <m/>
    <m/>
    <m/>
  </r>
  <r>
    <x v="0"/>
    <s v="MAXFACTOR"/>
    <s v="MXF0065"/>
    <s v="VALL.G.03.40.03"/>
    <s v="MXF_MUEBLE_ATILA MAX FACTOR 120 CON LUZ FOOD"/>
    <n v="2"/>
    <n v="23.28"/>
    <m/>
    <m/>
    <m/>
  </r>
  <r>
    <x v="0"/>
    <s v="MAXFACTOR"/>
    <s v="MXF0065"/>
    <s v="VALL.G.03.46.03"/>
    <s v="MXF_MUEBLE_ATILA MAX FACTOR 120 CON LUZ FOOD"/>
    <n v="2"/>
    <n v="23.28"/>
    <m/>
    <m/>
    <m/>
  </r>
  <r>
    <x v="0"/>
    <s v="MAXFACTOR"/>
    <s v="MXF0065"/>
    <s v="VALL.G.03.47.03"/>
    <s v="MXF_MUEBLE_ATILA MAX FACTOR 120 CON LUZ FOOD"/>
    <n v="2"/>
    <n v="23.28"/>
    <m/>
    <m/>
    <m/>
  </r>
  <r>
    <x v="0"/>
    <s v="MAXFACTOR"/>
    <s v="MXF0065"/>
    <s v="VALL.G.03.39.03"/>
    <s v="MXF_MUEBLE_ATILA MAX FACTOR 120 CON LUZ FOOD"/>
    <n v="2"/>
    <n v="23.28"/>
    <m/>
    <m/>
    <m/>
  </r>
  <r>
    <x v="0"/>
    <s v="MAXFACTOR"/>
    <s v="MXF0065"/>
    <s v="VALL.G.03.44.02"/>
    <s v="MXF_MUEBLE_ATILA MAX FACTOR 120 CON LUZ FOOD"/>
    <n v="2"/>
    <n v="23.28"/>
    <m/>
    <m/>
    <m/>
  </r>
  <r>
    <x v="0"/>
    <s v="MAXFACTOR"/>
    <s v="MXF0065"/>
    <s v="VALL.G.03.39.02"/>
    <s v="MXF_MUEBLE_ATILA MAX FACTOR 120 CON LUZ FOOD"/>
    <n v="2"/>
    <n v="23.28"/>
    <m/>
    <m/>
    <m/>
  </r>
  <r>
    <x v="0"/>
    <s v="MAXFACTOR"/>
    <s v="MXF0065"/>
    <s v="VALL.G.03.37.02"/>
    <s v="MXF_MUEBLE_ATILA MAX FACTOR 120 CON LUZ FOOD"/>
    <n v="2"/>
    <n v="23.28"/>
    <m/>
    <m/>
    <m/>
  </r>
  <r>
    <x v="0"/>
    <s v="MAXFACTOR"/>
    <s v="MXF0065"/>
    <s v="VALL.G.03.41.02"/>
    <s v="MXF_MUEBLE_ATILA MAX FACTOR 120 CON LUZ FOOD"/>
    <n v="2"/>
    <n v="23.28"/>
    <m/>
    <m/>
    <m/>
  </r>
  <r>
    <x v="0"/>
    <s v="MAXFACTOR"/>
    <s v="MXF0065"/>
    <s v="VALL.G.03.42.03"/>
    <s v="MXF_MUEBLE_ATILA MAX FACTOR 120 CON LUZ FOOD"/>
    <n v="2"/>
    <n v="23.28"/>
    <m/>
    <m/>
    <m/>
  </r>
  <r>
    <x v="0"/>
    <s v="MAXFACTOR"/>
    <s v="MXF0065"/>
    <s v="VALL.G.03.45.02"/>
    <s v="MXF_MUEBLE_ATILA MAX FACTOR 120 CON LUZ FOOD"/>
    <n v="2"/>
    <n v="23.28"/>
    <m/>
    <m/>
    <m/>
  </r>
  <r>
    <x v="0"/>
    <s v="MAXFACTOR"/>
    <s v="MXF0065"/>
    <s v="VALL.G.03.40.02"/>
    <s v="MXF_MUEBLE_ATILA MAX FACTOR 120 CON LUZ FOOD"/>
    <n v="2"/>
    <n v="23.28"/>
    <m/>
    <m/>
    <m/>
  </r>
  <r>
    <x v="0"/>
    <s v="MAXFACTOR"/>
    <s v="MXF0065"/>
    <s v="VALL.G.03.44.03"/>
    <s v="MXF_MUEBLE_ATILA MAX FACTOR 120 CON LUZ FOOD"/>
    <n v="2"/>
    <n v="23.28"/>
    <m/>
    <m/>
    <m/>
  </r>
  <r>
    <x v="0"/>
    <s v="MAXFACTOR"/>
    <s v="MXF0095"/>
    <s v="VALL.G.05.37.02"/>
    <s v="MAXFACTOR_MUEBLE_ATILA SIN LUZ 560 (PRIMACAT)"/>
    <n v="3"/>
    <n v="34.92"/>
    <m/>
    <m/>
    <m/>
  </r>
  <r>
    <x v="0"/>
    <s v="MAXFACTOR"/>
    <s v="MXF0095"/>
    <s v="VALL.G.05.38.02"/>
    <s v="MAXFACTOR_MUEBLE_ATILA SIN LUZ 560 (PRIMACAT)"/>
    <n v="3"/>
    <n v="34.92"/>
    <m/>
    <m/>
    <m/>
  </r>
  <r>
    <x v="0"/>
    <s v="MAXFACTOR"/>
    <s v="MXF0095"/>
    <s v="VALL.G.05.39.02"/>
    <s v="MAXFACTOR_MUEBLE_ATILA SIN LUZ 560 (PRIMACAT)"/>
    <n v="3"/>
    <n v="34.92"/>
    <m/>
    <m/>
    <m/>
  </r>
  <r>
    <x v="0"/>
    <s v="MAXFACTOR"/>
    <s v="MXF0095"/>
    <s v="VALL.G.05.37.01"/>
    <s v="MAXFACTOR_MUEBLE_ATILA SIN LUZ 560 (PRIMACAT)"/>
    <n v="1"/>
    <n v="11.64"/>
    <m/>
    <m/>
    <m/>
  </r>
  <r>
    <x v="0"/>
    <s v="RIMMEL "/>
    <s v="RMM0043"/>
    <s v="VALL.G.01.03.02"/>
    <s v="RIM_MUEBLE_ATILA RIMMEL 098 CON LUZ FOOD"/>
    <n v="1"/>
    <n v="11.64"/>
    <m/>
    <m/>
    <m/>
  </r>
  <r>
    <x v="0"/>
    <s v="RIMMEL "/>
    <s v="RMM0043"/>
    <s v="VALL.G.01.04.02"/>
    <s v="RIM_MUEBLE_ATILA RIMMEL 098 CON LUZ FOOD"/>
    <n v="1"/>
    <n v="11.64"/>
    <m/>
    <m/>
    <m/>
  </r>
  <r>
    <x v="0"/>
    <s v="MAXFACTOR"/>
    <s v="MFE560001001"/>
    <s v="VALL.G.02.31.01"/>
    <s v="MXF MUEBLE GONDOLA 2M DIAM H2 FY23"/>
    <n v="1"/>
    <n v="11.64"/>
    <m/>
    <m/>
    <m/>
  </r>
  <r>
    <x v="1"/>
    <m/>
    <n v="1"/>
    <s v="TALLER"/>
    <s v="FLORMAR_MUEBLE_WALL UNIT 1M (4 CAJAS TESTERS)"/>
    <n v="1"/>
    <n v="11.64"/>
    <m/>
    <m/>
    <m/>
  </r>
  <r>
    <x v="1"/>
    <m/>
    <n v="6"/>
    <s v="TALLER"/>
    <s v="GONDOLA 2M"/>
    <n v="3"/>
    <n v="34.92"/>
    <m/>
    <m/>
    <m/>
  </r>
  <r>
    <x v="0"/>
    <s v="SALLY HANSEN"/>
    <s v="090125HP"/>
    <s v="VALL.G.05.25.01"/>
    <s v="SH_SPINNER HIPERCOR"/>
    <n v="1"/>
    <n v="11.64"/>
    <m/>
    <m/>
    <m/>
  </r>
  <r>
    <x v="0"/>
    <s v="BOURJOIS"/>
    <n v="150525.1"/>
    <s v="VALL.G.05.39.01"/>
    <s v="MUEBLE NEXT GEN 1.2M DEV H2FY25"/>
    <n v="1"/>
    <n v="11.64"/>
    <m/>
    <m/>
    <m/>
  </r>
  <r>
    <x v="0"/>
    <s v="BOURJOIS"/>
    <n v="150525.1"/>
    <s v="VALL.G.04.42.01"/>
    <s v="MUEBLE NEXT GEN 1.2M DEV H2FY25"/>
    <n v="1"/>
    <n v="11.64"/>
    <m/>
    <m/>
    <m/>
  </r>
  <r>
    <x v="0"/>
    <s v="MAXFACTOR"/>
    <n v="200325.3"/>
    <s v="TALLER"/>
    <s v="GONDOLA 2M DEV"/>
    <n v="1"/>
    <n v="11.64"/>
    <m/>
    <m/>
    <m/>
  </r>
  <r>
    <x v="0"/>
    <s v="SALLY HANSEN"/>
    <n v="240125.1"/>
    <s v="VALL.G.03.20.01"/>
    <s v="SH Spinner móvil 2HFY24 PIEZAS"/>
    <n v="1"/>
    <n v="11.64"/>
    <m/>
    <m/>
    <m/>
  </r>
  <r>
    <x v="0"/>
    <s v="SALLY HANSEN"/>
    <n v="240125.1"/>
    <s v="VALL.G.02.02.01"/>
    <s v="SH Spinner móvil 2HFY24 PIEZAS"/>
    <n v="1"/>
    <n v="11.64"/>
    <m/>
    <m/>
    <m/>
  </r>
  <r>
    <x v="0"/>
    <s v="SALLY HANSEN"/>
    <n v="240125.1"/>
    <s v="VALL.G.04.13.01"/>
    <s v="SH Spinner móvil 2HFY24 PIEZAS"/>
    <n v="2"/>
    <n v="23.28"/>
    <m/>
    <m/>
    <m/>
  </r>
  <r>
    <x v="0"/>
    <s v="RIMMEL"/>
    <n v="250225.1"/>
    <s v="TALLER"/>
    <s v="MIBAR 2M OFICINAS COTY DEV"/>
    <n v="1"/>
    <n v="11.64"/>
    <m/>
    <m/>
    <m/>
  </r>
  <r>
    <x v="0"/>
    <s v="MAXFACTOR"/>
    <n v="250225.2"/>
    <s v="TALLER"/>
    <s v="GONDOLA 2M OFINICAS COTY DEV"/>
    <n v="1"/>
    <n v="11.64"/>
    <m/>
    <m/>
    <m/>
  </r>
  <r>
    <x v="0"/>
    <s v="BOURJOIS"/>
    <n v="260225.1"/>
    <s v="VALL.G.02.22.01"/>
    <s v="MUEBLE NEXT GEN 120CM H1 FY25 DEV"/>
    <n v="1"/>
    <n v="11.64"/>
    <m/>
    <m/>
    <m/>
  </r>
  <r>
    <x v="0"/>
    <s v="BOURJOIS"/>
    <n v="260225.1"/>
    <s v="VALL.G.02.25.01"/>
    <s v="MUEBLE NEXT GEN 120CM H1 FY25 DEV"/>
    <n v="1"/>
    <n v="11.64"/>
    <m/>
    <m/>
    <m/>
  </r>
  <r>
    <x v="0"/>
    <s v="BOURJOIS"/>
    <n v="260225.1"/>
    <s v="VALL.G.04.16.01"/>
    <s v="MUEBLE NEXT GEN 120CM H1 FY25 DEV"/>
    <n v="2"/>
    <n v="23.28"/>
    <m/>
    <m/>
    <m/>
  </r>
  <r>
    <x v="0"/>
    <s v="RIMMEL"/>
    <n v="280225.09999999998"/>
    <s v="VALL.G.03.02.01"/>
    <s v="MUEBLEL MIBAR 1.2M H1 FY25 DEV"/>
    <n v="1"/>
    <n v="11.64"/>
    <m/>
    <m/>
    <m/>
  </r>
  <r>
    <x v="1"/>
    <m/>
    <n v="54005067"/>
    <s v="ZONAA"/>
    <s v="WALL UNIT 1M"/>
    <n v="3"/>
    <n v="34.92"/>
    <m/>
    <m/>
    <m/>
  </r>
  <r>
    <x v="1"/>
    <m/>
    <n v="54005250"/>
    <s v="VALL.G.01.48.01"/>
    <s v="GONDOLA 2M"/>
    <n v="1"/>
    <n v="11.64"/>
    <m/>
    <m/>
    <m/>
  </r>
  <r>
    <x v="2"/>
    <s v="WET N WILD"/>
    <s v="APT.FUENC"/>
    <s v="VALL.G.02.01.01"/>
    <s v="MUEBLE"/>
    <n v="1"/>
    <n v="11.64"/>
    <m/>
    <m/>
    <m/>
  </r>
  <r>
    <x v="2"/>
    <s v="WET N WILD"/>
    <s v="APT.FUENC"/>
    <s v="VALL.G.03.05.01"/>
    <s v="MUEBLE"/>
    <n v="2"/>
    <n v="23.28"/>
    <m/>
    <m/>
    <m/>
  </r>
  <r>
    <x v="2"/>
    <s v="WET N WILD"/>
    <s v="APT.UBEDA"/>
    <s v="VALL.G.05.18.01"/>
    <s v="MUEBLE"/>
    <n v="1"/>
    <n v="11.64"/>
    <m/>
    <m/>
    <m/>
  </r>
  <r>
    <x v="3"/>
    <s v="ASTRA"/>
    <s v="ASTRA_CATARROJA"/>
    <s v="VALL.G.02.14.01"/>
    <s v="MUEBLE + PRODUCTO"/>
    <n v="1"/>
    <n v="11.64"/>
    <m/>
    <m/>
    <m/>
  </r>
  <r>
    <x v="3"/>
    <s v="ASTRA"/>
    <s v="ASTRA_CATARROJA"/>
    <s v="VALL.G.02.13.01"/>
    <s v="MUEBLE + PRODUCTO"/>
    <n v="1"/>
    <n v="11.64"/>
    <m/>
    <m/>
    <m/>
  </r>
  <r>
    <x v="0"/>
    <s v="MXF_RIM"/>
    <s v="ATILA120MIXTO"/>
    <s v="ZONAB"/>
    <s v="ESTRUCTURA ATILA 120 MIXTO CON LUZ BLANCO H2FY25"/>
    <n v="15"/>
    <n v="174.6"/>
    <m/>
    <m/>
    <m/>
  </r>
  <r>
    <x v="0"/>
    <s v="MXF_RIM"/>
    <s v="ATILA120MIXTO"/>
    <s v="VALL.G.03.10.01"/>
    <s v="ESTRUCTURA ATILA 120 MIXTO CON LUZ BLANCO H2FY25"/>
    <n v="1"/>
    <n v="11.64"/>
    <m/>
    <m/>
    <m/>
  </r>
  <r>
    <x v="0"/>
    <s v="RIMMEL"/>
    <s v="ATILA120RIM"/>
    <s v="VALL.G.04.10.01"/>
    <s v="ESTRUCTURA ATILA 120 RIMMEL CON LUZ BLANCO H2FY25"/>
    <n v="1"/>
    <n v="11.64"/>
    <m/>
    <m/>
    <m/>
  </r>
  <r>
    <x v="0"/>
    <s v="RIMMEL"/>
    <s v="ATILA120RIM-I"/>
    <s v="VALL.G.04.37.01"/>
    <s v="ESTRUCTURA ATILA 120 RIMMEL CON LUZ BLANCO"/>
    <n v="1"/>
    <n v="11.64"/>
    <m/>
    <m/>
    <m/>
  </r>
  <r>
    <x v="0"/>
    <s v="RIMMEL"/>
    <s v="ATILA120RIM-I"/>
    <s v="VALL.G.03.11.01"/>
    <s v="ESTRUCTURA ATILA 120 RIMMEL CON LUZ BLANCO"/>
    <n v="1"/>
    <n v="11.64"/>
    <m/>
    <m/>
    <m/>
  </r>
  <r>
    <x v="0"/>
    <s v="RIMMEL"/>
    <s v="ATILA120RIM-I"/>
    <s v="VALL.G.04.40.01"/>
    <s v="ESTRUCTURA ATILA 120 RIMMEL CON LUZ BLANCO"/>
    <n v="1"/>
    <n v="11.64"/>
    <m/>
    <m/>
    <m/>
  </r>
  <r>
    <x v="0"/>
    <s v="RIMMEL"/>
    <s v="ATILA98RIMBP"/>
    <s v="ZONAB"/>
    <s v="ATILA98 BON PREU BLANCO_CON LUZ_ H1FY25"/>
    <n v="15"/>
    <n v="174.6"/>
    <m/>
    <m/>
    <m/>
  </r>
  <r>
    <x v="0"/>
    <s v="BOURJOIS"/>
    <s v="BJS_NEWGEN2MGONDOLA"/>
    <s v="VALL.PLAYA.01.01.01"/>
    <s v="bjs new gen 2m H1FY25"/>
    <n v="5"/>
    <n v="58.2"/>
    <m/>
    <m/>
    <m/>
  </r>
  <r>
    <x v="0"/>
    <s v="RIMMEL"/>
    <s v="COTY0020"/>
    <s v="VALL.G.02.36.01"/>
    <s v="PDTE_MUEBLE_ATILA DOLBE CARA MIXTO 0.58 SIN LUZ"/>
    <n v="1"/>
    <n v="11.64"/>
    <m/>
    <m/>
    <m/>
  </r>
  <r>
    <x v="0"/>
    <s v="RIMMEL"/>
    <s v="COTY0020"/>
    <s v="GF.VALLG"/>
    <s v="PDTE_MUEBLE_ATILA DOLBE CARA MIXTO 0.58 SIN LUZ"/>
    <n v="11"/>
    <n v="128.04"/>
    <m/>
    <m/>
    <m/>
  </r>
  <r>
    <x v="0"/>
    <s v="MAXFACTOR"/>
    <s v="COTY0031"/>
    <s v="VALL.G.04.52.01"/>
    <s v="MXF_MUEBLE_ATILA 058 SIN LUZ"/>
    <n v="2"/>
    <n v="23.28"/>
    <m/>
    <m/>
    <m/>
  </r>
  <r>
    <x v="0"/>
    <s v="MAXFACTOR"/>
    <s v="COTY0031.1"/>
    <s v="TALLER"/>
    <s v="MXF_MUEBLE_ATILA 0.58 SIN LUZ DEV"/>
    <n v="1"/>
    <n v="11.64"/>
    <m/>
    <m/>
    <m/>
  </r>
  <r>
    <x v="0"/>
    <s v="MAXFACTOR"/>
    <s v="COTY0031_DEV"/>
    <s v="VALL.G.03.09.01"/>
    <s v="RECOGIDA DE 7 ATILA FOOD"/>
    <n v="3"/>
    <n v="34.92"/>
    <m/>
    <m/>
    <m/>
  </r>
  <r>
    <x v="0"/>
    <s v="MAXFACTOR"/>
    <s v="COTY0031_DEV"/>
    <s v="VALL.G.03.15.01"/>
    <s v="RECOGIDA DE 7 ATILA FOOD"/>
    <n v="4"/>
    <n v="46.56"/>
    <m/>
    <m/>
    <m/>
  </r>
  <r>
    <x v="0"/>
    <s v="MAXFACTOR"/>
    <s v="COTY0031DEV"/>
    <s v="VALL.G.04.08.01"/>
    <s v="MXF_MUEBLE_ATILA 0.58 SIN LUZ DEV"/>
    <n v="1"/>
    <n v="11.64"/>
    <m/>
    <m/>
    <m/>
  </r>
  <r>
    <x v="0"/>
    <s v="MAXFACTOR"/>
    <s v="COTY0031-I"/>
    <s v="VALL.G.02.35.01"/>
    <s v="ATILA MXF NEGRO_SIN LUZ_ 56"/>
    <n v="1"/>
    <n v="11.64"/>
    <m/>
    <m/>
    <m/>
  </r>
  <r>
    <x v="0"/>
    <s v="RIMMEL "/>
    <s v="COTY0046"/>
    <s v="VALL.G.04.25.01"/>
    <s v="RIM_MUEBLE_BLISTER"/>
    <n v="3"/>
    <n v="34.92"/>
    <m/>
    <m/>
    <m/>
  </r>
  <r>
    <x v="0"/>
    <s v="RIMMEL "/>
    <s v="COTY0046"/>
    <s v="VALL.G.04.15.01"/>
    <s v="RIM_MUEBLE_BLISTER"/>
    <n v="1"/>
    <n v="11.64"/>
    <m/>
    <m/>
    <m/>
  </r>
  <r>
    <x v="0"/>
    <s v="RIMMEL "/>
    <s v="COTY0046"/>
    <s v="VALL.G.04.27.01"/>
    <s v="RIM_MUEBLE_BLISTER"/>
    <n v="3"/>
    <n v="34.92"/>
    <m/>
    <m/>
    <m/>
  </r>
  <r>
    <x v="0"/>
    <s v="RIMMEL "/>
    <s v="COTY0046"/>
    <s v="VALL.G.03.04.01"/>
    <s v="RIM_MUEBLE_BLISTER"/>
    <n v="2"/>
    <n v="23.28"/>
    <m/>
    <m/>
    <m/>
  </r>
  <r>
    <x v="0"/>
    <s v="RIMMEL "/>
    <s v="COTY0046"/>
    <s v="VALL.G.04.26.01"/>
    <s v="RIM_MUEBLE_BLISTER"/>
    <n v="3"/>
    <n v="34.92"/>
    <m/>
    <m/>
    <m/>
  </r>
  <r>
    <x v="0"/>
    <s v="RIMMEL "/>
    <s v="COTY0046"/>
    <s v="VALL.G.04.10.01"/>
    <s v="RIM_MUEBLE_BLISTER"/>
    <n v="3"/>
    <n v="34.92"/>
    <m/>
    <m/>
    <m/>
  </r>
  <r>
    <x v="0"/>
    <s v="RIMMEL"/>
    <s v="COTY0046DEV"/>
    <s v="VALL.G.03.32.01"/>
    <s v="RIM_MUEBLE_BLISTER"/>
    <n v="2"/>
    <n v="23.28"/>
    <m/>
    <m/>
    <m/>
  </r>
  <r>
    <x v="0"/>
    <s v="RIMMEL"/>
    <s v="COTY0046DEV"/>
    <s v="VALL.G.03.31.01"/>
    <s v="RIM_MUEBLE_BLISTER"/>
    <n v="2"/>
    <n v="23.28"/>
    <m/>
    <m/>
    <m/>
  </r>
  <r>
    <x v="0"/>
    <s v="RIMMEL"/>
    <s v="COTY0047"/>
    <s v="VALL.G.05.24.01"/>
    <s v="PDTE_MUEBLE_ATILA 40 CFR"/>
    <n v="1"/>
    <n v="11.64"/>
    <m/>
    <m/>
    <m/>
  </r>
  <r>
    <x v="0"/>
    <s v="BOURJOIS"/>
    <s v="COTY0123"/>
    <s v="VALL.PLAYA.01.01.01"/>
    <s v="BJ MUEBLE NEXT GEN GONDOLA 2MFY23"/>
    <n v="3"/>
    <n v="34.92"/>
    <m/>
    <m/>
    <m/>
  </r>
  <r>
    <x v="0"/>
    <s v="RIMMEL"/>
    <s v="COTY0126"/>
    <s v="VALL.G.04.06.01"/>
    <s v="RIM_MUEBLE_ATILA RIMMEL 120 CON LUZ FOOD"/>
    <n v="1"/>
    <n v="11.64"/>
    <m/>
    <m/>
    <m/>
  </r>
  <r>
    <x v="0"/>
    <s v="RIMMEL"/>
    <s v="COTY0127"/>
    <s v="VALL.G.03.10.02"/>
    <s v="MUEBLE ATILA BLISTER 560- RIMMEL"/>
    <n v="3"/>
    <n v="34.92"/>
    <m/>
    <m/>
    <m/>
  </r>
  <r>
    <x v="0"/>
    <s v="RIMMEL"/>
    <s v="COTY0127"/>
    <s v="VALL.G.03.11.02"/>
    <s v="MUEBLE ATILA BLISTER 560- RIMMEL"/>
    <n v="3"/>
    <n v="34.92"/>
    <m/>
    <m/>
    <m/>
  </r>
  <r>
    <x v="0"/>
    <s v="RIMMEL"/>
    <s v="COTY0127"/>
    <s v="VALL.G.03.02.02"/>
    <s v="MUEBLE ATILA BLISTER 560- RIMMEL"/>
    <n v="3"/>
    <n v="34.92"/>
    <m/>
    <m/>
    <m/>
  </r>
  <r>
    <x v="0"/>
    <s v="RIMMEL"/>
    <s v="COTY0127"/>
    <s v="VALL.G.03.03.02"/>
    <s v="MUEBLE ATILA BLISTER 560- RIMMEL"/>
    <n v="3"/>
    <n v="34.92"/>
    <m/>
    <m/>
    <m/>
  </r>
  <r>
    <x v="0"/>
    <s v="RIMMEL"/>
    <s v="COTY0127"/>
    <s v="VALL.G.03.08.02"/>
    <s v="MUEBLE ATILA BLISTER 560- RIMMEL"/>
    <n v="3"/>
    <n v="34.92"/>
    <m/>
    <m/>
    <m/>
  </r>
  <r>
    <x v="0"/>
    <s v="RIMMEL"/>
    <s v="COTY0127"/>
    <s v="VALL.G.03.09.02"/>
    <s v="MUEBLE ATILA BLISTER 560- RIMMEL"/>
    <n v="3"/>
    <n v="34.92"/>
    <m/>
    <m/>
    <m/>
  </r>
  <r>
    <x v="0"/>
    <s v="RIMMEL"/>
    <s v="COTY0127"/>
    <s v="VALL.G.03.12.02"/>
    <s v="MUEBLE ATILA BLISTER 560- RIMMEL"/>
    <n v="2"/>
    <n v="23.28"/>
    <m/>
    <m/>
    <m/>
  </r>
  <r>
    <x v="0"/>
    <s v="RIMMEL"/>
    <s v="COTY0127"/>
    <s v="VALL.G.02.23.01"/>
    <s v="MUEBLE ATILA BLISTER 560- RIMMEL"/>
    <n v="1"/>
    <n v="11.64"/>
    <m/>
    <m/>
    <m/>
  </r>
  <r>
    <x v="0"/>
    <s v="RIMMEL"/>
    <s v="COTY0127+KITS"/>
    <s v="VALL.G.05.15.01"/>
    <s v="MUEBLE ATILA BLISTER 56 HIBRIDO +KITS"/>
    <n v="1"/>
    <n v="11.64"/>
    <m/>
    <m/>
    <m/>
  </r>
  <r>
    <x v="0"/>
    <s v="RIMMEL"/>
    <s v="COTY0127+KITS"/>
    <s v="VALL.G.05.32.01"/>
    <s v="MUEBLE ATILA BLISTER 56 HIBRIDO +KITS"/>
    <n v="3"/>
    <n v="34.92"/>
    <m/>
    <m/>
    <m/>
  </r>
  <r>
    <x v="0"/>
    <s v="RIMMEL"/>
    <s v="COTY0127+KITS"/>
    <s v="VALL.G.05.46.01"/>
    <s v="MUEBLE ATILA BLISTER 56 HIBRIDO +KITS"/>
    <n v="3"/>
    <n v="34.92"/>
    <m/>
    <m/>
    <m/>
  </r>
  <r>
    <x v="0"/>
    <s v="RIMMEL"/>
    <s v="COTY0127+KITS"/>
    <s v="VALL.G.05.47.01"/>
    <s v="MUEBLE ATILA BLISTER 56 HIBRIDO +KITS"/>
    <n v="3"/>
    <n v="34.92"/>
    <m/>
    <m/>
    <m/>
  </r>
  <r>
    <x v="0"/>
    <s v="RIMMEL"/>
    <s v="COTY0127DEV"/>
    <s v="VALL.G.03.24.01"/>
    <s v="RIM_MUEBLE_ATILA BLISTER 56"/>
    <n v="1"/>
    <n v="11.64"/>
    <m/>
    <m/>
    <m/>
  </r>
  <r>
    <x v="0"/>
    <s v="RIMMEL"/>
    <s v="DEST_280526"/>
    <s v="ZONAA"/>
    <s v="MUEBLE RIMMEL MIBAR 120 PARA DESTRUIR"/>
    <n v="1"/>
    <n v="11.64"/>
    <m/>
    <m/>
    <m/>
  </r>
  <r>
    <x v="0"/>
    <s v="MAXFACTOR"/>
    <s v="DEST_280526.1"/>
    <s v="ZONAA"/>
    <s v="MUEBLE RIMMEL H4 120 PARA DESTRUIR"/>
    <n v="1"/>
    <n v="11.64"/>
    <m/>
    <m/>
    <m/>
  </r>
  <r>
    <x v="0"/>
    <s v="BOURJOIS"/>
    <s v="DEST_280526.2"/>
    <s v="ZONAA"/>
    <s v="MUEBLE RIMMEL BOURJOIS GEN120 PARA DESTRUIR"/>
    <n v="1"/>
    <n v="11.64"/>
    <m/>
    <m/>
    <m/>
  </r>
  <r>
    <x v="0"/>
    <s v="MAXFACTOR"/>
    <s v="DEV_LIVEMXF120"/>
    <s v="VALL.G.03.19.01"/>
    <s v="MUEBLE LIVE MAX FACTOR 120 FY26"/>
    <n v="1"/>
    <n v="11.64"/>
    <m/>
    <m/>
    <m/>
  </r>
  <r>
    <x v="0"/>
    <s v="RIMMEL"/>
    <s v="DEV_LIVERIMM120"/>
    <s v="VALL.G.03.19.01"/>
    <s v="MUEBLE LIVE RIMMEL 120 FY25"/>
    <n v="1"/>
    <n v="11.64"/>
    <m/>
    <m/>
    <m/>
  </r>
  <r>
    <x v="0"/>
    <s v="RIMMEL"/>
    <s v="DEV0207.1"/>
    <s v="TALLER"/>
    <s v="MIBAR 2M DEV"/>
    <n v="1"/>
    <n v="11.64"/>
    <m/>
    <m/>
    <m/>
  </r>
  <r>
    <x v="0"/>
    <s v="MAXFACTOR"/>
    <s v="DEV0207.2"/>
    <s v="TALLER"/>
    <s v="GONDOLA 2M DEV"/>
    <n v="1"/>
    <n v="11.64"/>
    <m/>
    <m/>
    <m/>
  </r>
  <r>
    <x v="0"/>
    <s v="RIMMEL"/>
    <s v="DEV07"/>
    <s v="VALL.G.02.06.01"/>
    <s v="RIM_MUEBLE_MIBAR 1.2M SPANISH H2 FY24 DEV"/>
    <n v="1"/>
    <n v="11.64"/>
    <m/>
    <m/>
    <m/>
  </r>
  <r>
    <x v="0"/>
    <s v="RIMMEL"/>
    <s v="DEV081025"/>
    <s v="VALL.G.02.39.01"/>
    <s v="MIBAR 2M_H2FY25 DEV"/>
    <n v="1"/>
    <n v="11.64"/>
    <m/>
    <m/>
    <m/>
  </r>
  <r>
    <x v="0"/>
    <s v="MAXFACTOR"/>
    <s v="DEV081025.1"/>
    <s v="VALL.G.03.06.01"/>
    <s v="MXF_MUEBLE_H41.2M H2FY25 DEV"/>
    <n v="1"/>
    <n v="11.64"/>
    <m/>
    <m/>
    <m/>
  </r>
  <r>
    <x v="0"/>
    <s v="RIMMEL"/>
    <s v="DEV120625.1"/>
    <s v="VALL.G.05.30.01"/>
    <s v="RIM_MUEBLE_MIBAR 1.2M DEV"/>
    <n v="1"/>
    <n v="11.64"/>
    <m/>
    <m/>
    <m/>
  </r>
  <r>
    <x v="0"/>
    <s v="BOURJOIS"/>
    <s v="DEV160525.3"/>
    <s v="VALL.G.07.32.01"/>
    <s v="MUEBLE NEXT GEN GONDOLA PIEZAS"/>
    <n v="1"/>
    <n v="11.64"/>
    <m/>
    <m/>
    <m/>
  </r>
  <r>
    <x v="0"/>
    <s v="SALLY HANSEN"/>
    <s v="DEV17"/>
    <s v="VALL.G.05.02.01"/>
    <s v="GONDOLA SALLY HANSEN DEV"/>
    <n v="1"/>
    <n v="11.64"/>
    <m/>
    <m/>
    <m/>
  </r>
  <r>
    <x v="0"/>
    <s v="RIMMEL"/>
    <s v="DEV230625.3"/>
    <s v="VALL.G.04.05.01"/>
    <s v="MIBAR 1.2M PARA RECUPERAR"/>
    <n v="1"/>
    <n v="11.64"/>
    <m/>
    <m/>
    <m/>
  </r>
  <r>
    <x v="0"/>
    <s v="BOURJOIS"/>
    <s v="DEV230625.5"/>
    <s v="DESTRUCCION"/>
    <s v="MUEBLE BOURJOIS PARA DESTRUIR"/>
    <n v="1"/>
    <n v="11.64"/>
    <m/>
    <m/>
    <m/>
  </r>
  <r>
    <x v="0"/>
    <s v="SALLY HANSEN"/>
    <s v="DEV230625.7"/>
    <s v="VALL.G.05.16.01"/>
    <s v="PARED 1M SIN GANCHOS PARA RECUPERAR"/>
    <n v="1"/>
    <n v="11.64"/>
    <m/>
    <m/>
    <m/>
  </r>
  <r>
    <x v="0"/>
    <s v="RIMMEL"/>
    <s v="DEV250425.1"/>
    <s v="VALL.G.02.37.01"/>
    <s v="RIM_MUEBLE_MIBAR 1.2M DEV"/>
    <n v="1"/>
    <n v="11.64"/>
    <m/>
    <m/>
    <m/>
  </r>
  <r>
    <x v="0"/>
    <s v="MAXFACTOR"/>
    <s v="DEV250425.3"/>
    <s v="VALL.G.04.38.01"/>
    <s v="MXF_MUEBLE_H4 1.2M DEV"/>
    <n v="1"/>
    <n v="11.64"/>
    <m/>
    <m/>
    <m/>
  </r>
  <r>
    <x v="0"/>
    <s v="RIMMEL"/>
    <s v="DEV260825"/>
    <s v="VALL.G.04.21.01"/>
    <s v="RIM_MUEBLE MIBAR 1.2M DEV"/>
    <n v="1"/>
    <n v="11.64"/>
    <m/>
    <m/>
    <m/>
  </r>
  <r>
    <x v="0"/>
    <s v="MAX FACTOR"/>
    <s v="DEVMXFH4120"/>
    <s v="VALL.G.04.11.01"/>
    <s v="MXF H4120 120 H1FY26"/>
    <n v="1"/>
    <n v="11.64"/>
    <m/>
    <m/>
    <m/>
  </r>
  <r>
    <x v="0"/>
    <s v="SALLY HANSEN"/>
    <s v="DEVSH_ECI_26"/>
    <s v="VALL.G.05.04.01"/>
    <s v="SALLY HANSEN SPINNER ECI DEVOLUCION"/>
    <n v="1"/>
    <n v="11.64"/>
    <m/>
    <m/>
    <m/>
  </r>
  <r>
    <x v="4"/>
    <s v="ESSENCE"/>
    <s v="ESSENCE 2M"/>
    <s v="VALL.G.05.21.01"/>
    <s v="ESSENCE_2M_NUEVO"/>
    <n v="1"/>
    <n v="11.64"/>
    <m/>
    <m/>
    <m/>
  </r>
  <r>
    <x v="4"/>
    <s v="ESSENCE"/>
    <s v="ESSENCE 2M"/>
    <s v="VALL.G.05.22.01"/>
    <s v="ESSENCE_2M_NUEVO"/>
    <n v="1"/>
    <n v="11.64"/>
    <m/>
    <m/>
    <m/>
  </r>
  <r>
    <x v="4"/>
    <s v="ESSENCE"/>
    <s v="ESSENCE 2M PART"/>
    <s v="VALL.G.04.32.01"/>
    <s v="ESSENCE 2M MODULOS DERECHOS"/>
    <n v="1"/>
    <n v="11.64"/>
    <m/>
    <m/>
    <m/>
  </r>
  <r>
    <x v="4"/>
    <s v="ESSENCE"/>
    <s v="ESSENCE 2M PART"/>
    <s v="VALL.G.04.31.01"/>
    <s v="ESSENCE 2M MODULOS DERECHOS"/>
    <n v="1"/>
    <n v="11.64"/>
    <m/>
    <m/>
    <m/>
  </r>
  <r>
    <x v="4"/>
    <s v="ESSENCE"/>
    <s v="ESSENCE 2M PARTES IZ"/>
    <s v="VALL.G.06.56.01"/>
    <s v="ESSENCE 2M MODULO IZQ"/>
    <n v="1"/>
    <n v="11.64"/>
    <m/>
    <m/>
    <m/>
  </r>
  <r>
    <x v="4"/>
    <s v="ESSENCE"/>
    <s v="ESSENCE 2M PARTES IZ"/>
    <s v="VALL.G.06.24.01"/>
    <s v="ESSENCE 2M MODULO IZQ"/>
    <n v="1"/>
    <n v="11.64"/>
    <m/>
    <m/>
    <m/>
  </r>
  <r>
    <x v="4"/>
    <s v="ESSENCE"/>
    <s v="ESSENCE SINGLE"/>
    <s v="VALL.G.02.04.02"/>
    <s v="ESSENCE_ MUEBLE_NUEVO"/>
    <n v="1"/>
    <n v="11.64"/>
    <m/>
    <m/>
    <m/>
  </r>
  <r>
    <x v="4"/>
    <s v="ESSENCE"/>
    <s v="ESSENCE SINGLE"/>
    <s v="VALL.G.01.01.01"/>
    <s v="ESSENCE_ MUEBLE_NUEVO"/>
    <n v="4"/>
    <n v="46.56"/>
    <m/>
    <m/>
    <m/>
  </r>
  <r>
    <x v="4"/>
    <s v="ESSENCE"/>
    <s v="ESSENCE SINGLE"/>
    <s v="VALL.G.05.19.01"/>
    <s v="ESSENCE_ MUEBLE_NUEVO"/>
    <n v="1"/>
    <n v="11.64"/>
    <m/>
    <m/>
    <m/>
  </r>
  <r>
    <x v="4"/>
    <s v="ESSENCE"/>
    <s v="ESSENCE SINGLE"/>
    <s v="VALL.G.02.03.02"/>
    <s v="ESSENCE_ MUEBLE_NUEVO"/>
    <n v="1"/>
    <n v="11.64"/>
    <m/>
    <m/>
    <m/>
  </r>
  <r>
    <x v="1"/>
    <m/>
    <s v="FLOR_00020_24"/>
    <s v="ZONAB"/>
    <s v="GONDOLA 2 M"/>
    <n v="1"/>
    <n v="11.64"/>
    <m/>
    <m/>
    <m/>
  </r>
  <r>
    <x v="1"/>
    <m/>
    <s v="FLOR_REV5"/>
    <s v="VALL.G.06.19.01"/>
    <s v="ENTRADAS NUEVAS PARA REVISAR_5"/>
    <n v="1"/>
    <n v="11.64"/>
    <m/>
    <m/>
    <m/>
  </r>
  <r>
    <x v="0"/>
    <s v="MAXFACTOR"/>
    <s v="MDIAM2M_26"/>
    <s v="VALL.PLAYA.01.01.01"/>
    <s v="MUEBLE GONDOLA DIAM 2M H2FY26"/>
    <n v="10"/>
    <n v="116.4"/>
    <m/>
    <m/>
    <m/>
  </r>
  <r>
    <x v="0"/>
    <s v="MAXFACTOR"/>
    <s v="MH4120_26"/>
    <s v="VALL.PLAYA.01.01.01"/>
    <s v="MUEBLE H4 120 H2FY26"/>
    <n v="18"/>
    <n v="209.52"/>
    <m/>
    <m/>
    <m/>
  </r>
  <r>
    <x v="0"/>
    <s v="RIMM/MXF"/>
    <s v="MIXTO_ATILA 98"/>
    <s v="VALL.G.02.23.02"/>
    <s v="MIXTO_MUEBLE_ATILA mixto 98 (58Rimm+58MXF) negro c"/>
    <n v="2"/>
    <n v="23.28"/>
    <m/>
    <m/>
    <m/>
  </r>
  <r>
    <x v="0"/>
    <s v="RIMM/MXF"/>
    <s v="MIXTO_ATILA 98"/>
    <s v="VALL.G.02.22.02"/>
    <s v="MIXTO_MUEBLE_ATILA mixto 98 (58Rimm+58MXF) negro c"/>
    <n v="2"/>
    <n v="23.28"/>
    <m/>
    <m/>
    <m/>
  </r>
  <r>
    <x v="0"/>
    <s v="RIMM/MXF"/>
    <s v="MIXTO_ATILA 98"/>
    <s v="VALL.G.02.19.01"/>
    <s v="MIXTO_MUEBLE_ATILA mixto 98 (58Rimm+58MXF) negro c"/>
    <n v="1"/>
    <n v="11.64"/>
    <m/>
    <m/>
    <m/>
  </r>
  <r>
    <x v="0"/>
    <s v="RIMM/MXF"/>
    <s v="MIXTO_ATILA 98"/>
    <s v="VALL.G.02.24.02"/>
    <s v="MIXTO_MUEBLE_ATILA mixto 98 (58Rimm+58MXF) negro c"/>
    <n v="2"/>
    <n v="23.28"/>
    <m/>
    <m/>
    <m/>
  </r>
  <r>
    <x v="0"/>
    <s v="RIMM/MXF"/>
    <s v="MIXTO_ATILA 98"/>
    <s v="VALL.G.02.21.02"/>
    <s v="MIXTO_MUEBLE_ATILA mixto 98 (58Rimm+58MXF) negro c"/>
    <n v="2"/>
    <n v="23.28"/>
    <m/>
    <m/>
    <m/>
  </r>
  <r>
    <x v="0"/>
    <s v="RIMM/MXF"/>
    <s v="MIXTO_ATILA 98"/>
    <s v="VALL.G.02.25.02"/>
    <s v="MIXTO_MUEBLE_ATILA mixto 98 (58Rimm+58MXF) negro c"/>
    <n v="2"/>
    <n v="23.28"/>
    <m/>
    <m/>
    <m/>
  </r>
  <r>
    <x v="0"/>
    <s v="RIMM/MXF"/>
    <s v="MIXTO_ATILA 98"/>
    <s v="VALL.G.02.20.02"/>
    <s v="MIXTO_MUEBLE_ATILA mixto 98 (58Rimm+58MXF) negro c"/>
    <n v="2"/>
    <n v="23.28"/>
    <m/>
    <m/>
    <m/>
  </r>
  <r>
    <x v="0"/>
    <s v="RIMM/MXF"/>
    <s v="MIXTO_ATILA 98"/>
    <s v="VALL.G.02.19.02"/>
    <s v="MIXTO_MUEBLE_ATILA mixto 98 (58Rimm+58MXF) negro c"/>
    <n v="2"/>
    <n v="23.28"/>
    <m/>
    <m/>
    <m/>
  </r>
  <r>
    <x v="0"/>
    <s v="RIMMEL"/>
    <s v="MLIVERIM120PREX"/>
    <s v="ZONAB"/>
    <s v="MUEBLE LIVE RIMMEL 120 FY25 PREX"/>
    <n v="27"/>
    <n v="314.27999999999997"/>
    <m/>
    <m/>
    <m/>
  </r>
  <r>
    <x v="0"/>
    <s v="RIMMEL"/>
    <s v="MMIBAR120_26"/>
    <s v="VALL.PLAYA.01.01.01"/>
    <s v="MUEBLE MIBAR 120 H2FY26"/>
    <n v="26"/>
    <n v="302.64"/>
    <m/>
    <m/>
    <m/>
  </r>
  <r>
    <x v="0"/>
    <s v="RIMMEL"/>
    <s v="MMIBAR120_26I"/>
    <s v="VALL.G.04.45.01"/>
    <s v="MUEBLE MIBAR 120 H2FY26  INCOMPLETO"/>
    <n v="1"/>
    <n v="11.64"/>
    <m/>
    <m/>
    <m/>
  </r>
  <r>
    <x v="0"/>
    <s v="RIMMEL"/>
    <s v="MMIBAR2M_26"/>
    <s v="VALL.PLAYA.01.01.01"/>
    <s v="MUEBLE MIBAR 2M H2FY26"/>
    <n v="22"/>
    <n v="256.08"/>
    <m/>
    <m/>
    <m/>
  </r>
  <r>
    <x v="0"/>
    <s v="BOURJOIS"/>
    <s v="MNEXTGEN120_26"/>
    <s v="VALL.PLAYA.01.01.01"/>
    <s v="MUEBLE NEXT GEN 120 H2FY26"/>
    <n v="39"/>
    <n v="453.96"/>
    <m/>
    <m/>
    <m/>
  </r>
  <r>
    <x v="0"/>
    <s v="BOURJOIS"/>
    <s v="MNEXTGEN120_26D"/>
    <s v="TALLER"/>
    <s v="MUEBLE NEXT GEN 120 H2FY26 DAÑADO"/>
    <n v="1"/>
    <n v="11.64"/>
    <m/>
    <m/>
    <m/>
  </r>
  <r>
    <x v="0"/>
    <s v="BOURJOIS"/>
    <s v="MNEXTGEN2M_26"/>
    <s v="VALL.PLAYA.01.01.01"/>
    <s v="MUEBLE NEXT GEN 2M H2FY26"/>
    <n v="41"/>
    <n v="477.24"/>
    <m/>
    <m/>
    <m/>
  </r>
  <r>
    <x v="0"/>
    <s v="SALLY HANSEN"/>
    <s v="MSPINNER_26"/>
    <s v="ZONAA"/>
    <s v="MUEBLE SPINNER H2FY26"/>
    <n v="21"/>
    <n v="244.44"/>
    <m/>
    <m/>
    <m/>
  </r>
  <r>
    <x v="0"/>
    <s v="SALLY HANSEN"/>
    <s v="MUEBLEADAPTSH"/>
    <s v="VALL.G.06.40.01"/>
    <s v="SPINNER SALLY HANSEN ADAPTADO A 148H"/>
    <n v="1"/>
    <n v="11.64"/>
    <m/>
    <m/>
    <m/>
  </r>
  <r>
    <x v="0"/>
    <s v="SALLY HANSEN"/>
    <s v="MUEBLEADAPTSH-I"/>
    <s v="VALL.G.06.26.01"/>
    <s v="SPINNER SALLY HANSEN ADAPTADO A 148H INCOMPLETO"/>
    <n v="1"/>
    <n v="11.64"/>
    <m/>
    <m/>
    <m/>
  </r>
  <r>
    <x v="0"/>
    <s v="SALLY HANSEN"/>
    <s v="MUEBLECARCASASH"/>
    <s v="ZONAB"/>
    <s v="SPINNER SALLY HANSEN CARCASA"/>
    <n v="9"/>
    <n v="104.76"/>
    <m/>
    <m/>
    <m/>
  </r>
  <r>
    <x v="0"/>
    <s v="MAXFACTOR"/>
    <s v="MUEBLELIVEMXF120"/>
    <s v="ZONAB"/>
    <s v="MUEBLE LIVE MAX FACTOR 120 FY25"/>
    <n v="29"/>
    <n v="337.56"/>
    <m/>
    <m/>
    <m/>
  </r>
  <r>
    <x v="0"/>
    <s v="MAXFACTOR"/>
    <s v="MUEBLELIVEMXF2M"/>
    <s v="VALL.PLAYA.01.01.01"/>
    <s v="MUEBLE LIVE MAX FACTOR 2M FY25"/>
    <n v="12"/>
    <n v="139.68"/>
    <m/>
    <m/>
    <m/>
  </r>
  <r>
    <x v="0"/>
    <s v="RIMMEL"/>
    <s v="MUEBLELIVERIM120"/>
    <s v="VALL.PLAYA.01.01.01"/>
    <s v="MUEBLE LIVE RIMMEL 120 FY25"/>
    <n v="1"/>
    <n v="11.64"/>
    <m/>
    <m/>
    <m/>
  </r>
  <r>
    <x v="0"/>
    <s v="SALLY HANSEN"/>
    <s v="MUEBLESH1M"/>
    <s v="VALL.PLAYA.01.01.01"/>
    <s v="MUEBLE SALLY HANSEN 1M BB H2FY25"/>
    <n v="6"/>
    <n v="69.84"/>
    <m/>
    <m/>
    <m/>
  </r>
  <r>
    <x v="0"/>
    <s v="SALLY HANSEN"/>
    <s v="MUEBLESH1M"/>
    <s v="VALL.G.03.44.01"/>
    <s v="MUEBLE SALLY HANSEN 1M BB H2FY25"/>
    <n v="1"/>
    <n v="11.64"/>
    <m/>
    <m/>
    <m/>
  </r>
  <r>
    <x v="0"/>
    <s v="SALLY HANSEN"/>
    <s v="MUEBLESH1M"/>
    <s v="VALL.G.03.43.01"/>
    <s v="MUEBLE SALLY HANSEN 1M BB H2FY25"/>
    <n v="1"/>
    <n v="11.64"/>
    <m/>
    <m/>
    <m/>
  </r>
  <r>
    <x v="0"/>
    <s v="MAXFACTOR"/>
    <s v="MXF_APERTURAS"/>
    <s v="VALL.G.03.21.01"/>
    <s v="MXF_APERTURAS"/>
    <n v="1"/>
    <n v="11.64"/>
    <m/>
    <m/>
    <m/>
  </r>
  <r>
    <x v="0"/>
    <s v="MAXFACTOR"/>
    <s v="MXF_ATILA120F25"/>
    <s v="VALL.G.05.31.01"/>
    <s v="MUEBLE ATILA MAXFACTOR _NEGRO-LUZ_FY25"/>
    <n v="1"/>
    <n v="11.64"/>
    <m/>
    <m/>
    <m/>
  </r>
  <r>
    <x v="0"/>
    <s v="MAXFACTOR"/>
    <s v="MXF_ATILA56_F25"/>
    <s v="VALL.G.01.11.02"/>
    <s v="MXF_MUEBLE_ATILA 56_NEGRO_SIN LUZ"/>
    <n v="2"/>
    <n v="23.28"/>
    <m/>
    <m/>
    <m/>
  </r>
  <r>
    <x v="0"/>
    <s v="MAXFACTOR"/>
    <s v="MXF_ATILA56_F25"/>
    <s v="VALL.G.01.10.02"/>
    <s v="MXF_MUEBLE_ATILA 56_NEGRO_SIN LUZ"/>
    <n v="2"/>
    <n v="23.28"/>
    <m/>
    <m/>
    <m/>
  </r>
  <r>
    <x v="0"/>
    <s v="MAXFACTOR"/>
    <s v="MXF_ATILA56_F25"/>
    <s v="VALL.G.01.07.02"/>
    <s v="MXF_MUEBLE_ATILA 56_NEGRO_SIN LUZ"/>
    <n v="2"/>
    <n v="23.28"/>
    <m/>
    <m/>
    <m/>
  </r>
  <r>
    <x v="0"/>
    <s v="MAXFACTOR"/>
    <s v="MXF_ATILA56_F25"/>
    <s v="VALL.G.01.09.02"/>
    <s v="MXF_MUEBLE_ATILA 56_NEGRO_SIN LUZ"/>
    <n v="2"/>
    <n v="23.28"/>
    <m/>
    <m/>
    <m/>
  </r>
  <r>
    <x v="0"/>
    <s v="MAXFACTOR"/>
    <s v="MXF_ATILA56_F25"/>
    <s v="VALL.G.01.12.02"/>
    <s v="MXF_MUEBLE_ATILA 56_NEGRO_SIN LUZ"/>
    <n v="2"/>
    <n v="23.28"/>
    <m/>
    <m/>
    <m/>
  </r>
  <r>
    <x v="0"/>
    <s v="MAXFACTOR"/>
    <s v="MXF_ATILA56_F25"/>
    <s v="VALL.G.01.08.02"/>
    <s v="MXF_MUEBLE_ATILA 56_NEGRO_SIN LUZ"/>
    <n v="2"/>
    <n v="23.28"/>
    <m/>
    <m/>
    <m/>
  </r>
  <r>
    <x v="0"/>
    <s v="MAXFACTOR"/>
    <s v="MXF_ATILA56_SIN"/>
    <s v="VALL.G.05.44.01"/>
    <s v="MXF_MUEBLE_ATILA 56 VACIO"/>
    <n v="2"/>
    <n v="23.28"/>
    <m/>
    <m/>
    <m/>
  </r>
  <r>
    <x v="0"/>
    <s v="MAXFACTOR"/>
    <s v="MXF_ATILA98DEV"/>
    <s v="VALL.G.04.44.01"/>
    <s v="MXF_MUEBLE_ATILA MXF negro con luz 98 FY23"/>
    <n v="1"/>
    <n v="11.64"/>
    <m/>
    <m/>
    <m/>
  </r>
  <r>
    <x v="0"/>
    <s v="MAXFACTOR"/>
    <s v="MXF_GONDOLA2M"/>
    <s v="VALL.PLAYA.01.01.01"/>
    <s v="MXF BB 2M H1 FY24 DIAM"/>
    <n v="2"/>
    <n v="23.28"/>
    <m/>
    <m/>
    <m/>
  </r>
  <r>
    <x v="0"/>
    <s v="MAXFACTOR"/>
    <s v="MXF0065-I"/>
    <s v="VALL.G.02.15.01"/>
    <s v="ATILA MXF NEGRO_CON LUZ_ 120 FY23"/>
    <n v="1"/>
    <n v="11.64"/>
    <m/>
    <m/>
    <m/>
  </r>
  <r>
    <x v="0"/>
    <s v="MAXFACTOR"/>
    <s v="MXF2M_REV"/>
    <s v="VALL.G.02.43.02"/>
    <s v="MUEBLE MAXFACTOR 2M_REV"/>
    <n v="1"/>
    <n v="11.64"/>
    <m/>
    <m/>
    <m/>
  </r>
  <r>
    <x v="0"/>
    <s v="MAXFACTOR"/>
    <s v="MXF2M_REV"/>
    <s v="VALL.G.02.32.01"/>
    <s v="MUEBLE MAXFACTOR 2M_REV"/>
    <n v="1"/>
    <n v="11.64"/>
    <m/>
    <m/>
    <m/>
  </r>
  <r>
    <x v="5"/>
    <m/>
    <s v="NEOMUEBLE_I"/>
    <s v="VALL.G.07.49.01"/>
    <s v="MUEBLE INCOMPLETO"/>
    <n v="1"/>
    <n v="11.64"/>
    <m/>
    <m/>
    <m/>
  </r>
  <r>
    <x v="0"/>
    <s v="BOURJOIS"/>
    <s v="NextGen120"/>
    <s v="VALL.PLAYA.01.01.01"/>
    <s v="NEXT GEN MUEBLE 1.2M H2FY25"/>
    <n v="11"/>
    <n v="128.04"/>
    <m/>
    <m/>
    <m/>
  </r>
  <r>
    <x v="0"/>
    <s v="BOURJOIS"/>
    <s v="NextGen120_26"/>
    <s v="VALL.PLAYA.01.01.01"/>
    <s v="NEXT GEN MUEBLE 1.2M H2FY26"/>
    <n v="10"/>
    <n v="116.4"/>
    <m/>
    <m/>
    <m/>
  </r>
  <r>
    <x v="0"/>
    <s v="BOURJOIS"/>
    <s v="NextGen120Port"/>
    <s v="TALLER"/>
    <s v="NEXT GEN MUEBLE PORTUGAL 1.2M H2FY25"/>
    <n v="4"/>
    <n v="46.56"/>
    <m/>
    <m/>
    <m/>
  </r>
  <r>
    <x v="0"/>
    <s v="MAXFACTOR"/>
    <s v="OKMXFH4120"/>
    <s v="VALL.G.03.14.01"/>
    <s v="MUEBLE H4 1.2M RECUPERADO"/>
    <n v="1"/>
    <n v="11.64"/>
    <m/>
    <m/>
    <m/>
  </r>
  <r>
    <x v="2"/>
    <s v="PHYSICIANS FORM"/>
    <s v="PF_NUEVO_2025"/>
    <s v="VALL.G.02.27.01"/>
    <s v="MUEBLE PHYSICIANS FORMULA 2025"/>
    <n v="1"/>
    <n v="11.64"/>
    <m/>
    <m/>
    <m/>
  </r>
  <r>
    <x v="2"/>
    <s v="PHYSICIANS FORM"/>
    <s v="PF_NUEVO_2025"/>
    <s v="VALL.G.02.26.01"/>
    <s v="MUEBLE PHYSICIANS FORMULA 2025"/>
    <n v="1"/>
    <n v="11.64"/>
    <m/>
    <m/>
    <m/>
  </r>
  <r>
    <x v="0"/>
    <s v="RIMMEL "/>
    <s v="PRO_015"/>
    <s v="ZONAB"/>
    <s v="RIM_MUEBLE_MIBAR 2M SPANISH FY22 H1 BCNA"/>
    <n v="4"/>
    <n v="46.56"/>
    <m/>
    <m/>
    <m/>
  </r>
  <r>
    <x v="0"/>
    <s v="MAXFACTOR"/>
    <s v="PRO_028P"/>
    <s v="VALL.PLAYA.01.01.01"/>
    <s v="MXF MUEBLE GONDOLA 2M PARA PIEZAS"/>
    <n v="3"/>
    <n v="34.92"/>
    <m/>
    <m/>
    <m/>
  </r>
  <r>
    <x v="0"/>
    <s v="RIMMEL"/>
    <s v="PTEREVI_COTY012"/>
    <s v="VALL.G.05.24.01"/>
    <s v="MUEBLE ATILA BLISTER 56_ BLANCO_HIBRID"/>
    <n v="1"/>
    <n v="11.64"/>
    <m/>
    <m/>
    <m/>
  </r>
  <r>
    <x v="0"/>
    <s v="BOURJOIS"/>
    <s v="REV_NEXTGEN120"/>
    <s v="VALL.G.04.29.01"/>
    <s v="MUEBLE NEXT GEN 1.2M REV"/>
    <n v="1"/>
    <n v="11.64"/>
    <m/>
    <m/>
    <m/>
  </r>
  <r>
    <x v="0"/>
    <s v="BOURJOIS"/>
    <s v="REV_NEXTGEN120"/>
    <s v="VALL.G.03.01.01"/>
    <s v="MUEBLE NEXT GEN 1.2M REV"/>
    <n v="1"/>
    <n v="11.64"/>
    <m/>
    <m/>
    <m/>
  </r>
  <r>
    <x v="0"/>
    <s v="MAXFACTOR"/>
    <s v="REVH4120G"/>
    <s v="TALLER"/>
    <s v="H4 120 REVISON GOIARA"/>
    <n v="1"/>
    <n v="11.64"/>
    <m/>
    <m/>
    <m/>
  </r>
  <r>
    <x v="0"/>
    <s v="MAXFACTOR"/>
    <s v="REVH4120G"/>
    <s v="VALL.G.04.24.01"/>
    <s v="H4 120 REVISON GOIARA"/>
    <n v="1"/>
    <n v="11.64"/>
    <m/>
    <m/>
    <m/>
  </r>
  <r>
    <x v="0"/>
    <s v="MAXFACTOR"/>
    <s v="REVH4120G"/>
    <s v="VALL.G.03.25.01"/>
    <s v="H4 120 REVISON GOIARA"/>
    <n v="1"/>
    <n v="11.64"/>
    <m/>
    <m/>
    <m/>
  </r>
  <r>
    <x v="0"/>
    <s v="RIMMEL"/>
    <s v="REVI_ATILA120RI"/>
    <s v="VALL.G.05.41.01"/>
    <s v="MUEBLE ATILA RIMMEL _BLANCO-LUZ_"/>
    <n v="1"/>
    <n v="11.64"/>
    <m/>
    <m/>
    <m/>
  </r>
  <r>
    <x v="0"/>
    <s v="RIMMEL"/>
    <s v="REVMIBAR120"/>
    <s v="VALL.G.05.13.01"/>
    <s v="MIBAR 120 REVISION"/>
    <n v="2"/>
    <n v="23.28"/>
    <m/>
    <m/>
    <m/>
  </r>
  <r>
    <x v="0"/>
    <s v="RIMMEL"/>
    <s v="REVMIBAR120"/>
    <s v="VALL.G.02.41.01"/>
    <s v="MIBAR 120 REVISION"/>
    <n v="1"/>
    <n v="11.64"/>
    <m/>
    <m/>
    <m/>
  </r>
  <r>
    <x v="0"/>
    <s v="RIMMEL"/>
    <s v="REVMIBAR120G"/>
    <s v="VALL.G.03.35.01"/>
    <s v="MIBAR 120 REVISION GOIARA"/>
    <n v="1"/>
    <n v="11.64"/>
    <m/>
    <m/>
    <m/>
  </r>
  <r>
    <x v="0"/>
    <s v="RIMMEL"/>
    <s v="REVMIBAR120G"/>
    <s v="TALLER"/>
    <s v="MIBAR 120 REVISION GOIARA"/>
    <n v="1"/>
    <n v="11.64"/>
    <m/>
    <m/>
    <m/>
  </r>
  <r>
    <x v="0"/>
    <s v="MAXFACTOR"/>
    <s v="REVMXFH4120"/>
    <s v="VALL.G.02.41.01"/>
    <s v="H4 1.2M REVISION"/>
    <n v="1"/>
    <n v="11.64"/>
    <m/>
    <m/>
    <m/>
  </r>
  <r>
    <x v="0"/>
    <s v="MAXFACTOR"/>
    <s v="REVMXFH4120"/>
    <s v="TALLER"/>
    <s v="H4 1.2M REVISION"/>
    <n v="2"/>
    <n v="23.28"/>
    <m/>
    <m/>
    <m/>
  </r>
  <r>
    <x v="0"/>
    <s v="RIMMEL"/>
    <s v="RIM_ATILA56_F25"/>
    <s v="VALL.G.03.15.01"/>
    <s v="RIMMEL_MUEBLE_ATILA 56_NEGRO_CON LUZ"/>
    <n v="1"/>
    <n v="11.64"/>
    <m/>
    <m/>
    <m/>
  </r>
  <r>
    <x v="0"/>
    <s v="RIMMEL"/>
    <s v="RIM_ATILA56_F25"/>
    <s v="VALL.G.05.30.02"/>
    <s v="RIMMEL_MUEBLE_ATILA 56_NEGRO_CON LUZ"/>
    <n v="2"/>
    <n v="23.28"/>
    <m/>
    <m/>
    <m/>
  </r>
  <r>
    <x v="0"/>
    <s v="RIMMEL"/>
    <s v="RIM_ATILA56_F25"/>
    <s v="VALL.G.05.29.02"/>
    <s v="RIMMEL_MUEBLE_ATILA 56_NEGRO_CON LUZ"/>
    <n v="2"/>
    <n v="23.28"/>
    <m/>
    <m/>
    <m/>
  </r>
  <r>
    <x v="0"/>
    <s v="RIMMEL"/>
    <s v="RIM_ATILA56_F25"/>
    <s v="VALL.G.05.32.02"/>
    <s v="RIMMEL_MUEBLE_ATILA 56_NEGRO_CON LUZ"/>
    <n v="2"/>
    <n v="23.28"/>
    <m/>
    <m/>
    <m/>
  </r>
  <r>
    <x v="0"/>
    <s v="RIMMEL"/>
    <s v="RIM_ATILA56_F25"/>
    <s v="VALL.G.05.31.02"/>
    <s v="RIMMEL_MUEBLE_ATILA 56_NEGRO_CON LUZ"/>
    <n v="2"/>
    <n v="23.28"/>
    <m/>
    <m/>
    <m/>
  </r>
  <r>
    <x v="0"/>
    <s v="RIMMEL"/>
    <s v="Rim_Mibar2mD.2"/>
    <s v="VALL.PLAYA.01.01.01"/>
    <s v="RIMM MIBAR 2M H2 FY24 WILLSON DAÑADO"/>
    <n v="1"/>
    <n v="11.64"/>
    <m/>
    <m/>
    <m/>
  </r>
  <r>
    <x v="0"/>
    <s v="RIMMEL"/>
    <s v="RIM2M_REV"/>
    <s v="VALL.G.02.39.02"/>
    <s v="MUEBLE RIMMEL 2M_REV"/>
    <n v="1"/>
    <n v="11.64"/>
    <m/>
    <m/>
    <m/>
  </r>
  <r>
    <x v="0"/>
    <s v="RIMMEL"/>
    <s v="RIM2M_REV"/>
    <s v="VALL.G.04.45.01"/>
    <s v="MUEBLE RIMMEL 2M_REV"/>
    <n v="1"/>
    <n v="11.64"/>
    <m/>
    <m/>
    <m/>
  </r>
  <r>
    <x v="0"/>
    <s v="RIMMEL"/>
    <s v="RIM2M_REV"/>
    <s v="VALL.G.04.46.01"/>
    <s v="MUEBLE RIMMEL 2M_REV"/>
    <n v="1"/>
    <n v="11.64"/>
    <m/>
    <m/>
    <m/>
  </r>
  <r>
    <x v="0"/>
    <s v="RIMMEL"/>
    <s v="RIMAT56_SINBAN"/>
    <s v="VALL.G.04.39.01"/>
    <s v="RIM_MUEBLE_ATILA 56 VACIO"/>
    <n v="1"/>
    <n v="11.64"/>
    <m/>
    <m/>
    <m/>
  </r>
  <r>
    <x v="0"/>
    <s v="RIMMEL"/>
    <s v="RIMAT56DEV"/>
    <s v="VALL.G.03.24.01"/>
    <s v="RIM_MUEBLE_ATILA 56 DEV"/>
    <n v="1"/>
    <n v="11.64"/>
    <m/>
    <m/>
    <m/>
  </r>
  <r>
    <x v="0"/>
    <s v="RIMMEL"/>
    <s v="RIMAT56DEV"/>
    <s v="VALL.G.04.08.01"/>
    <s v="RIM_MUEBLE_ATILA 56 DEV"/>
    <n v="1"/>
    <n v="11.64"/>
    <m/>
    <m/>
    <m/>
  </r>
  <r>
    <x v="0"/>
    <s v="RIMMEL"/>
    <s v="RIMM_MIBAR120"/>
    <s v="VALL.PLAYA.01.01.01"/>
    <s v="RIMMEL MIBAR 1.2M H1 FY24 W&amp;B"/>
    <n v="1"/>
    <n v="11.64"/>
    <m/>
    <m/>
    <m/>
  </r>
  <r>
    <x v="0"/>
    <s v="RIMMEL"/>
    <s v="RIMM_MIBAR2MGONDOLAD"/>
    <s v="VALL.G.02.39.01"/>
    <s v="RIMM MIBAR 2M H2 FY24 WILLSON DAÑADA"/>
    <n v="1"/>
    <n v="11.64"/>
    <m/>
    <m/>
    <m/>
  </r>
  <r>
    <x v="0"/>
    <s v="RIMMEL"/>
    <s v="RMM0037DEV"/>
    <s v="VALL.G.04.34.01"/>
    <s v="RIM_MUEBLE_ATILA 0.58 CON LUZ"/>
    <n v="2"/>
    <n v="23.28"/>
    <m/>
    <m/>
    <m/>
  </r>
  <r>
    <x v="0"/>
    <s v="RIMMEL"/>
    <s v="RMM0037DEV"/>
    <s v="VALL.G.04.33.01"/>
    <s v="RIM_MUEBLE_ATILA 0.58 CON LUZ"/>
    <n v="2"/>
    <n v="23.28"/>
    <m/>
    <m/>
    <m/>
  </r>
  <r>
    <x v="6"/>
    <s v="SHEGLAM"/>
    <s v="SHGLM_2M_2026"/>
    <s v="ZONAA"/>
    <s v="MUEBLE SHEGLAM 2M 2026"/>
    <n v="8"/>
    <n v="93.12"/>
    <m/>
    <m/>
    <m/>
  </r>
  <r>
    <x v="0"/>
    <s v="SALLY HANSEN"/>
    <s v="SHSPINNER_REV"/>
    <s v="VALL.G.04.18.01"/>
    <s v="MUEBLE SPINNER_REV"/>
    <n v="1"/>
    <n v="11.64"/>
    <m/>
    <m/>
    <m/>
  </r>
  <r>
    <x v="1"/>
    <m/>
    <s v="VAGUADA"/>
    <s v="VALL.G.03.28.01"/>
    <s v="FLORMAR_MUEBLE_WALL UNIT 1 M"/>
    <n v="1"/>
    <n v="11.64"/>
    <m/>
    <m/>
    <m/>
  </r>
  <r>
    <x v="2"/>
    <s v="WET N WILD"/>
    <s v="WW_NUEVO_25"/>
    <s v="VALL.G.06.37.01"/>
    <s v="MUEBLE 2025"/>
    <n v="2"/>
    <n v="23.28"/>
    <m/>
    <m/>
    <m/>
  </r>
  <r>
    <x v="2"/>
    <s v="WET N WILD"/>
    <s v="WW_NUEVO_25"/>
    <s v="VALL.G.06.28.01"/>
    <s v="MUEBLE 2025"/>
    <n v="1"/>
    <n v="11.64"/>
    <m/>
    <m/>
    <m/>
  </r>
  <r>
    <x v="2"/>
    <s v="WET N WILD"/>
    <s v="WW_USADO2024"/>
    <s v="VALL.G.03.34.01"/>
    <s v="WET N WILD 2024 _DRUNI EL ROSAL"/>
    <n v="1"/>
    <n v="11.64"/>
    <m/>
    <m/>
    <m/>
  </r>
  <r>
    <x v="7"/>
    <s v="INCOMM"/>
    <s v="INCOMMMAITE26"/>
    <s v="AL.09"/>
    <s v="DEVOLUCION INCOMM MAITE"/>
    <m/>
    <m/>
    <n v="0"/>
    <n v="0"/>
    <m/>
  </r>
  <r>
    <x v="0"/>
    <s v="MAXFACTOR"/>
    <s v="DEV230625.2"/>
    <s v="DESTRUCCION"/>
    <s v="BASE MAX FACTOR PARA DESTRUIR"/>
    <m/>
    <m/>
    <n v="1"/>
    <n v="8.99"/>
    <m/>
  </r>
  <r>
    <x v="0"/>
    <s v="RIMMEL"/>
    <s v="DEV230625.4"/>
    <s v="DESTRUCCION"/>
    <s v="BASE RIMMEL PARA DESTRUIR"/>
    <m/>
    <m/>
    <n v="0"/>
    <n v="0"/>
    <m/>
  </r>
  <r>
    <x v="0"/>
    <s v="BOURJOIS"/>
    <s v="DEV230625.6"/>
    <s v="DESTRUCCION"/>
    <s v="BASE BOURJOIS PARA DESTRUIR"/>
    <m/>
    <m/>
    <n v="0"/>
    <n v="0"/>
    <m/>
  </r>
  <r>
    <x v="0"/>
    <s v="RIMMEL"/>
    <s v="TIRA_RIMIF01"/>
    <s v="MESA"/>
    <s v="TIRA GRÁFICA - RIM IF 01"/>
    <m/>
    <m/>
    <n v="1"/>
    <n v="8.99"/>
    <m/>
  </r>
  <r>
    <x v="2"/>
    <s v="WET N WILD"/>
    <s v="ECUBBY122"/>
    <s v="TALLER"/>
    <s v="MEGALAS LIP COLOR TRAY"/>
    <m/>
    <m/>
    <n v="1"/>
    <n v="8.99"/>
    <m/>
  </r>
  <r>
    <x v="0"/>
    <s v="RIMMEL"/>
    <n v="20525.099999999999"/>
    <s v="TAULA2"/>
    <s v="VISUAL PRIMER E ILUMINADOR MULTITASKER H2FY25"/>
    <m/>
    <m/>
    <n v="1"/>
    <n v="8.99"/>
    <m/>
  </r>
  <r>
    <x v="0"/>
    <s v="RIMM/MXF"/>
    <s v="COTY0101"/>
    <s v="TAULA2"/>
    <s v="RIM/MXF_VISUAL_LOGO MIXTO CANARIAS (FOOD)"/>
    <m/>
    <m/>
    <n v="0"/>
    <n v="0"/>
    <m/>
  </r>
  <r>
    <x v="0"/>
    <s v="RIMMEL "/>
    <s v="COTY0107"/>
    <s v="TAULA2"/>
    <s v="RIM_TESTERS_1 CAJA TESTER VARIOS ATILA (FOOD)"/>
    <m/>
    <m/>
    <n v="0"/>
    <n v="0"/>
    <m/>
  </r>
  <r>
    <x v="0"/>
    <s v="BOURJOIS"/>
    <s v="COTY0180"/>
    <s v="TAULA2"/>
    <s v="BJ_VINILO_BASE GONDOLA 2M - NEXT GEN"/>
    <m/>
    <m/>
    <n v="0"/>
    <n v="0"/>
    <m/>
  </r>
  <r>
    <x v="0"/>
    <s v="BOURJOIS"/>
    <s v="COVERPORTBJ1"/>
    <s v="TAULA2"/>
    <s v="COVERCARD GRANDE BJNEXTGEN PORTUGAL"/>
    <m/>
    <m/>
    <n v="0"/>
    <n v="0"/>
    <m/>
  </r>
  <r>
    <x v="0"/>
    <s v="BOURJOIS"/>
    <s v="COVERPORTBJ2"/>
    <s v="TAULA2"/>
    <s v="COVERCARD PEQUEÑO BJNEXTGEN PORTUGAL"/>
    <m/>
    <m/>
    <n v="0"/>
    <n v="0"/>
    <m/>
  </r>
  <r>
    <x v="0"/>
    <s v="RIMMEL"/>
    <s v="COVERPORTRIM1"/>
    <s v="TAULA2"/>
    <s v="COVERCARD GRANDE RIMLIVE120 PORTUGAL"/>
    <m/>
    <m/>
    <n v="0"/>
    <n v="0"/>
    <m/>
  </r>
  <r>
    <x v="0"/>
    <s v="RIMMEL"/>
    <s v="COVERPORTRIM2"/>
    <s v="TAULA2"/>
    <s v="COVERCARD PEQUEÑO RIMLIVE120 PORTUGAL"/>
    <m/>
    <m/>
    <n v="0"/>
    <n v="0"/>
    <m/>
  </r>
  <r>
    <x v="1"/>
    <m/>
    <s v="FLOR_VISUAL _ 1"/>
    <s v="TAULA2"/>
    <s v="VISUALES PARED 1 M"/>
    <m/>
    <m/>
    <n v="0"/>
    <n v="0"/>
    <m/>
  </r>
  <r>
    <x v="1"/>
    <m/>
    <s v="FLOR_VISUAL _ 2"/>
    <s v="TAULA2"/>
    <s v="VISUALES GONDOLA 2M"/>
    <m/>
    <m/>
    <n v="0"/>
    <n v="0"/>
    <m/>
  </r>
  <r>
    <x v="0"/>
    <s v="RIMMEL"/>
    <s v="I-00032-01"/>
    <s v="TAULA2"/>
    <s v="RIM_BANDEJA_ LASTING PROVOCALIPS 2F"/>
    <m/>
    <m/>
    <n v="0"/>
    <n v="0"/>
    <m/>
  </r>
  <r>
    <x v="0"/>
    <s v="RIMMEL"/>
    <s v="I-00034-03"/>
    <s v="TAULA2"/>
    <s v="RIM_BANDEJA RECUPERADA"/>
    <m/>
    <m/>
    <n v="0"/>
    <n v="0"/>
    <m/>
  </r>
  <r>
    <x v="0"/>
    <s v="BOURJOIS"/>
    <s v="INCIBJPORT"/>
    <s v="TAULA2"/>
    <s v="INCIBOOKLET BJ PORTUGAL"/>
    <m/>
    <m/>
    <n v="0"/>
    <n v="0"/>
    <m/>
  </r>
  <r>
    <x v="0"/>
    <s v="BOURJOIS"/>
    <s v="KITBJPORT1"/>
    <s v="TAULA2"/>
    <s v="TIRAS GRAFICAS BJNEXTGEN120 PORTUGAL"/>
    <m/>
    <m/>
    <n v="0"/>
    <n v="0"/>
    <m/>
  </r>
  <r>
    <x v="0"/>
    <s v="BOURJOIS"/>
    <s v="KITBJPORT2"/>
    <s v="TAULA2"/>
    <s v="TIRAS GRAFICAS BJNEXTGEN2M PORTUGAL"/>
    <m/>
    <m/>
    <n v="0"/>
    <n v="0"/>
    <m/>
  </r>
  <r>
    <x v="0"/>
    <s v="MAXFACTOR"/>
    <s v="KITMXFPORT"/>
    <s v="TAULA2"/>
    <s v="TIRAS GRAFICAS MXFLIVE120 PORTUGAL"/>
    <m/>
    <m/>
    <n v="0"/>
    <n v="0"/>
    <m/>
  </r>
  <r>
    <x v="0"/>
    <s v="RIMMEL"/>
    <s v="KITRIMPORT"/>
    <s v="TAULA2"/>
    <s v="TIRAS GRAFICAS RIMLIVE120 PORTUGAL"/>
    <m/>
    <m/>
    <n v="0"/>
    <n v="0"/>
    <m/>
  </r>
  <r>
    <x v="0"/>
    <s v="MAXFACTOR"/>
    <s v="MF7201015001"/>
    <s v="TAULA2"/>
    <s v="MXF_BANDEJA RECUPERADA"/>
    <m/>
    <m/>
    <n v="0"/>
    <n v="0"/>
    <m/>
  </r>
  <r>
    <x v="0"/>
    <s v="MAXFACTOR"/>
    <s v="MXF0032"/>
    <s v="TAULA2"/>
    <s v="MXF_VISUAL_LOGO APERTURAS ALCAMPO (FOOD)"/>
    <m/>
    <m/>
    <n v="0"/>
    <n v="0"/>
    <m/>
  </r>
  <r>
    <x v="5"/>
    <m/>
    <s v="NEO_CAJA9"/>
    <s v="TAULA2"/>
    <s v="PLUM12004"/>
    <m/>
    <m/>
    <n v="0"/>
    <n v="0"/>
    <m/>
  </r>
  <r>
    <x v="2"/>
    <s v="MARWINS"/>
    <s v="PEGATINAS"/>
    <s v="TAULA2"/>
    <s v="PEGATINAS REETIQUETADO MARKWINS"/>
    <m/>
    <m/>
    <n v="0"/>
    <n v="0"/>
    <m/>
  </r>
  <r>
    <x v="0"/>
    <s v="RIMMEL"/>
    <s v="PEGTESTER"/>
    <s v="TAULA2"/>
    <s v="RIMMEL_PEGATINAS TESTERS RIMMEL"/>
    <m/>
    <m/>
    <n v="0"/>
    <n v="0"/>
    <m/>
  </r>
  <r>
    <x v="0"/>
    <s v="RIMMEL"/>
    <s v="RIM IF 02 V2"/>
    <s v="TAULA2"/>
    <m/>
    <m/>
    <m/>
    <n v="0"/>
    <n v="0"/>
    <m/>
  </r>
  <r>
    <x v="0"/>
    <s v="RIMMEL"/>
    <s v="RIM001_V"/>
    <s v="TAULA2"/>
    <s v="RIM_VISUAL_PROVOCALIPS 100_NEO"/>
    <m/>
    <m/>
    <n v="0"/>
    <n v="0"/>
    <m/>
  </r>
  <r>
    <x v="0"/>
    <s v="RIMMEL"/>
    <s v="RIM002_V"/>
    <s v="TAULA2"/>
    <s v="RIM_VISUAL_UÑAS 100_NEO"/>
    <m/>
    <m/>
    <n v="0"/>
    <n v="0"/>
    <m/>
  </r>
  <r>
    <x v="0"/>
    <s v="RIMMEL"/>
    <s v="RIM003_V"/>
    <s v="TAULA2"/>
    <s v="RIM_VISUAL_MULTI-TASKER 100_NEO"/>
    <m/>
    <m/>
    <n v="0"/>
    <n v="0"/>
    <m/>
  </r>
  <r>
    <x v="0"/>
    <s v="RIMMEL"/>
    <s v="RIM005_V"/>
    <s v="TAULA2"/>
    <s v="RIM_VISUAL_PROVOCALIPS 200_NEO"/>
    <m/>
    <m/>
    <n v="0"/>
    <n v="0"/>
    <m/>
  </r>
  <r>
    <x v="0"/>
    <s v="RIMMEL"/>
    <s v="RIM006_V"/>
    <s v="TAULA2"/>
    <s v="RIM_VISUAL_UÑAS 200_NEO"/>
    <m/>
    <m/>
    <n v="0"/>
    <n v="0"/>
    <m/>
  </r>
  <r>
    <x v="0"/>
    <s v="RIMMEL"/>
    <s v="RIM007_V"/>
    <s v="TAULA2"/>
    <s v="RIM_VISUAL_MULTI-TASKER 200_NEO"/>
    <m/>
    <m/>
    <n v="0"/>
    <n v="0"/>
    <m/>
  </r>
  <r>
    <x v="0"/>
    <s v="RIMMEL"/>
    <s v="RMM0047"/>
    <s v="TAULA2"/>
    <s v="VISUAL_10CM MULTI-TASKER"/>
    <m/>
    <m/>
    <n v="0"/>
    <n v="0"/>
    <m/>
  </r>
  <r>
    <x v="0"/>
    <s v="RIMMEL"/>
    <s v="RMM0051"/>
    <s v="TAULA2"/>
    <s v="VISUAL _30CM SCANDALEYES VOLUME ON DEMAND"/>
    <m/>
    <m/>
    <n v="0"/>
    <n v="0"/>
    <m/>
  </r>
  <r>
    <x v="0"/>
    <s v="RIMMEL"/>
    <s v="RMM0073"/>
    <s v="TAULA2"/>
    <s v="VISUAL _20CM LASTING FINISH EXTREME MATTE"/>
    <m/>
    <m/>
    <n v="0"/>
    <n v="0"/>
    <m/>
  </r>
  <r>
    <x v="0"/>
    <s v="RIMMEL"/>
    <s v="RMM0074"/>
    <s v="TAULA2"/>
    <s v="VISUAL _20CM NATURAL BRONZER"/>
    <m/>
    <m/>
    <n v="0"/>
    <n v="0"/>
    <m/>
  </r>
  <r>
    <x v="0"/>
    <s v="RIMMEL"/>
    <s v="RMM0075"/>
    <s v="TAULA2"/>
    <s v="VISUAL _20CM LASTING FINISH"/>
    <m/>
    <m/>
    <n v="0"/>
    <n v="0"/>
    <m/>
  </r>
  <r>
    <x v="0"/>
    <s v="RIMMEL"/>
    <s v="RMM0076"/>
    <s v="TAULA2"/>
    <s v="VISUAL _20CM LASTING MATTE PRIMER"/>
    <m/>
    <m/>
    <n v="0"/>
    <n v="0"/>
    <m/>
  </r>
  <r>
    <x v="0"/>
    <s v="RIMMEL"/>
    <s v="RMM0080"/>
    <s v="TAULA2"/>
    <s v="VISUAL _30CM WONDER LUXE"/>
    <m/>
    <m/>
    <n v="0"/>
    <n v="0"/>
    <m/>
  </r>
  <r>
    <x v="0"/>
    <s v="BOURJOIS"/>
    <s v="T_19_HMTB"/>
    <s v="TAULA2"/>
    <s v="BJ_T_HealthyMixTinteBeautifier"/>
    <m/>
    <m/>
    <n v="0"/>
    <n v="0"/>
    <m/>
  </r>
  <r>
    <x v="0"/>
    <s v="BOURJOIS"/>
    <s v="T_LRP"/>
    <s v="TAULA2"/>
    <s v="BJ_T_Colorete LRP"/>
    <m/>
    <m/>
    <n v="0"/>
    <n v="0"/>
    <m/>
  </r>
  <r>
    <x v="0"/>
    <s v="MAXFACTOR"/>
    <s v="T_MXFLIVE2M"/>
    <s v="TAULA2"/>
    <s v="MAX FACTOR LIVE 2M TIRAS EN PORTUGUES"/>
    <m/>
    <m/>
    <n v="0"/>
    <n v="0"/>
    <m/>
  </r>
  <r>
    <x v="0"/>
    <s v="RIMMEL"/>
    <s v="T_RIMLIVE2M"/>
    <s v="TAULA2"/>
    <s v="RIMMEL LIVE 2M TIRAS EN PORTUGUES"/>
    <m/>
    <m/>
    <n v="0"/>
    <n v="0"/>
    <m/>
  </r>
  <r>
    <x v="8"/>
    <s v="RIMMEL"/>
    <s v="TIRA_RIM124_F26"/>
    <s v="TAULA2"/>
    <s v="TIRA RIM 124 PARA MUEBLE NEO"/>
    <m/>
    <m/>
    <n v="0"/>
    <n v="0"/>
    <m/>
  </r>
  <r>
    <x v="5"/>
    <s v="NEONAIL"/>
    <s v="TIRAS_COMP_0426"/>
    <s v="TAULA2"/>
    <s v="NUEVAS TIRAS GRÁFICAS COMPLETAS ABRIL 2026"/>
    <m/>
    <m/>
    <n v="0"/>
    <n v="0"/>
    <m/>
  </r>
  <r>
    <x v="0"/>
    <s v="RIMMEL"/>
    <s v="V_ LF35HNEO"/>
    <s v="TAULA2"/>
    <s v="VISUAL LF 35H NEO"/>
    <m/>
    <m/>
    <n v="0"/>
    <n v="0"/>
    <m/>
  </r>
  <r>
    <x v="0"/>
    <s v="MAXFACTOR"/>
    <s v="V_10_CP"/>
    <s v="TAULA2"/>
    <s v="MXF_V_CremePuff"/>
    <m/>
    <m/>
    <n v="0"/>
    <n v="0"/>
    <m/>
  </r>
  <r>
    <x v="0"/>
    <s v="BOURJOIS"/>
    <s v="V_11_HMCP"/>
    <s v="TAULA2"/>
    <s v="BJ_V_HealthyMixClearPowder"/>
    <m/>
    <m/>
    <n v="0"/>
    <n v="0"/>
    <m/>
  </r>
  <r>
    <x v="0"/>
    <s v="BOURJOIS"/>
    <s v="V_12_AFC"/>
    <s v="TAULA2"/>
    <s v="BJ_V_AlwaysFabulousConcealer"/>
    <m/>
    <m/>
    <n v="0"/>
    <n v="0"/>
    <m/>
  </r>
  <r>
    <x v="0"/>
    <s v="BOURJOIS"/>
    <s v="V_13_AFF"/>
    <s v="TAULA2"/>
    <s v="BJ_V_AlwaysFabulousFoundation"/>
    <m/>
    <m/>
    <n v="0"/>
    <n v="0"/>
    <m/>
  </r>
  <r>
    <x v="0"/>
    <s v="BOURJOIS"/>
    <s v="V_14_TUV"/>
    <s v="TAULA2"/>
    <s v="BJ_V_TwistUpVolume"/>
    <m/>
    <m/>
    <n v="0"/>
    <n v="0"/>
    <m/>
  </r>
  <r>
    <x v="0"/>
    <s v="BOURJOIS"/>
    <s v="V_15_PVGI"/>
    <s v="TAULA2"/>
    <s v="BJ_V_PaletteVolumneGlamourInt"/>
    <m/>
    <m/>
    <n v="0"/>
    <n v="0"/>
    <m/>
  </r>
  <r>
    <x v="0"/>
    <s v="BOURJOIS"/>
    <s v="V_16_FG"/>
    <s v="TAULA2"/>
    <s v="BJ_V_FabuleuxGel"/>
    <m/>
    <m/>
    <n v="0"/>
    <n v="0"/>
    <m/>
  </r>
  <r>
    <x v="0"/>
    <s v="MAXFACTOR"/>
    <s v="V_2STEPS_F26"/>
    <s v="TAULA2"/>
    <s v="VISUAL MXF- LIPFINITY 2STEPS 199x197"/>
    <m/>
    <m/>
    <n v="0"/>
    <n v="0"/>
    <m/>
  </r>
  <r>
    <x v="0"/>
    <s v="MAXFACTOR"/>
    <s v="V_3_DL"/>
    <s v="TAULA2"/>
    <s v="MXF_V_DivineLashes"/>
    <m/>
    <m/>
    <n v="0"/>
    <n v="0"/>
    <m/>
  </r>
  <r>
    <x v="0"/>
    <s v="MAXFACTOR"/>
    <s v="V_5_MPSR"/>
    <s v="TAULA2"/>
    <s v="MXF_V_MPSkinResert"/>
    <m/>
    <m/>
    <n v="0"/>
    <n v="0"/>
    <m/>
  </r>
  <r>
    <x v="0"/>
    <s v="BOURJOIS"/>
    <s v="V_6_LO"/>
    <s v="TAULA2"/>
    <s v="BJS_V_LipOil10cm"/>
    <m/>
    <m/>
    <n v="0"/>
    <n v="0"/>
    <m/>
  </r>
  <r>
    <x v="0"/>
    <s v="RIMMEL"/>
    <s v="V_60SEC_MINI"/>
    <s v="TAULA2"/>
    <s v="MINI_VISUAL_ 60SEC_80X200"/>
    <m/>
    <m/>
    <n v="0"/>
    <n v="0"/>
    <m/>
  </r>
  <r>
    <x v="0"/>
    <s v="BOURJOIS"/>
    <s v="V_7_LO"/>
    <s v="TAULA2"/>
    <s v="BJS_V_LipOil25cm"/>
    <m/>
    <m/>
    <n v="0"/>
    <n v="0"/>
    <m/>
  </r>
  <r>
    <x v="0"/>
    <s v="BOURJOIS"/>
    <s v="V_8_LRP"/>
    <s v="TAULA2"/>
    <s v="BJS_V_LRP5cm"/>
    <m/>
    <m/>
    <n v="0"/>
    <n v="0"/>
    <m/>
  </r>
  <r>
    <x v="0"/>
    <s v="BOURJOIS"/>
    <s v="V_9_HS"/>
    <s v="TAULA2"/>
    <s v="BJ_V_HM Serum 5cm"/>
    <m/>
    <m/>
    <n v="0"/>
    <n v="0"/>
    <m/>
  </r>
  <r>
    <x v="0"/>
    <s v="RIMMEL"/>
    <s v="V_BETTE_MINI"/>
    <s v="TAULA2"/>
    <s v="MINI_VISUAL_ BETTERTHANFILTERS_80X200"/>
    <m/>
    <m/>
    <n v="0"/>
    <n v="0"/>
    <m/>
  </r>
  <r>
    <x v="0"/>
    <s v="RIMMEL"/>
    <s v="V_BETTER_F26"/>
    <s v="TAULA2"/>
    <s v="VISUAL RIM- MULTITASKERBTTERTHAN_100x197"/>
    <m/>
    <m/>
    <n v="0"/>
    <n v="0"/>
    <m/>
  </r>
  <r>
    <x v="0"/>
    <s v="RIMMEL"/>
    <s v="V_BETTER20X20"/>
    <s v="TAULA2"/>
    <s v="VISUAL RIM- MULTITASKERBETTERTHAN_200x200"/>
    <m/>
    <m/>
    <n v="0"/>
    <n v="0"/>
    <m/>
  </r>
  <r>
    <x v="0"/>
    <s v="RIMMEL"/>
    <s v="V_BLUS__MINI"/>
    <s v="TAULA2"/>
    <s v="MINI_VISUAL_ BLUS_HIGHLIGHTER_80X200"/>
    <m/>
    <m/>
    <n v="0"/>
    <n v="0"/>
    <m/>
  </r>
  <r>
    <x v="0"/>
    <s v="RIMMEL"/>
    <s v="V_BRONZ_MINI"/>
    <s v="TAULA2"/>
    <s v="MINI_VISUAL_ BRONZING_STICK_80X200"/>
    <m/>
    <m/>
    <n v="0"/>
    <n v="0"/>
    <m/>
  </r>
  <r>
    <x v="0"/>
    <s v="MAXFACTOR"/>
    <s v="V_BRONZER39X20"/>
    <s v="TAULA2"/>
    <s v="VISUAL MXF-BRONZER_39X200"/>
    <m/>
    <m/>
    <n v="0"/>
    <n v="0"/>
    <m/>
  </r>
  <r>
    <x v="0"/>
    <s v="MAXFACTOR"/>
    <s v="V_BROWS39X20"/>
    <s v="TAULA2"/>
    <s v="MXF_BROWS_39X200_CEJAS"/>
    <m/>
    <m/>
    <n v="0"/>
    <n v="0"/>
    <m/>
  </r>
  <r>
    <x v="0"/>
    <s v="RIMMEL"/>
    <s v="V_CEJAS_MINI"/>
    <s v="TAULA2"/>
    <s v="MINI_VISUAL_ CEJAS_80X200"/>
    <m/>
    <m/>
    <n v="0"/>
    <n v="0"/>
    <m/>
  </r>
  <r>
    <x v="0"/>
    <s v="MAXFACTOR"/>
    <s v="V_COELIX_MINI"/>
    <s v="TAULA2"/>
    <s v="MINI_VISUAL_COLORELIXIR_80X200"/>
    <m/>
    <m/>
    <n v="0"/>
    <n v="0"/>
    <m/>
  </r>
  <r>
    <x v="0"/>
    <s v="MAXFACTOR"/>
    <s v="V_COLORETE_F26"/>
    <s v="TAULA2"/>
    <s v="VISUAL MXF_FCECOLORETE_100x197"/>
    <m/>
    <m/>
    <n v="0"/>
    <n v="0"/>
    <m/>
  </r>
  <r>
    <x v="0"/>
    <s v="MAXFACTOR"/>
    <s v="V_COLRET_MINI"/>
    <s v="TAULA2"/>
    <s v="MINI_VISUAL_ COLORETE_80X200"/>
    <m/>
    <m/>
    <n v="0"/>
    <n v="0"/>
    <m/>
  </r>
  <r>
    <x v="0"/>
    <s v="MAXFACTOR"/>
    <s v="V_COMPACT_F26"/>
    <s v="TAULA2"/>
    <s v="VISUAL MXF_COMPACT_100x197"/>
    <m/>
    <m/>
    <n v="0"/>
    <n v="0"/>
    <m/>
  </r>
  <r>
    <x v="0"/>
    <s v="RIMMEL"/>
    <s v="V_CONCE20X20_F26"/>
    <s v="TAULA2"/>
    <s v="VISUAL RIM-MULTITASKERCONCEALER_199X197"/>
    <m/>
    <m/>
    <n v="0"/>
    <n v="0"/>
    <m/>
  </r>
  <r>
    <x v="0"/>
    <s v="MAXFACTOR"/>
    <s v="V_CONCEALER_F26"/>
    <s v="TAULA2"/>
    <s v="VISUAL MXF_FCECONCEALER_100x197"/>
    <m/>
    <m/>
    <n v="0"/>
    <n v="0"/>
    <m/>
  </r>
  <r>
    <x v="0"/>
    <s v="MAXFACTOR"/>
    <s v="V_FAC3EN1_MINI"/>
    <s v="TAULA2"/>
    <s v="MINI_VISUAL_ FACEFINITY3EN1_80X200"/>
    <m/>
    <m/>
    <n v="0"/>
    <n v="0"/>
    <m/>
  </r>
  <r>
    <x v="0"/>
    <s v="MAXFACTOR"/>
    <s v="V_FACEFIN39X20"/>
    <s v="TAULA2"/>
    <s v="VISUAL MXF-FACEFINITY 3EN1_39x200"/>
    <m/>
    <m/>
    <n v="0"/>
    <n v="0"/>
    <m/>
  </r>
  <r>
    <x v="0"/>
    <s v="MAXFACTOR"/>
    <s v="V_FACOMP_MINI"/>
    <s v="TAULA2"/>
    <s v="MINI_VISUAL_  FACEFINITYCOMPACT_80X200"/>
    <m/>
    <m/>
    <n v="0"/>
    <n v="0"/>
    <m/>
  </r>
  <r>
    <x v="0"/>
    <s v="MAXFACTOR"/>
    <s v="V_FACONC_MINI"/>
    <s v="TAULA2"/>
    <s v="MINI_VISUAL_ FACEFINITYCONCEALER_80X200"/>
    <m/>
    <m/>
    <n v="0"/>
    <n v="0"/>
    <m/>
  </r>
  <r>
    <x v="0"/>
    <s v="MAXFACTOR"/>
    <s v="V_FCE20X20"/>
    <s v="TAULA2"/>
    <s v="VISUAL MXF- FCE CONCEALER_200x200"/>
    <m/>
    <m/>
    <n v="0"/>
    <n v="0"/>
    <m/>
  </r>
  <r>
    <x v="0"/>
    <s v="MAXFACTOR"/>
    <s v="V_FFFDT"/>
    <s v="TAULA2"/>
    <s v="MXF VISUAL FACEFINITY FOUNDATION"/>
    <m/>
    <m/>
    <n v="0"/>
    <n v="0"/>
    <m/>
  </r>
  <r>
    <x v="0"/>
    <s v="MAXFACTOR"/>
    <s v="V_FLAWLES_F26"/>
    <s v="TAULA2"/>
    <s v="VISUAL MXF_FCEFLAWLESS_100x197"/>
    <m/>
    <m/>
    <n v="0"/>
    <n v="0"/>
    <m/>
  </r>
  <r>
    <x v="0"/>
    <s v="MAXFACTOR"/>
    <s v="V_FLAWLES20X20"/>
    <s v="TAULA2"/>
    <s v="VISUAL MXF- FCE FLAWLESS_200x200"/>
    <m/>
    <m/>
    <n v="0"/>
    <n v="0"/>
    <m/>
  </r>
  <r>
    <x v="0"/>
    <s v="MAXFACTOR"/>
    <s v="V_FLEMASC_F26"/>
    <s v="TAULA2"/>
    <s v="VISUAL MXF- FLE MASCARA 199x197"/>
    <m/>
    <m/>
    <n v="0"/>
    <n v="0"/>
    <m/>
  </r>
  <r>
    <x v="0"/>
    <s v="RIMMEL"/>
    <s v="V_FLIGERA_F26"/>
    <s v="TAULA2"/>
    <s v="VISUAL RIM- FORMULALIGERA_199x197?"/>
    <m/>
    <m/>
    <n v="0"/>
    <n v="0"/>
    <m/>
  </r>
  <r>
    <x v="0"/>
    <s v="MAXFACTOR"/>
    <s v="V_FMASCA_MINI"/>
    <s v="TAULA2"/>
    <s v="MINI_VISUAL_ FLEMASCARA80X200"/>
    <m/>
    <m/>
    <n v="0"/>
    <n v="0"/>
    <m/>
  </r>
  <r>
    <x v="0"/>
    <s v="RIMMEL"/>
    <s v="V_GEL_8_MINI"/>
    <s v="TAULA2"/>
    <s v="MINI_VISUAL_ GEL_80X200"/>
    <m/>
    <m/>
    <n v="0"/>
    <n v="0"/>
    <m/>
  </r>
  <r>
    <x v="0"/>
    <s v="MAXFACTOR"/>
    <s v="V_GLOS_MINI"/>
    <s v="TAULA2"/>
    <s v="MINI_VISUAL_ GLOSS_80X200"/>
    <m/>
    <m/>
    <n v="0"/>
    <n v="0"/>
    <m/>
  </r>
  <r>
    <x v="0"/>
    <s v="MAXFACTOR"/>
    <s v="V_GLOWFRA39X20"/>
    <s v="TAULA2"/>
    <s v="VISUAL MXF-GLOW FRAMER_39x200"/>
    <m/>
    <m/>
    <n v="0"/>
    <n v="0"/>
    <m/>
  </r>
  <r>
    <x v="0"/>
    <s v="RIMMEL"/>
    <s v="V_K&amp;F_F26"/>
    <s v="TAULA2"/>
    <s v="VISUAL RIM- K&amp;F_100x197"/>
    <m/>
    <m/>
    <n v="0"/>
    <n v="0"/>
    <m/>
  </r>
  <r>
    <x v="0"/>
    <s v="RIMMEL"/>
    <s v="V_K&amp;F20X20_F26"/>
    <s v="TAULA2"/>
    <s v="VISUAL RIM-K&amp;F_199X197"/>
    <m/>
    <m/>
    <n v="0"/>
    <n v="0"/>
    <m/>
  </r>
  <r>
    <x v="0"/>
    <s v="RIMMEL"/>
    <s v="V_LASTI_MINI"/>
    <s v="TAULA2"/>
    <s v="MINI_VISUAL_ LASTING_MEGA_MATTE_80X200"/>
    <m/>
    <m/>
    <n v="0"/>
    <n v="0"/>
    <m/>
  </r>
  <r>
    <x v="0"/>
    <s v="RIMMEL"/>
    <s v="V_LASTINGF_F26"/>
    <s v="TAULA2"/>
    <s v="VISUAL RIM- LASTINGFINISH_100x197"/>
    <m/>
    <m/>
    <n v="0"/>
    <n v="0"/>
    <m/>
  </r>
  <r>
    <x v="0"/>
    <s v="RIMMEL"/>
    <s v="V_LASTINGF20X20"/>
    <s v="TAULA2"/>
    <s v="VISUAL RIM- LASTINGFINISH_200x200"/>
    <m/>
    <m/>
    <n v="0"/>
    <n v="0"/>
    <m/>
  </r>
  <r>
    <x v="0"/>
    <s v="MAXFACTOR"/>
    <s v="V_LASTPE_MINI"/>
    <s v="TAULA2"/>
    <s v="MINI_VISUAL_ LASTINGPERFORMANCE_80X200"/>
    <m/>
    <m/>
    <n v="0"/>
    <n v="0"/>
    <m/>
  </r>
  <r>
    <x v="0"/>
    <s v="RIMMEL"/>
    <s v="V_LF_35_MINI"/>
    <s v="TAULA2"/>
    <s v="MINI_VISUAL_ LF_35H_80X200"/>
    <m/>
    <m/>
    <n v="0"/>
    <n v="0"/>
    <m/>
  </r>
  <r>
    <x v="0"/>
    <s v="RIMMEL"/>
    <s v="V_LF_EX_MINI"/>
    <s v="TAULA2"/>
    <s v="MINI_VISUAL_ LF_EXTREME_MATTE_80X200"/>
    <m/>
    <m/>
    <n v="0"/>
    <n v="0"/>
    <m/>
  </r>
  <r>
    <x v="0"/>
    <s v="RIMMEL"/>
    <s v="V_LF35H_39X200"/>
    <s v="TAULA2"/>
    <s v="VISUAL RIM-LASTING FINISH 35H_39x200"/>
    <m/>
    <m/>
    <n v="0"/>
    <n v="0"/>
    <m/>
  </r>
  <r>
    <x v="0"/>
    <s v="RIMMEL"/>
    <s v="V_LF35HNEO"/>
    <s v="TAULA2"/>
    <s v="VISUAL LF 35H NEO"/>
    <m/>
    <m/>
    <n v="0"/>
    <n v="0"/>
    <m/>
  </r>
  <r>
    <x v="0"/>
    <s v="RIMMEL"/>
    <s v="V_LINER 1"/>
    <s v="TAULA2"/>
    <s v="VISUAL RIM-LINERS_39x200"/>
    <m/>
    <m/>
    <n v="0"/>
    <n v="0"/>
    <m/>
  </r>
  <r>
    <x v="0"/>
    <s v="RIMMEL"/>
    <s v="V_LINER 2"/>
    <s v="TAULA2"/>
    <s v="VISUAL RIM-LINERS2_39x200"/>
    <m/>
    <m/>
    <n v="0"/>
    <n v="0"/>
    <m/>
  </r>
  <r>
    <x v="0"/>
    <s v="RIMMEL"/>
    <s v="V_LIP_L_MINI"/>
    <s v="TAULA2"/>
    <s v="MINI_VISUAL_ LIP_LATEX_80X200"/>
    <m/>
    <m/>
    <n v="0"/>
    <n v="0"/>
    <m/>
  </r>
  <r>
    <x v="0"/>
    <s v="MAXFACTOR"/>
    <s v="V_LIPENH_MINI"/>
    <s v="TAULA2"/>
    <s v="MINI_VISUAL_ LIPENHANCER_80X200"/>
    <m/>
    <m/>
    <n v="0"/>
    <n v="0"/>
    <m/>
  </r>
  <r>
    <x v="0"/>
    <s v="MAXFACTOR"/>
    <s v="V_LIPFI_MINI"/>
    <s v="TAULA2"/>
    <s v="MINI_VISUAL_ LIPFINITY_80X200"/>
    <m/>
    <m/>
    <n v="0"/>
    <n v="0"/>
    <m/>
  </r>
  <r>
    <x v="0"/>
    <s v="MAXFACTOR"/>
    <s v="V_LIPL_MINI"/>
    <s v="TAULA2"/>
    <s v="MINI_VISUAL_ LIPLINER_80X200"/>
    <m/>
    <m/>
    <n v="0"/>
    <n v="0"/>
    <m/>
  </r>
  <r>
    <x v="0"/>
    <s v="MAXFACTOR"/>
    <s v="V_LIPLIN39X20"/>
    <s v="TAULA2"/>
    <s v="VISUAL MXF-LIP LINERS_39x200"/>
    <m/>
    <m/>
    <n v="0"/>
    <n v="0"/>
    <m/>
  </r>
  <r>
    <x v="0"/>
    <s v="MAXFACTOR"/>
    <s v="V_LIPLINER_F26"/>
    <s v="TAULA2"/>
    <s v="VISUAL MXF- COLOR ELIXIR LIPLINER 199x197"/>
    <m/>
    <m/>
    <n v="0"/>
    <n v="0"/>
    <m/>
  </r>
  <r>
    <x v="0"/>
    <s v="RIMMEL"/>
    <s v="V_LIPOI_MINI"/>
    <s v="TAULA2"/>
    <s v="MINI_VISUAL_ LIPOIL_80X200"/>
    <m/>
    <m/>
    <n v="0"/>
    <n v="0"/>
    <m/>
  </r>
  <r>
    <x v="0"/>
    <s v="RIMMEL"/>
    <s v="V_LIPOIL_F26"/>
    <s v="TAULA2"/>
    <s v="VISUAL RIM- LIPOIL 199x197"/>
    <m/>
    <m/>
    <n v="0"/>
    <n v="0"/>
    <m/>
  </r>
  <r>
    <x v="0"/>
    <s v="MAXFACTOR"/>
    <s v="V_LIPSTICK_F26"/>
    <s v="TAULA2"/>
    <s v="VISUAL MXF- COLOR ELIXIR LIPSTICK 199x197"/>
    <m/>
    <m/>
    <n v="0"/>
    <n v="0"/>
    <m/>
  </r>
  <r>
    <x v="0"/>
    <s v="RIMMEL"/>
    <s v="V_LOGORIM_F26"/>
    <s v="TAULA2"/>
    <s v="VISUAL_LOGO_RIM_400x200"/>
    <m/>
    <m/>
    <n v="0"/>
    <n v="0"/>
    <m/>
  </r>
  <r>
    <x v="0"/>
    <s v="MAXFACTOR"/>
    <s v="V_MAEXP_MINI"/>
    <s v="TAULA2"/>
    <s v="MINI_VISUAL_ MASTERXPRESS_80X200"/>
    <m/>
    <m/>
    <n v="0"/>
    <n v="0"/>
    <m/>
  </r>
  <r>
    <x v="0"/>
    <s v="MAXFACTOR"/>
    <s v="V_MASC2X1_F26"/>
    <s v="TAULA2"/>
    <s v="VISUAL MXF - FLE 2-1 MASCARA 199x197"/>
    <m/>
    <m/>
    <n v="0"/>
    <n v="0"/>
    <m/>
  </r>
  <r>
    <x v="0"/>
    <s v="MAXFACTOR"/>
    <s v="V_MASCA_MINI"/>
    <s v="TAULA2"/>
    <s v="MINI_VISUAL_ MASTERPIECEMASCARA_80X200"/>
    <m/>
    <m/>
    <n v="0"/>
    <n v="0"/>
    <m/>
  </r>
  <r>
    <x v="0"/>
    <s v="MAXFACTOR"/>
    <s v="v_mascara39x20"/>
    <s v="TAULA2"/>
    <s v="VISUAL MXF-MASCARAS_199x43_5"/>
    <m/>
    <m/>
    <n v="0"/>
    <n v="0"/>
    <m/>
  </r>
  <r>
    <x v="0"/>
    <s v="MAXFACTOR"/>
    <s v="V_MASTERPIECE2-IN-1"/>
    <s v="TAULA2"/>
    <s v="MXF VISUAL MASCARA MASTERPIECE 2 EN 1"/>
    <m/>
    <m/>
    <n v="0"/>
    <n v="0"/>
    <m/>
  </r>
  <r>
    <x v="0"/>
    <s v="RIMMEL"/>
    <s v="V_MATCH_MINI"/>
    <s v="TAULA2"/>
    <s v="MINI_VISUAL_ MATCH_PERFECTION_80X200"/>
    <m/>
    <m/>
    <n v="0"/>
    <n v="0"/>
    <m/>
  </r>
  <r>
    <x v="0"/>
    <s v="RIMMEL"/>
    <s v="V_MATCHP_F26"/>
    <s v="TAULA2"/>
    <s v="VISUAL RIM- MATCHPERFECTION_100x197"/>
    <m/>
    <m/>
    <n v="0"/>
    <n v="0"/>
    <m/>
  </r>
  <r>
    <x v="0"/>
    <s v="RIMMEL"/>
    <s v="V_MATCHP20X20"/>
    <s v="TAULA2"/>
    <s v="VISUAL RIM- MATCHPERFECTION_200x200"/>
    <m/>
    <m/>
    <n v="0"/>
    <n v="0"/>
    <m/>
  </r>
  <r>
    <x v="0"/>
    <s v="RIMMEL"/>
    <s v="V_MATP_39X200"/>
    <s v="TAULA2"/>
    <s v="VISUAL RIM- MATCH PERFECTION_39x200"/>
    <m/>
    <m/>
    <n v="0"/>
    <n v="0"/>
    <m/>
  </r>
  <r>
    <x v="0"/>
    <s v="MAXFACTOR"/>
    <s v="V_MIBLU_MINI"/>
    <s v="TAULA2"/>
    <s v="MINI_VISUAL_ MIRACLEPUREBLUSH_80X200"/>
    <m/>
    <m/>
    <n v="0"/>
    <n v="0"/>
    <m/>
  </r>
  <r>
    <x v="0"/>
    <s v="MAXFACTOR"/>
    <s v="V_MICONC_MINI"/>
    <s v="TAULA2"/>
    <s v="MINI_VISUAL_ MIRACLEPURECONCEALER_80X200"/>
    <m/>
    <m/>
    <n v="0"/>
    <n v="0"/>
    <m/>
  </r>
  <r>
    <x v="0"/>
    <s v="MAXFACTOR"/>
    <s v="V_MICROMAK_F26"/>
    <s v="TAULA2"/>
    <s v="VISUAL MXF- MASTERPIECE MICROMAKER 200X200"/>
    <m/>
    <m/>
    <n v="0"/>
    <n v="0"/>
    <m/>
  </r>
  <r>
    <x v="0"/>
    <s v="MAXFACTOR"/>
    <s v="V_MIPURE_MINI"/>
    <s v="TAULA2"/>
    <s v="MINI_VISUAL_ MIRACLEPURE_80X200"/>
    <m/>
    <m/>
    <n v="0"/>
    <n v="0"/>
    <m/>
  </r>
  <r>
    <x v="0"/>
    <s v="MAXFACTOR"/>
    <s v="V_MIRACLUM"/>
    <s v="TAULA2"/>
    <s v="VISUAL MIRACLE PURE LUMINOUS TOUCH"/>
    <m/>
    <m/>
    <n v="0"/>
    <n v="0"/>
    <m/>
  </r>
  <r>
    <x v="0"/>
    <s v="MAXFACTOR"/>
    <s v="V_MISKIN_MINI"/>
    <s v="TAULA2"/>
    <s v="MINI_VISUAL_ MIRACLESKIN_80X200"/>
    <m/>
    <m/>
    <n v="0"/>
    <n v="0"/>
    <m/>
  </r>
  <r>
    <x v="0"/>
    <s v="RIMMEL"/>
    <s v="V_MULTCONC_F26"/>
    <s v="TAULA2"/>
    <s v="VISUAL RIM- MULTITASKERCONCEALER_100x197"/>
    <m/>
    <m/>
    <n v="0"/>
    <n v="0"/>
    <m/>
  </r>
  <r>
    <x v="0"/>
    <s v="RIMMEL"/>
    <s v="V_MULTIC_MINI"/>
    <s v="TAULA2"/>
    <s v="MINI_VISUAL_ MULTITASKER_CONCEALER_80X200"/>
    <m/>
    <m/>
    <n v="0"/>
    <n v="0"/>
    <m/>
  </r>
  <r>
    <x v="0"/>
    <s v="MAXFACTOR"/>
    <s v="V_MULTIP_MINI"/>
    <s v="TAULA2"/>
    <s v="MINI_VISUAL_ MULTIPERFECTOR_80X200"/>
    <m/>
    <m/>
    <n v="0"/>
    <n v="0"/>
    <m/>
  </r>
  <r>
    <x v="0"/>
    <s v="MAXFACTOR"/>
    <s v="V_MXFMETA_F26"/>
    <s v="TAULA2"/>
    <s v="VISUAL_IMAGEN_MXF_400x200"/>
    <m/>
    <m/>
    <n v="0"/>
    <n v="0"/>
    <m/>
  </r>
  <r>
    <x v="0"/>
    <s v="RIMMEL"/>
    <s v="V_NAIL__MINI"/>
    <s v="TAULA2"/>
    <s v="MINI_VISUAL_ NAIL_TREATMENT_80X200"/>
    <m/>
    <m/>
    <n v="0"/>
    <n v="0"/>
    <m/>
  </r>
  <r>
    <x v="0"/>
    <s v="MAXFACTOR"/>
    <s v="V_NAILF_MINI"/>
    <s v="TAULA2"/>
    <s v="MINI_VISUAL_ NAILFINITY_80X200"/>
    <m/>
    <m/>
    <n v="0"/>
    <n v="0"/>
    <m/>
  </r>
  <r>
    <x v="0"/>
    <s v="MAXFACTOR"/>
    <s v="V_PERFORM_F26"/>
    <s v="TAULA2"/>
    <s v="VISUAL MXF_LASTINGPERFORMANCE_100x197"/>
    <m/>
    <m/>
    <n v="0"/>
    <n v="0"/>
    <m/>
  </r>
  <r>
    <x v="0"/>
    <s v="MAXFACTOR"/>
    <s v="V_PERFORM39X20"/>
    <s v="TAULA2"/>
    <s v="VISUAL MXF-LASTING PERFORMANCE_39x200"/>
    <m/>
    <m/>
    <n v="0"/>
    <n v="0"/>
    <m/>
  </r>
  <r>
    <x v="0"/>
    <s v="MAXFACTOR"/>
    <s v="V_POLVO_MINI"/>
    <s v="TAULA2"/>
    <s v="MINI_VISUAL_ POLVOS_80X200"/>
    <m/>
    <m/>
    <n v="0"/>
    <n v="0"/>
    <m/>
  </r>
  <r>
    <x v="0"/>
    <s v="RIMMEL"/>
    <s v="V_PROVO_MINI"/>
    <s v="TAULA2"/>
    <s v="MINI_VISUAL_ PROVOCALIPS_80X200"/>
    <m/>
    <m/>
    <n v="0"/>
    <n v="0"/>
    <m/>
  </r>
  <r>
    <x v="0"/>
    <s v="MAXFACTOR"/>
    <s v="V_RBROWN20_F26"/>
    <s v="TAULA2"/>
    <s v="VISUAL MXF_ REALBROW_199x197"/>
    <m/>
    <m/>
    <n v="0"/>
    <n v="0"/>
    <m/>
  </r>
  <r>
    <x v="0"/>
    <s v="RIMMEL"/>
    <s v="V_RIMMETA_F26"/>
    <s v="TAULA2"/>
    <s v="VISUAL_IMAGEN_RIM_400x200"/>
    <m/>
    <m/>
    <n v="0"/>
    <n v="0"/>
    <m/>
  </r>
  <r>
    <x v="0"/>
    <s v="RIMMEL"/>
    <s v="V_SCAND_F26"/>
    <s v="TAULA2"/>
    <s v="VISUAL RIM- SCANDALEYES_100x197"/>
    <m/>
    <m/>
    <n v="0"/>
    <n v="0"/>
    <m/>
  </r>
  <r>
    <x v="0"/>
    <s v="RIMMEL"/>
    <s v="V_SCAND_MINI"/>
    <s v="TAULA2"/>
    <s v="MINI_VISUAL_ SCANDALEYES_80X200"/>
    <m/>
    <m/>
    <n v="0"/>
    <n v="0"/>
    <m/>
  </r>
  <r>
    <x v="0"/>
    <s v="RIMMEL"/>
    <s v="V_SCAND20_F26"/>
    <s v="TAULA2"/>
    <s v="VISUAL RIM- SCANDALEYES_199x197"/>
    <m/>
    <m/>
    <n v="0"/>
    <n v="0"/>
    <m/>
  </r>
  <r>
    <x v="0"/>
    <s v="MAXFACTOR"/>
    <s v="V_SERUMFUND"/>
    <s v="TAULA2"/>
    <s v="VISUAL MIRACLE PURE SKIN RESET 2 EN 1SERUM"/>
    <m/>
    <m/>
    <n v="0"/>
    <n v="0"/>
    <m/>
  </r>
  <r>
    <x v="0"/>
    <s v="RIMMEL"/>
    <s v="V_SHAD_MINI"/>
    <s v="TAULA2"/>
    <s v="MINI_VISUAL_ SHADOWSTICK_80X200"/>
    <m/>
    <m/>
    <n v="0"/>
    <n v="0"/>
    <m/>
  </r>
  <r>
    <x v="0"/>
    <s v="MAXFACTOR"/>
    <s v="V_SOMB_MINI"/>
    <s v="TAULA2"/>
    <s v="MINI_VISUAL_ MASTERPIECESOMBRAS_80X200"/>
    <m/>
    <m/>
    <n v="0"/>
    <n v="0"/>
    <m/>
  </r>
  <r>
    <x v="0"/>
    <s v="RIMMEL"/>
    <s v="V_STAYM10X20"/>
    <s v="TAULA2"/>
    <s v="VISUAL RIM-SATYMATTE_100x97"/>
    <m/>
    <m/>
    <n v="0"/>
    <n v="0"/>
    <m/>
  </r>
  <r>
    <x v="0"/>
    <s v="RIMMEL"/>
    <s v="V_STAYM20X20"/>
    <s v="TAULA2"/>
    <s v="VISUAL RIM-SATYMATTE_200x200"/>
    <m/>
    <m/>
    <n v="0"/>
    <n v="0"/>
    <m/>
  </r>
  <r>
    <x v="0"/>
    <s v="RIMMEL"/>
    <s v="V_SUPERGELNEO"/>
    <s v="TAULA2"/>
    <s v="VISUAL SUPER GEL NEO 30x30"/>
    <m/>
    <m/>
    <n v="0"/>
    <n v="0"/>
    <m/>
  </r>
  <r>
    <x v="0"/>
    <s v="RIMMEL"/>
    <s v="V_SUPGEL_10X20"/>
    <s v="TAULA2"/>
    <s v="VISUAL RIM -SUPERGEL_100x97"/>
    <m/>
    <m/>
    <n v="0"/>
    <n v="0"/>
    <m/>
  </r>
  <r>
    <x v="0"/>
    <s v="RIMMEL"/>
    <s v="V_THRILL_F26"/>
    <s v="TAULA2"/>
    <s v="VISUAL RIM- THRILL_SEEKER_100x197"/>
    <m/>
    <m/>
    <n v="0"/>
    <n v="0"/>
    <m/>
  </r>
  <r>
    <x v="0"/>
    <s v="RIMMEL"/>
    <s v="V_THRILL20_F26"/>
    <s v="TAULA2"/>
    <s v="VISUAL MXF - THRILL_SEEKER_199x197"/>
    <m/>
    <m/>
    <n v="0"/>
    <n v="0"/>
    <m/>
  </r>
  <r>
    <x v="0"/>
    <s v="RIMMEL"/>
    <s v="V_THS_8_MINI"/>
    <s v="TAULA2"/>
    <s v="MINI_VISUAL_ THS_80X200"/>
    <m/>
    <m/>
    <n v="0"/>
    <n v="0"/>
    <m/>
  </r>
  <r>
    <x v="0"/>
    <s v="RIMMEL"/>
    <s v="V_THSGL_MINI"/>
    <s v="TAULA2"/>
    <s v="MINI_VISUAL_ THSGLOSS_80X200"/>
    <m/>
    <m/>
    <n v="0"/>
    <n v="0"/>
    <m/>
  </r>
  <r>
    <x v="0"/>
    <s v="RIMMEL"/>
    <s v="V_WONDE_MINI"/>
    <s v="TAULA2"/>
    <s v="MINI_VISUAL_ WONDER_80X200"/>
    <m/>
    <m/>
    <n v="0"/>
    <n v="0"/>
    <m/>
  </r>
  <r>
    <x v="0"/>
    <s v="RIMMEL"/>
    <s v="V_WONDER_F26"/>
    <s v="TAULA2"/>
    <s v="VISUAL RIM- WONDERBOND_100x197"/>
    <m/>
    <m/>
    <n v="0"/>
    <n v="0"/>
    <m/>
  </r>
  <r>
    <x v="0"/>
    <s v="RIMMEL"/>
    <s v="V_WONDER20_F26"/>
    <s v="TAULA2"/>
    <s v="VISUAL RIM- WONDERBOND_199x197"/>
    <m/>
    <m/>
    <n v="0"/>
    <n v="0"/>
    <m/>
  </r>
  <r>
    <x v="0"/>
    <s v="MAXFACTOR"/>
    <s v="V_WOWL_MINI"/>
    <s v="TAULA2"/>
    <s v="MINI_VISUAL_ WOWLINER_80X200"/>
    <m/>
    <m/>
    <n v="0"/>
    <n v="0"/>
    <m/>
  </r>
  <r>
    <x v="0"/>
    <s v="MAXFACTOR"/>
    <s v="V_WOWLIN39X20"/>
    <s v="TAULA2"/>
    <s v="VISUAL MXF-MASTERPIECE WOW_39x200"/>
    <m/>
    <m/>
    <n v="0"/>
    <n v="0"/>
    <m/>
  </r>
  <r>
    <x v="0"/>
    <s v="MAXFACTOR"/>
    <s v="V_WOWLINER_F26"/>
    <s v="TAULA2"/>
    <s v="VISUAL MXF - MASTEPIECE WOW LINER 199x197"/>
    <m/>
    <m/>
    <n v="0"/>
    <n v="0"/>
    <m/>
  </r>
  <r>
    <x v="0"/>
    <s v="BOURJOIS"/>
    <s v="VBJPORT1"/>
    <s v="TAULA2"/>
    <s v="VISUALES BJNEXTGEN120 PORTUGAL"/>
    <m/>
    <m/>
    <n v="0"/>
    <n v="0"/>
    <m/>
  </r>
  <r>
    <x v="0"/>
    <s v="BOURJOIS"/>
    <s v="VBJPORT2"/>
    <s v="TAULA2"/>
    <s v="VISUALES BJNEXTGEN2M PORTUGAL"/>
    <m/>
    <m/>
    <n v="0"/>
    <n v="0"/>
    <m/>
  </r>
  <r>
    <x v="0"/>
    <s v="MAXFACTOR"/>
    <s v="XG030725"/>
    <s v="TAULA2"/>
    <s v="KIT H2FY25"/>
    <m/>
    <m/>
    <n v="0"/>
    <n v="0"/>
    <m/>
  </r>
  <r>
    <x v="0"/>
    <s v="RIMMEL"/>
    <s v="RIMP145_F26"/>
    <s v="VALL.G.01.01.01"/>
    <s v="60 SEC"/>
    <m/>
    <m/>
    <n v="1"/>
    <n v="8.99"/>
    <m/>
  </r>
  <r>
    <x v="0"/>
    <s v="BOURJOIS"/>
    <s v="BNEXTGEN120_26"/>
    <s v="VALL.G.01.01.02"/>
    <s v="BASE NEXT GEN 120 H2FY26"/>
    <m/>
    <m/>
    <n v="1"/>
    <n v="8.99"/>
    <m/>
  </r>
  <r>
    <x v="0"/>
    <s v="BOURJOIS"/>
    <s v="NEXTGENBASE120"/>
    <s v="VALL.G.01.02.01"/>
    <s v="NEXT GEN BASE 120 H2FY25 WILLSON"/>
    <m/>
    <m/>
    <n v="1"/>
    <n v="8.99"/>
    <m/>
  </r>
  <r>
    <x v="0"/>
    <s v="RIMMEL"/>
    <s v="RIMP145_F26"/>
    <s v="VALL.G.01.02.01"/>
    <s v="60 SEC"/>
    <m/>
    <m/>
    <n v="0"/>
    <n v="0"/>
    <m/>
  </r>
  <r>
    <x v="0"/>
    <s v="BOURJOIS"/>
    <s v="BNEXTGEN120_26"/>
    <s v="VALL.G.01.02.02"/>
    <s v="BASE NEXT GEN 120 H2FY26"/>
    <m/>
    <m/>
    <n v="1"/>
    <n v="8.99"/>
    <m/>
  </r>
  <r>
    <x v="0"/>
    <s v="BOURJOIS"/>
    <s v="NEXTGENBASE120"/>
    <s v="VALL.G.01.03.01"/>
    <s v="NEXT GEN BASE 120 H2FY25 WILLSON"/>
    <m/>
    <m/>
    <n v="1"/>
    <n v="8.99"/>
    <m/>
  </r>
  <r>
    <x v="0"/>
    <s v="RIMMEL"/>
    <s v="RIMP146_F26"/>
    <s v="VALL.G.01.03.01"/>
    <s v="GEL"/>
    <m/>
    <m/>
    <n v="0"/>
    <n v="0"/>
    <m/>
  </r>
  <r>
    <x v="0"/>
    <s v="BOURJOIS"/>
    <s v="BNEXTGEN120_26"/>
    <s v="VALL.G.01.03.02"/>
    <s v="BASE NEXT GEN 120 H2FY26"/>
    <m/>
    <m/>
    <n v="1"/>
    <n v="8.99"/>
    <m/>
  </r>
  <r>
    <x v="0"/>
    <s v="BOURJOIS"/>
    <s v="NEXTGENBASE120"/>
    <s v="VALL.G.01.04.01"/>
    <s v="NEXT GEN BASE 120 H2FY25 WILLSON"/>
    <m/>
    <m/>
    <n v="1"/>
    <n v="8.99"/>
    <m/>
  </r>
  <r>
    <x v="0"/>
    <s v="RIMMEL"/>
    <s v="RIMP146_F26"/>
    <s v="VALL.G.01.04.01"/>
    <s v="GEL"/>
    <m/>
    <m/>
    <n v="0"/>
    <n v="0"/>
    <m/>
  </r>
  <r>
    <x v="0"/>
    <s v="BOURJOIS"/>
    <s v="BNEXTGEN120_26"/>
    <s v="VALL.G.01.04.02"/>
    <s v="BASE NEXT GEN 120 H2FY26"/>
    <m/>
    <m/>
    <n v="1"/>
    <n v="8.99"/>
    <m/>
  </r>
  <r>
    <x v="0"/>
    <s v="BOURJOIS"/>
    <s v="NEXTGENBASE120"/>
    <s v="VALL.G.01.05.01"/>
    <s v="NEXT GEN BASE 120 H2FY25 WILLSON"/>
    <m/>
    <m/>
    <n v="1"/>
    <n v="8.99"/>
    <m/>
  </r>
  <r>
    <x v="0"/>
    <s v="RIMMEL"/>
    <s v="RIM IF 125"/>
    <s v="VALL.G.01.05.01"/>
    <s v="LASTING FINISH 35H + MULTITASKER"/>
    <m/>
    <m/>
    <n v="0"/>
    <n v="0"/>
    <m/>
  </r>
  <r>
    <x v="0"/>
    <s v="RIMMEL"/>
    <s v="RIMP156_F26"/>
    <s v="VALL.G.01.05.01"/>
    <s v="NAIL TREATMENT"/>
    <m/>
    <m/>
    <n v="0"/>
    <n v="0"/>
    <m/>
  </r>
  <r>
    <x v="0"/>
    <s v="RIMMEL"/>
    <s v="KIT_PUSHRIM210"/>
    <s v="VALL.G.01.06.01"/>
    <s v="KITS PUSH PARA CRF_ACTUALIZ H1 Y H2FY26"/>
    <m/>
    <m/>
    <n v="1"/>
    <n v="8.99"/>
    <m/>
  </r>
  <r>
    <x v="0"/>
    <s v="BOURJOIS"/>
    <s v="NEXTGENBASE120"/>
    <s v="VALL.G.01.06.01"/>
    <s v="NEXT GEN BASE 120 H2FY25 WILLSON"/>
    <m/>
    <m/>
    <n v="0"/>
    <n v="0"/>
    <m/>
  </r>
  <r>
    <x v="0"/>
    <s v="RIMMEL"/>
    <s v="RIMP156_F26"/>
    <s v="VALL.G.01.06.01"/>
    <s v="NAIL TREATMENT"/>
    <m/>
    <m/>
    <n v="0"/>
    <n v="0"/>
    <m/>
  </r>
  <r>
    <x v="0"/>
    <s v="BOURJOIS"/>
    <s v="NEXTGENBASE120"/>
    <s v="VALL.G.01.07.01"/>
    <s v="NEXT GEN BASE 120 H2FY25 WILLSON"/>
    <m/>
    <m/>
    <n v="1"/>
    <n v="8.99"/>
    <m/>
  </r>
  <r>
    <x v="0"/>
    <s v="RIMMEL"/>
    <s v="RIMP160_F26"/>
    <s v="VALL.G.01.07.01"/>
    <s v="LF COMPACT"/>
    <m/>
    <m/>
    <n v="0"/>
    <n v="0"/>
    <m/>
  </r>
  <r>
    <x v="0"/>
    <s v="BOURJOIS"/>
    <s v="NEXTGENBASE120"/>
    <s v="VALL.G.01.08.01"/>
    <s v="NEXT GEN BASE 120 H2FY25 WILLSON"/>
    <m/>
    <m/>
    <n v="1"/>
    <n v="8.99"/>
    <m/>
  </r>
  <r>
    <x v="0"/>
    <s v="RIMMEL"/>
    <s v="RIMP138_F26"/>
    <s v="VALL.G.01.08.01"/>
    <s v="MATCH PERFECTION (F4+VISUAL)"/>
    <m/>
    <m/>
    <n v="0"/>
    <n v="0"/>
    <m/>
  </r>
  <r>
    <x v="0"/>
    <s v="RIMMEL"/>
    <s v="RIMP138_F26"/>
    <s v="VALL.G.01.09.01"/>
    <s v="MATCH PERFECTION (F4+VISUAL)"/>
    <m/>
    <m/>
    <n v="1"/>
    <n v="8.99"/>
    <m/>
  </r>
  <r>
    <x v="0"/>
    <s v="RIMMEL"/>
    <s v="RIMP138_F26"/>
    <s v="VALL.G.01.10.01"/>
    <s v="MATCH PERFECTION (F4+VISUAL)"/>
    <m/>
    <m/>
    <n v="1"/>
    <n v="8.99"/>
    <m/>
  </r>
  <r>
    <x v="0"/>
    <s v="RIMMEL"/>
    <s v="RIMP139_F26"/>
    <s v="VALL.G.01.11.01"/>
    <s v="MATCH PERFECTION (5F)"/>
    <m/>
    <m/>
    <n v="1"/>
    <n v="8.99"/>
    <m/>
  </r>
  <r>
    <x v="0"/>
    <s v="RIMMEL"/>
    <s v="RIMP139_F26"/>
    <s v="VALL.G.01.12.01"/>
    <s v="MATCH PERFECTION (5F)"/>
    <m/>
    <m/>
    <n v="1"/>
    <n v="8.99"/>
    <m/>
  </r>
  <r>
    <x v="0"/>
    <s v="RIMMEL"/>
    <s v="RIMP139_F26"/>
    <s v="VALL.G.01.13.01"/>
    <s v="MATCH PERFECTION (5F)"/>
    <m/>
    <m/>
    <n v="1"/>
    <n v="8.99"/>
    <m/>
  </r>
  <r>
    <x v="0"/>
    <s v="MAXFACTOR"/>
    <s v="MXF_IF07"/>
    <s v="VALL.G.01.13.02"/>
    <s v="MXF IF 07"/>
    <m/>
    <m/>
    <n v="1"/>
    <n v="8.99"/>
    <m/>
  </r>
  <r>
    <x v="0"/>
    <s v="RIMMEL"/>
    <s v="RIMP149_F26"/>
    <s v="VALL.G.01.14.01"/>
    <s v="BETTER THAN FILTER"/>
    <m/>
    <m/>
    <n v="1"/>
    <n v="8.99"/>
    <m/>
  </r>
  <r>
    <x v="0"/>
    <s v="MAXFACTOR"/>
    <s v="MXF_IF07"/>
    <s v="VALL.G.01.14.02"/>
    <s v="MXF IF 07"/>
    <m/>
    <m/>
    <n v="1"/>
    <n v="8.99"/>
    <m/>
  </r>
  <r>
    <x v="0"/>
    <s v="RIMMEL"/>
    <s v="RIMP149_F26"/>
    <s v="VALL.G.01.15.01"/>
    <s v="BETTER THAN FILTER"/>
    <m/>
    <m/>
    <n v="1"/>
    <n v="8.99"/>
    <m/>
  </r>
  <r>
    <x v="0"/>
    <s v="MAXFACTOR"/>
    <s v="MXF_IF07"/>
    <s v="VALL.G.01.15.02"/>
    <s v="MXF IF 07"/>
    <m/>
    <m/>
    <n v="1"/>
    <n v="8.99"/>
    <m/>
  </r>
  <r>
    <x v="0"/>
    <s v="RIMMEL"/>
    <s v="RIMP149_F26"/>
    <s v="VALL.G.01.16.01"/>
    <s v="BETTER THAN FILTER"/>
    <m/>
    <m/>
    <n v="1"/>
    <n v="8.99"/>
    <m/>
  </r>
  <r>
    <x v="0"/>
    <s v="MAXFACTOR"/>
    <s v="MXF_IF07"/>
    <s v="VALL.G.01.16.02"/>
    <s v="MXF IF 07"/>
    <m/>
    <m/>
    <n v="1"/>
    <n v="8.99"/>
    <m/>
  </r>
  <r>
    <x v="0"/>
    <s v="MAXFACTOR"/>
    <s v="MXFP176_F26"/>
    <s v="VALL.G.01.17.01"/>
    <s v="PORTAVISUALES 10X20"/>
    <m/>
    <m/>
    <n v="1"/>
    <n v="8.99"/>
    <m/>
  </r>
  <r>
    <x v="0"/>
    <s v="MAXFACTOR"/>
    <s v="MXF_IF07"/>
    <s v="VALL.G.01.17.02"/>
    <s v="MXF IF 07"/>
    <m/>
    <m/>
    <n v="1"/>
    <n v="8.99"/>
    <m/>
  </r>
  <r>
    <x v="0"/>
    <s v="MAXFACTOR"/>
    <s v="MXFP176_F26"/>
    <s v="VALL.G.01.18.01"/>
    <s v="PORTAVISUALES 10X20"/>
    <m/>
    <m/>
    <n v="1"/>
    <n v="8.99"/>
    <m/>
  </r>
  <r>
    <x v="0"/>
    <s v="BOURJOIS"/>
    <s v="NEXTGENBASE120"/>
    <s v="VALL.G.01.18.01"/>
    <s v="NEXT GEN BASE 120 H2FY25 WILLSON"/>
    <m/>
    <m/>
    <n v="0"/>
    <n v="0"/>
    <m/>
  </r>
  <r>
    <x v="0"/>
    <s v="MAXFACTOR"/>
    <s v="MXF_IF07"/>
    <s v="VALL.G.01.18.02"/>
    <s v="MXF IF 07"/>
    <m/>
    <m/>
    <n v="1"/>
    <n v="8.99"/>
    <m/>
  </r>
  <r>
    <x v="0"/>
    <s v="RIMMEL"/>
    <s v="RIMP150_F26"/>
    <s v="VALL.G.01.19.01"/>
    <s v="PORTAVISUALES 10X20"/>
    <m/>
    <m/>
    <n v="1"/>
    <n v="8.99"/>
    <m/>
  </r>
  <r>
    <x v="0"/>
    <s v="MAXFACTOR"/>
    <s v="MXF_IF07"/>
    <s v="VALL.G.01.19.02"/>
    <s v="MXF IF 07"/>
    <m/>
    <m/>
    <n v="1"/>
    <n v="8.99"/>
    <m/>
  </r>
  <r>
    <x v="0"/>
    <s v="RIMMEL"/>
    <s v="RIMP150_F26"/>
    <s v="VALL.G.01.20.01"/>
    <s v="PORTAVISUALES 10X20"/>
    <m/>
    <m/>
    <n v="1"/>
    <n v="8.99"/>
    <m/>
  </r>
  <r>
    <x v="0"/>
    <s v="MAXFACTOR"/>
    <s v="MXF_IF07"/>
    <s v="VALL.G.01.20.02"/>
    <s v="MXF IF 07"/>
    <m/>
    <m/>
    <n v="1"/>
    <n v="8.99"/>
    <m/>
  </r>
  <r>
    <x v="0"/>
    <s v="RIMMEL"/>
    <s v="MXFP150_F26"/>
    <s v="VALL.G.01.21.01"/>
    <s v="2K CALORIES GLOSS"/>
    <m/>
    <m/>
    <n v="1"/>
    <n v="8.99"/>
    <m/>
  </r>
  <r>
    <x v="0"/>
    <s v="RIMMEL"/>
    <s v="DEV19"/>
    <s v="VALL.G.01.22.01"/>
    <s v="RIM_BASE_IBAR 1.2M DEV"/>
    <m/>
    <m/>
    <n v="1"/>
    <n v="8.99"/>
    <m/>
  </r>
  <r>
    <x v="0"/>
    <s v="RIMMEL"/>
    <s v="MXFP155_F26"/>
    <s v="VALL.G.01.22.01"/>
    <s v="FACEFINITY BLUSH"/>
    <m/>
    <m/>
    <n v="0"/>
    <n v="0"/>
    <m/>
  </r>
  <r>
    <x v="0"/>
    <s v="RIMMEL"/>
    <s v="MXFP152_F26"/>
    <s v="VALL.G.01.25.01"/>
    <s v="BRONZER HIGHLIGHTER"/>
    <m/>
    <m/>
    <n v="1"/>
    <n v="8.99"/>
    <m/>
  </r>
  <r>
    <x v="0"/>
    <s v="RIMMEL"/>
    <s v="RIMP129_F26"/>
    <s v="VALL.G.01.26.01"/>
    <s v="HOT SPOT"/>
    <m/>
    <m/>
    <n v="1"/>
    <n v="8.99"/>
    <m/>
  </r>
  <r>
    <x v="0"/>
    <s v="RIMMEL"/>
    <s v="RIMP129_F26"/>
    <s v="VALL.G.01.27.01"/>
    <s v="HOT SPOT"/>
    <m/>
    <m/>
    <n v="1"/>
    <n v="8.99"/>
    <m/>
  </r>
  <r>
    <x v="8"/>
    <s v="MAXFACTOR"/>
    <s v="MXF153_F26"/>
    <s v="VALL.G.01.27.03"/>
    <s v="MASCARAS PUSH PARA MUEBLE NEO"/>
    <m/>
    <m/>
    <n v="1"/>
    <n v="8.99"/>
    <m/>
  </r>
  <r>
    <x v="0"/>
    <s v="RIMMEL"/>
    <s v="RIMP129_F26"/>
    <s v="VALL.G.01.28.01"/>
    <s v="HOT SPOT"/>
    <m/>
    <m/>
    <n v="1"/>
    <n v="8.99"/>
    <m/>
  </r>
  <r>
    <x v="8"/>
    <s v="MAXFACTOR"/>
    <s v="MXF155_F26"/>
    <s v="VALL.G.01.28.03"/>
    <s v="BANDEJA LIP ENHANCER PARA MUEBLE NEO"/>
    <m/>
    <m/>
    <n v="1"/>
    <n v="8.99"/>
    <m/>
  </r>
  <r>
    <x v="8"/>
    <s v="MAXFACTOR"/>
    <s v="MXF154_F26"/>
    <s v="VALL.G.01.29.03"/>
    <s v="BANDEJA ILUMINOUS TOUCH PARA MUEBLE NEO"/>
    <m/>
    <m/>
    <n v="1"/>
    <n v="8.99"/>
    <m/>
  </r>
  <r>
    <x v="8"/>
    <s v="RIMMEL"/>
    <s v="RIM129W_F26"/>
    <s v="VALL.G.01.30.03"/>
    <s v="BANDEJA RIM 129 PARA MUEBLE NEO"/>
    <m/>
    <m/>
    <n v="1"/>
    <n v="8.99"/>
    <m/>
  </r>
  <r>
    <x v="8"/>
    <s v="RIMMEL"/>
    <s v="RIM129S_F26"/>
    <s v="VALL.G.01.31.03"/>
    <s v="BANDEJA RIM 129 PARA MUEBLE NEO"/>
    <m/>
    <m/>
    <n v="1"/>
    <n v="8.99"/>
    <m/>
  </r>
  <r>
    <x v="8"/>
    <s v="RIMMEL"/>
    <s v="RIM_IF117_F26"/>
    <s v="VALL.G.01.32.03"/>
    <s v="BANDEJA RIM IF 117 PARA MUEBLE NEO"/>
    <m/>
    <m/>
    <n v="1"/>
    <n v="8.99"/>
    <m/>
  </r>
  <r>
    <x v="0"/>
    <s v="RIMMEL"/>
    <s v="RIMP129_F26"/>
    <s v="VALL.G.01.33.01"/>
    <s v="HOT SPOT"/>
    <m/>
    <m/>
    <n v="1"/>
    <n v="8.99"/>
    <m/>
  </r>
  <r>
    <x v="0"/>
    <s v="MAXFACTOR"/>
    <s v="MXF_IF07"/>
    <s v="VALL.G.01.33.02"/>
    <s v="MXF IF 07"/>
    <m/>
    <m/>
    <n v="1"/>
    <n v="8.99"/>
    <m/>
  </r>
  <r>
    <x v="8"/>
    <s v="MAXFACTOR"/>
    <s v="MXF153_F26"/>
    <s v="VALL.G.01.33.03"/>
    <s v="MASCARAS PUSH PARA MUEBLE NEO"/>
    <m/>
    <m/>
    <n v="1"/>
    <n v="8.99"/>
    <m/>
  </r>
  <r>
    <x v="0"/>
    <s v="RIMMEL"/>
    <s v="RIMP129_F26"/>
    <s v="VALL.G.01.34.01"/>
    <s v="HOT SPOT"/>
    <m/>
    <m/>
    <n v="1"/>
    <n v="8.99"/>
    <m/>
  </r>
  <r>
    <x v="0"/>
    <s v="MAXFACTOR"/>
    <s v="MXF_IF07"/>
    <s v="VALL.G.01.34.02"/>
    <s v="MXF IF 07"/>
    <m/>
    <m/>
    <n v="1"/>
    <n v="8.99"/>
    <m/>
  </r>
  <r>
    <x v="0"/>
    <s v="BOURJOIS"/>
    <s v="BNEXTGEN120_26"/>
    <s v="VALL.G.01.35.01"/>
    <s v="BASE NEXT GEN 120 H2FY26"/>
    <m/>
    <m/>
    <n v="1"/>
    <n v="8.99"/>
    <m/>
  </r>
  <r>
    <x v="0"/>
    <s v="RIMMEL"/>
    <s v="RIMP129_F26"/>
    <s v="VALL.G.01.35.01"/>
    <s v="HOT SPOT"/>
    <m/>
    <m/>
    <n v="0"/>
    <n v="0"/>
    <m/>
  </r>
  <r>
    <x v="0"/>
    <s v="MAXFACTOR"/>
    <s v="MXF_IF07"/>
    <s v="VALL.G.01.35.02"/>
    <s v="MXF IF 07"/>
    <m/>
    <m/>
    <n v="1"/>
    <n v="8.99"/>
    <m/>
  </r>
  <r>
    <x v="0"/>
    <s v="BOURJOIS"/>
    <s v="BNEXTGEN120_26"/>
    <s v="VALL.G.01.36.01"/>
    <s v="BASE NEXT GEN 120 H2FY26"/>
    <m/>
    <m/>
    <n v="1"/>
    <n v="8.99"/>
    <m/>
  </r>
  <r>
    <x v="0"/>
    <s v="RIMMEL"/>
    <s v="RIMP129_F26"/>
    <s v="VALL.G.01.36.01"/>
    <s v="HOT SPOT"/>
    <m/>
    <m/>
    <n v="0"/>
    <n v="0"/>
    <m/>
  </r>
  <r>
    <x v="0"/>
    <s v="BOURJOIS"/>
    <s v="BNEXTGEN120_26"/>
    <s v="VALL.G.01.37.01"/>
    <s v="BASE NEXT GEN 120 H2FY26"/>
    <m/>
    <m/>
    <n v="1"/>
    <n v="8.99"/>
    <m/>
  </r>
  <r>
    <x v="0"/>
    <s v="RIMMEL"/>
    <s v="RIMP129_F26"/>
    <s v="VALL.G.01.37.01"/>
    <s v="HOT SPOT"/>
    <m/>
    <m/>
    <n v="0"/>
    <n v="0"/>
    <m/>
  </r>
  <r>
    <x v="1"/>
    <m/>
    <n v="54005814"/>
    <s v="VALL.G.01.40.03"/>
    <s v="ENG EYES EVENT HOTSPOT"/>
    <m/>
    <m/>
    <n v="1"/>
    <n v="8.99"/>
    <m/>
  </r>
  <r>
    <x v="1"/>
    <m/>
    <n v="54006522"/>
    <s v="VALL.G.01.40.03"/>
    <s v="ACT GONDOLA NOV SHINE"/>
    <m/>
    <m/>
    <n v="0"/>
    <n v="0"/>
    <m/>
  </r>
  <r>
    <x v="0"/>
    <s v="BOURJOIS"/>
    <s v="BJ0015"/>
    <s v="VALL.G.01.40.03"/>
    <s v="BJ_BASE_FD 120CM"/>
    <m/>
    <m/>
    <n v="0"/>
    <n v="0"/>
    <m/>
  </r>
  <r>
    <x v="8"/>
    <s v="RIMMEL"/>
    <s v="RIM127_F26"/>
    <s v="VALL.G.01.40.03"/>
    <s v="BANDEJA MULTITASKER PUSH PARA MUEBLE NEO"/>
    <m/>
    <m/>
    <n v="0"/>
    <n v="0"/>
    <m/>
  </r>
  <r>
    <x v="1"/>
    <m/>
    <n v="54004449"/>
    <s v="VALL.G.01.41.03"/>
    <s v="NC WU PUSHER SEPARATOR"/>
    <m/>
    <m/>
    <n v="1"/>
    <n v="8.99"/>
    <m/>
  </r>
  <r>
    <x v="0"/>
    <s v="BOURJOIS"/>
    <s v="BJ0015"/>
    <s v="VALL.G.01.41.03"/>
    <s v="BJ_BASE_FD 120CM"/>
    <m/>
    <m/>
    <n v="0"/>
    <n v="0"/>
    <m/>
  </r>
  <r>
    <x v="8"/>
    <s v="RIMMEL"/>
    <s v="RIM128_F26"/>
    <s v="VALL.G.01.41.03"/>
    <s v="BANDEJA LIP LATEX+LIPOIL PARA MUEBLE NEO"/>
    <m/>
    <m/>
    <n v="0"/>
    <n v="0"/>
    <m/>
  </r>
  <r>
    <x v="0"/>
    <s v="BOURJOIS"/>
    <s v="BJ0015"/>
    <s v="VALL.G.01.42.03"/>
    <s v="BJ_BASE_FD 120CM"/>
    <m/>
    <m/>
    <n v="1"/>
    <n v="8.99"/>
    <m/>
  </r>
  <r>
    <x v="8"/>
    <s v="RIMMEL"/>
    <s v="RIM130_F26"/>
    <s v="VALL.G.01.42.03"/>
    <s v="BANDEJA MASCARAS THS+K&amp;F+SERUM PARA MUEBLE NEO"/>
    <m/>
    <m/>
    <n v="0"/>
    <n v="0"/>
    <m/>
  </r>
  <r>
    <x v="0"/>
    <s v="BOURJOIS"/>
    <s v="BJ0015"/>
    <s v="VALL.G.01.43.03"/>
    <s v="BJ_BASE_FD 120CM"/>
    <m/>
    <m/>
    <n v="1"/>
    <n v="8.99"/>
    <m/>
  </r>
  <r>
    <x v="8"/>
    <s v="MAXFACTOR"/>
    <s v="MXF152_F26"/>
    <s v="VALL.G.01.43.03"/>
    <s v="BANDEJA COLOUR EXILIR PARA MUEBLE NEO"/>
    <m/>
    <m/>
    <n v="0"/>
    <n v="0"/>
    <m/>
  </r>
  <r>
    <x v="0"/>
    <s v="RIMMEL"/>
    <s v="KITATIBLISTER"/>
    <s v="VALL.G.01.45.01"/>
    <s v="LADRILLO +12 GANCHOS+PORTA ETIQUETAS"/>
    <m/>
    <m/>
    <n v="1"/>
    <n v="8.99"/>
    <m/>
  </r>
  <r>
    <x v="0"/>
    <s v="RIMMEL"/>
    <s v="KITATIBLISTER"/>
    <s v="VALL.G.01.46.01"/>
    <s v="LADRILLO +12 GANCHOS+PORTA ETIQUETAS"/>
    <m/>
    <m/>
    <n v="1"/>
    <n v="8.99"/>
    <m/>
  </r>
  <r>
    <x v="0"/>
    <s v="BOURJOIS"/>
    <s v="BNEXTGEN120_26"/>
    <s v="VALL.G.02.02.02"/>
    <s v="BASE NEXT GEN 120 H2FY26"/>
    <m/>
    <m/>
    <n v="1"/>
    <n v="8.99"/>
    <m/>
  </r>
  <r>
    <x v="0"/>
    <s v="BOURJOIS"/>
    <s v="BNEXTGEN120_26"/>
    <s v="VALL.G.02.03.02"/>
    <s v="BASE NEXT GEN 120 H2FY26"/>
    <m/>
    <m/>
    <n v="1"/>
    <n v="8.99"/>
    <m/>
  </r>
  <r>
    <x v="0"/>
    <s v="BOURJOIS"/>
    <s v="BNEXTGEN120_26"/>
    <s v="VALL.G.02.04.02"/>
    <s v="BASE NEXT GEN 120 H2FY26"/>
    <m/>
    <m/>
    <n v="1"/>
    <n v="8.99"/>
    <m/>
  </r>
  <r>
    <x v="0"/>
    <s v="RIMMEL"/>
    <s v="TAPETA_RIMIF01"/>
    <s v="VALL.G.02.07.01"/>
    <s v="TAPETA RIM IF 01"/>
    <m/>
    <m/>
    <n v="1"/>
    <n v="8.99"/>
    <m/>
  </r>
  <r>
    <x v="0"/>
    <s v="RIMMEL"/>
    <s v="RIM_B 03"/>
    <s v="VALL.G.02.08.01"/>
    <s v="RIMMEL_BASE_1200X450X100 NEGRA"/>
    <m/>
    <m/>
    <n v="1"/>
    <n v="8.99"/>
    <m/>
  </r>
  <r>
    <x v="0"/>
    <s v="MXF_RIM"/>
    <s v="REV_VISUALES"/>
    <s v="VALL.G.02.12.03"/>
    <s v="MINI VISUALES PARA AHORRAMAS"/>
    <m/>
    <m/>
    <n v="1"/>
    <n v="8.99"/>
    <m/>
  </r>
  <r>
    <x v="0"/>
    <s v="MXF_RIM"/>
    <s v="REV_VISUALES"/>
    <s v="VALL.G.02.13.03"/>
    <s v="MINI VISUALES PARA AHORRAMAS"/>
    <m/>
    <m/>
    <n v="1"/>
    <n v="8.99"/>
    <m/>
  </r>
  <r>
    <x v="0"/>
    <s v="RIMMEL"/>
    <s v="RIM_B 01"/>
    <s v="VALL.G.02.15.01"/>
    <s v="RIMMEL_BASE_1200x450x100 BLANCA"/>
    <m/>
    <m/>
    <n v="1"/>
    <n v="8.99"/>
    <m/>
  </r>
  <r>
    <x v="0"/>
    <s v="RIMMEL "/>
    <s v="I-00015-01-R"/>
    <s v="VALL.G.02.17.01"/>
    <s v="RIM_BANDEJA_MASCARAS 3F RECUPERADA"/>
    <m/>
    <m/>
    <n v="1"/>
    <n v="8.99"/>
    <m/>
  </r>
  <r>
    <x v="0"/>
    <s v="RIMMEL "/>
    <n v="1449"/>
    <s v="VALL.G.02.21.01"/>
    <s v="RIM_BASE MIBAR 1.2M"/>
    <m/>
    <m/>
    <n v="1"/>
    <n v="8.99"/>
    <m/>
  </r>
  <r>
    <x v="0"/>
    <s v="BOURJOIS"/>
    <n v="260225.2"/>
    <s v="VALL.G.02.22.01"/>
    <s v="BASE NEXT GEN 120CM H2 FY24 WILLSON DEV"/>
    <m/>
    <m/>
    <n v="1"/>
    <n v="8.99"/>
    <m/>
  </r>
  <r>
    <x v="0"/>
    <s v="BOURJOIS"/>
    <n v="260225.2"/>
    <s v="VALL.G.02.25.01"/>
    <s v="BASE NEXT GEN 120CM H2 FY24 WILLSON DEV"/>
    <m/>
    <m/>
    <n v="1"/>
    <n v="8.99"/>
    <m/>
  </r>
  <r>
    <x v="0"/>
    <s v="RIMMEL"/>
    <s v="RIMUÑASBLIS"/>
    <s v="VALL.G.02.29.01"/>
    <s v="ladrillo uñas loos atila bliser hibrido"/>
    <m/>
    <m/>
    <n v="1"/>
    <n v="8.99"/>
    <m/>
  </r>
  <r>
    <x v="0"/>
    <m/>
    <n v="27072022"/>
    <s v="VALL.G.02.44.01"/>
    <s v="MATERIAL OFICINAS COTY"/>
    <m/>
    <m/>
    <n v="1"/>
    <n v="8.99"/>
    <m/>
  </r>
  <r>
    <x v="0"/>
    <s v="MXF_RIM"/>
    <s v="BAND_QUITADAS"/>
    <s v="VALL.G.03.01.03"/>
    <s v="BANDEJAS QUE QUITAMOS DE ACT H2FY26"/>
    <m/>
    <m/>
    <n v="1"/>
    <n v="8.99"/>
    <m/>
  </r>
  <r>
    <x v="0"/>
    <s v="SALLY HANSEN"/>
    <s v="SHCREMALLERAS"/>
    <s v="VALL.G.03.08.01"/>
    <s v="KIT SPINNER CREMALLERAS"/>
    <m/>
    <m/>
    <n v="1"/>
    <n v="8.99"/>
    <m/>
  </r>
  <r>
    <x v="0"/>
    <s v="MAXFACTOR"/>
    <s v="OKBASEH4120"/>
    <s v="VALL.G.03.14.01"/>
    <s v="BASE H4 1.2M RECUPERADA"/>
    <m/>
    <m/>
    <n v="1"/>
    <n v="8.99"/>
    <m/>
  </r>
  <r>
    <x v="0"/>
    <s v="RIMMEL"/>
    <s v="BMIBAR120_26"/>
    <s v="VALL.G.03.31.02"/>
    <s v="BASE MIBAR 120 H2FY26"/>
    <m/>
    <m/>
    <n v="1"/>
    <n v="8.99"/>
    <m/>
  </r>
  <r>
    <x v="0"/>
    <s v="RIMMEL"/>
    <s v="BMIBAR120_26"/>
    <s v="VALL.G.03.32.02"/>
    <s v="BASE MIBAR 120 H2FY26"/>
    <m/>
    <m/>
    <n v="1"/>
    <n v="8.99"/>
    <m/>
  </r>
  <r>
    <x v="1"/>
    <s v="FLORMAR"/>
    <n v="54005262"/>
    <s v="VALL.G.03.33.01"/>
    <s v="NC WU POWDER FAMILY 3SKU-VISUAL"/>
    <m/>
    <m/>
    <n v="1"/>
    <n v="8.99"/>
    <m/>
  </r>
  <r>
    <x v="1"/>
    <m/>
    <n v="54005696"/>
    <s v="VALL.G.03.33.01"/>
    <s v="HOTSPOT GONDOLA 2M FY25_EVCASH"/>
    <m/>
    <m/>
    <n v="0"/>
    <n v="0"/>
    <m/>
  </r>
  <r>
    <x v="1"/>
    <m/>
    <n v="54005884"/>
    <s v="VALL.G.03.33.01"/>
    <s v="HOTSPOT GONDOLA 2M FY25_SHINE"/>
    <m/>
    <m/>
    <n v="0"/>
    <n v="0"/>
    <m/>
  </r>
  <r>
    <x v="0"/>
    <s v="BOURJOIS"/>
    <s v="COTY0122"/>
    <s v="VALL.G.03.35.03"/>
    <s v="BJ BASE NEXT GEN 120CM FY23"/>
    <m/>
    <m/>
    <n v="1"/>
    <n v="8.99"/>
    <m/>
  </r>
  <r>
    <x v="0"/>
    <s v="BOURJOIS"/>
    <s v="COTY0122"/>
    <s v="VALL.G.03.36.03"/>
    <s v="BJ BASE NEXT GEN 120CM FY23"/>
    <m/>
    <m/>
    <n v="1"/>
    <n v="8.99"/>
    <m/>
  </r>
  <r>
    <x v="0"/>
    <s v="RIMMEL"/>
    <s v="BASELIVERIM120"/>
    <s v="VALL.G.03.37.01"/>
    <s v="BASE LIVE RIMMEL 120 FY25"/>
    <m/>
    <m/>
    <n v="1"/>
    <n v="8.99"/>
    <m/>
  </r>
  <r>
    <x v="0"/>
    <s v="RIMMEL"/>
    <s v="BASELIVERIM120"/>
    <s v="VALL.G.03.42.01"/>
    <s v="BASE LIVE RIMMEL 120 FY25"/>
    <m/>
    <m/>
    <n v="1"/>
    <n v="8.99"/>
    <m/>
  </r>
  <r>
    <x v="0"/>
    <s v="SALLY HANSEN"/>
    <s v="180325KIT1.3"/>
    <s v="VALL.G.03.45.01"/>
    <s v="KIT PIEZAS SH SPINNER  1/3"/>
    <m/>
    <m/>
    <n v="1"/>
    <n v="8.99"/>
    <m/>
  </r>
  <r>
    <x v="0"/>
    <s v="SALLY HANSEN"/>
    <s v="180325KIT1.3"/>
    <s v="VALL.G.03.45.02"/>
    <s v="KIT PIEZAS SH SPINNER  1/3"/>
    <m/>
    <m/>
    <n v="1"/>
    <n v="8.99"/>
    <m/>
  </r>
  <r>
    <x v="0"/>
    <s v="SALLY HANSEN"/>
    <s v="180325KIT1.3"/>
    <s v="VALL.G.03.46.01"/>
    <s v="KIT PIEZAS SH SPINNER  1/3"/>
    <m/>
    <m/>
    <n v="1"/>
    <n v="8.99"/>
    <m/>
  </r>
  <r>
    <x v="0"/>
    <s v="SALLY HANSEN"/>
    <s v="180325KIT2.3"/>
    <s v="VALL.G.03.46.02"/>
    <s v="KIT PIEZAS SH SPINNER  2/3"/>
    <m/>
    <m/>
    <n v="1"/>
    <n v="8.99"/>
    <m/>
  </r>
  <r>
    <x v="0"/>
    <s v="SALLY HANSEN"/>
    <s v="180325KIT1.3"/>
    <s v="VALL.G.03.47.01"/>
    <s v="KIT PIEZAS SH SPINNER  1/3"/>
    <m/>
    <m/>
    <n v="1"/>
    <n v="8.99"/>
    <m/>
  </r>
  <r>
    <x v="0"/>
    <s v="SALLY HANSEN"/>
    <s v="180325KIT3.3"/>
    <s v="VALL.G.03.47.02"/>
    <s v="KIT PIEZAS SH SPINNER  3/3"/>
    <m/>
    <m/>
    <n v="1"/>
    <n v="8.99"/>
    <m/>
  </r>
  <r>
    <x v="0"/>
    <s v="SALLY HANSEN"/>
    <s v="180325KIT1.3"/>
    <s v="VALL.G.03.48.01"/>
    <s v="KIT PIEZAS SH SPINNER  1/3"/>
    <m/>
    <m/>
    <n v="1"/>
    <n v="8.99"/>
    <m/>
  </r>
  <r>
    <x v="0"/>
    <s v="SALLY HANSEN"/>
    <s v="180325KIT2.3"/>
    <s v="VALL.G.03.49.01"/>
    <s v="KIT PIEZAS SH SPINNER  2/3"/>
    <m/>
    <m/>
    <n v="1"/>
    <n v="8.99"/>
    <m/>
  </r>
  <r>
    <x v="0"/>
    <s v="SALLY HANSEN"/>
    <s v="180325KIT2.3"/>
    <s v="VALL.G.03.50.01"/>
    <s v="KIT PIEZAS SH SPINNER  2/3"/>
    <m/>
    <m/>
    <n v="1"/>
    <n v="8.99"/>
    <m/>
  </r>
  <r>
    <x v="0"/>
    <s v="SALLY HANSEN"/>
    <s v="180325KIT2.3"/>
    <s v="VALL.G.03.51.01"/>
    <s v="KIT PIEZAS SH SPINNER  2/3"/>
    <m/>
    <m/>
    <n v="1"/>
    <n v="8.99"/>
    <m/>
  </r>
  <r>
    <x v="0"/>
    <s v="SALLY HANSEN"/>
    <s v="180325KIT2.3"/>
    <s v="VALL.G.03.52.01"/>
    <s v="KIT PIEZAS SH SPINNER  2/3"/>
    <m/>
    <m/>
    <n v="1"/>
    <n v="8.99"/>
    <m/>
  </r>
  <r>
    <x v="0"/>
    <s v="SALLY HANSEN"/>
    <s v="180325KIT3.3"/>
    <s v="VALL.G.03.53.01"/>
    <s v="KIT PIEZAS SH SPINNER  3/3"/>
    <m/>
    <m/>
    <n v="1"/>
    <n v="8.99"/>
    <m/>
  </r>
  <r>
    <x v="0"/>
    <s v="SALLY HANSEN"/>
    <s v="180325KIT3.3"/>
    <s v="VALL.G.03.54.01"/>
    <s v="KIT PIEZAS SH SPINNER  3/3"/>
    <m/>
    <m/>
    <n v="1"/>
    <n v="8.99"/>
    <m/>
  </r>
  <r>
    <x v="0"/>
    <s v="SALLY HANSEN"/>
    <s v="180325KIT3.3"/>
    <s v="VALL.G.03.55.01"/>
    <s v="KIT PIEZAS SH SPINNER  3/3"/>
    <m/>
    <m/>
    <n v="1"/>
    <n v="8.99"/>
    <m/>
  </r>
  <r>
    <x v="0"/>
    <s v="SALLY HANSEN"/>
    <s v="180325KIT3.3"/>
    <s v="VALL.G.03.56.01"/>
    <s v="KIT PIEZAS SH SPINNER  3/3"/>
    <m/>
    <m/>
    <n v="1"/>
    <n v="8.99"/>
    <m/>
  </r>
  <r>
    <x v="2"/>
    <s v="WET N WILD"/>
    <s v="WW_2025_T"/>
    <s v="VALL.G.04.02.01"/>
    <s v="TESTER"/>
    <m/>
    <m/>
    <n v="1"/>
    <n v="8.99"/>
    <m/>
  </r>
  <r>
    <x v="0"/>
    <s v="SALLY HANSEN"/>
    <s v="SHBALDAS"/>
    <s v="VALL.G.04.02.02"/>
    <s v="KIT SPINNER BALDAS"/>
    <m/>
    <m/>
    <n v="1"/>
    <n v="8.99"/>
    <m/>
  </r>
  <r>
    <x v="1"/>
    <m/>
    <n v="54006459"/>
    <s v="VALL.G.04.03.01"/>
    <s v="ACT GONDOLA NOV PENCILS"/>
    <m/>
    <m/>
    <n v="1"/>
    <n v="8.99"/>
    <m/>
  </r>
  <r>
    <x v="1"/>
    <m/>
    <n v="54006460"/>
    <s v="VALL.G.04.03.01"/>
    <s v="ACT GONDOLA NOV JUICY LIPGLOSS"/>
    <m/>
    <m/>
    <n v="0"/>
    <n v="0"/>
    <m/>
  </r>
  <r>
    <x v="1"/>
    <m/>
    <n v="54006523"/>
    <s v="VALL.G.04.03.01"/>
    <s v="ACT GONDOLA NOV BLUSHER"/>
    <m/>
    <m/>
    <n v="0"/>
    <n v="0"/>
    <m/>
  </r>
  <r>
    <x v="0"/>
    <s v="MAXFACTOR"/>
    <s v="BH4120_26"/>
    <s v="VALL.G.04.07.01"/>
    <s v="BASE H4 120 H2FY26"/>
    <m/>
    <m/>
    <n v="1"/>
    <n v="8.99"/>
    <m/>
  </r>
  <r>
    <x v="0"/>
    <s v="BOURJOIS"/>
    <s v="BJS_NEWGENBASE120"/>
    <s v="VALL.G.04.07.01"/>
    <s v="BJS BB 120 base H2 FY24 WILLSON"/>
    <m/>
    <m/>
    <n v="0"/>
    <n v="0"/>
    <m/>
  </r>
  <r>
    <x v="0"/>
    <s v="RIMMEL"/>
    <s v="BMIBAR120_26"/>
    <s v="VALL.G.04.07.01"/>
    <s v="BASE MIBAR 120 H2FY26"/>
    <m/>
    <m/>
    <n v="0"/>
    <n v="0"/>
    <m/>
  </r>
  <r>
    <x v="0"/>
    <s v="SALLY HANSEN"/>
    <s v="SHBALDAS"/>
    <s v="VALL.G.04.08.02"/>
    <s v="KIT SPINNER BALDAS"/>
    <m/>
    <m/>
    <n v="1"/>
    <n v="8.99"/>
    <m/>
  </r>
  <r>
    <x v="0"/>
    <s v="MAX FACTOR"/>
    <s v="DEVMXF_BASEH412"/>
    <s v="VALL.G.04.11.01"/>
    <s v="MXF BASE BB 120 H1FY26"/>
    <m/>
    <m/>
    <n v="1"/>
    <n v="8.99"/>
    <m/>
  </r>
  <r>
    <x v="2"/>
    <s v="PHYSICIANS FORM"/>
    <s v="PF_BASE BLANCA"/>
    <s v="VALL.G.04.12.01"/>
    <s v="PHYSICIANS FORMULA_BASE_BLANCA"/>
    <m/>
    <m/>
    <n v="1"/>
    <n v="8.99"/>
    <m/>
  </r>
  <r>
    <x v="0"/>
    <s v="BOURJOIS"/>
    <n v="260225.2"/>
    <s v="VALL.G.04.14.01"/>
    <s v="BASE NEXT GEN 120CM H2 FY24 WILLSON DEV"/>
    <m/>
    <m/>
    <n v="1"/>
    <n v="8.99"/>
    <m/>
  </r>
  <r>
    <x v="0"/>
    <s v="MAXFACTOR"/>
    <s v="PORT_MXFHEATHER"/>
    <s v="VALL.G.04.17.01"/>
    <s v="MAX FACTOR_HEATHERS SET OF 4 PORTUGUES LIVE 1.2M"/>
    <m/>
    <m/>
    <n v="1"/>
    <n v="8.99"/>
    <m/>
  </r>
  <r>
    <x v="0"/>
    <s v="VARIAS"/>
    <s v="REVMATERIAL"/>
    <s v="VALL.G.04.17.01"/>
    <s v="MATERIAL PARA REVISAR"/>
    <m/>
    <m/>
    <n v="0"/>
    <n v="0"/>
    <m/>
  </r>
  <r>
    <x v="0"/>
    <s v="MAXFACTOR"/>
    <s v="BH4120_26"/>
    <s v="VALL.G.04.18.01"/>
    <s v="BASE H4 120 H2FY26"/>
    <m/>
    <m/>
    <n v="1"/>
    <n v="8.99"/>
    <m/>
  </r>
  <r>
    <x v="0"/>
    <s v="RIMMEL"/>
    <s v="BMIBAR120_26"/>
    <s v="VALL.G.04.18.01"/>
    <s v="BASE MIBAR 120 H2FY26"/>
    <m/>
    <m/>
    <n v="0"/>
    <n v="0"/>
    <m/>
  </r>
  <r>
    <x v="0"/>
    <s v="RIMMEL"/>
    <s v="DEV19"/>
    <s v="VALL.G.04.18.01"/>
    <s v="RIM_BASE_IBAR 1.2M DEV"/>
    <m/>
    <m/>
    <n v="0"/>
    <n v="0"/>
    <m/>
  </r>
  <r>
    <x v="0"/>
    <s v="MAXFACTOR"/>
    <s v="kit_pushMXF150"/>
    <s v="VALL.G.04.20.01"/>
    <s v="KITS PUSH PARA CRF_ACTUALIZ H1 Y H2FY26"/>
    <m/>
    <m/>
    <n v="1"/>
    <n v="8.99"/>
    <m/>
  </r>
  <r>
    <x v="0"/>
    <s v="MAXFACTOR"/>
    <s v="MXF_BaseH4120"/>
    <s v="VALL.G.04.21.01"/>
    <s v="MXF BASE BBH4 1.2M H1 FY24 DIAM"/>
    <m/>
    <m/>
    <n v="1"/>
    <n v="8.99"/>
    <m/>
  </r>
  <r>
    <x v="1"/>
    <m/>
    <n v="54006462"/>
    <s v="VALL.G.04.22.01"/>
    <s v="KIT ACT WALL UNIT 1/2 NOV"/>
    <m/>
    <m/>
    <n v="1"/>
    <n v="8.99"/>
    <m/>
  </r>
  <r>
    <x v="0"/>
    <s v="RIMMEL "/>
    <n v="1788"/>
    <s v="VALL.G.04.23.01"/>
    <s v="BASE_MUEBLE_MIBAR 1.2M SPANISH H1 FY23"/>
    <m/>
    <m/>
    <n v="1"/>
    <n v="8.99"/>
    <m/>
  </r>
  <r>
    <x v="0"/>
    <s v="MAXFACTOR"/>
    <s v="MXF_BASEH4120"/>
    <s v="VALL.G.04.23.01"/>
    <s v="MXF BASE BBH4 1.2M H1 FY24 DIAM"/>
    <m/>
    <m/>
    <n v="0"/>
    <n v="0"/>
    <m/>
  </r>
  <r>
    <x v="0"/>
    <s v="SALLY HANSEN"/>
    <s v="SHBALDAS"/>
    <s v="VALL.G.04.23.01"/>
    <s v="KIT SPINNER BALDAS"/>
    <m/>
    <m/>
    <n v="0"/>
    <n v="0"/>
    <m/>
  </r>
  <r>
    <x v="1"/>
    <s v="FLORMAR"/>
    <n v="54005258"/>
    <s v="VALL.G.04.28.01"/>
    <s v="NC WU POWDER FAMILY 1 SKU"/>
    <m/>
    <m/>
    <n v="1"/>
    <n v="8.99"/>
    <m/>
  </r>
  <r>
    <x v="1"/>
    <s v="FLORMAR"/>
    <n v="54005267"/>
    <s v="VALL.G.04.28.01"/>
    <s v="NC WU BLUSH FAMILY 3SKU-VISUAL"/>
    <m/>
    <m/>
    <n v="0"/>
    <n v="0"/>
    <m/>
  </r>
  <r>
    <x v="1"/>
    <s v="FLORMAR"/>
    <n v="54005395"/>
    <s v="VALL.G.04.28.01"/>
    <s v="NC WU LOOSE POWDER 3SKU-VISUAL"/>
    <m/>
    <m/>
    <n v="0"/>
    <n v="0"/>
    <m/>
  </r>
  <r>
    <x v="1"/>
    <s v="FLORMAR"/>
    <n v="54005530"/>
    <s v="VALL.G.04.28.01"/>
    <s v="NC WU LWLP STICK-WATER LIP STAIN-VISUAL"/>
    <m/>
    <m/>
    <n v="0"/>
    <n v="0"/>
    <m/>
  </r>
  <r>
    <x v="1"/>
    <s v="FLORMAR"/>
    <n v="54005566"/>
    <s v="VALL.G.04.28.01"/>
    <s v="NC WU SMOOTH SKIN FOUN.-HD FOUN.-VISUAL"/>
    <m/>
    <m/>
    <n v="0"/>
    <n v="0"/>
    <m/>
  </r>
  <r>
    <x v="1"/>
    <s v="FLORMAR"/>
    <n v="54005785"/>
    <s v="VALL.G.04.28.01"/>
    <s v="NC WU CC CREAM-ALL DAY SPRAY"/>
    <m/>
    <m/>
    <n v="0"/>
    <n v="0"/>
    <m/>
  </r>
  <r>
    <x v="1"/>
    <s v="FLORMAR"/>
    <n v="54005832"/>
    <s v="VALL.G.04.28.01"/>
    <s v="NC WU STAY PERFECT CONCEALER 5F"/>
    <m/>
    <m/>
    <n v="0"/>
    <n v="0"/>
    <m/>
  </r>
  <r>
    <x v="1"/>
    <s v="FLORMAR"/>
    <n v="54006104"/>
    <s v="VALL.G.04.28.01"/>
    <s v="NC WU PERFECT COVERAGE&amp;STAY PERFECT&amp;LIP&amp;CHEEK"/>
    <m/>
    <m/>
    <n v="0"/>
    <n v="0"/>
    <m/>
  </r>
  <r>
    <x v="0"/>
    <s v="RIMMEL"/>
    <s v="DEV050625.4"/>
    <s v="VALL.G.04.38.01"/>
    <s v="BASE MIBAR 1.2M DEV H1FY25"/>
    <m/>
    <m/>
    <n v="1"/>
    <n v="8.99"/>
    <m/>
  </r>
  <r>
    <x v="0"/>
    <s v="BOURJOIS"/>
    <n v="150525.20000000001"/>
    <s v="VALL.G.04.42.01"/>
    <s v="BASE NEXT GEN 1.2M DEV"/>
    <m/>
    <m/>
    <n v="1"/>
    <n v="8.99"/>
    <m/>
  </r>
  <r>
    <x v="0"/>
    <s v="MAXFACTOR"/>
    <s v="MXFATILA98"/>
    <s v="VALL.G.04.44.01"/>
    <s v="KIT ATILA 98 Y 120 H1FY25"/>
    <m/>
    <m/>
    <n v="1"/>
    <n v="8.99"/>
    <m/>
  </r>
  <r>
    <x v="0"/>
    <s v="MAXFACTOR"/>
    <s v="MXFKIT_ATILA98"/>
    <s v="VALL.G.04.44.01"/>
    <s v="MXF KIT H1FY24 ATILA 98"/>
    <m/>
    <m/>
    <n v="0"/>
    <n v="0"/>
    <m/>
  </r>
  <r>
    <x v="0"/>
    <s v="VARIAS"/>
    <s v="XG150725.1"/>
    <s v="VALL.G.04.44.01"/>
    <s v="KITS H2FY25 RIMMEL Y MAX FACTOR"/>
    <m/>
    <m/>
    <n v="0"/>
    <n v="0"/>
    <m/>
  </r>
  <r>
    <x v="2"/>
    <s v="WET N WILD"/>
    <s v="CAJON _URGE 2024"/>
    <s v="VALL.G.04.47.01"/>
    <s v="WET N WILD CAJON 2024"/>
    <m/>
    <m/>
    <n v="1"/>
    <n v="8.99"/>
    <m/>
  </r>
  <r>
    <x v="5"/>
    <s v="NEONAIL"/>
    <s v="NEO_ ALARGA"/>
    <s v="VALL.G.05.01.01"/>
    <s v="ALARGADOR CABLE NEONAIL"/>
    <m/>
    <m/>
    <n v="1"/>
    <n v="8.99"/>
    <m/>
  </r>
  <r>
    <x v="2"/>
    <s v="WET N WILD"/>
    <s v="WW TEST2024"/>
    <s v="VALL.G.05.01.01"/>
    <m/>
    <m/>
    <m/>
    <n v="0"/>
    <n v="0"/>
    <m/>
  </r>
  <r>
    <x v="0"/>
    <s v="BOURJOIS"/>
    <n v="29101798000"/>
    <s v="VALL.G.05.01.02"/>
    <s v="1 SECOND UÑAS"/>
    <m/>
    <m/>
    <n v="1"/>
    <n v="8.99"/>
    <m/>
  </r>
  <r>
    <x v="0"/>
    <s v="MAXFACTOR"/>
    <s v="MXF 112"/>
    <s v="VALL.G.05.01.03"/>
    <s v="MXF_BANDEJA_112 LASTING PERF FOUNDATION FOOD"/>
    <m/>
    <m/>
    <n v="1"/>
    <n v="8.99"/>
    <m/>
  </r>
  <r>
    <x v="0"/>
    <s v="BOURJOIS"/>
    <n v="29101798000"/>
    <s v="VALL.G.05.02.02"/>
    <s v="1 SECOND UÑAS"/>
    <m/>
    <m/>
    <n v="1"/>
    <n v="8.99"/>
    <m/>
  </r>
  <r>
    <x v="2"/>
    <s v="PHYSICIANS FORM"/>
    <s v="PF_2025_T"/>
    <s v="VALL.G.05.03.01"/>
    <s v="TESTERS 2025"/>
    <m/>
    <m/>
    <n v="1"/>
    <n v="8.99"/>
    <m/>
  </r>
  <r>
    <x v="2"/>
    <s v="PHYSICIANS FORM"/>
    <s v="PF_DIC2"/>
    <s v="VALL.G.05.03.01"/>
    <s v="TESTER PF 2024"/>
    <m/>
    <m/>
    <n v="0"/>
    <n v="0"/>
    <m/>
  </r>
  <r>
    <x v="0"/>
    <s v="BOURJOIS"/>
    <n v="29101774000"/>
    <s v="VALL.G.05.03.02"/>
    <s v="FARD JOUES"/>
    <m/>
    <m/>
    <n v="1"/>
    <n v="8.99"/>
    <m/>
  </r>
  <r>
    <x v="0"/>
    <s v="MAXFACTOR"/>
    <s v="MXF 112"/>
    <s v="VALL.G.05.03.03"/>
    <s v="MXF_BANDEJA_112 LASTING PERF FOUNDATION FOOD"/>
    <m/>
    <m/>
    <n v="1"/>
    <n v="8.99"/>
    <m/>
  </r>
  <r>
    <x v="0"/>
    <s v="MAXFACTOR"/>
    <s v="MXF 116"/>
    <s v="VALL.G.05.03.03"/>
    <s v="MXF_BANDEJA_116 LIPFINITY VELVET MATTE FOOD"/>
    <m/>
    <m/>
    <n v="0"/>
    <n v="0"/>
    <m/>
  </r>
  <r>
    <x v="0"/>
    <s v="RIMMEL"/>
    <n v="17058508"/>
    <s v="VALL.G.05.04.03"/>
    <s v="RIMMEL_BANDEJA_CUBILETE"/>
    <m/>
    <m/>
    <n v="1"/>
    <n v="8.99"/>
    <m/>
  </r>
  <r>
    <x v="0"/>
    <s v="MAXFACTOR"/>
    <n v="99240116681"/>
    <s v="VALL.G.05.05.02"/>
    <s v="MXF FACEFINITY ADF C80 BRONZE SAMPLE"/>
    <m/>
    <m/>
    <n v="1"/>
    <n v="8.99"/>
    <m/>
  </r>
  <r>
    <x v="0"/>
    <s v="RIMMEL"/>
    <s v="RIMP159_F26"/>
    <s v="VALL.G.05.05.03"/>
    <s v="MULTITASKER CONCEALER"/>
    <m/>
    <m/>
    <n v="1"/>
    <n v="8.99"/>
    <m/>
  </r>
  <r>
    <x v="2"/>
    <s v="WET N WILD"/>
    <s v="CAJON _URGE 2024"/>
    <s v="VALL.G.05.06.01"/>
    <s v="WET N WILD CAJON 2024"/>
    <m/>
    <m/>
    <n v="1"/>
    <n v="8.99"/>
    <m/>
  </r>
  <r>
    <x v="0"/>
    <s v="BOURJOIS"/>
    <n v="29101803000"/>
    <s v="VALL.G.05.07.03"/>
    <s v="VOLUME CLUBBING / VOLUMIZER / BEAUTIFULL"/>
    <m/>
    <m/>
    <n v="1"/>
    <n v="8.99"/>
    <m/>
  </r>
  <r>
    <x v="0"/>
    <s v="MAXFACTOR"/>
    <s v="PGT410108001"/>
    <s v="VALL.G.05.08.02"/>
    <s v="CREME PUFF 3F"/>
    <m/>
    <m/>
    <n v="1"/>
    <n v="8.99"/>
    <m/>
  </r>
  <r>
    <x v="0"/>
    <s v="MAXFACTOR"/>
    <s v="PGT410150001"/>
    <s v="VALL.G.05.08.02"/>
    <s v="COLOUR ELIXIR LIPSTICK AND PENCILS 6F"/>
    <m/>
    <m/>
    <n v="0"/>
    <n v="0"/>
    <m/>
  </r>
  <r>
    <x v="0"/>
    <s v="MAXFACTOR"/>
    <s v="PGT410360001"/>
    <s v="VALL.G.05.08.02"/>
    <s v="COLOUR X-PERT SOFT TOUCH PALETTE 2F"/>
    <m/>
    <m/>
    <n v="0"/>
    <n v="0"/>
    <m/>
  </r>
  <r>
    <x v="0"/>
    <s v="MAXFACTOR"/>
    <s v="PGT410361001"/>
    <s v="VALL.G.05.08.02"/>
    <s v="DIVINE LASHES MASCARA 2F"/>
    <m/>
    <m/>
    <n v="0"/>
    <n v="0"/>
    <m/>
  </r>
  <r>
    <x v="0"/>
    <s v="MAXFACTOR"/>
    <s v="PGT410182001"/>
    <s v="VALL.G.05.08.03"/>
    <s v="NUDE PALETTE 2F"/>
    <m/>
    <m/>
    <n v="1"/>
    <n v="8.99"/>
    <m/>
  </r>
  <r>
    <x v="0"/>
    <s v="MAXFACTOR"/>
    <s v="PGT410442001"/>
    <s v="VALL.G.05.08.03"/>
    <s v="LASTING PERFORMANCE RESTAGE (2020) 2F"/>
    <m/>
    <m/>
    <n v="0"/>
    <n v="0"/>
    <m/>
  </r>
  <r>
    <x v="0"/>
    <s v="MAXFACTOR"/>
    <s v="PGT410540001"/>
    <s v="VALL.G.05.08.03"/>
    <s v="MIRACLE PURE FOUNDATION (TESTER ROOF) 3F"/>
    <m/>
    <m/>
    <n v="0"/>
    <n v="0"/>
    <m/>
  </r>
  <r>
    <x v="0"/>
    <s v="MAXFACTOR"/>
    <s v="PGT410541001"/>
    <s v="VALL.G.05.08.03"/>
    <s v="MIRACLE PURE SERUM - TESTING (CLEAR) 2F"/>
    <m/>
    <m/>
    <n v="0"/>
    <n v="0"/>
    <m/>
  </r>
  <r>
    <x v="0"/>
    <s v="MAXFACTOR"/>
    <s v="PGT410542001"/>
    <s v="VALL.G.05.08.03"/>
    <s v="MIRACLE PURE FOUNDATION (CLEAR) 2F"/>
    <m/>
    <m/>
    <n v="0"/>
    <n v="0"/>
    <m/>
  </r>
  <r>
    <x v="0"/>
    <s v="MAXFACTOR"/>
    <s v="PGT410196001"/>
    <s v="VALL.G.05.09.02"/>
    <s v="ALL DAY FLAWLESS 2F"/>
    <m/>
    <m/>
    <n v="1"/>
    <n v="8.99"/>
    <m/>
  </r>
  <r>
    <x v="0"/>
    <s v="MAXFACTOR"/>
    <s v="PGT410197001.1"/>
    <s v="VALL.G.05.09.02"/>
    <s v="ALL DAY FLAWLESS 3F"/>
    <m/>
    <m/>
    <n v="0"/>
    <n v="0"/>
    <m/>
  </r>
  <r>
    <x v="0"/>
    <s v="MAXFACTOR"/>
    <s v="PGT410197001.2"/>
    <s v="VALL.G.05.09.02"/>
    <s v="RESTAGE LASTING PERFORMANCE 3F"/>
    <m/>
    <m/>
    <n v="0"/>
    <n v="0"/>
    <m/>
  </r>
  <r>
    <x v="0"/>
    <s v="MAXFACTOR"/>
    <s v="RL2110120001"/>
    <s v="VALL.G.05.09.02"/>
    <s v="3F NAILS 2 TIER 6F"/>
    <m/>
    <m/>
    <n v="0"/>
    <n v="0"/>
    <m/>
  </r>
  <r>
    <x v="0"/>
    <s v="RIM/BJ/MXF"/>
    <s v="PORTAVIS_MINI"/>
    <s v="VALL.G.05.10.01"/>
    <s v="MINI PORTAVISUALES"/>
    <m/>
    <m/>
    <n v="1"/>
    <n v="8.99"/>
    <m/>
  </r>
  <r>
    <x v="0"/>
    <s v="MAXFACTOR"/>
    <s v="PGT410368001"/>
    <s v="VALL.G.05.10.02"/>
    <s v="3F NAIL MODULE H4 (ASTOR SMALL BOTTLE) 3F"/>
    <m/>
    <m/>
    <n v="1"/>
    <n v="8.99"/>
    <m/>
  </r>
  <r>
    <x v="0"/>
    <s v="MAXFACTOR"/>
    <s v="PGT410406001"/>
    <s v="VALL.G.05.10.02"/>
    <s v="FACEFINITY ALL DAY CONCEALER 3F"/>
    <m/>
    <m/>
    <n v="0"/>
    <n v="0"/>
    <m/>
  </r>
  <r>
    <x v="0"/>
    <s v="MAXFACTOR"/>
    <s v="PGT410406004"/>
    <s v="VALL.G.05.10.02"/>
    <s v="MIRACLE PURE CONCEALER (CLEAR) 3F"/>
    <m/>
    <m/>
    <n v="0"/>
    <n v="0"/>
    <m/>
  </r>
  <r>
    <x v="0"/>
    <s v="MAXFACTOR"/>
    <s v="PGT410515001.1"/>
    <s v="VALL.G.05.10.02"/>
    <s v="2000 CALORIE LIP GLAZE 3F"/>
    <m/>
    <m/>
    <n v="0"/>
    <n v="0"/>
    <m/>
  </r>
  <r>
    <x v="0"/>
    <s v="MAXFACTOR"/>
    <s v="PGT410515001.2"/>
    <s v="VALL.G.05.10.02"/>
    <s v="FACEFINITY MULTI PERFECTOR CONCEALER 3F"/>
    <m/>
    <m/>
    <n v="0"/>
    <n v="0"/>
    <m/>
  </r>
  <r>
    <x v="0"/>
    <s v="MAXFACTOR"/>
    <s v="PGT410539003"/>
    <s v="VALL.G.05.10.02"/>
    <s v="MASTERPIECE MONO EYESHADOW 3F"/>
    <m/>
    <m/>
    <n v="0"/>
    <n v="0"/>
    <m/>
  </r>
  <r>
    <x v="0"/>
    <s v="MAXFACTOR"/>
    <s v="PGT410885002"/>
    <s v="VALL.G.05.10.02"/>
    <s v="FACEFINITY COMPACT REFILL 4F"/>
    <m/>
    <m/>
    <n v="0"/>
    <n v="0"/>
    <m/>
  </r>
  <r>
    <x v="0"/>
    <s v="MAXFACTOR"/>
    <s v="PGT410127001"/>
    <s v="VALL.G.05.10.03"/>
    <s v="FALSE LASH EFFECT MASCARA 2F"/>
    <m/>
    <m/>
    <n v="1"/>
    <n v="8.99"/>
    <m/>
  </r>
  <r>
    <x v="0"/>
    <s v="MAXFACTOR"/>
    <s v="PGT410138001"/>
    <s v="VALL.G.05.10.03"/>
    <s v="LIPFINITY VELVET MATTE 3F"/>
    <m/>
    <m/>
    <n v="0"/>
    <n v="0"/>
    <m/>
  </r>
  <r>
    <x v="0"/>
    <s v="MAXFACTOR"/>
    <s v="PGT410152001"/>
    <s v="VALL.G.05.10.03"/>
    <s v="LIPFINITY 2F"/>
    <m/>
    <m/>
    <n v="0"/>
    <n v="0"/>
    <m/>
  </r>
  <r>
    <x v="0"/>
    <s v="MAXFACTOR"/>
    <s v="PGT410405004"/>
    <s v="VALL.G.05.10.03"/>
    <s v="MIRACLE PURE CONCEALER (CLEAR) 2F"/>
    <m/>
    <m/>
    <n v="0"/>
    <n v="0"/>
    <m/>
  </r>
  <r>
    <x v="0"/>
    <s v="RIM/BJ/MXF"/>
    <s v="PORTAVIS_MINI"/>
    <s v="VALL.G.05.11.01"/>
    <s v="MINI PORTAVISUALES"/>
    <m/>
    <m/>
    <n v="1"/>
    <n v="8.99"/>
    <m/>
  </r>
  <r>
    <x v="0"/>
    <s v="MAXFACTOR"/>
    <s v="PGT410125001"/>
    <s v="VALL.G.05.11.02"/>
    <s v="MASTERPIECE MAX MASCARA 3F"/>
    <m/>
    <m/>
    <n v="1"/>
    <n v="8.99"/>
    <m/>
  </r>
  <r>
    <x v="0"/>
    <s v="MAXFACTOR"/>
    <s v="PGT410128001.1"/>
    <s v="VALL.G.05.11.02"/>
    <s v="FALSE LASH EFFECT MASCARA 3F"/>
    <m/>
    <m/>
    <n v="0"/>
    <n v="0"/>
    <m/>
  </r>
  <r>
    <x v="0"/>
    <s v="MAXFACTOR"/>
    <s v="PGT410128001.2"/>
    <s v="VALL.G.05.11.02"/>
    <s v="LASH REVIVAL 3F"/>
    <m/>
    <m/>
    <n v="0"/>
    <n v="0"/>
    <m/>
  </r>
  <r>
    <x v="0"/>
    <s v="MAXFACTOR"/>
    <s v="PGT410153001"/>
    <s v="VALL.G.05.11.02"/>
    <s v="LIPFINITY 3F"/>
    <m/>
    <m/>
    <n v="0"/>
    <n v="0"/>
    <m/>
  </r>
  <r>
    <x v="0"/>
    <s v="MAXFACTOR"/>
    <s v="MXF 116"/>
    <s v="VALL.G.05.11.03"/>
    <s v="MXF_BANDEJA_116 LIPFINITY VELVET MATTE FOOD"/>
    <m/>
    <m/>
    <n v="1"/>
    <n v="8.99"/>
    <m/>
  </r>
  <r>
    <x v="0"/>
    <s v="MAXFACTOR"/>
    <s v="PGT410125002"/>
    <s v="VALL.G.05.12.02"/>
    <s v="MASTERPIECE 2IN1 LASH WOW MASCARA 3F"/>
    <m/>
    <m/>
    <n v="1"/>
    <n v="8.99"/>
    <m/>
  </r>
  <r>
    <x v="0"/>
    <s v="MAXFACTOR"/>
    <s v="PGT410381001"/>
    <s v="VALL.G.05.12.02"/>
    <s v="LASTING PERFORMANCE SETTING SPRAY 1F"/>
    <m/>
    <m/>
    <n v="0"/>
    <n v="0"/>
    <m/>
  </r>
  <r>
    <x v="0"/>
    <s v="MAXFACTOR"/>
    <s v="PGT410399001"/>
    <s v="VALL.G.05.12.02"/>
    <s v="MIRACLE VEIL 1F"/>
    <m/>
    <m/>
    <n v="0"/>
    <n v="0"/>
    <m/>
  </r>
  <r>
    <x v="0"/>
    <s v="MAXFACTOR"/>
    <s v="PGT410927001"/>
    <s v="VALL.G.05.12.02"/>
    <s v="NAIL MODULE (NAILFINITY)"/>
    <m/>
    <m/>
    <n v="0"/>
    <n v="0"/>
    <m/>
  </r>
  <r>
    <x v="0"/>
    <s v="MAXFACTOR"/>
    <s v="PGT410124001"/>
    <s v="VALL.G.05.12.03"/>
    <s v="MASTERPIECE MASCARA 3F"/>
    <m/>
    <m/>
    <n v="1"/>
    <n v="8.99"/>
    <m/>
  </r>
  <r>
    <x v="0"/>
    <s v="MAXFACTOR"/>
    <s v="PGT410607002.1"/>
    <s v="VALL.G.05.12.03"/>
    <s v="MIRACLE PURE BLUSH (CLEAR) 2F"/>
    <m/>
    <m/>
    <n v="0"/>
    <n v="0"/>
    <m/>
  </r>
  <r>
    <x v="0"/>
    <s v="MAXFACTOR"/>
    <s v="PGT410607002.2"/>
    <s v="VALL.G.05.12.03"/>
    <s v="MIRACLE PURE GOLDEN GLOW BRONZER 2F"/>
    <m/>
    <m/>
    <n v="0"/>
    <n v="0"/>
    <m/>
  </r>
  <r>
    <x v="0"/>
    <s v="MAXFACTOR"/>
    <s v="PGT410610002"/>
    <s v="VALL.G.05.12.03"/>
    <s v="MIRACLE PURE EYE ENHANCER 3F"/>
    <m/>
    <m/>
    <n v="0"/>
    <n v="0"/>
    <m/>
  </r>
  <r>
    <x v="0"/>
    <s v="MAXFACTOR"/>
    <s v="PGT410409001"/>
    <s v="VALL.G.05.13.03"/>
    <s v="LINER BAR 57F"/>
    <m/>
    <m/>
    <n v="1"/>
    <n v="8.99"/>
    <m/>
  </r>
  <r>
    <x v="0"/>
    <s v="RIMMEL "/>
    <n v="11111"/>
    <s v="VALL.G.05.14.01"/>
    <s v="Pieza HOTSPOT RIM Mibar 1.2M_KIT ACT Q1 FY21"/>
    <m/>
    <m/>
    <n v="1"/>
    <n v="8.99"/>
    <m/>
  </r>
  <r>
    <x v="0"/>
    <s v="BOURJOIS"/>
    <n v="29110002000"/>
    <s v="VALL.G.05.14.02"/>
    <s v="MASC EYECATCHING"/>
    <m/>
    <m/>
    <n v="1"/>
    <n v="8.99"/>
    <m/>
  </r>
  <r>
    <x v="0"/>
    <s v="MAXFACTOR"/>
    <s v="MXF 116"/>
    <s v="VALL.G.05.14.03"/>
    <s v="MXF_BANDEJA_116 LIPFINITY VELVET MATTE FOOD"/>
    <m/>
    <m/>
    <n v="1"/>
    <n v="8.99"/>
    <m/>
  </r>
  <r>
    <x v="0"/>
    <s v="MAXFACTOR"/>
    <s v="PGT410409001"/>
    <s v="VALL.G.05.14.03"/>
    <s v="LINER BAR 57F"/>
    <m/>
    <m/>
    <n v="0"/>
    <n v="0"/>
    <m/>
  </r>
  <r>
    <x v="0"/>
    <s v="MAXFACTOR"/>
    <n v="81624316"/>
    <s v="VALL.G.05.15.02"/>
    <s v="H4 - 1.5 M H-2 FY 16/17 CURL"/>
    <m/>
    <m/>
    <n v="1"/>
    <n v="8.99"/>
    <m/>
  </r>
  <r>
    <x v="0"/>
    <s v="BOURJOIS"/>
    <n v="29101801000"/>
    <s v="VALL.G.05.17.02"/>
    <s v="VOLUME GLAMOUR "/>
    <m/>
    <m/>
    <n v="1"/>
    <n v="8.99"/>
    <m/>
  </r>
  <r>
    <x v="0"/>
    <s v="MAXFACTOR"/>
    <s v="MXF 131"/>
    <s v="VALL.G.05.17.03"/>
    <s v="MXF_BANDEJA_131 MIRACLE PURE FOUNDATION FOOD"/>
    <m/>
    <m/>
    <n v="1"/>
    <n v="8.99"/>
    <m/>
  </r>
  <r>
    <x v="0"/>
    <s v="BOURJOIS"/>
    <n v="1104"/>
    <s v="VALL.G.05.20.02"/>
    <s v="BJS TEMPLE 200 FY20"/>
    <m/>
    <m/>
    <n v="1"/>
    <n v="8.99"/>
    <m/>
  </r>
  <r>
    <x v="0"/>
    <m/>
    <s v="COTY0091"/>
    <s v="VALL.G.05.22.02"/>
    <s v="FOOD_GANCHOS BLANCOS DOBLE L 242 MM"/>
    <m/>
    <m/>
    <n v="1"/>
    <n v="8.99"/>
    <m/>
  </r>
  <r>
    <x v="0"/>
    <m/>
    <s v="COTY0092"/>
    <s v="VALL.G.05.22.02"/>
    <s v="FOOD_PORTA ETIQUETA 65X40 MM"/>
    <m/>
    <m/>
    <n v="0"/>
    <n v="0"/>
    <m/>
  </r>
  <r>
    <x v="0"/>
    <s v="MAXFACTOR"/>
    <s v="MXF 116"/>
    <s v="VALL.G.05.23.01"/>
    <s v="MXF_BANDEJA_116 LIPFINITY VELVET MATTE FOOD"/>
    <m/>
    <m/>
    <n v="1"/>
    <n v="8.99"/>
    <m/>
  </r>
  <r>
    <x v="0"/>
    <s v="BOURJOIS"/>
    <n v="29101779000"/>
    <s v="VALL.G.05.24.02"/>
    <s v="VISUAL 10 CM"/>
    <m/>
    <m/>
    <n v="1"/>
    <n v="8.99"/>
    <m/>
  </r>
  <r>
    <x v="0"/>
    <s v="MAXFACTOR"/>
    <s v="MXF 112"/>
    <s v="VALL.G.05.27.01"/>
    <s v="MXF_BANDEJA_112 LASTING PERF FOUNDATION FOOD"/>
    <m/>
    <m/>
    <n v="1"/>
    <n v="8.99"/>
    <m/>
  </r>
  <r>
    <x v="0"/>
    <s v="MAXFACTOR"/>
    <s v="MXF 114"/>
    <s v="VALL.G.05.27.01"/>
    <s v="MXF_BANDEJA_114 MIRACLE TOUCH FOUNDATION FOOD"/>
    <m/>
    <m/>
    <n v="0"/>
    <n v="0"/>
    <m/>
  </r>
  <r>
    <x v="0"/>
    <s v="MAXFACTOR"/>
    <s v="MXF 116"/>
    <s v="VALL.G.05.27.01"/>
    <s v="MXF_BANDEJA_116 LIPFINITY VELVET MATTE FOOD"/>
    <m/>
    <m/>
    <n v="0"/>
    <n v="0"/>
    <m/>
  </r>
  <r>
    <x v="0"/>
    <s v="MAXFACTOR"/>
    <s v="MXF 125"/>
    <s v="VALL.G.05.27.01"/>
    <s v="MXF_BANDEJA_125 SECOND SKIN+SETTING SPRAY FOOD"/>
    <m/>
    <m/>
    <n v="0"/>
    <n v="0"/>
    <m/>
  </r>
  <r>
    <x v="0"/>
    <s v="MAXFACTOR"/>
    <s v="MXF 139"/>
    <s v="VALL.G.05.27.01"/>
    <s v="MXF_BANDEJA_139 SERUM FOOD"/>
    <m/>
    <m/>
    <n v="0"/>
    <n v="0"/>
    <m/>
  </r>
  <r>
    <x v="0"/>
    <s v="MAXFACTOR"/>
    <s v="COTY0103"/>
    <s v="VALL.G.05.29.03"/>
    <s v="MXF_TESTERS_ATILA 98/120 (FOOD)"/>
    <m/>
    <m/>
    <n v="1"/>
    <n v="8.99"/>
    <m/>
  </r>
  <r>
    <x v="0"/>
    <s v="RIMMEL "/>
    <s v="RIM 101"/>
    <s v="VALL.G.05.30.03"/>
    <s v="RIM_BANDEJA_101 WONDER CLOUD FOOD"/>
    <m/>
    <m/>
    <n v="1"/>
    <n v="8.99"/>
    <m/>
  </r>
  <r>
    <x v="0"/>
    <s v="MAXFACTOR"/>
    <s v="KIT120_PUSH_MXFFY24"/>
    <s v="VALL.G.05.31.02"/>
    <s v="kit120_mxf push_fy24"/>
    <m/>
    <m/>
    <n v="1"/>
    <n v="8.99"/>
    <m/>
  </r>
  <r>
    <x v="0"/>
    <s v="MAXFACTOR"/>
    <s v="KIT120_PUSH_MXFFY24"/>
    <s v="VALL.G.05.32.02"/>
    <s v="kit120_mxf push_fy24"/>
    <m/>
    <m/>
    <n v="1"/>
    <n v="8.99"/>
    <m/>
  </r>
  <r>
    <x v="0"/>
    <s v="RIMMEL"/>
    <s v="COTY0043"/>
    <s v="VALL.G.05.33.01"/>
    <s v="KIT_CABECERA UÑAS FOOD_MAYO 2022"/>
    <m/>
    <m/>
    <n v="1"/>
    <n v="8.99"/>
    <m/>
  </r>
  <r>
    <x v="0"/>
    <s v="RIMMEL"/>
    <s v="COTY0043"/>
    <s v="VALL.G.05.33.02"/>
    <s v="KIT_CABECERA UÑAS FOOD_MAYO 2022"/>
    <m/>
    <m/>
    <n v="1"/>
    <n v="8.99"/>
    <m/>
  </r>
  <r>
    <x v="0"/>
    <s v="SALLY HANSEN"/>
    <s v="SHGANCHOS"/>
    <s v="VALL.G.05.38.01"/>
    <s v="KIT SPINNER GANCHOS"/>
    <m/>
    <m/>
    <n v="1"/>
    <n v="8.99"/>
    <m/>
  </r>
  <r>
    <x v="0"/>
    <s v="SALLY HANSEN"/>
    <s v="KIT120_PUSH_SHFY24-1"/>
    <s v="VALL.G.05.42.01"/>
    <s v="KIT120_SH PUSH_FY24 INCOMPLETO"/>
    <m/>
    <m/>
    <n v="1"/>
    <n v="8.99"/>
    <m/>
  </r>
  <r>
    <x v="0"/>
    <s v="SALLY HANSEN"/>
    <s v="KIT120_PUSH_SHFY24"/>
    <s v="VALL.G.05.42.02"/>
    <s v="KIT120_SH PUSH_FY24"/>
    <m/>
    <m/>
    <n v="1"/>
    <n v="8.99"/>
    <m/>
  </r>
  <r>
    <x v="0"/>
    <s v="SALLY HANSEN"/>
    <s v="KIT120_PUSH_SHFY24"/>
    <s v="VALL.G.05.43.01"/>
    <s v="KIT120_SH PUSH_FY24"/>
    <m/>
    <m/>
    <n v="1"/>
    <n v="8.99"/>
    <m/>
  </r>
  <r>
    <x v="0"/>
    <s v="SALLY HANSEN"/>
    <s v="KIT120_PUSH_SHFY24"/>
    <s v="VALL.G.05.43.02"/>
    <s v="KIT120_SH PUSH_FY24"/>
    <m/>
    <m/>
    <n v="1"/>
    <n v="8.99"/>
    <m/>
  </r>
  <r>
    <x v="0"/>
    <s v="SALLY HANSEN"/>
    <s v="KIT120_PUSH_SHFY24"/>
    <s v="VALL.G.05.44.02"/>
    <s v="KIT120_SH PUSH_FY24"/>
    <m/>
    <m/>
    <n v="1"/>
    <n v="8.99"/>
    <m/>
  </r>
  <r>
    <x v="0"/>
    <s v="SALLY HANSEN"/>
    <s v="KIT120_PUSH_SHFY24-1"/>
    <s v="VALL.G.05.45.01"/>
    <s v="KIT120_SH PUSH_FY24 INCOMPLETO"/>
    <m/>
    <m/>
    <n v="1"/>
    <n v="8.99"/>
    <m/>
  </r>
  <r>
    <x v="0"/>
    <s v="SALLY HANSEN"/>
    <s v="KIT120_PUSH_SHFY24"/>
    <s v="VALL.G.05.45.02"/>
    <s v="KIT120_SH PUSH_FY24"/>
    <m/>
    <m/>
    <n v="1"/>
    <n v="8.99"/>
    <m/>
  </r>
  <r>
    <x v="0"/>
    <s v="SALLY HANSEN"/>
    <s v="KIT120_PUSH_SHFY24"/>
    <s v="VALL.G.05.46.02"/>
    <s v="KIT120_SH PUSH_FY24"/>
    <m/>
    <m/>
    <n v="1"/>
    <n v="8.99"/>
    <m/>
  </r>
  <r>
    <x v="0"/>
    <s v="SALLY HANSEN"/>
    <s v="KIT120_PUSH_SHFY24"/>
    <s v="VALL.G.05.47.02"/>
    <s v="KIT120_SH PUSH_FY24"/>
    <m/>
    <m/>
    <n v="1"/>
    <n v="8.99"/>
    <m/>
  </r>
  <r>
    <x v="0"/>
    <s v="SALLY HANSEN"/>
    <s v="KIT120_PUSH_SHFY24"/>
    <s v="VALL.G.05.48.01"/>
    <s v="KIT120_SH PUSH_FY24"/>
    <m/>
    <m/>
    <n v="1"/>
    <n v="8.99"/>
    <m/>
  </r>
  <r>
    <x v="0"/>
    <s v="SALLY HANSEN"/>
    <s v="KIT120_PUSH_SHFY24"/>
    <s v="VALL.G.05.49.01"/>
    <s v="KIT120_SH PUSH_FY24"/>
    <m/>
    <m/>
    <n v="1"/>
    <n v="8.99"/>
    <m/>
  </r>
  <r>
    <x v="0"/>
    <s v="RIMMEL"/>
    <s v="RIMKIT90_PUSH"/>
    <s v="VALL.G.05.52.01"/>
    <s v="PALLET CON BANDEJAS PUSH DE 90CM"/>
    <m/>
    <m/>
    <n v="1"/>
    <n v="8.99"/>
    <m/>
  </r>
  <r>
    <x v="0"/>
    <s v="RIMMEL"/>
    <s v="KITRIMATILA120"/>
    <s v="VALL.G.05.55.01"/>
    <s v="KIT RIMMEL ATILA 120CM H2FY25"/>
    <m/>
    <m/>
    <n v="1"/>
    <n v="8.99"/>
    <m/>
  </r>
  <r>
    <x v="0"/>
    <s v="MAXFACTOR"/>
    <s v="MXF 103"/>
    <s v="VALL.G.06.01.01"/>
    <s v="MXF_BANDEJA_103 COVER STICK CONCEALER FOOD"/>
    <m/>
    <m/>
    <n v="1"/>
    <n v="8.99"/>
    <m/>
  </r>
  <r>
    <x v="0"/>
    <s v="MAXFACTOR"/>
    <s v="MXF 134"/>
    <s v="VALL.G.06.01.01"/>
    <s v="MXF_BANDEJA_134 MASTERPIECE SHADOW FOOD"/>
    <m/>
    <m/>
    <n v="0"/>
    <n v="0"/>
    <m/>
  </r>
  <r>
    <x v="0"/>
    <s v="MAXFACTOR"/>
    <s v="PREXMXF"/>
    <s v="VALL.G.06.01.01"/>
    <s v="PREX MAX FACTOR"/>
    <m/>
    <m/>
    <n v="0"/>
    <n v="0"/>
    <m/>
  </r>
  <r>
    <x v="0"/>
    <s v="RIMMEL"/>
    <s v="PREXRIM"/>
    <s v="VALL.G.06.01.01"/>
    <s v="PREX RIMMEL"/>
    <m/>
    <m/>
    <n v="0"/>
    <n v="0"/>
    <m/>
  </r>
  <r>
    <x v="0"/>
    <s v="RIMMEL "/>
    <s v="RIM 101"/>
    <s v="VALL.G.06.01.01"/>
    <s v="RIM_BANDEJA_101 WONDER CLOUD FOOD"/>
    <m/>
    <m/>
    <n v="0"/>
    <n v="0"/>
    <m/>
  </r>
  <r>
    <x v="0"/>
    <s v="RIMMEL"/>
    <s v="RIM 120"/>
    <s v="VALL.G.06.01.01"/>
    <s v="RIM_BANDEJA_120 Lasting Mega Matte"/>
    <m/>
    <m/>
    <n v="0"/>
    <n v="0"/>
    <m/>
  </r>
  <r>
    <x v="0"/>
    <s v="RIMMEL "/>
    <n v="17058504"/>
    <s v="VALL.G.06.01.02"/>
    <s v="MAXFACTOR_PORTAVISUAL_BANDEJA FOOD"/>
    <m/>
    <m/>
    <n v="1"/>
    <n v="8.99"/>
    <m/>
  </r>
  <r>
    <x v="0"/>
    <s v="MAXFACTOR"/>
    <s v="kit_pushMXF90"/>
    <s v="VALL.G.06.01.03"/>
    <s v="KITS PUSH PARA CRF_ACTUALIZ H1 Y H2FY26"/>
    <m/>
    <m/>
    <n v="1"/>
    <n v="8.99"/>
    <m/>
  </r>
  <r>
    <x v="0"/>
    <s v="SALLY HANSEN"/>
    <s v="DEV220425.1"/>
    <s v="VALL.G.06.02.01"/>
    <s v="SH_CAJAS PIEZAS_SPINNER DEV"/>
    <m/>
    <m/>
    <n v="1"/>
    <n v="8.99"/>
    <m/>
  </r>
  <r>
    <x v="0"/>
    <s v="MAXFACTOR"/>
    <s v="MXF178_NEO"/>
    <s v="VALL.G.06.02.01"/>
    <s v="BANDEJA PARA NEO SIN VISUAL"/>
    <m/>
    <m/>
    <n v="0"/>
    <n v="0"/>
    <m/>
  </r>
  <r>
    <x v="0"/>
    <s v="RIMMEL"/>
    <s v="RIM159_NEO"/>
    <s v="VALL.G.06.02.01"/>
    <s v="BANDEJA PARA NEO SIN VISUAL"/>
    <m/>
    <m/>
    <n v="0"/>
    <n v="0"/>
    <m/>
  </r>
  <r>
    <x v="0"/>
    <s v="RIMMEL"/>
    <s v="RIM160_NEO"/>
    <s v="VALL.G.06.02.01"/>
    <s v="BANDEJA PARA NEO SIN VISUAL"/>
    <m/>
    <m/>
    <n v="0"/>
    <n v="0"/>
    <m/>
  </r>
  <r>
    <x v="5"/>
    <m/>
    <s v="TIRAS_2025_PO"/>
    <s v="VALL.G.06.02.01"/>
    <s v="tiras graficas 2025 portugues"/>
    <m/>
    <m/>
    <n v="0"/>
    <n v="0"/>
    <m/>
  </r>
  <r>
    <x v="2"/>
    <s v="WET N WILD"/>
    <s v="WW_2025_T"/>
    <s v="VALL.G.06.02.01"/>
    <s v="TESTER"/>
    <m/>
    <m/>
    <n v="0"/>
    <n v="0"/>
    <m/>
  </r>
  <r>
    <x v="0"/>
    <s v="MXF_RIM"/>
    <s v="BASE_ATILA98_NEGRO"/>
    <s v="VALL.G.06.02.02"/>
    <s v="BASE ATILA 980 NEGRO ALCAMPO"/>
    <m/>
    <m/>
    <n v="1"/>
    <n v="8.99"/>
    <m/>
  </r>
  <r>
    <x v="0"/>
    <s v="RIMMEL"/>
    <s v="kit_pushRIM180"/>
    <s v="VALL.G.06.02.03"/>
    <s v="KITS PUSH PARA CRF_ACTUALIZ H1 Y H2FY26"/>
    <m/>
    <m/>
    <n v="1"/>
    <n v="8.99"/>
    <m/>
  </r>
  <r>
    <x v="0"/>
    <s v="MAXFACTOR"/>
    <s v="MXF 109 CEM"/>
    <s v="VALL.G.06.03.01"/>
    <s v="MXF_BANDEJA_109 CEM C.ELIXIR+C.ELIXIR MATTE FOOD"/>
    <m/>
    <m/>
    <n v="1"/>
    <n v="8.99"/>
    <m/>
  </r>
  <r>
    <x v="0"/>
    <s v="RIMMEL"/>
    <s v="RIM 119"/>
    <s v="VALL.G.06.03.01"/>
    <s v="RIM_BANDEJA_119 Lasting Finish 35h NEO"/>
    <m/>
    <m/>
    <n v="0"/>
    <n v="0"/>
    <m/>
  </r>
  <r>
    <x v="5"/>
    <m/>
    <s v="TIRAS_08_2025"/>
    <s v="VALL.G.06.03.01"/>
    <s v="TIRAS GRAFICAS AGOSTO 2025"/>
    <m/>
    <m/>
    <n v="0"/>
    <n v="0"/>
    <m/>
  </r>
  <r>
    <x v="0"/>
    <s v="RIMMEL"/>
    <s v="I-00037-03"/>
    <s v="VALL.G.06.03.02"/>
    <s v="RIM_BANDEJA RECUPERADA"/>
    <m/>
    <m/>
    <n v="1"/>
    <n v="8.99"/>
    <m/>
  </r>
  <r>
    <x v="0"/>
    <s v="MXF_RIM"/>
    <s v="BASE_ATILA98_BLANCO"/>
    <s v="VALL.G.06.03.03"/>
    <s v="BASE ATILA 980 BLANCO ALCAMPO"/>
    <m/>
    <m/>
    <n v="1"/>
    <n v="8.99"/>
    <m/>
  </r>
  <r>
    <x v="0"/>
    <s v="MAXFACTOR"/>
    <s v="MXF 109 CE"/>
    <s v="VALL.G.06.04.01"/>
    <s v="MXF_BANDEJA_109 CE COLOR ELIXIR FOOD"/>
    <m/>
    <m/>
    <n v="1"/>
    <n v="8.99"/>
    <m/>
  </r>
  <r>
    <x v="0"/>
    <s v="RIMMEL"/>
    <s v="RIM 118"/>
    <s v="VALL.G.06.04.01"/>
    <s v="RIM_BANDEJA_118 MASCARAS"/>
    <m/>
    <m/>
    <n v="0"/>
    <n v="0"/>
    <m/>
  </r>
  <r>
    <x v="0"/>
    <s v="RIMMEL"/>
    <s v="ALCLOSENLACES"/>
    <s v="VALL.G.06.04.02"/>
    <s v="KIT120_RIM PUSH_FY24_ALCAMPO LOS ENLACES"/>
    <m/>
    <m/>
    <n v="1"/>
    <n v="8.99"/>
    <m/>
  </r>
  <r>
    <x v="0"/>
    <s v="MXF_RIM"/>
    <s v="BASE_ATILA98_BLANCO"/>
    <s v="VALL.G.06.04.03"/>
    <s v="BASE ATILA 980 BLANCO ALCAMPO"/>
    <m/>
    <m/>
    <n v="1"/>
    <n v="8.99"/>
    <m/>
  </r>
  <r>
    <x v="0"/>
    <s v="MXF_RIM"/>
    <s v="BASE_ATILA56_NEGRO"/>
    <s v="VALL.G.06.05.02"/>
    <s v="BASE ATILA 560 NEGRO ALCAMPO"/>
    <m/>
    <m/>
    <n v="1"/>
    <n v="8.99"/>
    <m/>
  </r>
  <r>
    <x v="2"/>
    <s v="WET N WILD"/>
    <s v="WW_ZOCALO"/>
    <s v="VALL.G.06.06.01"/>
    <s v="ZOCALO WET N WILD"/>
    <m/>
    <m/>
    <n v="1"/>
    <n v="8.99"/>
    <m/>
  </r>
  <r>
    <x v="0"/>
    <s v="MAXFACTOR"/>
    <s v="MXF 112"/>
    <s v="VALL.G.06.06.02"/>
    <s v="MXF_BANDEJA_112 LASTING PERF FOUNDATION FOOD"/>
    <m/>
    <m/>
    <n v="1"/>
    <n v="8.99"/>
    <m/>
  </r>
  <r>
    <x v="0"/>
    <s v="MAXFACTOR"/>
    <s v="MXF 116"/>
    <s v="VALL.G.06.06.02"/>
    <s v="MXF_BANDEJA_116 LIPFINITY VELVET MATTE FOOD"/>
    <m/>
    <m/>
    <n v="0"/>
    <n v="0"/>
    <m/>
  </r>
  <r>
    <x v="0"/>
    <s v="RIMMEL"/>
    <s v="COTY0043"/>
    <s v="VALL.G.06.06.03"/>
    <s v="KIT_CABECERA UÑAS FOOD_MAYO 2022"/>
    <m/>
    <m/>
    <n v="1"/>
    <n v="8.99"/>
    <m/>
  </r>
  <r>
    <x v="0"/>
    <s v="MXF_RIM"/>
    <s v="BASE_ATILA98_BLANCO"/>
    <s v="VALL.G.06.07.01"/>
    <s v="BASE ATILA 980 BLANCO ALCAMPO"/>
    <m/>
    <m/>
    <n v="1"/>
    <n v="8.99"/>
    <m/>
  </r>
  <r>
    <x v="0"/>
    <s v="MXF_RIM"/>
    <s v="BASE_ATILA120_NEGRO"/>
    <s v="VALL.G.06.07.02"/>
    <s v="BASE ATILA 1200 NEGRO ALCAMPO"/>
    <m/>
    <m/>
    <n v="1"/>
    <n v="8.99"/>
    <m/>
  </r>
  <r>
    <x v="0"/>
    <s v="RIMMEL "/>
    <s v="RIM 107"/>
    <s v="VALL.G.06.08.02"/>
    <s v="RIM_BANDEJA_107 K&amp;F FOOD"/>
    <m/>
    <m/>
    <n v="1"/>
    <n v="8.99"/>
    <m/>
  </r>
  <r>
    <x v="0"/>
    <s v="SALLY HANSEN"/>
    <n v="99350044319"/>
    <s v="VALL.G.06.09.01"/>
    <s v="SH MULT GWP XMAS SET 3 1 VAC FORM 19GB"/>
    <m/>
    <m/>
    <n v="1"/>
    <n v="8.99"/>
    <m/>
  </r>
  <r>
    <x v="0"/>
    <s v="MXF_RIM"/>
    <s v="BASE_ATILA120_BLANCO"/>
    <s v="VALL.G.06.09.02"/>
    <s v="BASE ATILA 1200 BLANCO ALCAMPO"/>
    <m/>
    <m/>
    <n v="1"/>
    <n v="8.99"/>
    <m/>
  </r>
  <r>
    <x v="0"/>
    <s v="MAXFACTOR"/>
    <s v="MXF 117"/>
    <s v="VALL.G.06.10.01"/>
    <s v="MXF_BANDEJA_107 MASCARE FLE FOOD"/>
    <m/>
    <m/>
    <n v="1"/>
    <n v="8.99"/>
    <m/>
  </r>
  <r>
    <x v="0"/>
    <s v="MAXFACTOR"/>
    <s v="MXF 109 CE"/>
    <s v="VALL.G.06.10.03"/>
    <s v="MXF_BANDEJA_109 CE COLOR ELIXIR FOOD"/>
    <m/>
    <m/>
    <n v="1"/>
    <n v="8.99"/>
    <m/>
  </r>
  <r>
    <x v="0"/>
    <s v="MAXFACTOR"/>
    <s v="KITpushMXF90SB"/>
    <s v="VALL.G.06.11.01"/>
    <s v="KITS PUSH SIN BARRA METALICA"/>
    <m/>
    <m/>
    <n v="1"/>
    <n v="8.99"/>
    <m/>
  </r>
  <r>
    <x v="0"/>
    <s v="VARIAS"/>
    <s v="XG150725.2"/>
    <s v="VALL.G.06.11.01"/>
    <s v="KITS H1FY25 RIMMEL Y MAX FACTOR"/>
    <m/>
    <m/>
    <n v="0"/>
    <n v="0"/>
    <m/>
  </r>
  <r>
    <x v="0"/>
    <s v="MAXFACTOR"/>
    <s v="kit_pushMXF120"/>
    <s v="VALL.G.06.11.02"/>
    <s v="KITS PUSH PARA CRF_ACTUALIZ H1 Y H2FY26"/>
    <m/>
    <m/>
    <n v="1"/>
    <n v="8.99"/>
    <m/>
  </r>
  <r>
    <x v="0"/>
    <s v="RIMMEL "/>
    <n v="11111"/>
    <s v="VALL.G.06.11.03"/>
    <s v="Pieza HOTSPOT RIM Mibar 1.2M_KIT ACT Q1 FY21"/>
    <m/>
    <m/>
    <n v="1"/>
    <n v="8.99"/>
    <m/>
  </r>
  <r>
    <x v="2"/>
    <s v="PHYSICIANS FORM"/>
    <s v="CONVKIT 23"/>
    <s v="VALL.G.06.12.01"/>
    <s v="KITS CONVERSION WET FY23"/>
    <m/>
    <m/>
    <n v="1"/>
    <n v="8.99"/>
    <m/>
  </r>
  <r>
    <x v="2"/>
    <s v="PHYSICIANS FORM"/>
    <s v="CONVKIT 24"/>
    <s v="VALL.G.06.12.01"/>
    <s v="KITS CONVERSION WET FY24"/>
    <m/>
    <m/>
    <n v="0"/>
    <n v="0"/>
    <m/>
  </r>
  <r>
    <x v="2"/>
    <s v="WET N WILD"/>
    <s v="WW TEST2024"/>
    <s v="VALL.G.06.12.01"/>
    <m/>
    <m/>
    <m/>
    <n v="0"/>
    <n v="0"/>
    <m/>
  </r>
  <r>
    <x v="0"/>
    <s v="RIMMEL"/>
    <s v="KIT_PUSHRIM120"/>
    <s v="VALL.G.06.12.02"/>
    <s v="KITS PUSH PARA CRF_ACTUALIZ H1 Y H2FY26"/>
    <m/>
    <m/>
    <n v="1"/>
    <n v="8.99"/>
    <m/>
  </r>
  <r>
    <x v="0"/>
    <s v="MAXFACTOR"/>
    <s v="MXF0108"/>
    <s v="VALL.G.06.13.02"/>
    <s v="MXF_KIT_ACT_HIPERCOR 240 H2 FY22"/>
    <m/>
    <m/>
    <n v="1"/>
    <n v="8.99"/>
    <m/>
  </r>
  <r>
    <x v="0"/>
    <s v="RIMMEL"/>
    <n v="99350139274"/>
    <s v="VALL.G.06.13.03"/>
    <s v="RIM_KIT ACT_MIBAR 2M SPANISH H2 FY22"/>
    <m/>
    <m/>
    <n v="1"/>
    <n v="8.99"/>
    <m/>
  </r>
  <r>
    <x v="0"/>
    <s v="RIMMEL "/>
    <s v="RIM 106"/>
    <s v="VALL.G.06.14.01"/>
    <s v="RIM_BANDEJA_106 K&amp;F FOOD"/>
    <m/>
    <m/>
    <n v="1"/>
    <n v="8.99"/>
    <m/>
  </r>
  <r>
    <x v="1"/>
    <s v="FLORMAR"/>
    <s v="GOND_KIT_JUN26"/>
    <s v="VALL.G.06.15.01"/>
    <s v="KIT ACT. GOND UNIT JUNIO 26"/>
    <m/>
    <m/>
    <n v="1"/>
    <n v="8.99"/>
    <m/>
  </r>
  <r>
    <x v="0"/>
    <s v="BOURJOIS"/>
    <n v="29101277000"/>
    <s v="VALL.G.06.15.03"/>
    <s v="ROUGE VELVET"/>
    <m/>
    <m/>
    <n v="1"/>
    <n v="8.99"/>
    <m/>
  </r>
  <r>
    <x v="1"/>
    <s v="FLORMAR"/>
    <s v="WALL_KIT_JUN26"/>
    <s v="VALL.G.06.16.01"/>
    <s v="KIT ACT. WALL UNIT JUNIO 26"/>
    <m/>
    <m/>
    <n v="1"/>
    <n v="8.99"/>
    <m/>
  </r>
  <r>
    <x v="0"/>
    <s v="BOURJOIS"/>
    <n v="29100588000"/>
    <s v="VALL.G.06.16.03"/>
    <s v="MASC PUSH UP"/>
    <m/>
    <m/>
    <n v="1"/>
    <n v="8.99"/>
    <m/>
  </r>
  <r>
    <x v="0"/>
    <s v="MAXFACTOR"/>
    <s v="MXF 111"/>
    <s v="VALL.G.06.17.01"/>
    <s v="MXF_BANDEJA_111 FACEFINITY FOOD"/>
    <m/>
    <m/>
    <n v="1"/>
    <n v="8.99"/>
    <m/>
  </r>
  <r>
    <x v="0"/>
    <s v="SALLY HANSEN"/>
    <s v="BASESH1M"/>
    <s v="VALL.G.06.18.01"/>
    <s v="BASE SALLY HANSEN 1M BB H2FY25"/>
    <m/>
    <m/>
    <n v="1"/>
    <n v="8.99"/>
    <m/>
  </r>
  <r>
    <x v="9"/>
    <m/>
    <s v="NOTE_BASE"/>
    <s v="VALL.G.06.20.01"/>
    <s v="NOTE_BASE_BASES SUELTAS"/>
    <m/>
    <m/>
    <n v="1"/>
    <n v="8.99"/>
    <m/>
  </r>
  <r>
    <x v="0"/>
    <s v="BOURJOIS"/>
    <n v="29101772000"/>
    <s v="VALL.G.06.20.03"/>
    <s v="LAPICES BJS MULT MCH CRAYONS 5X1"/>
    <m/>
    <m/>
    <n v="1"/>
    <n v="8.99"/>
    <m/>
  </r>
  <r>
    <x v="0"/>
    <s v="RIMMEL"/>
    <s v="KIT120_RIMPUSH_FY24"/>
    <s v="VALL.G.06.22.01"/>
    <s v="KIT120_RIM PUSH_FY24"/>
    <m/>
    <m/>
    <n v="1"/>
    <n v="8.99"/>
    <m/>
  </r>
  <r>
    <x v="0"/>
    <s v="RIMMEL "/>
    <s v="RIM 108"/>
    <s v="VALL.G.06.22.02"/>
    <s v="RIM_BANDEJA_108 K&amp;F FOOD"/>
    <m/>
    <m/>
    <n v="1"/>
    <n v="8.99"/>
    <m/>
  </r>
  <r>
    <x v="0"/>
    <s v="BOURJOIS"/>
    <n v="99350145002"/>
    <s v="VALL.G.06.22.03"/>
    <s v="BJ_BANDEJA_Brow Gel &amp; Máscara Healthy Mix h1 FY23"/>
    <m/>
    <m/>
    <n v="1"/>
    <n v="8.99"/>
    <m/>
  </r>
  <r>
    <x v="0"/>
    <s v="SALLY HANSEN"/>
    <n v="270325.09999999998"/>
    <s v="VALL.G.06.23.01"/>
    <s v="SOBRE NAILS CHIPS COMPLETO H2FY25"/>
    <m/>
    <m/>
    <n v="1"/>
    <n v="8.99"/>
    <m/>
  </r>
  <r>
    <x v="0"/>
    <s v="BOURJOIS"/>
    <n v="29101799000"/>
    <s v="VALL.G.06.23.03"/>
    <s v="SACAPUNTAS"/>
    <m/>
    <m/>
    <n v="1"/>
    <n v="8.99"/>
    <m/>
  </r>
  <r>
    <x v="0"/>
    <s v="MAXFACTOR"/>
    <s v="MXF 133"/>
    <s v="VALL.G.06.27.01"/>
    <s v="MXF_BANDEJA_133 MIRACLE PURE BLUSH FOOD"/>
    <m/>
    <m/>
    <n v="1"/>
    <n v="8.99"/>
    <m/>
  </r>
  <r>
    <x v="0"/>
    <s v="RIMMEL "/>
    <s v="RIM 108"/>
    <s v="VALL.G.06.27.01"/>
    <s v="RIM_BANDEJA_108 K&amp;F FOOD"/>
    <m/>
    <m/>
    <n v="0"/>
    <n v="0"/>
    <m/>
  </r>
  <r>
    <x v="0"/>
    <s v="BOURJOIS"/>
    <n v="99350165019"/>
    <s v="VALL.G.06.27.02"/>
    <s v="BJ_BANDEJA_Adaptador Foundation HM H1 FY23"/>
    <m/>
    <m/>
    <n v="1"/>
    <n v="8.99"/>
    <m/>
  </r>
  <r>
    <x v="0"/>
    <s v="BOURJOIS"/>
    <n v="29101779000"/>
    <s v="VALL.G.06.28.02"/>
    <s v="VISUAL 10 CM"/>
    <m/>
    <m/>
    <n v="1"/>
    <n v="8.99"/>
    <m/>
  </r>
  <r>
    <x v="0"/>
    <s v="BOURJOIS"/>
    <s v="29166145000_MARU"/>
    <s v="VALL.G.06.29.01"/>
    <s v="BJ_BANDEJA"/>
    <m/>
    <m/>
    <n v="1"/>
    <n v="8.99"/>
    <m/>
  </r>
  <r>
    <x v="0"/>
    <s v="BOURJOIS"/>
    <s v="KIT120_PUSH_BJFY24"/>
    <s v="VALL.G.06.31.01"/>
    <s v="KIT120_PUSH_BJFY24"/>
    <m/>
    <m/>
    <n v="1"/>
    <n v="8.99"/>
    <m/>
  </r>
  <r>
    <x v="0"/>
    <s v="RIMMEL"/>
    <s v="BMIBAR120_26"/>
    <s v="VALL.G.06.31.02"/>
    <s v="BASE MIBAR 120 H2FY26"/>
    <m/>
    <m/>
    <n v="1"/>
    <n v="8.99"/>
    <m/>
  </r>
  <r>
    <x v="0"/>
    <s v="BOURJOIS"/>
    <s v="KIT120_PUSH_BJFY24"/>
    <s v="VALL.G.06.32.01"/>
    <s v="KIT120_PUSH_BJFY24"/>
    <m/>
    <m/>
    <n v="1"/>
    <n v="8.99"/>
    <m/>
  </r>
  <r>
    <x v="0"/>
    <s v="RIMMEL"/>
    <s v="BMIBAR120_26"/>
    <s v="VALL.G.06.32.02"/>
    <s v="BASE MIBAR 120 H2FY26"/>
    <m/>
    <m/>
    <n v="1"/>
    <n v="8.99"/>
    <m/>
  </r>
  <r>
    <x v="0"/>
    <s v="BOURJOIS"/>
    <n v="29102732000"/>
    <s v="VALL.G.06.32.03"/>
    <s v="VOLUME REVEAL"/>
    <m/>
    <m/>
    <n v="1"/>
    <n v="8.99"/>
    <m/>
  </r>
  <r>
    <x v="0"/>
    <s v="BOURJOIS"/>
    <s v="KIT120_PUSH_BJFY24"/>
    <s v="VALL.G.06.33.01"/>
    <s v="KIT120_PUSH_BJFY24"/>
    <m/>
    <m/>
    <n v="1"/>
    <n v="8.99"/>
    <m/>
  </r>
  <r>
    <x v="0"/>
    <s v="BOURJOIS"/>
    <n v="29101782000"/>
    <s v="VALL.G.06.33.02"/>
    <s v="BJS MULT MCH MODPOP SHARPENER 5cmX1"/>
    <m/>
    <m/>
    <n v="1"/>
    <n v="8.99"/>
    <m/>
  </r>
  <r>
    <x v="0"/>
    <s v="BOURJOIS"/>
    <n v="29101798000"/>
    <s v="VALL.G.06.33.03"/>
    <s v="1 SECOND UÑAS"/>
    <m/>
    <m/>
    <n v="1"/>
    <n v="8.99"/>
    <m/>
  </r>
  <r>
    <x v="0"/>
    <s v="BOURJOIS"/>
    <s v="KIT120_PUSH_BJFY24"/>
    <s v="VALL.G.06.34.01"/>
    <s v="KIT120_PUSH_BJFY24"/>
    <m/>
    <m/>
    <n v="1"/>
    <n v="8.99"/>
    <m/>
  </r>
  <r>
    <x v="0"/>
    <s v="BOURJOIS"/>
    <s v="99350168005_MARU"/>
    <s v="VALL.G.06.34.02"/>
    <s v="BJ_BANDEJA"/>
    <m/>
    <m/>
    <n v="1"/>
    <n v="8.99"/>
    <m/>
  </r>
  <r>
    <x v="0"/>
    <s v="BOURJOIS"/>
    <s v="99350124537_MARU"/>
    <s v="VALL.G.06.35.01"/>
    <s v="BJ_BANDEJA"/>
    <m/>
    <m/>
    <n v="1"/>
    <n v="8.99"/>
    <m/>
  </r>
  <r>
    <x v="0"/>
    <s v="BOURJOIS"/>
    <n v="29101794000"/>
    <s v="VALL.G.06.35.02"/>
    <s v="HEALTHY MIX POWDER "/>
    <m/>
    <m/>
    <n v="1"/>
    <n v="8.99"/>
    <m/>
  </r>
  <r>
    <x v="0"/>
    <s v="MAXFACTOR"/>
    <s v="MXF 112"/>
    <s v="VALL.G.06.35.03"/>
    <s v="MXF_BANDEJA_112 LASTING PERF FOUNDATION FOOD"/>
    <m/>
    <m/>
    <n v="1"/>
    <n v="8.99"/>
    <m/>
  </r>
  <r>
    <x v="1"/>
    <s v="FLORMAR"/>
    <n v="54004388"/>
    <s v="VALL.G.06.36.01"/>
    <s v="NC WU MAT TOUCH FOUN. - INV.HD FOUN."/>
    <m/>
    <m/>
    <n v="1"/>
    <n v="8.99"/>
    <m/>
  </r>
  <r>
    <x v="1"/>
    <s v="FLORMAR"/>
    <n v="54004443"/>
    <s v="VALL.G.06.36.01"/>
    <s v="NC WU PNCL SINGLE"/>
    <m/>
    <m/>
    <n v="0"/>
    <n v="0"/>
    <m/>
  </r>
  <r>
    <x v="1"/>
    <s v="FLORMAR"/>
    <n v="54004838"/>
    <s v="VALL.G.06.36.01"/>
    <s v="NC WU KISS ME MORE LIP TATTOO 10 SKU"/>
    <m/>
    <m/>
    <n v="0"/>
    <n v="0"/>
    <m/>
  </r>
  <r>
    <x v="1"/>
    <s v="FLORMAR"/>
    <n v="54004919"/>
    <s v="VALL.G.06.36.01"/>
    <s v="NC WU LIGHTW. LIP POWDER-SUPERMATTE"/>
    <m/>
    <m/>
    <n v="0"/>
    <n v="0"/>
    <m/>
  </r>
  <r>
    <x v="1"/>
    <s v="FLORMAR"/>
    <n v="54005415"/>
    <s v="VALL.G.06.36.01"/>
    <s v="NC WU EYESHADOW PALETTE 3SKU-PENCIL"/>
    <m/>
    <m/>
    <n v="0"/>
    <n v="0"/>
    <m/>
  </r>
  <r>
    <x v="1"/>
    <s v="FLORMAR"/>
    <n v="54005589"/>
    <s v="VALL.G.06.36.01"/>
    <s v="NC WU SILK MATTE 12F-VISUAL"/>
    <m/>
    <m/>
    <n v="0"/>
    <n v="0"/>
    <m/>
  </r>
  <r>
    <x v="1"/>
    <s v="FLORMAR"/>
    <n v="54005592"/>
    <s v="VALL.G.06.36.01"/>
    <s v="NC WU SUPERMATTE 6F-LIP PENCILS 4F"/>
    <m/>
    <m/>
    <n v="0"/>
    <n v="0"/>
    <m/>
  </r>
  <r>
    <x v="1"/>
    <s v="FLORMAR"/>
    <n v="54005676"/>
    <s v="VALL.G.06.36.01"/>
    <s v="NC WU EQUIPMENT FOR MODULE TESTER SHORT"/>
    <m/>
    <m/>
    <n v="0"/>
    <n v="0"/>
    <m/>
  </r>
  <r>
    <x v="1"/>
    <s v="FLORMAR"/>
    <n v="54005677"/>
    <s v="VALL.G.06.36.01"/>
    <s v="NC WU EQUIPMENT FOR MODULE TESTER LONG"/>
    <m/>
    <m/>
    <n v="0"/>
    <n v="0"/>
    <m/>
  </r>
  <r>
    <x v="0"/>
    <s v="BOURJOIS"/>
    <n v="29165275000"/>
    <s v="VALL.G.06.36.03"/>
    <s v="ROUGE FABULEUX"/>
    <m/>
    <m/>
    <n v="1"/>
    <n v="8.99"/>
    <m/>
  </r>
  <r>
    <x v="5"/>
    <m/>
    <s v="NEO_CAJA2"/>
    <s v="VALL.G.06.37.01"/>
    <s v="NEO_CAJA2_PRODUCTO"/>
    <m/>
    <m/>
    <n v="1"/>
    <n v="8.99"/>
    <m/>
  </r>
  <r>
    <x v="0"/>
    <s v="RIMMEL"/>
    <s v="BMIBAR120_26"/>
    <s v="VALL.G.06.37.02"/>
    <s v="BASE MIBAR 120 H2FY26"/>
    <m/>
    <m/>
    <n v="1"/>
    <n v="8.99"/>
    <m/>
  </r>
  <r>
    <x v="0"/>
    <s v="BOURJOIS"/>
    <n v="29101779000"/>
    <s v="VALL.G.06.37.03"/>
    <s v="VISUAL 10 CM"/>
    <m/>
    <m/>
    <n v="1"/>
    <n v="8.99"/>
    <m/>
  </r>
  <r>
    <x v="0"/>
    <s v="RIMMEL"/>
    <s v="BMIBAR120_26"/>
    <s v="VALL.G.06.38.02"/>
    <s v="BASE MIBAR 120 H2FY26"/>
    <m/>
    <m/>
    <n v="1"/>
    <n v="8.99"/>
    <m/>
  </r>
  <r>
    <x v="0"/>
    <s v="RIMMEL"/>
    <s v="BMIBAR120_26"/>
    <s v="VALL.G.06.39.01"/>
    <s v="BASE MIBAR 120 H2FY26"/>
    <m/>
    <m/>
    <n v="1"/>
    <n v="8.99"/>
    <m/>
  </r>
  <r>
    <x v="5"/>
    <m/>
    <s v="NEO_CAJA1"/>
    <s v="VALL.G.06.39.01"/>
    <s v="NEO_CAJA1_PRODUCTO"/>
    <m/>
    <m/>
    <n v="0"/>
    <n v="0"/>
    <m/>
  </r>
  <r>
    <x v="0"/>
    <s v="RIMMEL"/>
    <s v="BMIBAR120_26"/>
    <s v="VALL.G.06.39.02"/>
    <s v="BASE MIBAR 120 H2FY26"/>
    <m/>
    <m/>
    <n v="1"/>
    <n v="8.99"/>
    <m/>
  </r>
  <r>
    <x v="0"/>
    <s v="BOURJOIS"/>
    <n v="29175008000"/>
    <s v="VALL.G.06.40.02"/>
    <s v="BJ_BANDEJA_Foundcealer"/>
    <m/>
    <m/>
    <n v="1"/>
    <n v="8.99"/>
    <m/>
  </r>
  <r>
    <x v="0"/>
    <s v="BOURJOIS"/>
    <s v="29185185000_MARU"/>
    <s v="VALL.G.06.41.01"/>
    <s v="BJ_BANDEJA"/>
    <m/>
    <m/>
    <n v="1"/>
    <n v="8.99"/>
    <m/>
  </r>
  <r>
    <x v="0"/>
    <s v="BOURJOIS"/>
    <s v="99350168007_MARU"/>
    <s v="VALL.G.06.42.01"/>
    <s v="BJ_BANDEJA"/>
    <m/>
    <m/>
    <n v="1"/>
    <n v="8.99"/>
    <m/>
  </r>
  <r>
    <x v="0"/>
    <s v="RIMMEL"/>
    <s v="BMIBAR120_26"/>
    <s v="VALL.G.06.43.01"/>
    <s v="BASE MIBAR 120 H2FY26"/>
    <m/>
    <m/>
    <n v="1"/>
    <n v="8.99"/>
    <m/>
  </r>
  <r>
    <x v="5"/>
    <m/>
    <s v="NEO_CAJAS"/>
    <s v="VALL.G.06.43.01"/>
    <s v="SOBRANTE "/>
    <m/>
    <m/>
    <n v="0"/>
    <n v="0"/>
    <m/>
  </r>
  <r>
    <x v="0"/>
    <s v="BOURJOIS"/>
    <n v="99350168006"/>
    <s v="VALL.G.06.43.02"/>
    <s v="BOU MULT MCH EXP HM LIPSORB ARCHP2 (LIP SORBET)"/>
    <m/>
    <m/>
    <n v="1"/>
    <n v="8.99"/>
    <m/>
  </r>
  <r>
    <x v="0"/>
    <s v="BOURJOIS"/>
    <n v="29185261000"/>
    <s v="VALL.G.06.43.03"/>
    <s v="BJ_BANDEJA_BEAU REGARD"/>
    <m/>
    <m/>
    <n v="1"/>
    <n v="8.99"/>
    <m/>
  </r>
  <r>
    <x v="0"/>
    <s v="BOURJOIS"/>
    <s v="29185261000_MARU"/>
    <s v="VALL.G.06.43.03"/>
    <s v="BJ_BANDEJA"/>
    <m/>
    <m/>
    <n v="0"/>
    <n v="0"/>
    <m/>
  </r>
  <r>
    <x v="0"/>
    <s v="MAXFACTOR"/>
    <s v="MXF_BaseH4120"/>
    <s v="VALL.G.06.44.01"/>
    <s v="MXF BASE BBH4 1.2M H1 FY24 DIAM"/>
    <m/>
    <m/>
    <n v="1"/>
    <n v="8.99"/>
    <m/>
  </r>
  <r>
    <x v="0"/>
    <s v="BOURJOIS"/>
    <n v="99350168006"/>
    <s v="VALL.G.06.44.02"/>
    <s v="BOU MULT MCH EXP HM LIPSORB ARCHP2 (LIP SORBET)"/>
    <m/>
    <m/>
    <n v="1"/>
    <n v="8.99"/>
    <m/>
  </r>
  <r>
    <x v="0"/>
    <s v="BOURJOIS"/>
    <n v="99350124542"/>
    <s v="VALL.G.06.45.01"/>
    <s v="EYESHADOW VOLUME GLAMOUR 1FX6"/>
    <m/>
    <m/>
    <n v="1"/>
    <n v="8.99"/>
    <m/>
  </r>
  <r>
    <x v="0"/>
    <s v="BOURJOIS"/>
    <s v="99350124542_MARU"/>
    <s v="VALL.G.06.45.01"/>
    <s v="BJ_BANDEJA"/>
    <m/>
    <m/>
    <n v="0"/>
    <n v="0"/>
    <m/>
  </r>
  <r>
    <x v="0"/>
    <s v="BOURJOIS"/>
    <s v="99350145002_MARU"/>
    <s v="VALL.G.06.45.02"/>
    <s v="BJ_BANDEJA"/>
    <m/>
    <m/>
    <n v="1"/>
    <n v="8.99"/>
    <m/>
  </r>
  <r>
    <x v="0"/>
    <s v="BOURJOIS"/>
    <n v="29175008000"/>
    <s v="VALL.G.06.48.01"/>
    <s v="BJ_BANDEJA_Foundcealer"/>
    <m/>
    <m/>
    <n v="1"/>
    <n v="8.99"/>
    <m/>
  </r>
  <r>
    <x v="0"/>
    <s v="BOURJOIS"/>
    <s v="29175008000_MARU"/>
    <s v="VALL.G.06.48.01"/>
    <s v="BJ_BANDEJA_Foundcealer"/>
    <m/>
    <m/>
    <n v="0"/>
    <n v="0"/>
    <m/>
  </r>
  <r>
    <x v="0"/>
    <s v="BOURJOIS"/>
    <n v="29166052000"/>
    <s v="VALL.G.06.49.03"/>
    <s v="HEALTHY MIX FOUNDATION"/>
    <m/>
    <m/>
    <n v="1"/>
    <n v="8.99"/>
    <m/>
  </r>
  <r>
    <x v="0"/>
    <s v="SALLY HANSEN"/>
    <s v="BASESH1M"/>
    <s v="VALL.G.06.50.01"/>
    <s v="BASE SALLY HANSEN 1M BB H2FY25"/>
    <m/>
    <m/>
    <n v="1"/>
    <n v="8.99"/>
    <m/>
  </r>
  <r>
    <x v="0"/>
    <s v="BOURJOIS"/>
    <n v="29166052000"/>
    <s v="VALL.G.06.50.03"/>
    <s v="HEALTHY MIX FOUNDATION"/>
    <m/>
    <m/>
    <n v="1"/>
    <n v="8.99"/>
    <m/>
  </r>
  <r>
    <x v="0"/>
    <s v="SALLY HANSEN"/>
    <s v="BASESH1M"/>
    <s v="VALL.G.06.51.01"/>
    <s v="BASE SALLY HANSEN 1M BB H2FY25"/>
    <m/>
    <m/>
    <n v="1"/>
    <n v="8.99"/>
    <m/>
  </r>
  <r>
    <x v="0"/>
    <s v="BOURJOIS"/>
    <n v="29166145000"/>
    <s v="VALL.G.06.51.03"/>
    <s v="ROUGE LAQUE+CONC ALW"/>
    <m/>
    <m/>
    <n v="1"/>
    <n v="8.99"/>
    <m/>
  </r>
  <r>
    <x v="0"/>
    <s v="SALLY HANSEN"/>
    <s v="BASESH1M"/>
    <s v="VALL.G.06.52.01"/>
    <s v="BASE SALLY HANSEN 1M BB H2FY25"/>
    <m/>
    <m/>
    <n v="1"/>
    <n v="8.99"/>
    <m/>
  </r>
  <r>
    <x v="0"/>
    <s v="BOURJOIS"/>
    <n v="29101809000"/>
    <s v="VALL.G.06.52.02"/>
    <s v="LINER PINCEU"/>
    <m/>
    <m/>
    <n v="1"/>
    <n v="8.99"/>
    <m/>
  </r>
  <r>
    <x v="0"/>
    <s v="BOURJOIS"/>
    <n v="29101774000"/>
    <s v="VALL.G.06.52.03"/>
    <s v="FARD JOUES"/>
    <m/>
    <m/>
    <n v="1"/>
    <n v="8.99"/>
    <m/>
  </r>
  <r>
    <x v="0"/>
    <s v="BOURJOIS"/>
    <n v="29155445000"/>
    <s v="VALL.G.06.53.02"/>
    <s v="VELVET THE LIPSTICK"/>
    <m/>
    <m/>
    <n v="1"/>
    <n v="8.99"/>
    <m/>
  </r>
  <r>
    <x v="0"/>
    <s v="SALLY HANSEN"/>
    <s v="BASESH1M"/>
    <s v="VALL.G.06.54.01"/>
    <s v="BASE SALLY HANSEN 1M BB H2FY25"/>
    <m/>
    <m/>
    <n v="1"/>
    <n v="8.99"/>
    <m/>
  </r>
  <r>
    <x v="0"/>
    <s v="BOURJOIS"/>
    <n v="29101798000"/>
    <s v="VALL.G.06.54.03"/>
    <s v="1 SECOND UÑAS"/>
    <m/>
    <m/>
    <n v="1"/>
    <n v="8.99"/>
    <m/>
  </r>
  <r>
    <x v="0"/>
    <s v="BOURJOIS"/>
    <n v="99350168006"/>
    <s v="VALL.G.06.55.01"/>
    <s v="BOU MULT MCH EXP HM LIPSORB ARCHP2 (LIP SORBET)"/>
    <m/>
    <m/>
    <n v="1"/>
    <n v="8.99"/>
    <m/>
  </r>
  <r>
    <x v="0"/>
    <s v="BOURJOIS"/>
    <n v="29101258000"/>
    <s v="VALL.G.06.55.02"/>
    <s v="ROUGE EDITION/BLUR THE LINES"/>
    <m/>
    <m/>
    <n v="1"/>
    <n v="8.99"/>
    <m/>
  </r>
  <r>
    <x v="2"/>
    <s v="WET N WILD"/>
    <s v="WWCONVKIT23"/>
    <s v="VALL.G.06.56.01"/>
    <s v="WET N WILD KIT CONVERSION 2023"/>
    <m/>
    <m/>
    <n v="1"/>
    <n v="8.99"/>
    <m/>
  </r>
  <r>
    <x v="1"/>
    <m/>
    <n v="54006347"/>
    <s v="VALL.G.07.01.01"/>
    <s v="HOTSPOT TO GO PRE PACK"/>
    <m/>
    <m/>
    <n v="1"/>
    <n v="8.99"/>
    <m/>
  </r>
  <r>
    <x v="4"/>
    <s v="ESSENCE"/>
    <s v="BACKTOBACK"/>
    <s v="VALL.G.07.01.01"/>
    <s v="BACK TO BACK ESSENCE"/>
    <m/>
    <m/>
    <n v="0"/>
    <n v="0"/>
    <m/>
  </r>
  <r>
    <x v="0"/>
    <s v="MXF_RIM"/>
    <s v="CABUÑASCRF4"/>
    <s v="VALL.G.07.01.01"/>
    <s v="CABECERAS DE UÑAS PARA X 4 UNIDADES"/>
    <m/>
    <m/>
    <n v="0"/>
    <n v="0"/>
    <m/>
  </r>
  <r>
    <x v="0"/>
    <s v="MXF_RIM"/>
    <s v="MXF_TESTERATI56"/>
    <s v="VALL.G.07.01.01"/>
    <s v="TESTER PARA MUEBLE ATILA 56"/>
    <m/>
    <m/>
    <n v="0"/>
    <n v="0"/>
    <m/>
  </r>
  <r>
    <x v="5"/>
    <m/>
    <s v="NEO_CAJA 16"/>
    <s v="VALL.G.07.01.01"/>
    <s v="LACAS DE UÑAS"/>
    <m/>
    <m/>
    <n v="0"/>
    <n v="0"/>
    <m/>
  </r>
  <r>
    <x v="0"/>
    <s v="RIMMEL"/>
    <s v="XG3006.2"/>
    <s v="VALL.G.07.01.01"/>
    <s v="KITS MIBAR 2M H1FY25"/>
    <m/>
    <m/>
    <n v="0"/>
    <n v="0"/>
    <m/>
  </r>
  <r>
    <x v="0"/>
    <s v="MAXFACTOR"/>
    <s v="COTY0128"/>
    <s v="VALL.G.07.02.01"/>
    <s v="MXF_MODULO_AIR BAR"/>
    <m/>
    <m/>
    <n v="1"/>
    <n v="8.99"/>
    <m/>
  </r>
  <r>
    <x v="0"/>
    <s v="BOURJOIS"/>
    <n v="29185263000"/>
    <s v="VALL.G.07.02.03"/>
    <s v="BJ_BANDEJA_VELVET IMK"/>
    <m/>
    <m/>
    <n v="1"/>
    <n v="8.99"/>
    <m/>
  </r>
  <r>
    <x v="0"/>
    <s v="BOURJOIS"/>
    <s v="TESTERGPVBJ_26"/>
    <s v="VALL.G.07.03.01"/>
    <s v="TESTER GPV BOURJOIS 26"/>
    <m/>
    <m/>
    <n v="1"/>
    <n v="8.99"/>
    <m/>
  </r>
  <r>
    <x v="0"/>
    <s v="MAXFACTOR"/>
    <s v="TESTERGPVMXF_26"/>
    <s v="VALL.G.07.03.01"/>
    <s v="TESTER GPV MAX FACTOR 26"/>
    <m/>
    <m/>
    <n v="0"/>
    <n v="0"/>
    <m/>
  </r>
  <r>
    <x v="0"/>
    <s v="RIMMEL"/>
    <s v="TESTERGPVRIM_26"/>
    <s v="VALL.G.07.03.01"/>
    <s v="TESTER GPV RIMMEL 26"/>
    <m/>
    <m/>
    <n v="0"/>
    <n v="0"/>
    <m/>
  </r>
  <r>
    <x v="0"/>
    <s v="RIMMEL"/>
    <s v="I-00012-01"/>
    <s v="VALL.G.07.03.02"/>
    <s v="mascara WonderCareSerum 2F"/>
    <m/>
    <m/>
    <n v="1"/>
    <n v="8.99"/>
    <m/>
  </r>
  <r>
    <x v="0"/>
    <s v="RIMMEL"/>
    <s v="I-00028-01"/>
    <s v="VALL.G.07.03.02"/>
    <s v="Foundation regular 1F"/>
    <m/>
    <m/>
    <n v="0"/>
    <n v="0"/>
    <m/>
  </r>
  <r>
    <x v="0"/>
    <s v="RIMMEL"/>
    <s v="I-00033-01"/>
    <s v="VALL.G.07.03.02"/>
    <s v="RIM_BANDEJA_ LASTING PROVOCALIPS 3F"/>
    <m/>
    <m/>
    <n v="0"/>
    <n v="0"/>
    <m/>
  </r>
  <r>
    <x v="0"/>
    <s v="RIMMEL"/>
    <s v="I-00035-01"/>
    <s v="VALL.G.07.03.02"/>
    <s v="lipstick HideTheBlemish 3F"/>
    <m/>
    <m/>
    <n v="0"/>
    <n v="0"/>
    <m/>
  </r>
  <r>
    <x v="0"/>
    <s v="RIMMEL"/>
    <s v="I-00035-03"/>
    <s v="VALL.G.07.03.02"/>
    <s v="lipstick LastingExtremeMatte 3F"/>
    <m/>
    <m/>
    <n v="0"/>
    <n v="0"/>
    <m/>
  </r>
  <r>
    <x v="0"/>
    <s v="RIMMEL"/>
    <s v="I-00036-03"/>
    <s v="VALL.G.07.03.02"/>
    <s v="lipstick LastingFinishSatin 4F"/>
    <m/>
    <m/>
    <n v="0"/>
    <n v="0"/>
    <m/>
  </r>
  <r>
    <x v="0"/>
    <s v="RIMMEL"/>
    <s v="I-00126-04"/>
    <s v="VALL.G.07.03.02"/>
    <s v="Magnif'eyes E/S 1F"/>
    <m/>
    <m/>
    <n v="0"/>
    <n v="0"/>
    <m/>
  </r>
  <r>
    <x v="1"/>
    <s v="FLORMAR"/>
    <s v="GOND_TIRAS_26"/>
    <s v="VALL.G.07.04.01"/>
    <s v="TIRAS GOND JUNIO 26"/>
    <m/>
    <m/>
    <n v="1"/>
    <n v="8.99"/>
    <m/>
  </r>
  <r>
    <x v="5"/>
    <m/>
    <s v="NEO_CABLE"/>
    <s v="VALL.G.07.04.01"/>
    <s v="CABLE CON ADAPTADOR"/>
    <m/>
    <m/>
    <n v="0"/>
    <n v="0"/>
    <m/>
  </r>
  <r>
    <x v="0"/>
    <s v="BOURJOIS"/>
    <s v="TESTERBJPORT"/>
    <s v="VALL.G.07.04.01"/>
    <s v="TESTER BOURJOIS PORTUGAL"/>
    <m/>
    <m/>
    <n v="0"/>
    <n v="0"/>
    <m/>
  </r>
  <r>
    <x v="5"/>
    <s v="NEONAIL"/>
    <s v="TIRAS_04_2026"/>
    <s v="VALL.G.07.04.01"/>
    <s v="TIRAS GRAFICAS ABRIL 2026"/>
    <m/>
    <m/>
    <n v="0"/>
    <n v="0"/>
    <m/>
  </r>
  <r>
    <x v="5"/>
    <s v="NEONAIL"/>
    <s v="TIRAS_04_2026_2"/>
    <s v="VALL.G.07.04.01"/>
    <s v="TIRAS GRAFICAS ABRIL 2026 2º ENVIO"/>
    <m/>
    <m/>
    <n v="0"/>
    <n v="0"/>
    <m/>
  </r>
  <r>
    <x v="1"/>
    <m/>
    <s v="TIRAS_GOND_NOV25"/>
    <s v="VALL.G.07.04.01"/>
    <s v="ACT GONDOLA NOV"/>
    <m/>
    <m/>
    <n v="0"/>
    <n v="0"/>
    <m/>
  </r>
  <r>
    <x v="1"/>
    <m/>
    <s v="TIRAS_WALL_NOV25"/>
    <s v="VALL.G.07.04.01"/>
    <s v="ACT WALL UNIT NOV"/>
    <m/>
    <m/>
    <n v="0"/>
    <n v="0"/>
    <m/>
  </r>
  <r>
    <x v="1"/>
    <s v="FLORMAR"/>
    <s v="WALL_TIRAS_26"/>
    <s v="VALL.G.07.04.01"/>
    <s v="TIRAS WALL UNIT JUNIO 26"/>
    <m/>
    <m/>
    <n v="0"/>
    <n v="0"/>
    <m/>
  </r>
  <r>
    <x v="0"/>
    <s v="BOURJOIS"/>
    <n v="29175008000"/>
    <s v="VALL.G.07.04.02"/>
    <s v="BJ_BANDEJA_Foundcealer"/>
    <m/>
    <m/>
    <n v="1"/>
    <n v="8.99"/>
    <m/>
  </r>
  <r>
    <x v="0"/>
    <s v="MAXFACTOR"/>
    <s v="TESTERMXF_26"/>
    <s v="VALL.G.07.05.01"/>
    <s v="TESTER MAX FACTOR FOOD 26"/>
    <m/>
    <m/>
    <n v="1"/>
    <n v="8.99"/>
    <m/>
  </r>
  <r>
    <x v="0"/>
    <s v="RIMMEL"/>
    <s v="I-00031-01"/>
    <s v="VALL.G.07.05.03"/>
    <s v="BANDEJA RIMMEL SUELTA MIBAR 2M SPANISH"/>
    <m/>
    <m/>
    <n v="1"/>
    <n v="8.99"/>
    <m/>
  </r>
  <r>
    <x v="0"/>
    <s v="RIMMEL"/>
    <s v="I-00032-01"/>
    <s v="VALL.G.07.05.03"/>
    <s v="RIM_BANDEJA_ LASTING PROVOCALIPS 2F"/>
    <m/>
    <m/>
    <n v="0"/>
    <n v="0"/>
    <m/>
  </r>
  <r>
    <x v="0"/>
    <s v="RIMMEL"/>
    <s v="I-00033-01"/>
    <s v="VALL.G.07.05.03"/>
    <s v="RIM_BANDEJA_ LASTING PROVOCALIPS 3F"/>
    <m/>
    <m/>
    <n v="0"/>
    <n v="0"/>
    <m/>
  </r>
  <r>
    <x v="0"/>
    <s v="RIMMEL"/>
    <s v="I-00038-01"/>
    <s v="VALL.G.07.05.03"/>
    <s v="BANDEJA RIMMEL SUELTA MIBAR 2M SPANISH"/>
    <m/>
    <m/>
    <n v="0"/>
    <n v="0"/>
    <m/>
  </r>
  <r>
    <x v="0"/>
    <s v="RIMMEL"/>
    <s v="I-00681-02"/>
    <s v="VALL.G.07.05.03"/>
    <s v="Foundation K&amp;F 1F"/>
    <m/>
    <m/>
    <n v="0"/>
    <n v="0"/>
    <m/>
  </r>
  <r>
    <x v="0"/>
    <s v="RIMMEL"/>
    <s v="I-03065-01"/>
    <s v="VALL.G.07.05.03"/>
    <s v="Concealer/multi tasker 3F"/>
    <m/>
    <m/>
    <n v="0"/>
    <n v="0"/>
    <m/>
  </r>
  <r>
    <x v="5"/>
    <m/>
    <s v="NEO_MAYO25_3"/>
    <s v="VALL.G.07.06.01"/>
    <s v="HOT SPOT"/>
    <m/>
    <m/>
    <n v="1"/>
    <n v="8.99"/>
    <m/>
  </r>
  <r>
    <x v="0"/>
    <s v="RIMMEL"/>
    <s v="I-00021-01"/>
    <s v="VALL.G.07.06.03"/>
    <s v="Brow This Way 1F"/>
    <m/>
    <m/>
    <n v="1"/>
    <n v="8.99"/>
    <m/>
  </r>
  <r>
    <x v="0"/>
    <s v="RIMMEL"/>
    <s v="I-00027-01"/>
    <s v="VALL.G.07.06.03"/>
    <s v="Foundation regular 4F"/>
    <m/>
    <m/>
    <n v="0"/>
    <n v="0"/>
    <m/>
  </r>
  <r>
    <x v="0"/>
    <s v="RIMMEL"/>
    <s v="I-00033-12"/>
    <s v="VALL.G.07.06.03"/>
    <s v="LipBalm K&amp;F 3F"/>
    <m/>
    <m/>
    <n v="0"/>
    <n v="0"/>
    <m/>
  </r>
  <r>
    <x v="0"/>
    <s v="RIMMEL"/>
    <s v="I-00034-03"/>
    <s v="VALL.G.07.06.03"/>
    <s v="RIM_BANDEJA RECUPERADA"/>
    <m/>
    <m/>
    <n v="0"/>
    <n v="0"/>
    <m/>
  </r>
  <r>
    <x v="0"/>
    <s v="RIMMEL"/>
    <s v="I-00037-03"/>
    <s v="VALL.G.07.06.03"/>
    <s v="RIM_BANDEJA RECUPERADA"/>
    <m/>
    <m/>
    <n v="0"/>
    <n v="0"/>
    <m/>
  </r>
  <r>
    <x v="0"/>
    <s v="RIMMEL"/>
    <s v="I-00682-02"/>
    <s v="VALL.G.07.06.03"/>
    <s v="Foundation K&amp;F 2F"/>
    <m/>
    <m/>
    <n v="0"/>
    <n v="0"/>
    <m/>
  </r>
  <r>
    <x v="0"/>
    <s v="RIMMEL"/>
    <s v="TESTERSRIM_NEO"/>
    <s v="VALL.G.07.07.01"/>
    <s v="TestersRIM_NEO_H2FY24"/>
    <m/>
    <m/>
    <n v="1"/>
    <n v="8.99"/>
    <m/>
  </r>
  <r>
    <x v="0"/>
    <s v="MAXFACTOR"/>
    <s v="MXF-110-ADA"/>
    <s v="VALL.G.07.07.02"/>
    <s v="VISUAL 100 (CAMBIAR IMAGEN) FOOD"/>
    <m/>
    <m/>
    <n v="1"/>
    <n v="8.99"/>
    <m/>
  </r>
  <r>
    <x v="0"/>
    <s v="MAXFACTOR"/>
    <s v="TESTERSMXF_NEO"/>
    <s v="VALL.G.07.08.01"/>
    <s v="TestersMXF_NEO_H2FY24"/>
    <m/>
    <m/>
    <n v="1"/>
    <n v="8.99"/>
    <m/>
  </r>
  <r>
    <x v="0"/>
    <s v="MAXFACTOR"/>
    <s v="MXF 107"/>
    <s v="VALL.G.07.08.03"/>
    <s v="MXF_BANDEJA_107 CONCEALER FOOD"/>
    <m/>
    <m/>
    <n v="1"/>
    <n v="8.99"/>
    <m/>
  </r>
  <r>
    <x v="0"/>
    <s v="RIMMEL"/>
    <s v="RIM_TESTERATI56"/>
    <s v="VALL.G.07.09.01"/>
    <s v="TESTER PARA MUEBLE ATILA 56"/>
    <m/>
    <m/>
    <n v="1"/>
    <n v="8.99"/>
    <m/>
  </r>
  <r>
    <x v="0"/>
    <s v="RIMMEL "/>
    <s v="I-00016-01"/>
    <s v="VALL.G.07.10.01"/>
    <s v="BANDEJA MASCARAS 4FX7 RIM MIBAR 1.2M"/>
    <m/>
    <m/>
    <n v="1"/>
    <n v="8.99"/>
    <m/>
  </r>
  <r>
    <x v="0"/>
    <s v="RIMMEL"/>
    <s v="I-00015-01"/>
    <s v="VALL.G.07.10.03"/>
    <s v="BANDEJA MASCARAS 3FX7 RIM MIBAR 1.2M"/>
    <m/>
    <m/>
    <n v="1"/>
    <n v="8.99"/>
    <m/>
  </r>
  <r>
    <x v="0"/>
    <s v="BOURJOIS"/>
    <n v="29101779000"/>
    <s v="VALL.G.07.11.01"/>
    <s v="VISUAL 10 CM"/>
    <m/>
    <m/>
    <n v="1"/>
    <n v="8.99"/>
    <m/>
  </r>
  <r>
    <x v="0"/>
    <s v="BOURJOIS"/>
    <s v="BJNEO.4"/>
    <s v="VALL.G.07.11.02"/>
    <s v="NEO 270 H1FY25"/>
    <m/>
    <m/>
    <n v="1"/>
    <n v="8.99"/>
    <m/>
  </r>
  <r>
    <x v="0"/>
    <s v="RIMMEL"/>
    <s v="I-00015-01"/>
    <s v="VALL.G.07.11.03"/>
    <s v="BANDEJA MASCARAS 3FX7 RIM MIBAR 1.2M"/>
    <m/>
    <m/>
    <n v="1"/>
    <n v="8.99"/>
    <m/>
  </r>
  <r>
    <x v="0"/>
    <s v="RIMMEL"/>
    <s v="COTY0184_26"/>
    <s v="VALL.G.07.12.01"/>
    <s v="RIM_TESTERS"/>
    <m/>
    <m/>
    <n v="1"/>
    <n v="8.99"/>
    <m/>
  </r>
  <r>
    <x v="0"/>
    <s v="MAXFACTOR"/>
    <s v="MXF 102-A"/>
    <s v="VALL.G.07.12.03"/>
    <s v="MXF_BANDEJA_102-A LINERS FOOD"/>
    <m/>
    <m/>
    <n v="1"/>
    <n v="8.99"/>
    <m/>
  </r>
  <r>
    <x v="0"/>
    <s v="MAXFACTOR"/>
    <s v="COTY0182_26"/>
    <s v="VALL.G.07.13.01"/>
    <s v="MXF_TESTERS"/>
    <m/>
    <m/>
    <n v="1"/>
    <n v="8.99"/>
    <m/>
  </r>
  <r>
    <x v="0"/>
    <s v="MAXFACTOR"/>
    <s v="COTY0186_S"/>
    <s v="VALL.G.07.13.01"/>
    <s v="TESTERS SUELTOS ATILAFY24 (FOOD)"/>
    <m/>
    <m/>
    <n v="0"/>
    <n v="0"/>
    <m/>
  </r>
  <r>
    <x v="0"/>
    <s v="BOURJOIS"/>
    <n v="29185261000"/>
    <s v="VALL.G.07.13.03"/>
    <s v="BJ_BANDEJA_BEAU REGARD"/>
    <m/>
    <m/>
    <n v="1"/>
    <n v="8.99"/>
    <m/>
  </r>
  <r>
    <x v="0"/>
    <s v="RIMMEL"/>
    <s v="XG3006.1"/>
    <s v="VALL.G.07.14.01"/>
    <s v="KITS MIBAR 2M H2FY25"/>
    <m/>
    <m/>
    <n v="1"/>
    <n v="8.99"/>
    <m/>
  </r>
  <r>
    <x v="0"/>
    <s v="MAXFACTOR"/>
    <s v="MXF 131"/>
    <s v="VALL.G.07.14.02"/>
    <s v="MXF_BANDEJA_131 MIRACLE PURE FOUNDATION FOOD"/>
    <m/>
    <m/>
    <n v="1"/>
    <n v="8.99"/>
    <m/>
  </r>
  <r>
    <x v="0"/>
    <s v="RIMMEL"/>
    <s v="TesterRIM120"/>
    <s v="VALL.G.07.15.01"/>
    <s v="KIT TESTERS RIMMEL 120 PUSH"/>
    <m/>
    <m/>
    <n v="1"/>
    <n v="8.99"/>
    <m/>
  </r>
  <r>
    <x v="0"/>
    <s v="BOURJOIS"/>
    <n v="29185263000"/>
    <s v="VALL.G.07.15.03"/>
    <s v="BJ_BANDEJA_VELVET IMK"/>
    <m/>
    <m/>
    <n v="1"/>
    <n v="8.99"/>
    <m/>
  </r>
  <r>
    <x v="0"/>
    <s v="CHANSON"/>
    <s v="TESTERS_EDMJASMIN"/>
    <s v="VALL.G.07.16.01"/>
    <s v="Testers_FragEDMJASMIN"/>
    <m/>
    <m/>
    <n v="1"/>
    <n v="8.99"/>
    <m/>
  </r>
  <r>
    <x v="0"/>
    <s v="CHANSON"/>
    <s v="TESTERS_EDMLEMON"/>
    <s v="VALL.G.07.16.01"/>
    <s v="Testers_FragEDMLemon"/>
    <m/>
    <m/>
    <n v="0"/>
    <n v="0"/>
    <m/>
  </r>
  <r>
    <x v="0"/>
    <s v="CHANSON"/>
    <s v="TESTERS_EDMROSE"/>
    <s v="VALL.G.07.16.01"/>
    <s v="Testers_FragEDMRose"/>
    <m/>
    <m/>
    <n v="0"/>
    <n v="0"/>
    <m/>
  </r>
  <r>
    <x v="0"/>
    <s v="CHANSON"/>
    <s v="TESTERS_EDMVANILLA"/>
    <s v="VALL.G.07.16.01"/>
    <s v="Testers_FragEDMVanilla"/>
    <m/>
    <m/>
    <n v="0"/>
    <n v="0"/>
    <m/>
  </r>
  <r>
    <x v="4"/>
    <s v="ESSENCE"/>
    <s v="X9999011290"/>
    <s v="VALL.G.07.16.01"/>
    <s v="ACT 03-26"/>
    <m/>
    <m/>
    <n v="0"/>
    <n v="0"/>
    <m/>
  </r>
  <r>
    <x v="0"/>
    <s v="RIMMEL"/>
    <s v="COTY0043"/>
    <s v="VALL.G.07.16.02"/>
    <s v="KIT_CABECERA UÑAS FOOD_MAYO 2022"/>
    <m/>
    <m/>
    <n v="1"/>
    <n v="8.99"/>
    <m/>
  </r>
  <r>
    <x v="0"/>
    <s v="BOURJOIS"/>
    <n v="29185263000"/>
    <s v="VALL.G.07.16.03"/>
    <s v="BJ_BANDEJA_VELVET IMK"/>
    <m/>
    <m/>
    <n v="1"/>
    <n v="8.99"/>
    <m/>
  </r>
  <r>
    <x v="0"/>
    <s v="RIMMEL"/>
    <s v="TESTERRIM_26"/>
    <s v="VALL.G.07.17.01"/>
    <s v="TESTER RIMMEL FOOD 26"/>
    <m/>
    <m/>
    <n v="1"/>
    <n v="8.99"/>
    <m/>
  </r>
  <r>
    <x v="0"/>
    <s v="MAXFACTOR"/>
    <s v="MXF 115"/>
    <s v="VALL.G.07.17.02"/>
    <s v="MXF_BANDEJA_115 LIPFINITY FOOD"/>
    <m/>
    <m/>
    <n v="1"/>
    <n v="8.99"/>
    <m/>
  </r>
  <r>
    <x v="0"/>
    <s v="MAX FACTOR"/>
    <s v="TESTERMXF120"/>
    <s v="VALL.G.07.18.01"/>
    <s v="TESTER PARA MUEBLES PUSH 120"/>
    <m/>
    <m/>
    <n v="1"/>
    <n v="8.99"/>
    <m/>
  </r>
  <r>
    <x v="0"/>
    <s v="MAXFACTOR"/>
    <s v="MXF_B1"/>
    <s v="VALL.G.07.18.02"/>
    <s v="MXF_BANDEJA 1_H3 150CM H2FY22"/>
    <m/>
    <m/>
    <n v="1"/>
    <n v="8.99"/>
    <m/>
  </r>
  <r>
    <x v="0"/>
    <s v="MAXFACTOR"/>
    <s v="MXF_B2"/>
    <s v="VALL.G.07.18.02"/>
    <s v="MXF_BANDEJA 1_H3 150CM H2FY22"/>
    <m/>
    <m/>
    <n v="0"/>
    <n v="0"/>
    <m/>
  </r>
  <r>
    <x v="0"/>
    <s v="MAXFACTOR"/>
    <s v="MXF_B3"/>
    <s v="VALL.G.07.18.02"/>
    <s v="MXF_BANDEJA 3_H3 150CM H2FY22"/>
    <m/>
    <m/>
    <n v="0"/>
    <n v="0"/>
    <m/>
  </r>
  <r>
    <x v="0"/>
    <s v="MAXFACTOR"/>
    <s v="MXF_B4"/>
    <s v="VALL.G.07.18.02"/>
    <s v="MXF_BANDEJA 4_H3 150CM H2FY22"/>
    <m/>
    <m/>
    <n v="0"/>
    <n v="0"/>
    <m/>
  </r>
  <r>
    <x v="0"/>
    <s v="BOURJOIS"/>
    <n v="29101798000"/>
    <s v="VALL.G.07.18.03"/>
    <s v="1 SECOND UÑAS"/>
    <m/>
    <m/>
    <n v="1"/>
    <n v="8.99"/>
    <m/>
  </r>
  <r>
    <x v="0"/>
    <s v="RIMMEL"/>
    <s v="TESTERS_120AHORRAMAS"/>
    <s v="VALL.G.07.19.01"/>
    <s v="Testers_Rim120Ahorramas"/>
    <m/>
    <m/>
    <n v="1"/>
    <n v="8.99"/>
    <m/>
  </r>
  <r>
    <x v="0"/>
    <s v="MAXFACTOR"/>
    <s v="MXF_B5"/>
    <s v="VALL.G.07.19.02"/>
    <s v="MXF_BANDEJA 1_H4 120CM H2FY22"/>
    <m/>
    <m/>
    <n v="1"/>
    <n v="8.99"/>
    <m/>
  </r>
  <r>
    <x v="0"/>
    <s v="MAXFACTOR"/>
    <s v="MXF_B6"/>
    <s v="VALL.G.07.19.02"/>
    <s v="MXF_BANDEJA 2_H4 120CM H2FY22"/>
    <m/>
    <m/>
    <n v="0"/>
    <n v="0"/>
    <m/>
  </r>
  <r>
    <x v="0"/>
    <s v="MAXFACTOR"/>
    <s v="MXF_B7"/>
    <s v="VALL.G.07.19.02"/>
    <s v="MXF_BANDEJA 3_H4 120CM H2FY22"/>
    <m/>
    <m/>
    <n v="0"/>
    <n v="0"/>
    <m/>
  </r>
  <r>
    <x v="0"/>
    <s v="MAXFACTOR"/>
    <s v="MXF_B8"/>
    <s v="VALL.G.07.19.02"/>
    <s v="MXF_BANDEJA 4_H4 120CM H2FY22"/>
    <m/>
    <m/>
    <n v="0"/>
    <n v="0"/>
    <m/>
  </r>
  <r>
    <x v="0"/>
    <m/>
    <s v="246FOOD"/>
    <s v="VALL.G.07.19.03"/>
    <s v="FOOD_CABCEREA UÑAS"/>
    <m/>
    <m/>
    <n v="1"/>
    <n v="8.99"/>
    <m/>
  </r>
  <r>
    <x v="0"/>
    <s v="MAXFACTOR"/>
    <s v="FOOD0016"/>
    <s v="VALL.G.07.20.01"/>
    <s v="RIM_TESTERS_NEO/ATILA (FOOD)"/>
    <m/>
    <m/>
    <n v="1"/>
    <n v="8.99"/>
    <m/>
  </r>
  <r>
    <x v="2"/>
    <s v="PHYSICIANS FORM"/>
    <s v="PF_DIC2"/>
    <s v="VALL.G.07.21.01"/>
    <s v="TESTER PF 2024"/>
    <m/>
    <m/>
    <n v="1"/>
    <n v="8.99"/>
    <m/>
  </r>
  <r>
    <x v="0"/>
    <s v="SALLY HANSEN"/>
    <s v="SHGANCHOS"/>
    <s v="VALL.G.07.21.02"/>
    <s v="KIT SPINNER GANCHOS"/>
    <m/>
    <m/>
    <n v="1"/>
    <n v="8.99"/>
    <m/>
  </r>
  <r>
    <x v="0"/>
    <s v="BOURJOIS"/>
    <n v="29185263000"/>
    <s v="VALL.G.07.21.03"/>
    <s v="BJ_BANDEJA_VELVET IMK"/>
    <m/>
    <m/>
    <n v="1"/>
    <n v="8.99"/>
    <m/>
  </r>
  <r>
    <x v="0"/>
    <s v="RIMMEL"/>
    <s v="RMM0040"/>
    <s v="VALL.G.07.21.03"/>
    <s v="RIM_KIT ACT_RIM 1.2M AHORRAMAS FOOD"/>
    <m/>
    <m/>
    <n v="0"/>
    <n v="0"/>
    <m/>
  </r>
  <r>
    <x v="0"/>
    <s v="BOURJOIS"/>
    <s v="COTY0183"/>
    <s v="VALL.G.07.22.01"/>
    <s v="BJ_TESTERS"/>
    <m/>
    <m/>
    <n v="1"/>
    <n v="8.99"/>
    <m/>
  </r>
  <r>
    <x v="0"/>
    <s v="SALLY HANSEN"/>
    <s v="SHGANCHOS"/>
    <s v="VALL.G.07.22.02"/>
    <s v="KIT SPINNER GANCHOS"/>
    <m/>
    <m/>
    <n v="1"/>
    <n v="8.99"/>
    <m/>
  </r>
  <r>
    <x v="0"/>
    <s v="MAXFACTOR"/>
    <s v="MXF 115"/>
    <s v="VALL.G.07.23.02"/>
    <s v="MXF_BANDEJA_115 LIPFINITY FOOD"/>
    <m/>
    <m/>
    <n v="1"/>
    <n v="8.99"/>
    <m/>
  </r>
  <r>
    <x v="0"/>
    <s v="SALLY HANSEN"/>
    <s v="SHGANCHOS"/>
    <s v="VALL.G.07.23.02"/>
    <s v="KIT SPINNER GANCHOS"/>
    <m/>
    <m/>
    <n v="0"/>
    <n v="0"/>
    <m/>
  </r>
  <r>
    <x v="0"/>
    <s v="BOURJOIS"/>
    <s v="COTY0183_26"/>
    <s v="VALL.G.07.24.01"/>
    <s v="BJ_TESTERS"/>
    <m/>
    <m/>
    <n v="1"/>
    <n v="8.99"/>
    <m/>
  </r>
  <r>
    <x v="0"/>
    <s v="SALLY HANSEN"/>
    <s v="SHGANCHOS"/>
    <s v="VALL.G.07.24.02"/>
    <s v="KIT SPINNER GANCHOS"/>
    <m/>
    <m/>
    <n v="1"/>
    <n v="8.99"/>
    <m/>
  </r>
  <r>
    <x v="0"/>
    <s v="SALLY HANSEN"/>
    <s v="SHGANCHOS"/>
    <s v="VALL.G.07.25.02"/>
    <s v="KIT SPINNER GANCHOS"/>
    <m/>
    <m/>
    <n v="1"/>
    <n v="8.99"/>
    <m/>
  </r>
  <r>
    <x v="0"/>
    <s v="RIMMEL"/>
    <s v="BASELIVERIM120"/>
    <s v="VALL.G.07.26.01"/>
    <s v="BASE LIVE RIMMEL 120 FY25"/>
    <m/>
    <m/>
    <n v="1"/>
    <n v="8.99"/>
    <m/>
  </r>
  <r>
    <x v="0"/>
    <s v="RIMMEL"/>
    <s v="REVRIMTESTER_26"/>
    <s v="VALL.G.07.26.01"/>
    <s v="TESTER RIMMEL 2026 REV"/>
    <m/>
    <m/>
    <n v="0"/>
    <n v="0"/>
    <m/>
  </r>
  <r>
    <x v="0"/>
    <s v="RIMMEL"/>
    <s v="BASELIVERIM120"/>
    <s v="VALL.G.07.28.01"/>
    <s v="BASE LIVE RIMMEL 120 FY25"/>
    <m/>
    <m/>
    <n v="1"/>
    <n v="8.99"/>
    <m/>
  </r>
  <r>
    <x v="0"/>
    <s v="MAXFACTOR"/>
    <s v="MXF 120"/>
    <s v="VALL.G.07.28.01"/>
    <s v="MXF_BANDEJA_120 CREMEPUFF+BRONZER+HIGHLIGHTER FOOD"/>
    <m/>
    <m/>
    <n v="0"/>
    <n v="0"/>
    <m/>
  </r>
  <r>
    <x v="0"/>
    <s v="BOURJOIS"/>
    <n v="29166052000"/>
    <s v="VALL.G.07.28.02"/>
    <s v="HEALTHY MIX FOUNDATION"/>
    <m/>
    <m/>
    <n v="1"/>
    <n v="8.99"/>
    <m/>
  </r>
  <r>
    <x v="0"/>
    <s v="RIMMEL"/>
    <s v="COTY0136"/>
    <s v="VALL.G.07.29.01"/>
    <s v="RIMMEL_TESTERS_NEO 90 (FOOD)"/>
    <m/>
    <m/>
    <n v="1"/>
    <n v="8.99"/>
    <m/>
  </r>
  <r>
    <x v="0"/>
    <s v="MAXFACTOR"/>
    <s v="COTY0142"/>
    <s v="VALL.G.07.29.01"/>
    <s v="MXF_TESTERS_NEO 90 (FOOD)"/>
    <m/>
    <m/>
    <n v="0"/>
    <n v="0"/>
    <m/>
  </r>
  <r>
    <x v="0"/>
    <s v="RIMMEL"/>
    <s v="RIM-02-ADA"/>
    <s v="VALL.G.07.29.01"/>
    <s v="RIM_BANDEJA_NAILS 60 SEG FOOD"/>
    <m/>
    <m/>
    <n v="0"/>
    <n v="0"/>
    <m/>
  </r>
  <r>
    <x v="0"/>
    <s v="RIMMEL"/>
    <s v="BASELIVERIM120"/>
    <s v="VALL.G.07.30.01"/>
    <s v="BASE LIVE RIMMEL 120 FY25"/>
    <m/>
    <m/>
    <n v="1"/>
    <n v="8.99"/>
    <m/>
  </r>
  <r>
    <x v="0"/>
    <s v="RIMMEL"/>
    <s v="BASELIVERIM120"/>
    <s v="VALL.G.07.33.01"/>
    <s v="BASE LIVE RIMMEL 120 FY25"/>
    <m/>
    <m/>
    <n v="1"/>
    <n v="8.99"/>
    <m/>
  </r>
  <r>
    <x v="0"/>
    <s v="MAXFACTOR"/>
    <s v="BH4120_26"/>
    <s v="VALL.G.07.33.03"/>
    <s v="BASE H4 120 H2FY26"/>
    <m/>
    <m/>
    <n v="1"/>
    <n v="8.99"/>
    <m/>
  </r>
  <r>
    <x v="0"/>
    <s v="MAXFACTOR"/>
    <s v="BASELIVEMXF120"/>
    <s v="VALL.G.07.34.01"/>
    <s v="BASE LIVE MAX FACTOR 120 FY25"/>
    <m/>
    <m/>
    <n v="1"/>
    <n v="8.99"/>
    <m/>
  </r>
  <r>
    <x v="0"/>
    <s v="RIMMEL"/>
    <s v="BASELIVERIM120"/>
    <s v="VALL.G.07.34.01"/>
    <s v="BASE LIVE RIMMEL 120 FY25"/>
    <m/>
    <m/>
    <n v="0"/>
    <n v="0"/>
    <m/>
  </r>
  <r>
    <x v="5"/>
    <m/>
    <s v="NEO_MAYO25_1"/>
    <s v="VALL.G.07.34.01"/>
    <s v="PRODUCTO BOX 1"/>
    <m/>
    <m/>
    <n v="0"/>
    <n v="0"/>
    <m/>
  </r>
  <r>
    <x v="0"/>
    <s v="BOURJOIS"/>
    <s v="NextGenBase120"/>
    <s v="VALL.G.07.34.01"/>
    <s v="NEXT GEN BASE 120 H2FY25 WILLSON"/>
    <m/>
    <m/>
    <n v="0"/>
    <n v="0"/>
    <m/>
  </r>
  <r>
    <x v="0"/>
    <s v="MAXFACTOR"/>
    <s v="BH4120_26"/>
    <s v="VALL.G.07.34.03"/>
    <s v="BASE H4 120 H2FY26"/>
    <m/>
    <m/>
    <n v="1"/>
    <n v="8.99"/>
    <m/>
  </r>
  <r>
    <x v="0"/>
    <s v="RIMMEL"/>
    <s v="BASELIVERIM120"/>
    <s v="VALL.G.07.35.01"/>
    <s v="BASE LIVE RIMMEL 120 FY25"/>
    <m/>
    <m/>
    <n v="1"/>
    <n v="8.99"/>
    <m/>
  </r>
  <r>
    <x v="0"/>
    <s v="MAXFACTOR"/>
    <s v="BH4120_26"/>
    <s v="VALL.G.07.35.03"/>
    <s v="BASE H4 120 H2FY26"/>
    <m/>
    <m/>
    <n v="1"/>
    <n v="8.99"/>
    <m/>
  </r>
  <r>
    <x v="0"/>
    <s v="RIMMEL"/>
    <s v="CRFMIJAS110"/>
    <s v="VALL.G.07.36.01"/>
    <s v="PALET ARMADO PARA TIENDA CRF MIJAS_MUEBLE 110CM"/>
    <m/>
    <m/>
    <n v="1"/>
    <n v="8.99"/>
    <m/>
  </r>
  <r>
    <x v="5"/>
    <m/>
    <s v="NEO_ MAYO25_2"/>
    <s v="VALL.G.07.38.01"/>
    <s v="PRODUCTO BOX 2"/>
    <m/>
    <m/>
    <n v="1"/>
    <n v="8.99"/>
    <m/>
  </r>
  <r>
    <x v="0"/>
    <s v="RIMMEL"/>
    <s v="TESTER120AHOR"/>
    <s v="VALL.G.07.38.01"/>
    <s v="KITS TESTER PARA AHORRAMAS"/>
    <m/>
    <m/>
    <n v="0"/>
    <n v="0"/>
    <m/>
  </r>
  <r>
    <x v="0"/>
    <s v="RIMMEL"/>
    <s v="BASELIVERIM120"/>
    <s v="VALL.G.07.40.01"/>
    <s v="BASE LIVE RIMMEL 120 FY25"/>
    <m/>
    <m/>
    <n v="1"/>
    <n v="8.99"/>
    <m/>
  </r>
  <r>
    <x v="5"/>
    <m/>
    <s v="NEO_EXPO2025"/>
    <s v="VALL.G.07.41.01"/>
    <s v="HOT SPOT"/>
    <m/>
    <m/>
    <n v="1"/>
    <n v="8.99"/>
    <m/>
  </r>
  <r>
    <x v="0"/>
    <s v="MAXFACTOR"/>
    <s v="BASELIVEMXF120"/>
    <s v="VALL.G.07.41.02"/>
    <s v="BASE LIVE MAX FACTOR 120 FY25"/>
    <m/>
    <m/>
    <n v="1"/>
    <n v="8.99"/>
    <m/>
  </r>
  <r>
    <x v="0"/>
    <s v="MAXFACTOR"/>
    <s v="BASELIVEMXF120"/>
    <s v="VALL.G.07.41.03"/>
    <s v="BASE LIVE MAX FACTOR 120 FY25"/>
    <m/>
    <m/>
    <n v="1"/>
    <n v="8.99"/>
    <m/>
  </r>
  <r>
    <x v="0"/>
    <s v="MAXFACTOR"/>
    <s v="BASELIVEMXF120"/>
    <s v="VALL.G.07.42.03"/>
    <s v="BASE LIVE MAX FACTOR 120 FY25"/>
    <m/>
    <m/>
    <n v="1"/>
    <n v="8.99"/>
    <m/>
  </r>
  <r>
    <x v="6"/>
    <s v="GOSH"/>
    <s v="GOSH_BASE"/>
    <s v="VALL.G.07.43.01"/>
    <s v="BASE GOSH"/>
    <m/>
    <m/>
    <n v="1"/>
    <n v="8.99"/>
    <m/>
  </r>
  <r>
    <x v="0"/>
    <s v="MAXFACTOR"/>
    <s v="BASELIVEMXF120"/>
    <s v="VALL.G.07.43.03"/>
    <s v="BASE LIVE MAX FACTOR 120 FY25"/>
    <m/>
    <m/>
    <n v="1"/>
    <n v="8.99"/>
    <m/>
  </r>
  <r>
    <x v="0"/>
    <s v="SALLY HANSEN"/>
    <s v="SH_BASEBB 1M 2HFY24"/>
    <s v="VALL.G.07.44.01"/>
    <s v="SH base mueble 1m 2HFY24"/>
    <m/>
    <m/>
    <n v="1"/>
    <n v="8.99"/>
    <m/>
  </r>
  <r>
    <x v="0"/>
    <s v="MAXFACTOR"/>
    <s v="BASELIVEMXF120"/>
    <s v="VALL.G.07.44.02"/>
    <s v="BASE LIVE MAX FACTOR 120 FY25"/>
    <m/>
    <m/>
    <n v="1"/>
    <n v="8.99"/>
    <m/>
  </r>
  <r>
    <x v="0"/>
    <s v="MAXFACTOR"/>
    <s v="BASELIVEMXF120"/>
    <s v="VALL.G.07.44.03"/>
    <s v="BASE LIVE MAX FACTOR 120 FY25"/>
    <m/>
    <m/>
    <n v="1"/>
    <n v="8.99"/>
    <m/>
  </r>
  <r>
    <x v="0"/>
    <s v="MAXFACTOR"/>
    <s v="BASELIVEMXF120"/>
    <s v="VALL.G.07.45.01"/>
    <s v="BASE LIVE MAX FACTOR 120 FY25"/>
    <m/>
    <m/>
    <n v="1"/>
    <n v="8.99"/>
    <m/>
  </r>
  <r>
    <x v="0"/>
    <s v="BOURJOIS"/>
    <s v="BJS_NewGenBase120"/>
    <s v="VALL.G.07.45.01"/>
    <s v="BJS BB 120 base H2 FY24 WILLSON"/>
    <m/>
    <m/>
    <n v="0"/>
    <n v="0"/>
    <m/>
  </r>
  <r>
    <x v="0"/>
    <s v="MAXFACTOR"/>
    <s v="MXF_BaseH4120"/>
    <s v="VALL.G.07.45.01"/>
    <s v="MXF BASE BBH4 1.2M H1 FY24 DIAM"/>
    <m/>
    <m/>
    <n v="0"/>
    <n v="0"/>
    <m/>
  </r>
  <r>
    <x v="0"/>
    <s v="RIMMEL"/>
    <s v="RIMM_BASEMIBAR120WAL"/>
    <s v="VALL.G.07.45.01"/>
    <s v="rimm base mibar120 h2 fy24 willson"/>
    <m/>
    <m/>
    <n v="0"/>
    <n v="0"/>
    <m/>
  </r>
  <r>
    <x v="0"/>
    <s v="RIMMEL"/>
    <s v="BASELIVERIM120"/>
    <s v="VALL.G.07.46.01"/>
    <s v="BASE LIVE RIMMEL 120 FY25"/>
    <m/>
    <m/>
    <n v="1"/>
    <n v="8.99"/>
    <m/>
  </r>
  <r>
    <x v="0"/>
    <s v="MAXFACTOR"/>
    <s v="BASELIVEMXF120"/>
    <s v="VALL.G.07.46.02"/>
    <s v="BASE LIVE MAX FACTOR 120 FY25"/>
    <m/>
    <m/>
    <n v="1"/>
    <n v="8.99"/>
    <m/>
  </r>
  <r>
    <x v="0"/>
    <s v="BOURJOIS"/>
    <s v="BJS_NEWGENBASE120"/>
    <s v="VALL.G.07.47.01"/>
    <s v="BJS BB 120 base H2 FY24 WILLSON"/>
    <m/>
    <m/>
    <n v="1"/>
    <n v="8.99"/>
    <m/>
  </r>
  <r>
    <x v="0"/>
    <s v="MAXFACTOR"/>
    <s v="BASELIVEMXF120"/>
    <s v="VALL.G.07.47.02"/>
    <s v="BASE LIVE MAX FACTOR 120 FY25"/>
    <m/>
    <m/>
    <n v="1"/>
    <n v="8.99"/>
    <m/>
  </r>
  <r>
    <x v="0"/>
    <s v="MAXFACTOR"/>
    <s v="BASELIVEMXF120"/>
    <s v="VALL.G.07.48.01"/>
    <s v="BASE LIVE MAX FACTOR 120 FY25"/>
    <m/>
    <m/>
    <n v="1"/>
    <n v="8.99"/>
    <m/>
  </r>
  <r>
    <x v="0"/>
    <s v="RIMMEL"/>
    <s v="RIMM_BASEMIBAR120"/>
    <s v="VALL.G.07.48.01"/>
    <s v="RIM BASE MIBAR 1.2M H1 FY24 W&amp;B"/>
    <m/>
    <m/>
    <n v="0"/>
    <n v="0"/>
    <m/>
  </r>
  <r>
    <x v="0"/>
    <s v="RIMMEL"/>
    <s v="RIMM_BASEMIBAR120WAL"/>
    <s v="VALL.G.07.48.01"/>
    <s v="rimm base mibar120 h2 fy24 willson"/>
    <m/>
    <m/>
    <n v="0"/>
    <n v="0"/>
    <m/>
  </r>
  <r>
    <x v="0"/>
    <s v="RIMMEL "/>
    <n v="1788"/>
    <s v="VALL.G.07.48.02"/>
    <s v="BASE_MUEBLE_MIBAR 1.2M SPANISH H1 FY23"/>
    <m/>
    <m/>
    <n v="1"/>
    <n v="8.99"/>
    <m/>
  </r>
  <r>
    <x v="0"/>
    <s v="MAXFACTOR"/>
    <n v="270001006"/>
    <s v="VALL.G.07.50.01"/>
    <s v="MXF_KIT ACT_H4 1.5M H2 FY22"/>
    <m/>
    <m/>
    <n v="1"/>
    <n v="8.99"/>
    <m/>
  </r>
  <r>
    <x v="0"/>
    <s v="MAXFACTOR"/>
    <s v="BASELIVEMXF120"/>
    <s v="VALL.G.07.50.01"/>
    <s v="BASE LIVE MAX FACTOR 120 FY25"/>
    <m/>
    <m/>
    <n v="0"/>
    <n v="0"/>
    <m/>
  </r>
  <r>
    <x v="0"/>
    <s v="RIMMEL"/>
    <s v="CRFALAME120"/>
    <s v="VALL.G.07.50.01"/>
    <s v="PALET ARMADO PARA CRF ALAMEDA MALAGA_MUEBLE 120"/>
    <m/>
    <m/>
    <n v="0"/>
    <n v="0"/>
    <m/>
  </r>
  <r>
    <x v="0"/>
    <s v="MAXFACTOR"/>
    <s v="BASELIVEMXF120"/>
    <s v="VALL.G.07.51.01"/>
    <s v="BASE LIVE MAX FACTOR 120 FY25"/>
    <m/>
    <m/>
    <n v="1"/>
    <n v="8.99"/>
    <m/>
  </r>
  <r>
    <x v="0"/>
    <s v="BOURJOIS"/>
    <s v="BJS_NEWGENBASE120"/>
    <s v="VALL.G.07.53.03"/>
    <s v="BJS BB 120 base H2 FY24 WILLSON"/>
    <m/>
    <m/>
    <n v="1"/>
    <n v="8.99"/>
    <m/>
  </r>
  <r>
    <x v="0"/>
    <s v="RIMMEL"/>
    <s v="BASELIVERIM120"/>
    <s v="VALL.G.07.54.01"/>
    <s v="BASE LIVE RIMMEL 120 FY25"/>
    <m/>
    <m/>
    <n v="1"/>
    <n v="8.99"/>
    <m/>
  </r>
  <r>
    <x v="0"/>
    <s v="RIMMEL"/>
    <s v="BASELIVERIM120"/>
    <s v="VALL.G.07.55.01"/>
    <s v="BASE LIVE RIMMEL 120 FY25"/>
    <m/>
    <m/>
    <n v="1"/>
    <n v="8.99"/>
    <m/>
  </r>
  <r>
    <x v="0"/>
    <s v="BOURJOIS"/>
    <s v="BJS_NEWGENBASE120"/>
    <s v="VALL.G.07.55.03"/>
    <s v="BJS BB 120 base H2 FY24 WILLSON"/>
    <m/>
    <m/>
    <n v="1"/>
    <n v="8.99"/>
    <m/>
  </r>
  <r>
    <x v="0"/>
    <s v="BOURJOIS"/>
    <s v="BJS_NEWGENBASE120"/>
    <s v="VALL.G.07.56.01"/>
    <s v="BJS BB 120 base H2 FY24 WILLSON"/>
    <m/>
    <m/>
    <n v="1"/>
    <n v="8.99"/>
    <m/>
  </r>
  <r>
    <x v="0"/>
    <s v="MAXFACTOR"/>
    <n v="270001006"/>
    <s v="VALL.G.07.56.02"/>
    <s v="MXF_KIT ACT_H4 1.5M H2 FY22"/>
    <m/>
    <m/>
    <n v="1"/>
    <n v="8.99"/>
    <m/>
  </r>
  <r>
    <x v="1"/>
    <m/>
    <s v="BASE WALLUNIT _"/>
    <s v="VALL.PLAYA.01.01.01"/>
    <s v="BASE"/>
    <m/>
    <m/>
    <n v="1"/>
    <n v="8.99"/>
    <m/>
  </r>
  <r>
    <x v="0"/>
    <s v="RIMMEL"/>
    <s v="EQP00159492"/>
    <s v="VALL.PLAYA.01.01.01"/>
    <s v="BARRAS METALICAS CRF PUSH 90CM H1FY26"/>
    <m/>
    <m/>
    <n v="0"/>
    <n v="0"/>
    <m/>
  </r>
  <r>
    <x v="0"/>
    <s v="RIMMEL"/>
    <s v="EQP00159493"/>
    <s v="VALL.PLAYA.01.01.01"/>
    <s v="BARRAS METALICAS CRF PUSH 110CM H1FY26"/>
    <m/>
    <m/>
    <n v="0"/>
    <n v="0"/>
    <m/>
  </r>
  <r>
    <x v="0"/>
    <s v="RIMMEL"/>
    <s v="EQP00159497"/>
    <s v="VALL.PLAYA.01.01.01"/>
    <s v="BARRAS METALICAS CRF PUSH 120CM H1FY26"/>
    <m/>
    <m/>
    <n v="0"/>
    <n v="0"/>
    <m/>
  </r>
  <r>
    <x v="0"/>
    <s v="RIMMEL"/>
    <s v="EQP00159498"/>
    <s v="VALL.PLAYA.01.01.01"/>
    <s v="BARRAS METALICAS CRF PUSH 130CM H1FY26"/>
    <m/>
    <m/>
    <n v="0"/>
    <n v="0"/>
    <m/>
  </r>
  <r>
    <x v="0"/>
    <s v="RIMMEL"/>
    <s v="EQP00159500"/>
    <s v="VALL.PLAYA.01.01.01"/>
    <s v="BARRAS METALICAS CRF PUSH 180CM H1FY26"/>
    <m/>
    <m/>
    <n v="0"/>
    <n v="0"/>
    <m/>
  </r>
  <r>
    <x v="1"/>
    <s v="FLORMAR"/>
    <s v="GOND_KIT_JUN26"/>
    <s v="VALL.PLAYA.01.01.01"/>
    <s v="KIT ACT. GOND UNIT JUNIO 26"/>
    <m/>
    <m/>
    <n v="0"/>
    <n v="0"/>
    <m/>
  </r>
  <r>
    <x v="1"/>
    <s v="FLORMAR"/>
    <s v="GOND_KIT_JUN26X"/>
    <s v="VALL.PLAYA.01.01.01"/>
    <s v="KIT ACT. GOND INCOMPLETO"/>
    <m/>
    <m/>
    <n v="0"/>
    <n v="0"/>
    <m/>
  </r>
  <r>
    <x v="0"/>
    <s v="MAXFACTOR"/>
    <s v="kit_pushMXF120"/>
    <s v="VALL.PLAYA.01.01.01"/>
    <s v="KITS PUSH PARA CRF_ACTUALIZ H1 Y H2FY26"/>
    <m/>
    <m/>
    <n v="0"/>
    <n v="0"/>
    <m/>
  </r>
  <r>
    <x v="0"/>
    <s v="MAXFACTOR"/>
    <s v="kit_pushMXF90"/>
    <s v="VALL.PLAYA.01.01.01"/>
    <s v="KITS PUSH PARA CRF_ACTUALIZ H1 Y H2FY26"/>
    <m/>
    <m/>
    <n v="0"/>
    <n v="0"/>
    <m/>
  </r>
  <r>
    <x v="0"/>
    <s v="RIMMEL"/>
    <s v="kit_pushRIM150"/>
    <s v="VALL.PLAYA.01.01.01"/>
    <s v="KITS PUSH PARA CRF_ACTUALIZ H1 Y H2FY26"/>
    <m/>
    <m/>
    <n v="0"/>
    <n v="0"/>
    <m/>
  </r>
  <r>
    <x v="0"/>
    <s v="MAXFACTOR"/>
    <s v="MXFP154_FY26"/>
    <s v="VALL.PLAYA.01.01.01"/>
    <s v="COLOUR ELIXIR"/>
    <m/>
    <m/>
    <n v="0"/>
    <n v="0"/>
    <m/>
  </r>
  <r>
    <x v="0"/>
    <s v="MAXFACTOR"/>
    <s v="MXFP156_FY26"/>
    <s v="VALL.PLAYA.01.01.01"/>
    <s v="FACEFINITY CONCELEAR"/>
    <m/>
    <m/>
    <n v="0"/>
    <n v="0"/>
    <m/>
  </r>
  <r>
    <x v="0"/>
    <s v="MAXFACTOR"/>
    <s v="MXFP157_F26"/>
    <s v="VALL.PLAYA.01.01.01"/>
    <s v="HOT SPOT"/>
    <m/>
    <m/>
    <n v="0"/>
    <n v="0"/>
    <m/>
  </r>
  <r>
    <x v="0"/>
    <s v="MAXFACTOR"/>
    <s v="MXFP159_FY26"/>
    <s v="VALL.PLAYA.01.01.01"/>
    <s v="LIPFINITY"/>
    <m/>
    <m/>
    <n v="0"/>
    <n v="0"/>
    <m/>
  </r>
  <r>
    <x v="0"/>
    <s v="MAXFACTOR"/>
    <s v="MXFP160_FY26"/>
    <s v="VALL.PLAYA.01.01.01"/>
    <s v="MASCARA 4+2"/>
    <m/>
    <m/>
    <n v="0"/>
    <n v="0"/>
    <m/>
  </r>
  <r>
    <x v="0"/>
    <s v="MAXFACTOR"/>
    <s v="MXFP161_FY26"/>
    <s v="VALL.PLAYA.01.01.01"/>
    <s v="MASCARA 5"/>
    <m/>
    <m/>
    <n v="0"/>
    <n v="0"/>
    <m/>
  </r>
  <r>
    <x v="10"/>
    <s v="MAXFACTOR"/>
    <s v="MXFP162_F26"/>
    <s v="VALL.PLAYA.01.01.01"/>
    <s v="MASTERPIECE SOMBRAS"/>
    <m/>
    <m/>
    <n v="0"/>
    <n v="0"/>
    <m/>
  </r>
  <r>
    <x v="0"/>
    <s v="MAXFACTOR"/>
    <s v="MXFP163_F26"/>
    <s v="VALL.PLAYA.01.01.01"/>
    <s v="MASTERPIECE XPRESS"/>
    <m/>
    <m/>
    <n v="0"/>
    <n v="0"/>
    <m/>
  </r>
  <r>
    <x v="10"/>
    <s v="MAXFACTOR"/>
    <s v="MXFP164_F26"/>
    <s v="VALL.PLAYA.01.01.01"/>
    <s v="MP CONCEALER"/>
    <m/>
    <m/>
    <n v="0"/>
    <n v="0"/>
    <m/>
  </r>
  <r>
    <x v="10"/>
    <s v="MAXFACTOR"/>
    <s v="MXFP165_F26"/>
    <s v="VALL.PLAYA.01.01.01"/>
    <s v="MULTIPERFECTOR"/>
    <m/>
    <m/>
    <n v="0"/>
    <n v="0"/>
    <m/>
  </r>
  <r>
    <x v="10"/>
    <s v="MAXFACTOR"/>
    <s v="MXFP166_F26"/>
    <s v="VALL.PLAYA.01.01.01"/>
    <s v="NAILFINITY"/>
    <m/>
    <m/>
    <n v="0"/>
    <n v="0"/>
    <m/>
  </r>
  <r>
    <x v="0"/>
    <s v="MAXFACTOR"/>
    <s v="MXFP167_F26"/>
    <s v="VALL.PLAYA.01.01.01"/>
    <s v="PORTAVISUAL 20X20 ACT H1FY26"/>
    <m/>
    <m/>
    <n v="0"/>
    <n v="0"/>
    <m/>
  </r>
  <r>
    <x v="10"/>
    <s v="MAXFACTOR"/>
    <s v="MXFP168_F26"/>
    <s v="VALL.PLAYA.01.01.01"/>
    <s v="FACEFINITY FDT"/>
    <m/>
    <m/>
    <n v="0"/>
    <n v="0"/>
    <m/>
  </r>
  <r>
    <x v="0"/>
    <s v="MAXFACTOR"/>
    <s v="MXFP170_FY26"/>
    <s v="VALL.PLAYA.01.01.01"/>
    <s v="MP BLUSH"/>
    <m/>
    <m/>
    <n v="0"/>
    <n v="0"/>
    <m/>
  </r>
  <r>
    <x v="0"/>
    <s v="MAXFACTOR"/>
    <s v="MXFP171_FY26"/>
    <s v="VALL.PLAYA.01.01.01"/>
    <s v="MP FDT"/>
    <m/>
    <m/>
    <n v="0"/>
    <n v="0"/>
    <m/>
  </r>
  <r>
    <x v="10"/>
    <s v="MAXFACTOR"/>
    <s v="MXFP172_F26"/>
    <s v="VALL.PLAYA.01.01.01"/>
    <s v="MP SERUM FDT"/>
    <m/>
    <m/>
    <n v="0"/>
    <n v="0"/>
    <m/>
  </r>
  <r>
    <x v="10"/>
    <s v="MAXFACTOR"/>
    <s v="MXFP173_F26"/>
    <s v="VALL.PLAYA.01.01.01"/>
    <s v="FF COMPACT"/>
    <m/>
    <m/>
    <n v="0"/>
    <n v="0"/>
    <m/>
  </r>
  <r>
    <x v="10"/>
    <s v="MAXFACTOR"/>
    <s v="MXFP174_F26"/>
    <s v="VALL.PLAYA.01.01.01"/>
    <s v="FACEFINITY FDT  + VISUAL"/>
    <m/>
    <m/>
    <n v="0"/>
    <n v="0"/>
    <m/>
  </r>
  <r>
    <x v="10"/>
    <s v="MAXFACTOR"/>
    <s v="MXFP175_F26"/>
    <s v="VALL.PLAYA.01.01.01"/>
    <s v="LASTING PERFORMANCE + VISUAL"/>
    <m/>
    <m/>
    <n v="0"/>
    <n v="0"/>
    <m/>
  </r>
  <r>
    <x v="10"/>
    <s v="MAXFACTOR"/>
    <s v="MXFP177_F26"/>
    <s v="VALL.PLAYA.01.01.01"/>
    <s v="LIP ENHANCER"/>
    <m/>
    <m/>
    <n v="0"/>
    <n v="0"/>
    <m/>
  </r>
  <r>
    <x v="10"/>
    <s v="MAXFACTOR"/>
    <s v="MXFP178_F26"/>
    <s v="VALL.PLAYA.01.01.01"/>
    <s v="MP BRONZER"/>
    <m/>
    <m/>
    <n v="0"/>
    <n v="0"/>
    <m/>
  </r>
  <r>
    <x v="0"/>
    <s v="FOOD"/>
    <s v="MXPF151CE_FY26"/>
    <s v="VALL.PLAYA.01.01.01"/>
    <s v="VISUAL DE CEJAS"/>
    <m/>
    <m/>
    <n v="0"/>
    <n v="0"/>
    <m/>
  </r>
  <r>
    <x v="0"/>
    <s v="FOOD"/>
    <s v="MXPF151EY_FY26"/>
    <s v="VALL.PLAYA.01.01.01"/>
    <s v="VISUAL DE EYLINERS"/>
    <m/>
    <m/>
    <n v="0"/>
    <n v="0"/>
    <m/>
  </r>
  <r>
    <x v="0"/>
    <s v="FOOD"/>
    <s v="MXPF169_FY26"/>
    <s v="VALL.PLAYA.01.01.01"/>
    <s v="LASTING PERFORMANCE"/>
    <m/>
    <m/>
    <n v="0"/>
    <n v="0"/>
    <m/>
  </r>
  <r>
    <x v="0"/>
    <s v="BOURJOIS"/>
    <s v="NextGenBase_26"/>
    <s v="VALL.PLAYA.01.01.01"/>
    <s v="NEXT GEN BASE 120 H2FY26"/>
    <m/>
    <m/>
    <n v="0"/>
    <n v="0"/>
    <m/>
  </r>
  <r>
    <x v="0"/>
    <s v="RIMMEL"/>
    <s v="PORTA VISUAL 1"/>
    <s v="VALL.PLAYA.01.01.01"/>
    <s v="PUSH_PORTAVISUAL_LAST MEGA MAT LIQ LIP"/>
    <m/>
    <m/>
    <n v="0"/>
    <n v="0"/>
    <m/>
  </r>
  <r>
    <x v="0"/>
    <s v="RIMMEL"/>
    <s v="PORTA VISUAL 2"/>
    <s v="VALL.PLAYA.01.01.01"/>
    <s v="PUSH_PORTAVISUAL_SUPER GEL"/>
    <m/>
    <m/>
    <n v="0"/>
    <n v="0"/>
    <m/>
  </r>
  <r>
    <x v="0"/>
    <s v="RIMMEL"/>
    <s v="PORTA VISUAL 3"/>
    <s v="VALL.PLAYA.01.01.01"/>
    <s v="PUSH_PORTAVISUAL_60 SECONDS SUPER SHINE"/>
    <m/>
    <m/>
    <n v="0"/>
    <n v="0"/>
    <m/>
  </r>
  <r>
    <x v="0"/>
    <s v="RIMMEL"/>
    <s v="PORTA VISUAL 4"/>
    <s v="VALL.PLAYA.01.01.01"/>
    <s v="PUSH_PORTAVISUAL_LASTING FINISH MATTE"/>
    <m/>
    <m/>
    <n v="0"/>
    <n v="0"/>
    <m/>
  </r>
  <r>
    <x v="0"/>
    <s v="RIMMEL"/>
    <s v="PORTA VISUAL 5"/>
    <s v="VALL.PLAYA.01.01.01"/>
    <s v="PUSH_PORTAVISUAL_LASTING FINISH PROVOCALIPS"/>
    <m/>
    <m/>
    <n v="0"/>
    <n v="0"/>
    <m/>
  </r>
  <r>
    <x v="0"/>
    <s v="RIMMEL"/>
    <s v="RIM P 127 V1"/>
    <s v="VALL.PLAYA.01.01.01"/>
    <s v="PUSH_ ANCILIARIES_ LINERS"/>
    <m/>
    <m/>
    <n v="0"/>
    <n v="0"/>
    <m/>
  </r>
  <r>
    <x v="0"/>
    <s v="RIMMEL"/>
    <s v="RIM P 127 V2"/>
    <s v="VALL.PLAYA.01.01.01"/>
    <s v="PUSH_ ANCILIARIES_CEJAS Y LIPS"/>
    <m/>
    <m/>
    <n v="0"/>
    <n v="0"/>
    <m/>
  </r>
  <r>
    <x v="0"/>
    <s v="RIMMEL"/>
    <s v="RIM P 128"/>
    <s v="VALL.PLAYA.01.01.01"/>
    <s v="PUSH_ MULTITASKER"/>
    <m/>
    <m/>
    <n v="0"/>
    <n v="0"/>
    <m/>
  </r>
  <r>
    <x v="0"/>
    <s v="RIMMEL"/>
    <s v="RIM P 129"/>
    <s v="VALL.PLAYA.01.01.01"/>
    <s v="PUSH_ HOT SPOT"/>
    <m/>
    <m/>
    <n v="0"/>
    <n v="0"/>
    <m/>
  </r>
  <r>
    <x v="0"/>
    <s v="RIMMEL"/>
    <s v="RIM P 132"/>
    <s v="VALL.PLAYA.01.01.01"/>
    <s v="PUSH_ MEGA MATTE"/>
    <m/>
    <m/>
    <n v="0"/>
    <n v="0"/>
    <m/>
  </r>
  <r>
    <x v="0"/>
    <s v="RIMMEL"/>
    <s v="RIM P 133"/>
    <s v="VALL.PLAYA.01.01.01"/>
    <s v="PUSH_ LASTING FINISH 35H_CON VISUAL"/>
    <m/>
    <m/>
    <n v="0"/>
    <n v="0"/>
    <m/>
  </r>
  <r>
    <x v="0"/>
    <s v="RIMMEL"/>
    <s v="RIM P 134"/>
    <s v="VALL.PLAYA.01.01.01"/>
    <s v="PUSH_ LASTING FINISH 35H_SIN VISUAL"/>
    <m/>
    <m/>
    <n v="0"/>
    <n v="0"/>
    <m/>
  </r>
  <r>
    <x v="0"/>
    <s v="RIMMEL"/>
    <s v="RIM P 135"/>
    <s v="VALL.PLAYA.01.01.01"/>
    <s v="PUSH_ LF EXTREME MATTE"/>
    <m/>
    <m/>
    <n v="0"/>
    <n v="0"/>
    <m/>
  </r>
  <r>
    <x v="0"/>
    <s v="RIMMEL"/>
    <s v="RIM P 136"/>
    <s v="VALL.PLAYA.01.01.01"/>
    <s v="PUSH_ MASCARAS WONDER + THRILL SEEKER"/>
    <m/>
    <m/>
    <n v="0"/>
    <n v="0"/>
    <m/>
  </r>
  <r>
    <x v="0"/>
    <s v="RIMMEL"/>
    <s v="RIM P 137"/>
    <s v="VALL.PLAYA.01.01.01"/>
    <s v="PUSH_ MASCARAS SCANDALEYES"/>
    <m/>
    <m/>
    <n v="0"/>
    <n v="0"/>
    <m/>
  </r>
  <r>
    <x v="0"/>
    <s v="RIMMEL"/>
    <s v="RIM P 138"/>
    <s v="VALL.PLAYA.01.01.01"/>
    <s v="PUSH_ MATCH PERFECTION_CON VISUAL"/>
    <m/>
    <m/>
    <n v="0"/>
    <n v="0"/>
    <m/>
  </r>
  <r>
    <x v="0"/>
    <s v="RIMMEL"/>
    <s v="RIM P 139"/>
    <s v="VALL.PLAYA.01.01.01"/>
    <s v="PUSH_ MATCH PERFECTION_SIN VISUAL"/>
    <m/>
    <m/>
    <n v="0"/>
    <n v="0"/>
    <m/>
  </r>
  <r>
    <x v="0"/>
    <s v="RIMMEL"/>
    <s v="RIM P 140"/>
    <s v="VALL.PLAYA.01.01.01"/>
    <s v="PUSH_ BLUSH + HIGHLIGHTER"/>
    <m/>
    <m/>
    <n v="0"/>
    <n v="0"/>
    <m/>
  </r>
  <r>
    <x v="0"/>
    <s v="RIMMEL"/>
    <s v="RIM P 141"/>
    <s v="VALL.PLAYA.01.01.01"/>
    <s v="PUSH_ PROVOCALIPS"/>
    <m/>
    <m/>
    <n v="0"/>
    <n v="0"/>
    <m/>
  </r>
  <r>
    <x v="0"/>
    <s v="RIMMEL"/>
    <s v="RIM P 142"/>
    <s v="VALL.PLAYA.01.01.01"/>
    <s v="PUSH_ SOMBRAS LIQUIDAS"/>
    <m/>
    <m/>
    <n v="0"/>
    <n v="0"/>
    <m/>
  </r>
  <r>
    <x v="0"/>
    <s v="RIMMEL"/>
    <s v="RIM P 143"/>
    <s v="VALL.PLAYA.01.01.01"/>
    <s v="PUSH_ PALETA DE SOMBRAS"/>
    <m/>
    <m/>
    <n v="0"/>
    <n v="0"/>
    <m/>
  </r>
  <r>
    <x v="0"/>
    <s v="RIMMEL"/>
    <s v="RIM P 144"/>
    <s v="VALL.PLAYA.01.01.01"/>
    <s v="PUSH_STAY MATTE_ BRONZER"/>
    <m/>
    <m/>
    <n v="0"/>
    <n v="0"/>
    <m/>
  </r>
  <r>
    <x v="0"/>
    <s v="RIMMEL"/>
    <s v="RIM P 145 V1"/>
    <s v="VALL.PLAYA.01.01.01"/>
    <s v="PUSH_ 60 SECONDS"/>
    <m/>
    <m/>
    <n v="0"/>
    <n v="0"/>
    <m/>
  </r>
  <r>
    <x v="0"/>
    <s v="RIMMEL"/>
    <s v="RIM P 145 V2"/>
    <s v="VALL.PLAYA.01.01.01"/>
    <s v="PUSH_ 60 SECONDS"/>
    <m/>
    <m/>
    <n v="0"/>
    <n v="0"/>
    <m/>
  </r>
  <r>
    <x v="0"/>
    <s v="RIMMEL"/>
    <s v="RIM P 146 V1"/>
    <s v="VALL.PLAYA.01.01.01"/>
    <s v="PUSH_ SUPER GEL_ COLOR"/>
    <m/>
    <m/>
    <n v="0"/>
    <n v="0"/>
    <m/>
  </r>
  <r>
    <x v="0"/>
    <s v="RIMMEL"/>
    <s v="RIM P 146 V2"/>
    <s v="VALL.PLAYA.01.01.01"/>
    <s v="PUSH_ SUPER GEL_ COLOR + TOP COAT"/>
    <m/>
    <m/>
    <n v="0"/>
    <n v="0"/>
    <m/>
  </r>
  <r>
    <x v="0"/>
    <s v="RIMMEL"/>
    <s v="RIM P 147 V1"/>
    <s v="VALL.PLAYA.01.01.01"/>
    <s v="PUSH_PORTA VISUAL_WONDER"/>
    <m/>
    <m/>
    <n v="0"/>
    <n v="0"/>
    <m/>
  </r>
  <r>
    <x v="0"/>
    <s v="RIMMEL"/>
    <s v="RIM P 147 V2"/>
    <s v="VALL.PLAYA.01.01.01"/>
    <s v="PUSH_PORTA VISUAL_SCANDALEYES"/>
    <m/>
    <m/>
    <n v="0"/>
    <n v="0"/>
    <m/>
  </r>
  <r>
    <x v="0"/>
    <s v="RIMMEL"/>
    <s v="RIM P 147 V3"/>
    <s v="VALL.PLAYA.01.01.01"/>
    <s v="PUSH_PORTA VISUAL_MULTITASKER"/>
    <m/>
    <m/>
    <n v="0"/>
    <n v="0"/>
    <m/>
  </r>
  <r>
    <x v="0"/>
    <s v="RIMMEL"/>
    <s v="RIM P 148"/>
    <s v="VALL.PLAYA.01.01.01"/>
    <s v="PUSH_ THS GLOSS"/>
    <m/>
    <m/>
    <n v="0"/>
    <n v="0"/>
    <m/>
  </r>
  <r>
    <x v="0"/>
    <s v="RIMMEL"/>
    <s v="RIM P 149"/>
    <s v="VALL.PLAYA.01.01.01"/>
    <s v="PUSH_ BETTER THAN FILTERS"/>
    <m/>
    <m/>
    <n v="0"/>
    <n v="0"/>
    <m/>
  </r>
  <r>
    <x v="0"/>
    <s v="RIMMEL"/>
    <s v="RIM_141124"/>
    <s v="VALL.PLAYA.01.01.01"/>
    <s v="KITS RIMMEL IBAR 120CM H1FY25"/>
    <m/>
    <m/>
    <n v="0"/>
    <n v="0"/>
    <m/>
  </r>
  <r>
    <x v="0"/>
    <s v="RIMMEL"/>
    <s v="RIM_141124.1"/>
    <s v="VALL.PLAYA.01.01.01"/>
    <s v="KITS RIMMEL IBAR 120CM ANT H1FY25"/>
    <m/>
    <m/>
    <n v="0"/>
    <n v="0"/>
    <m/>
  </r>
  <r>
    <x v="0"/>
    <s v="RIMMEL"/>
    <s v="RIM_141124.2"/>
    <s v="VALL.PLAYA.01.01.01"/>
    <s v="KIT RIMMEL MASCARA BAR H2FY24"/>
    <m/>
    <m/>
    <n v="0"/>
    <n v="0"/>
    <m/>
  </r>
  <r>
    <x v="0"/>
    <s v="RIMMEL"/>
    <s v="RIMM_BASEMIBAR120WAL"/>
    <s v="VALL.PLAYA.01.01.01"/>
    <s v="rimm base mibar120 h2 fy24 willson"/>
    <m/>
    <m/>
    <n v="0"/>
    <n v="0"/>
    <m/>
  </r>
  <r>
    <x v="0"/>
    <s v="RIMMEL"/>
    <s v="RIMP128_F26"/>
    <s v="VALL.PLAYA.01.01.01"/>
    <s v="MULTITASKER"/>
    <m/>
    <m/>
    <n v="0"/>
    <n v="0"/>
    <m/>
  </r>
  <r>
    <x v="0"/>
    <s v="RIMMEL"/>
    <s v="RIMP129_F26"/>
    <s v="VALL.PLAYA.01.01.01"/>
    <s v="HOT SPOT"/>
    <m/>
    <m/>
    <n v="0"/>
    <n v="0"/>
    <m/>
  </r>
  <r>
    <x v="0"/>
    <s v="RIMMEL"/>
    <s v="RIMP132_F26"/>
    <s v="VALL.PLAYA.01.01.01"/>
    <s v="LASTING MEGA MATE"/>
    <m/>
    <m/>
    <n v="0"/>
    <n v="0"/>
    <m/>
  </r>
  <r>
    <x v="0"/>
    <s v="RIMMEL"/>
    <s v="RIMP133_F26"/>
    <s v="VALL.PLAYA.01.01.01"/>
    <s v="LF 35H(4F + VISUAL)"/>
    <m/>
    <m/>
    <n v="0"/>
    <n v="0"/>
    <m/>
  </r>
  <r>
    <x v="0"/>
    <s v="RIMMEL"/>
    <s v="RIMP134_F26"/>
    <s v="VALL.PLAYA.01.01.01"/>
    <s v="LF 35H (5F)"/>
    <m/>
    <m/>
    <n v="0"/>
    <n v="0"/>
    <m/>
  </r>
  <r>
    <x v="0"/>
    <s v="RIMMEL"/>
    <s v="RIMP135_F26"/>
    <s v="VALL.PLAYA.01.01.01"/>
    <s v="LF EXTREME MATTE"/>
    <m/>
    <m/>
    <n v="0"/>
    <n v="0"/>
    <m/>
  </r>
  <r>
    <x v="0"/>
    <s v="RIMMEL"/>
    <s v="RIMP136_F26"/>
    <s v="VALL.PLAYA.01.01.01"/>
    <s v="SCANDALEYES(6F)"/>
    <m/>
    <m/>
    <n v="0"/>
    <n v="0"/>
    <m/>
  </r>
  <r>
    <x v="0"/>
    <s v="RIMMEL"/>
    <s v="RIMP136W_F26"/>
    <s v="VALL.PLAYA.01.01.01"/>
    <s v="WONDER"/>
    <m/>
    <m/>
    <n v="0"/>
    <n v="0"/>
    <m/>
  </r>
  <r>
    <x v="0"/>
    <s v="RIMMEL"/>
    <s v="RIMP140_F26"/>
    <s v="VALL.PLAYA.01.01.01"/>
    <s v="BLUSH+ HIGHLIGHTER"/>
    <m/>
    <m/>
    <n v="0"/>
    <n v="0"/>
    <m/>
  </r>
  <r>
    <x v="0"/>
    <s v="RIMMEL"/>
    <s v="RIMP141_F26"/>
    <s v="VALL.PLAYA.01.01.01"/>
    <s v="PROVOCALIPS"/>
    <m/>
    <m/>
    <n v="0"/>
    <n v="0"/>
    <m/>
  </r>
  <r>
    <x v="0"/>
    <s v="RIMMEL"/>
    <s v="RIMP142_F26"/>
    <s v="VALL.PLAYA.01.01.01"/>
    <s v="CEJAS"/>
    <m/>
    <m/>
    <n v="0"/>
    <n v="0"/>
    <m/>
  </r>
  <r>
    <x v="0"/>
    <s v="RIMMEL"/>
    <s v="RIMP144_F26"/>
    <s v="VALL.PLAYA.01.01.01"/>
    <s v="STAY MATTE + BRONZER"/>
    <m/>
    <m/>
    <n v="0"/>
    <n v="0"/>
    <m/>
  </r>
  <r>
    <x v="0"/>
    <s v="RIMMEL"/>
    <s v="RIMP146_F26"/>
    <s v="VALL.PLAYA.01.01.01"/>
    <s v="GEL"/>
    <m/>
    <m/>
    <n v="0"/>
    <n v="0"/>
    <m/>
  </r>
  <r>
    <x v="0"/>
    <s v="RIMMEL"/>
    <s v="RIMP147_F26"/>
    <s v="VALL.PLAYA.01.01.01"/>
    <s v="VISUAL 20X20"/>
    <m/>
    <m/>
    <n v="0"/>
    <n v="0"/>
    <m/>
  </r>
  <r>
    <x v="0"/>
    <s v="RIMMEL"/>
    <s v="RIMP148_F26"/>
    <s v="VALL.PLAYA.01.01.01"/>
    <s v="THS GLOSS"/>
    <m/>
    <m/>
    <n v="0"/>
    <n v="0"/>
    <m/>
  </r>
  <r>
    <x v="0"/>
    <s v="RIMMEL"/>
    <s v="RIMP152_F26"/>
    <s v="VALL.PLAYA.01.01.01"/>
    <s v="THS+K&amp;F(5F)"/>
    <m/>
    <m/>
    <n v="0"/>
    <n v="0"/>
    <m/>
  </r>
  <r>
    <x v="0"/>
    <s v="RIMMEL"/>
    <s v="RIMP153_F26"/>
    <s v="VALL.PLAYA.01.01.01"/>
    <s v="EYELINERS+SOMBRAS WONDER"/>
    <m/>
    <m/>
    <n v="0"/>
    <n v="0"/>
    <m/>
  </r>
  <r>
    <x v="0"/>
    <s v="RIMMEL"/>
    <s v="RIMP154_F26"/>
    <s v="VALL.PLAYA.01.01.01"/>
    <s v="LIP OIL"/>
    <m/>
    <m/>
    <n v="0"/>
    <n v="0"/>
    <m/>
  </r>
  <r>
    <x v="0"/>
    <s v="RIMMEL"/>
    <s v="RIMP155_F26"/>
    <s v="VALL.PLAYA.01.01.01"/>
    <s v="LIP LATEX"/>
    <m/>
    <m/>
    <n v="0"/>
    <n v="0"/>
    <m/>
  </r>
  <r>
    <x v="0"/>
    <s v="RIMMEL"/>
    <s v="RIMP157_F26"/>
    <s v="VALL.PLAYA.01.01.01"/>
    <s v="MULTI STICK BRONZER"/>
    <m/>
    <m/>
    <n v="0"/>
    <n v="0"/>
    <m/>
  </r>
  <r>
    <x v="0"/>
    <s v="RIMMEL"/>
    <s v="RIMP158_F26"/>
    <s v="VALL.PLAYA.01.01.01"/>
    <s v="MULTITASKER SE"/>
    <m/>
    <m/>
    <n v="0"/>
    <n v="0"/>
    <m/>
  </r>
  <r>
    <x v="0"/>
    <s v="RIMMEL"/>
    <s v="RIMP173_F26"/>
    <s v="VALL.PLAYA.01.01.01"/>
    <s v="FF COMPACT"/>
    <m/>
    <m/>
    <n v="0"/>
    <n v="0"/>
    <m/>
  </r>
  <r>
    <x v="0"/>
    <s v="RIMMEL"/>
    <s v="RIMP177_F26"/>
    <s v="VALL.PLAYA.01.01.01"/>
    <s v="LIP ENHACER"/>
    <m/>
    <m/>
    <n v="0"/>
    <n v="0"/>
    <m/>
  </r>
  <r>
    <x v="0"/>
    <s v="RIMMEL"/>
    <s v="KITS 120AHOR"/>
    <s v="X"/>
    <s v="KITS PUSH 120CM PARA AHORRAMAS"/>
    <m/>
    <m/>
    <n v="0"/>
    <n v="0"/>
    <m/>
  </r>
  <r>
    <x v="0"/>
    <s v="MXF_RIM"/>
    <s v="BAND_QUITADAS"/>
    <s v="ZONAA"/>
    <s v="BANDEJAS QUE QUITAMOS DE ACT H2FY26"/>
    <m/>
    <m/>
    <n v="1"/>
    <n v="8.99"/>
    <m/>
  </r>
  <r>
    <x v="4"/>
    <s v="ESSENCE"/>
    <s v="INSERTS 3-25"/>
    <s v="ZONAB"/>
    <s v="ACT 03-25"/>
    <m/>
    <m/>
    <n v="1"/>
    <n v="8.99"/>
    <m/>
  </r>
  <r>
    <x v="4"/>
    <s v="ESSENCE"/>
    <s v="INSERTS 9-25"/>
    <s v="ZONAB"/>
    <s v="ACT 09-25"/>
    <m/>
    <m/>
    <n v="0"/>
    <n v="0"/>
    <m/>
  </r>
  <r>
    <x v="0"/>
    <m/>
    <s v="ESPACIO LAURA G"/>
    <m/>
    <m/>
    <m/>
    <m/>
    <m/>
    <m/>
    <n v="288.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4">
  <r>
    <x v="0"/>
    <s v="INCOMM"/>
    <s v="INCOMMMAITE26"/>
    <x v="0"/>
    <s v="DEVOLUCION INCOMM MAITE"/>
    <n v="0"/>
    <n v="0"/>
  </r>
  <r>
    <x v="1"/>
    <s v="RIMMEL"/>
    <s v="DEV230625.4"/>
    <x v="1"/>
    <s v="BASE RIMMEL PARA DESTRUIR"/>
    <n v="0"/>
    <n v="0"/>
  </r>
  <r>
    <x v="1"/>
    <s v="BOURJOIS"/>
    <s v="DEV230625.6"/>
    <x v="1"/>
    <s v="BASE BOURJOIS PARA DESTRUIR"/>
    <n v="0"/>
    <n v="0"/>
  </r>
  <r>
    <x v="1"/>
    <s v="RIMM/MXF"/>
    <s v="COTY0101"/>
    <x v="2"/>
    <s v="RIM/MXF_VISUAL_LOGO MIXTO CANARIAS (FOOD)"/>
    <n v="0"/>
    <n v="0"/>
  </r>
  <r>
    <x v="1"/>
    <s v="RIMMEL "/>
    <s v="COTY0107"/>
    <x v="2"/>
    <s v="RIM_TESTERS_1 CAJA TESTER VARIOS ATILA (FOOD)"/>
    <n v="0"/>
    <n v="0"/>
  </r>
  <r>
    <x v="1"/>
    <s v="BOURJOIS"/>
    <s v="COTY0180"/>
    <x v="2"/>
    <s v="BJ_VINILO_BASE GONDOLA 2M - NEXT GEN"/>
    <n v="0"/>
    <n v="0"/>
  </r>
  <r>
    <x v="1"/>
    <s v="BOURJOIS"/>
    <s v="COVERPORTBJ1"/>
    <x v="2"/>
    <s v="COVERCARD GRANDE BJNEXTGEN PORTUGAL"/>
    <n v="0"/>
    <n v="0"/>
  </r>
  <r>
    <x v="1"/>
    <s v="BOURJOIS"/>
    <s v="COVERPORTBJ2"/>
    <x v="2"/>
    <s v="COVERCARD PEQUEÑO BJNEXTGEN PORTUGAL"/>
    <n v="0"/>
    <n v="0"/>
  </r>
  <r>
    <x v="1"/>
    <s v="RIMMEL"/>
    <s v="COVERPORTRIM1"/>
    <x v="2"/>
    <s v="COVERCARD GRANDE RIMLIVE120 PORTUGAL"/>
    <n v="0"/>
    <n v="0"/>
  </r>
  <r>
    <x v="1"/>
    <s v="RIMMEL"/>
    <s v="COVERPORTRIM2"/>
    <x v="2"/>
    <s v="COVERCARD PEQUEÑO RIMLIVE120 PORTUGAL"/>
    <n v="0"/>
    <n v="0"/>
  </r>
  <r>
    <x v="2"/>
    <m/>
    <s v="FLOR_VISUAL _ 1"/>
    <x v="2"/>
    <s v="VISUALES PARED 1 M"/>
    <n v="0"/>
    <n v="0"/>
  </r>
  <r>
    <x v="2"/>
    <m/>
    <s v="FLOR_VISUAL _ 2"/>
    <x v="2"/>
    <s v="VISUALES GONDOLA 2M"/>
    <n v="0"/>
    <n v="0"/>
  </r>
  <r>
    <x v="1"/>
    <s v="RIMMEL"/>
    <s v="I-00032-01"/>
    <x v="2"/>
    <s v="RIM_BANDEJA_ LASTING PROVOCALIPS 2F"/>
    <n v="0"/>
    <n v="0"/>
  </r>
  <r>
    <x v="1"/>
    <s v="RIMMEL"/>
    <s v="I-00034-03"/>
    <x v="2"/>
    <s v="RIM_BANDEJA RECUPERADA"/>
    <n v="0"/>
    <n v="0"/>
  </r>
  <r>
    <x v="1"/>
    <s v="BOURJOIS"/>
    <s v="INCIBJPORT"/>
    <x v="2"/>
    <s v="INCIBOOKLET BJ PORTUGAL"/>
    <n v="0"/>
    <n v="0"/>
  </r>
  <r>
    <x v="1"/>
    <s v="BOURJOIS"/>
    <s v="KITBJPORT1"/>
    <x v="2"/>
    <s v="TIRAS GRAFICAS BJNEXTGEN120 PORTUGAL"/>
    <n v="0"/>
    <n v="0"/>
  </r>
  <r>
    <x v="1"/>
    <s v="BOURJOIS"/>
    <s v="KITBJPORT2"/>
    <x v="2"/>
    <s v="TIRAS GRAFICAS BJNEXTGEN2M PORTUGAL"/>
    <n v="0"/>
    <n v="0"/>
  </r>
  <r>
    <x v="1"/>
    <s v="MAXFACTOR"/>
    <s v="KITMXFPORT"/>
    <x v="2"/>
    <s v="TIRAS GRAFICAS MXFLIVE120 PORTUGAL"/>
    <n v="0"/>
    <n v="0"/>
  </r>
  <r>
    <x v="1"/>
    <s v="RIMMEL"/>
    <s v="KITRIMPORT"/>
    <x v="2"/>
    <s v="TIRAS GRAFICAS RIMLIVE120 PORTUGAL"/>
    <n v="0"/>
    <n v="0"/>
  </r>
  <r>
    <x v="1"/>
    <s v="MAXFACTOR"/>
    <s v="MF7201015001"/>
    <x v="2"/>
    <s v="MXF_BANDEJA RECUPERADA"/>
    <n v="0"/>
    <n v="0"/>
  </r>
  <r>
    <x v="1"/>
    <s v="MAXFACTOR"/>
    <s v="MXF0032"/>
    <x v="2"/>
    <s v="MXF_VISUAL_LOGO APERTURAS ALCAMPO (FOOD)"/>
    <n v="0"/>
    <n v="0"/>
  </r>
  <r>
    <x v="3"/>
    <m/>
    <s v="NEO_CAJA9"/>
    <x v="2"/>
    <s v="PLUM12004"/>
    <n v="0"/>
    <n v="0"/>
  </r>
  <r>
    <x v="4"/>
    <s v="MARWINS"/>
    <s v="PEGATINAS"/>
    <x v="2"/>
    <s v="PEGATINAS REETIQUETADO MARKWINS"/>
    <n v="0"/>
    <n v="0"/>
  </r>
  <r>
    <x v="1"/>
    <s v="RIMMEL"/>
    <s v="PEGTESTER"/>
    <x v="2"/>
    <s v="RIMMEL_PEGATINAS TESTERS RIMMEL"/>
    <n v="0"/>
    <n v="0"/>
  </r>
  <r>
    <x v="1"/>
    <s v="RIMMEL"/>
    <s v="RIM IF 02 V2"/>
    <x v="2"/>
    <m/>
    <n v="0"/>
    <n v="0"/>
  </r>
  <r>
    <x v="1"/>
    <s v="RIMMEL"/>
    <s v="RIM001_V"/>
    <x v="2"/>
    <s v="RIM_VISUAL_PROVOCALIPS 100_NEO"/>
    <n v="0"/>
    <n v="0"/>
  </r>
  <r>
    <x v="1"/>
    <s v="RIMMEL"/>
    <s v="RIM002_V"/>
    <x v="2"/>
    <s v="RIM_VISUAL_UÑAS 100_NEO"/>
    <n v="0"/>
    <n v="0"/>
  </r>
  <r>
    <x v="1"/>
    <s v="RIMMEL"/>
    <s v="RIM003_V"/>
    <x v="2"/>
    <s v="RIM_VISUAL_MULTI-TASKER 100_NEO"/>
    <n v="0"/>
    <n v="0"/>
  </r>
  <r>
    <x v="1"/>
    <s v="RIMMEL"/>
    <s v="RIM005_V"/>
    <x v="2"/>
    <s v="RIM_VISUAL_PROVOCALIPS 200_NEO"/>
    <n v="0"/>
    <n v="0"/>
  </r>
  <r>
    <x v="1"/>
    <s v="RIMMEL"/>
    <s v="RIM006_V"/>
    <x v="2"/>
    <s v="RIM_VISUAL_UÑAS 200_NEO"/>
    <n v="0"/>
    <n v="0"/>
  </r>
  <r>
    <x v="1"/>
    <s v="RIMMEL"/>
    <s v="RIM007_V"/>
    <x v="2"/>
    <s v="RIM_VISUAL_MULTI-TASKER 200_NEO"/>
    <n v="0"/>
    <n v="0"/>
  </r>
  <r>
    <x v="1"/>
    <s v="RIMMEL"/>
    <s v="RMM0047"/>
    <x v="2"/>
    <s v="VISUAL_10CM MULTI-TASKER"/>
    <n v="0"/>
    <n v="0"/>
  </r>
  <r>
    <x v="1"/>
    <s v="RIMMEL"/>
    <s v="RMM0051"/>
    <x v="2"/>
    <s v="VISUAL _30CM SCANDALEYES VOLUME ON DEMAND"/>
    <n v="0"/>
    <n v="0"/>
  </r>
  <r>
    <x v="1"/>
    <s v="RIMMEL"/>
    <s v="RMM0073"/>
    <x v="2"/>
    <s v="VISUAL _20CM LASTING FINISH EXTREME MATTE"/>
    <n v="0"/>
    <n v="0"/>
  </r>
  <r>
    <x v="1"/>
    <s v="RIMMEL"/>
    <s v="RMM0074"/>
    <x v="2"/>
    <s v="VISUAL _20CM NATURAL BRONZER"/>
    <n v="0"/>
    <n v="0"/>
  </r>
  <r>
    <x v="1"/>
    <s v="RIMMEL"/>
    <s v="RMM0075"/>
    <x v="2"/>
    <s v="VISUAL _20CM LASTING FINISH"/>
    <n v="0"/>
    <n v="0"/>
  </r>
  <r>
    <x v="1"/>
    <s v="RIMMEL"/>
    <s v="RMM0076"/>
    <x v="2"/>
    <s v="VISUAL _20CM LASTING MATTE PRIMER"/>
    <n v="0"/>
    <n v="0"/>
  </r>
  <r>
    <x v="1"/>
    <s v="RIMMEL"/>
    <s v="RMM0080"/>
    <x v="2"/>
    <s v="VISUAL _30CM WONDER LUXE"/>
    <n v="0"/>
    <n v="0"/>
  </r>
  <r>
    <x v="1"/>
    <s v="BOURJOIS"/>
    <s v="T_19_HMTB"/>
    <x v="2"/>
    <s v="BJ_T_HealthyMixTinteBeautifier"/>
    <n v="0"/>
    <n v="0"/>
  </r>
  <r>
    <x v="1"/>
    <s v="BOURJOIS"/>
    <s v="T_LRP"/>
    <x v="2"/>
    <s v="BJ_T_Colorete LRP"/>
    <n v="0"/>
    <n v="0"/>
  </r>
  <r>
    <x v="1"/>
    <s v="MAXFACTOR"/>
    <s v="T_MXFLIVE2M"/>
    <x v="2"/>
    <s v="MAX FACTOR LIVE 2M TIRAS EN PORTUGUES"/>
    <n v="0"/>
    <n v="0"/>
  </r>
  <r>
    <x v="1"/>
    <s v="RIMMEL"/>
    <s v="T_RIMLIVE2M"/>
    <x v="2"/>
    <s v="RIMMEL LIVE 2M TIRAS EN PORTUGUES"/>
    <n v="0"/>
    <n v="0"/>
  </r>
  <r>
    <x v="5"/>
    <s v="RIMMEL"/>
    <s v="TIRA_RIM124_F26"/>
    <x v="2"/>
    <s v="TIRA RIM 124 PARA MUEBLE NEO"/>
    <n v="0"/>
    <n v="0"/>
  </r>
  <r>
    <x v="3"/>
    <s v="NEONAIL"/>
    <s v="TIRAS_COMP_0426"/>
    <x v="2"/>
    <s v="NUEVAS TIRAS GRÁFICAS COMPLETAS ABRIL 2026"/>
    <n v="0"/>
    <n v="0"/>
  </r>
  <r>
    <x v="1"/>
    <s v="RIMMEL"/>
    <s v="V_ LF35HNEO"/>
    <x v="2"/>
    <s v="VISUAL LF 35H NEO"/>
    <n v="0"/>
    <n v="0"/>
  </r>
  <r>
    <x v="1"/>
    <s v="MAXFACTOR"/>
    <s v="V_10_CP"/>
    <x v="2"/>
    <s v="MXF_V_CremePuff"/>
    <n v="0"/>
    <n v="0"/>
  </r>
  <r>
    <x v="1"/>
    <s v="BOURJOIS"/>
    <s v="V_11_HMCP"/>
    <x v="2"/>
    <s v="BJ_V_HealthyMixClearPowder"/>
    <n v="0"/>
    <n v="0"/>
  </r>
  <r>
    <x v="1"/>
    <s v="BOURJOIS"/>
    <s v="V_12_AFC"/>
    <x v="2"/>
    <s v="BJ_V_AlwaysFabulousConcealer"/>
    <n v="0"/>
    <n v="0"/>
  </r>
  <r>
    <x v="1"/>
    <s v="BOURJOIS"/>
    <s v="V_13_AFF"/>
    <x v="2"/>
    <s v="BJ_V_AlwaysFabulousFoundation"/>
    <n v="0"/>
    <n v="0"/>
  </r>
  <r>
    <x v="1"/>
    <s v="BOURJOIS"/>
    <s v="V_14_TUV"/>
    <x v="2"/>
    <s v="BJ_V_TwistUpVolume"/>
    <n v="0"/>
    <n v="0"/>
  </r>
  <r>
    <x v="1"/>
    <s v="BOURJOIS"/>
    <s v="V_15_PVGI"/>
    <x v="2"/>
    <s v="BJ_V_PaletteVolumneGlamourInt"/>
    <n v="0"/>
    <n v="0"/>
  </r>
  <r>
    <x v="1"/>
    <s v="BOURJOIS"/>
    <s v="V_16_FG"/>
    <x v="2"/>
    <s v="BJ_V_FabuleuxGel"/>
    <n v="0"/>
    <n v="0"/>
  </r>
  <r>
    <x v="1"/>
    <s v="MAXFACTOR"/>
    <s v="V_2STEPS_F26"/>
    <x v="2"/>
    <s v="VISUAL MXF- LIPFINITY 2STEPS 199x197"/>
    <n v="0"/>
    <n v="0"/>
  </r>
  <r>
    <x v="1"/>
    <s v="MAXFACTOR"/>
    <s v="V_3_DL"/>
    <x v="2"/>
    <s v="MXF_V_DivineLashes"/>
    <n v="0"/>
    <n v="0"/>
  </r>
  <r>
    <x v="1"/>
    <s v="MAXFACTOR"/>
    <s v="V_5_MPSR"/>
    <x v="2"/>
    <s v="MXF_V_MPSkinResert"/>
    <n v="0"/>
    <n v="0"/>
  </r>
  <r>
    <x v="1"/>
    <s v="BOURJOIS"/>
    <s v="V_6_LO"/>
    <x v="2"/>
    <s v="BJS_V_LipOil10cm"/>
    <n v="0"/>
    <n v="0"/>
  </r>
  <r>
    <x v="1"/>
    <s v="RIMMEL"/>
    <s v="V_60SEC_MINI"/>
    <x v="2"/>
    <s v="MINI_VISUAL_ 60SEC_80X200"/>
    <n v="0"/>
    <n v="0"/>
  </r>
  <r>
    <x v="1"/>
    <s v="BOURJOIS"/>
    <s v="V_7_LO"/>
    <x v="2"/>
    <s v="BJS_V_LipOil25cm"/>
    <n v="0"/>
    <n v="0"/>
  </r>
  <r>
    <x v="1"/>
    <s v="BOURJOIS"/>
    <s v="V_8_LRP"/>
    <x v="2"/>
    <s v="BJS_V_LRP5cm"/>
    <n v="0"/>
    <n v="0"/>
  </r>
  <r>
    <x v="1"/>
    <s v="BOURJOIS"/>
    <s v="V_9_HS"/>
    <x v="2"/>
    <s v="BJ_V_HM Serum 5cm"/>
    <n v="0"/>
    <n v="0"/>
  </r>
  <r>
    <x v="1"/>
    <s v="RIMMEL"/>
    <s v="V_BETTE_MINI"/>
    <x v="2"/>
    <s v="MINI_VISUAL_ BETTERTHANFILTERS_80X200"/>
    <n v="0"/>
    <n v="0"/>
  </r>
  <r>
    <x v="1"/>
    <s v="RIMMEL"/>
    <s v="V_BETTER_F26"/>
    <x v="2"/>
    <s v="VISUAL RIM- MULTITASKERBTTERTHAN_100x197"/>
    <n v="0"/>
    <n v="0"/>
  </r>
  <r>
    <x v="1"/>
    <s v="RIMMEL"/>
    <s v="V_BETTER20X20"/>
    <x v="2"/>
    <s v="VISUAL RIM- MULTITASKERBETTERTHAN_200x200"/>
    <n v="0"/>
    <n v="0"/>
  </r>
  <r>
    <x v="1"/>
    <s v="RIMMEL"/>
    <s v="V_BLUS__MINI"/>
    <x v="2"/>
    <s v="MINI_VISUAL_ BLUS_HIGHLIGHTER_80X200"/>
    <n v="0"/>
    <n v="0"/>
  </r>
  <r>
    <x v="1"/>
    <s v="RIMMEL"/>
    <s v="V_BRONZ_MINI"/>
    <x v="2"/>
    <s v="MINI_VISUAL_ BRONZING_STICK_80X200"/>
    <n v="0"/>
    <n v="0"/>
  </r>
  <r>
    <x v="1"/>
    <s v="MAXFACTOR"/>
    <s v="V_BRONZER39X20"/>
    <x v="2"/>
    <s v="VISUAL MXF-BRONZER_39X200"/>
    <n v="0"/>
    <n v="0"/>
  </r>
  <r>
    <x v="1"/>
    <s v="MAXFACTOR"/>
    <s v="V_BROWS39X20"/>
    <x v="2"/>
    <s v="MXF_BROWS_39X200_CEJAS"/>
    <n v="0"/>
    <n v="0"/>
  </r>
  <r>
    <x v="1"/>
    <s v="RIMMEL"/>
    <s v="V_CEJAS_MINI"/>
    <x v="2"/>
    <s v="MINI_VISUAL_ CEJAS_80X200"/>
    <n v="0"/>
    <n v="0"/>
  </r>
  <r>
    <x v="1"/>
    <s v="MAXFACTOR"/>
    <s v="V_COELIX_MINI"/>
    <x v="2"/>
    <s v="MINI_VISUAL_COLORELIXIR_80X200"/>
    <n v="0"/>
    <n v="0"/>
  </r>
  <r>
    <x v="1"/>
    <s v="MAXFACTOR"/>
    <s v="V_COLORETE_F26"/>
    <x v="2"/>
    <s v="VISUAL MXF_FCECOLORETE_100x197"/>
    <n v="0"/>
    <n v="0"/>
  </r>
  <r>
    <x v="1"/>
    <s v="MAXFACTOR"/>
    <s v="V_COLRET_MINI"/>
    <x v="2"/>
    <s v="MINI_VISUAL_ COLORETE_80X200"/>
    <n v="0"/>
    <n v="0"/>
  </r>
  <r>
    <x v="1"/>
    <s v="MAXFACTOR"/>
    <s v="V_COMPACT_F26"/>
    <x v="2"/>
    <s v="VISUAL MXF_COMPACT_100x197"/>
    <n v="0"/>
    <n v="0"/>
  </r>
  <r>
    <x v="1"/>
    <s v="RIMMEL"/>
    <s v="V_CONCE20X20_F26"/>
    <x v="2"/>
    <s v="VISUAL RIM-MULTITASKERCONCEALER_199X197"/>
    <n v="0"/>
    <n v="0"/>
  </r>
  <r>
    <x v="1"/>
    <s v="MAXFACTOR"/>
    <s v="V_CONCEALER_F26"/>
    <x v="2"/>
    <s v="VISUAL MXF_FCECONCEALER_100x197"/>
    <n v="0"/>
    <n v="0"/>
  </r>
  <r>
    <x v="1"/>
    <s v="MAXFACTOR"/>
    <s v="V_FAC3EN1_MINI"/>
    <x v="2"/>
    <s v="MINI_VISUAL_ FACEFINITY3EN1_80X200"/>
    <n v="0"/>
    <n v="0"/>
  </r>
  <r>
    <x v="1"/>
    <s v="MAXFACTOR"/>
    <s v="V_FACEFIN39X20"/>
    <x v="2"/>
    <s v="VISUAL MXF-FACEFINITY 3EN1_39x200"/>
    <n v="0"/>
    <n v="0"/>
  </r>
  <r>
    <x v="1"/>
    <s v="MAXFACTOR"/>
    <s v="V_FACOMP_MINI"/>
    <x v="2"/>
    <s v="MINI_VISUAL_  FACEFINITYCOMPACT_80X200"/>
    <n v="0"/>
    <n v="0"/>
  </r>
  <r>
    <x v="1"/>
    <s v="MAXFACTOR"/>
    <s v="V_FACONC_MINI"/>
    <x v="2"/>
    <s v="MINI_VISUAL_ FACEFINITYCONCEALER_80X200"/>
    <n v="0"/>
    <n v="0"/>
  </r>
  <r>
    <x v="1"/>
    <s v="MAXFACTOR"/>
    <s v="V_FCE20X20"/>
    <x v="2"/>
    <s v="VISUAL MXF- FCE CONCEALER_200x200"/>
    <n v="0"/>
    <n v="0"/>
  </r>
  <r>
    <x v="1"/>
    <s v="MAXFACTOR"/>
    <s v="V_FFFDT"/>
    <x v="2"/>
    <s v="MXF VISUAL FACEFINITY FOUNDATION"/>
    <n v="0"/>
    <n v="0"/>
  </r>
  <r>
    <x v="1"/>
    <s v="MAXFACTOR"/>
    <s v="V_FLAWLES_F26"/>
    <x v="2"/>
    <s v="VISUAL MXF_FCEFLAWLESS_100x197"/>
    <n v="0"/>
    <n v="0"/>
  </r>
  <r>
    <x v="1"/>
    <s v="MAXFACTOR"/>
    <s v="V_FLAWLES20X20"/>
    <x v="2"/>
    <s v="VISUAL MXF- FCE FLAWLESS_200x200"/>
    <n v="0"/>
    <n v="0"/>
  </r>
  <r>
    <x v="1"/>
    <s v="MAXFACTOR"/>
    <s v="V_FLEMASC_F26"/>
    <x v="2"/>
    <s v="VISUAL MXF- FLE MASCARA 199x197"/>
    <n v="0"/>
    <n v="0"/>
  </r>
  <r>
    <x v="1"/>
    <s v="RIMMEL"/>
    <s v="V_FLIGERA_F26"/>
    <x v="2"/>
    <s v="VISUAL RIM- FORMULALIGERA_199x197?"/>
    <n v="0"/>
    <n v="0"/>
  </r>
  <r>
    <x v="1"/>
    <s v="MAXFACTOR"/>
    <s v="V_FMASCA_MINI"/>
    <x v="2"/>
    <s v="MINI_VISUAL_ FLEMASCARA80X200"/>
    <n v="0"/>
    <n v="0"/>
  </r>
  <r>
    <x v="1"/>
    <s v="RIMMEL"/>
    <s v="V_GEL_8_MINI"/>
    <x v="2"/>
    <s v="MINI_VISUAL_ GEL_80X200"/>
    <n v="0"/>
    <n v="0"/>
  </r>
  <r>
    <x v="1"/>
    <s v="MAXFACTOR"/>
    <s v="V_GLOS_MINI"/>
    <x v="2"/>
    <s v="MINI_VISUAL_ GLOSS_80X200"/>
    <n v="0"/>
    <n v="0"/>
  </r>
  <r>
    <x v="1"/>
    <s v="MAXFACTOR"/>
    <s v="V_GLOWFRA39X20"/>
    <x v="2"/>
    <s v="VISUAL MXF-GLOW FRAMER_39x200"/>
    <n v="0"/>
    <n v="0"/>
  </r>
  <r>
    <x v="1"/>
    <s v="RIMMEL"/>
    <s v="V_K&amp;F_F26"/>
    <x v="2"/>
    <s v="VISUAL RIM- K&amp;F_100x197"/>
    <n v="0"/>
    <n v="0"/>
  </r>
  <r>
    <x v="1"/>
    <s v="RIMMEL"/>
    <s v="V_K&amp;F20X20_F26"/>
    <x v="2"/>
    <s v="VISUAL RIM-K&amp;F_199X197"/>
    <n v="0"/>
    <n v="0"/>
  </r>
  <r>
    <x v="1"/>
    <s v="RIMMEL"/>
    <s v="V_LASTI_MINI"/>
    <x v="2"/>
    <s v="MINI_VISUAL_ LASTING_MEGA_MATTE_80X200"/>
    <n v="0"/>
    <n v="0"/>
  </r>
  <r>
    <x v="1"/>
    <s v="RIMMEL"/>
    <s v="V_LASTINGF_F26"/>
    <x v="2"/>
    <s v="VISUAL RIM- LASTINGFINISH_100x197"/>
    <n v="0"/>
    <n v="0"/>
  </r>
  <r>
    <x v="1"/>
    <s v="RIMMEL"/>
    <s v="V_LASTINGF20X20"/>
    <x v="2"/>
    <s v="VISUAL RIM- LASTINGFINISH_200x200"/>
    <n v="0"/>
    <n v="0"/>
  </r>
  <r>
    <x v="1"/>
    <s v="MAXFACTOR"/>
    <s v="V_LASTPE_MINI"/>
    <x v="2"/>
    <s v="MINI_VISUAL_ LASTINGPERFORMANCE_80X200"/>
    <n v="0"/>
    <n v="0"/>
  </r>
  <r>
    <x v="1"/>
    <s v="RIMMEL"/>
    <s v="V_LF_35_MINI"/>
    <x v="2"/>
    <s v="MINI_VISUAL_ LF_35H_80X200"/>
    <n v="0"/>
    <n v="0"/>
  </r>
  <r>
    <x v="1"/>
    <s v="RIMMEL"/>
    <s v="V_LF_EX_MINI"/>
    <x v="2"/>
    <s v="MINI_VISUAL_ LF_EXTREME_MATTE_80X200"/>
    <n v="0"/>
    <n v="0"/>
  </r>
  <r>
    <x v="1"/>
    <s v="RIMMEL"/>
    <s v="V_LF35H_39X200"/>
    <x v="2"/>
    <s v="VISUAL RIM-LASTING FINISH 35H_39x200"/>
    <n v="0"/>
    <n v="0"/>
  </r>
  <r>
    <x v="1"/>
    <s v="RIMMEL"/>
    <s v="V_LF35HNEO"/>
    <x v="2"/>
    <s v="VISUAL LF 35H NEO"/>
    <n v="0"/>
    <n v="0"/>
  </r>
  <r>
    <x v="1"/>
    <s v="RIMMEL"/>
    <s v="V_LINER 1"/>
    <x v="2"/>
    <s v="VISUAL RIM-LINERS_39x200"/>
    <n v="0"/>
    <n v="0"/>
  </r>
  <r>
    <x v="1"/>
    <s v="RIMMEL"/>
    <s v="V_LINER 2"/>
    <x v="2"/>
    <s v="VISUAL RIM-LINERS2_39x200"/>
    <n v="0"/>
    <n v="0"/>
  </r>
  <r>
    <x v="1"/>
    <s v="RIMMEL"/>
    <s v="V_LIP_L_MINI"/>
    <x v="2"/>
    <s v="MINI_VISUAL_ LIP_LATEX_80X200"/>
    <n v="0"/>
    <n v="0"/>
  </r>
  <r>
    <x v="1"/>
    <s v="MAXFACTOR"/>
    <s v="V_LIPENH_MINI"/>
    <x v="2"/>
    <s v="MINI_VISUAL_ LIPENHANCER_80X200"/>
    <n v="0"/>
    <n v="0"/>
  </r>
  <r>
    <x v="1"/>
    <s v="MAXFACTOR"/>
    <s v="V_LIPFI_MINI"/>
    <x v="2"/>
    <s v="MINI_VISUAL_ LIPFINITY_80X200"/>
    <n v="0"/>
    <n v="0"/>
  </r>
  <r>
    <x v="1"/>
    <s v="MAXFACTOR"/>
    <s v="V_LIPL_MINI"/>
    <x v="2"/>
    <s v="MINI_VISUAL_ LIPLINER_80X200"/>
    <n v="0"/>
    <n v="0"/>
  </r>
  <r>
    <x v="1"/>
    <s v="MAXFACTOR"/>
    <s v="V_LIPLIN39X20"/>
    <x v="2"/>
    <s v="VISUAL MXF-LIP LINERS_39x200"/>
    <n v="0"/>
    <n v="0"/>
  </r>
  <r>
    <x v="1"/>
    <s v="MAXFACTOR"/>
    <s v="V_LIPLINER_F26"/>
    <x v="2"/>
    <s v="VISUAL MXF- COLOR ELIXIR LIPLINER 199x197"/>
    <n v="0"/>
    <n v="0"/>
  </r>
  <r>
    <x v="1"/>
    <s v="RIMMEL"/>
    <s v="V_LIPOI_MINI"/>
    <x v="2"/>
    <s v="MINI_VISUAL_ LIPOIL_80X200"/>
    <n v="0"/>
    <n v="0"/>
  </r>
  <r>
    <x v="1"/>
    <s v="RIMMEL"/>
    <s v="V_LIPOIL_F26"/>
    <x v="2"/>
    <s v="VISUAL RIM- LIPOIL 199x197"/>
    <n v="0"/>
    <n v="0"/>
  </r>
  <r>
    <x v="1"/>
    <s v="MAXFACTOR"/>
    <s v="V_LIPSTICK_F26"/>
    <x v="2"/>
    <s v="VISUAL MXF- COLOR ELIXIR LIPSTICK 199x197"/>
    <n v="0"/>
    <n v="0"/>
  </r>
  <r>
    <x v="1"/>
    <s v="RIMMEL"/>
    <s v="V_LOGORIM_F26"/>
    <x v="2"/>
    <s v="VISUAL_LOGO_RIM_400x200"/>
    <n v="0"/>
    <n v="0"/>
  </r>
  <r>
    <x v="1"/>
    <s v="MAXFACTOR"/>
    <s v="V_MAEXP_MINI"/>
    <x v="2"/>
    <s v="MINI_VISUAL_ MASTERXPRESS_80X200"/>
    <n v="0"/>
    <n v="0"/>
  </r>
  <r>
    <x v="1"/>
    <s v="MAXFACTOR"/>
    <s v="V_MASC2X1_F26"/>
    <x v="2"/>
    <s v="VISUAL MXF - FLE 2-1 MASCARA 199x197"/>
    <n v="0"/>
    <n v="0"/>
  </r>
  <r>
    <x v="1"/>
    <s v="MAXFACTOR"/>
    <s v="V_MASCA_MINI"/>
    <x v="2"/>
    <s v="MINI_VISUAL_ MASTERPIECEMASCARA_80X200"/>
    <n v="0"/>
    <n v="0"/>
  </r>
  <r>
    <x v="1"/>
    <s v="MAXFACTOR"/>
    <s v="v_mascara39x20"/>
    <x v="2"/>
    <s v="VISUAL MXF-MASCARAS_199x43_5"/>
    <n v="0"/>
    <n v="0"/>
  </r>
  <r>
    <x v="1"/>
    <s v="MAXFACTOR"/>
    <s v="V_MASTERPIECE2-IN-1"/>
    <x v="2"/>
    <s v="MXF VISUAL MASCARA MASTERPIECE 2 EN 1"/>
    <n v="0"/>
    <n v="0"/>
  </r>
  <r>
    <x v="1"/>
    <s v="RIMMEL"/>
    <s v="V_MATCH_MINI"/>
    <x v="2"/>
    <s v="MINI_VISUAL_ MATCH_PERFECTION_80X200"/>
    <n v="0"/>
    <n v="0"/>
  </r>
  <r>
    <x v="1"/>
    <s v="RIMMEL"/>
    <s v="V_MATCHP_F26"/>
    <x v="2"/>
    <s v="VISUAL RIM- MATCHPERFECTION_100x197"/>
    <n v="0"/>
    <n v="0"/>
  </r>
  <r>
    <x v="1"/>
    <s v="RIMMEL"/>
    <s v="V_MATCHP20X20"/>
    <x v="2"/>
    <s v="VISUAL RIM- MATCHPERFECTION_200x200"/>
    <n v="0"/>
    <n v="0"/>
  </r>
  <r>
    <x v="1"/>
    <s v="RIMMEL"/>
    <s v="V_MATP_39X200"/>
    <x v="2"/>
    <s v="VISUAL RIM- MATCH PERFECTION_39x200"/>
    <n v="0"/>
    <n v="0"/>
  </r>
  <r>
    <x v="1"/>
    <s v="MAXFACTOR"/>
    <s v="V_MIBLU_MINI"/>
    <x v="2"/>
    <s v="MINI_VISUAL_ MIRACLEPUREBLUSH_80X200"/>
    <n v="0"/>
    <n v="0"/>
  </r>
  <r>
    <x v="1"/>
    <s v="MAXFACTOR"/>
    <s v="V_MICONC_MINI"/>
    <x v="2"/>
    <s v="MINI_VISUAL_ MIRACLEPURECONCEALER_80X200"/>
    <n v="0"/>
    <n v="0"/>
  </r>
  <r>
    <x v="1"/>
    <s v="MAXFACTOR"/>
    <s v="V_MICROMAK_F26"/>
    <x v="2"/>
    <s v="VISUAL MXF- MASTERPIECE MICROMAKER 200X200"/>
    <n v="0"/>
    <n v="0"/>
  </r>
  <r>
    <x v="1"/>
    <s v="MAXFACTOR"/>
    <s v="V_MIPURE_MINI"/>
    <x v="2"/>
    <s v="MINI_VISUAL_ MIRACLEPURE_80X200"/>
    <n v="0"/>
    <n v="0"/>
  </r>
  <r>
    <x v="1"/>
    <s v="MAXFACTOR"/>
    <s v="V_MIRACLUM"/>
    <x v="2"/>
    <s v="VISUAL MIRACLE PURE LUMINOUS TOUCH"/>
    <n v="0"/>
    <n v="0"/>
  </r>
  <r>
    <x v="1"/>
    <s v="MAXFACTOR"/>
    <s v="V_MISKIN_MINI"/>
    <x v="2"/>
    <s v="MINI_VISUAL_ MIRACLESKIN_80X200"/>
    <n v="0"/>
    <n v="0"/>
  </r>
  <r>
    <x v="1"/>
    <s v="RIMMEL"/>
    <s v="V_MULTCONC_F26"/>
    <x v="2"/>
    <s v="VISUAL RIM- MULTITASKERCONCEALER_100x197"/>
    <n v="0"/>
    <n v="0"/>
  </r>
  <r>
    <x v="1"/>
    <s v="RIMMEL"/>
    <s v="V_MULTIC_MINI"/>
    <x v="2"/>
    <s v="MINI_VISUAL_ MULTITASKER_CONCEALER_80X200"/>
    <n v="0"/>
    <n v="0"/>
  </r>
  <r>
    <x v="1"/>
    <s v="MAXFACTOR"/>
    <s v="V_MULTIP_MINI"/>
    <x v="2"/>
    <s v="MINI_VISUAL_ MULTIPERFECTOR_80X200"/>
    <n v="0"/>
    <n v="0"/>
  </r>
  <r>
    <x v="1"/>
    <s v="MAXFACTOR"/>
    <s v="V_MXFMETA_F26"/>
    <x v="2"/>
    <s v="VISUAL_IMAGEN_MXF_400x200"/>
    <n v="0"/>
    <n v="0"/>
  </r>
  <r>
    <x v="1"/>
    <s v="RIMMEL"/>
    <s v="V_NAIL__MINI"/>
    <x v="2"/>
    <s v="MINI_VISUAL_ NAIL_TREATMENT_80X200"/>
    <n v="0"/>
    <n v="0"/>
  </r>
  <r>
    <x v="1"/>
    <s v="MAXFACTOR"/>
    <s v="V_NAILF_MINI"/>
    <x v="2"/>
    <s v="MINI_VISUAL_ NAILFINITY_80X200"/>
    <n v="0"/>
    <n v="0"/>
  </r>
  <r>
    <x v="1"/>
    <s v="MAXFACTOR"/>
    <s v="V_PERFORM_F26"/>
    <x v="2"/>
    <s v="VISUAL MXF_LASTINGPERFORMANCE_100x197"/>
    <n v="0"/>
    <n v="0"/>
  </r>
  <r>
    <x v="1"/>
    <s v="MAXFACTOR"/>
    <s v="V_PERFORM39X20"/>
    <x v="2"/>
    <s v="VISUAL MXF-LASTING PERFORMANCE_39x200"/>
    <n v="0"/>
    <n v="0"/>
  </r>
  <r>
    <x v="1"/>
    <s v="MAXFACTOR"/>
    <s v="V_POLVO_MINI"/>
    <x v="2"/>
    <s v="MINI_VISUAL_ POLVOS_80X200"/>
    <n v="0"/>
    <n v="0"/>
  </r>
  <r>
    <x v="1"/>
    <s v="RIMMEL"/>
    <s v="V_PROVO_MINI"/>
    <x v="2"/>
    <s v="MINI_VISUAL_ PROVOCALIPS_80X200"/>
    <n v="0"/>
    <n v="0"/>
  </r>
  <r>
    <x v="1"/>
    <s v="MAXFACTOR"/>
    <s v="V_RBROWN20_F26"/>
    <x v="2"/>
    <s v="VISUAL MXF_ REALBROW_199x197"/>
    <n v="0"/>
    <n v="0"/>
  </r>
  <r>
    <x v="1"/>
    <s v="RIMMEL"/>
    <s v="V_RIMMETA_F26"/>
    <x v="2"/>
    <s v="VISUAL_IMAGEN_RIM_400x200"/>
    <n v="0"/>
    <n v="0"/>
  </r>
  <r>
    <x v="1"/>
    <s v="RIMMEL"/>
    <s v="V_SCAND_F26"/>
    <x v="2"/>
    <s v="VISUAL RIM- SCANDALEYES_100x197"/>
    <n v="0"/>
    <n v="0"/>
  </r>
  <r>
    <x v="1"/>
    <s v="RIMMEL"/>
    <s v="V_SCAND_MINI"/>
    <x v="2"/>
    <s v="MINI_VISUAL_ SCANDALEYES_80X200"/>
    <n v="0"/>
    <n v="0"/>
  </r>
  <r>
    <x v="1"/>
    <s v="RIMMEL"/>
    <s v="V_SCAND20_F26"/>
    <x v="2"/>
    <s v="VISUAL RIM- SCANDALEYES_199x197"/>
    <n v="0"/>
    <n v="0"/>
  </r>
  <r>
    <x v="1"/>
    <s v="MAXFACTOR"/>
    <s v="V_SERUMFUND"/>
    <x v="2"/>
    <s v="VISUAL MIRACLE PURE SKIN RESET 2 EN 1SERUM"/>
    <n v="0"/>
    <n v="0"/>
  </r>
  <r>
    <x v="1"/>
    <s v="RIMMEL"/>
    <s v="V_SHAD_MINI"/>
    <x v="2"/>
    <s v="MINI_VISUAL_ SHADOWSTICK_80X200"/>
    <n v="0"/>
    <n v="0"/>
  </r>
  <r>
    <x v="1"/>
    <s v="MAXFACTOR"/>
    <s v="V_SOMB_MINI"/>
    <x v="2"/>
    <s v="MINI_VISUAL_ MASTERPIECESOMBRAS_80X200"/>
    <n v="0"/>
    <n v="0"/>
  </r>
  <r>
    <x v="1"/>
    <s v="RIMMEL"/>
    <s v="V_STAYM10X20"/>
    <x v="2"/>
    <s v="VISUAL RIM-SATYMATTE_100x97"/>
    <n v="0"/>
    <n v="0"/>
  </r>
  <r>
    <x v="1"/>
    <s v="RIMMEL"/>
    <s v="V_STAYM20X20"/>
    <x v="2"/>
    <s v="VISUAL RIM-SATYMATTE_200x200"/>
    <n v="0"/>
    <n v="0"/>
  </r>
  <r>
    <x v="1"/>
    <s v="RIMMEL"/>
    <s v="V_SUPERGELNEO"/>
    <x v="2"/>
    <s v="VISUAL SUPER GEL NEO 30x30"/>
    <n v="0"/>
    <n v="0"/>
  </r>
  <r>
    <x v="1"/>
    <s v="RIMMEL"/>
    <s v="V_SUPGEL_10X20"/>
    <x v="2"/>
    <s v="VISUAL RIM -SUPERGEL_100x97"/>
    <n v="0"/>
    <n v="0"/>
  </r>
  <r>
    <x v="1"/>
    <s v="RIMMEL"/>
    <s v="V_THRILL_F26"/>
    <x v="2"/>
    <s v="VISUAL RIM- THRILL_SEEKER_100x197"/>
    <n v="0"/>
    <n v="0"/>
  </r>
  <r>
    <x v="1"/>
    <s v="RIMMEL"/>
    <s v="V_THRILL20_F26"/>
    <x v="2"/>
    <s v="VISUAL MXF - THRILL_SEEKER_199x197"/>
    <n v="0"/>
    <n v="0"/>
  </r>
  <r>
    <x v="1"/>
    <s v="RIMMEL"/>
    <s v="V_THS_8_MINI"/>
    <x v="2"/>
    <s v="MINI_VISUAL_ THS_80X200"/>
    <n v="0"/>
    <n v="0"/>
  </r>
  <r>
    <x v="1"/>
    <s v="RIMMEL"/>
    <s v="V_THSGL_MINI"/>
    <x v="2"/>
    <s v="MINI_VISUAL_ THSGLOSS_80X200"/>
    <n v="0"/>
    <n v="0"/>
  </r>
  <r>
    <x v="1"/>
    <s v="RIMMEL"/>
    <s v="V_WONDE_MINI"/>
    <x v="2"/>
    <s v="MINI_VISUAL_ WONDER_80X200"/>
    <n v="0"/>
    <n v="0"/>
  </r>
  <r>
    <x v="1"/>
    <s v="RIMMEL"/>
    <s v="V_WONDER_F26"/>
    <x v="2"/>
    <s v="VISUAL RIM- WONDERBOND_100x197"/>
    <n v="0"/>
    <n v="0"/>
  </r>
  <r>
    <x v="1"/>
    <s v="RIMMEL"/>
    <s v="V_WONDER20_F26"/>
    <x v="2"/>
    <s v="VISUAL RIM- WONDERBOND_199x197"/>
    <n v="0"/>
    <n v="0"/>
  </r>
  <r>
    <x v="1"/>
    <s v="MAXFACTOR"/>
    <s v="V_WOWL_MINI"/>
    <x v="2"/>
    <s v="MINI_VISUAL_ WOWLINER_80X200"/>
    <n v="0"/>
    <n v="0"/>
  </r>
  <r>
    <x v="1"/>
    <s v="MAXFACTOR"/>
    <s v="V_WOWLIN39X20"/>
    <x v="2"/>
    <s v="VISUAL MXF-MASTERPIECE WOW_39x200"/>
    <n v="0"/>
    <n v="0"/>
  </r>
  <r>
    <x v="1"/>
    <s v="MAXFACTOR"/>
    <s v="V_WOWLINER_F26"/>
    <x v="2"/>
    <s v="VISUAL MXF - MASTEPIECE WOW LINER 199x197"/>
    <n v="0"/>
    <n v="0"/>
  </r>
  <r>
    <x v="1"/>
    <s v="BOURJOIS"/>
    <s v="VBJPORT1"/>
    <x v="2"/>
    <s v="VISUALES BJNEXTGEN120 PORTUGAL"/>
    <n v="0"/>
    <n v="0"/>
  </r>
  <r>
    <x v="1"/>
    <s v="BOURJOIS"/>
    <s v="VBJPORT2"/>
    <x v="2"/>
    <s v="VISUALES BJNEXTGEN2M PORTUGAL"/>
    <n v="0"/>
    <n v="0"/>
  </r>
  <r>
    <x v="1"/>
    <s v="MAXFACTOR"/>
    <s v="XG030725"/>
    <x v="2"/>
    <s v="KIT H2FY25"/>
    <n v="0"/>
    <n v="0"/>
  </r>
  <r>
    <x v="1"/>
    <s v="RIMMEL"/>
    <s v="RIMP145_F26"/>
    <x v="3"/>
    <s v="60 SEC"/>
    <n v="0"/>
    <n v="0"/>
  </r>
  <r>
    <x v="1"/>
    <s v="RIMMEL"/>
    <s v="RIMP146_F26"/>
    <x v="4"/>
    <s v="GEL"/>
    <n v="0"/>
    <n v="0"/>
  </r>
  <r>
    <x v="1"/>
    <s v="RIMMEL"/>
    <s v="RIMP146_F26"/>
    <x v="5"/>
    <s v="GEL"/>
    <n v="0"/>
    <n v="0"/>
  </r>
  <r>
    <x v="1"/>
    <s v="RIMMEL"/>
    <s v="RIM IF 125"/>
    <x v="6"/>
    <s v="LASTING FINISH 35H + MULTITASKER"/>
    <n v="0"/>
    <n v="0"/>
  </r>
  <r>
    <x v="1"/>
    <s v="RIMMEL"/>
    <s v="RIMP156_F26"/>
    <x v="6"/>
    <s v="NAIL TREATMENT"/>
    <n v="0"/>
    <n v="0"/>
  </r>
  <r>
    <x v="1"/>
    <s v="BOURJOIS"/>
    <s v="NEXTGENBASE120"/>
    <x v="7"/>
    <s v="NEXT GEN BASE 120 H2FY25 WILLSON"/>
    <n v="0"/>
    <n v="0"/>
  </r>
  <r>
    <x v="1"/>
    <s v="RIMMEL"/>
    <s v="RIMP156_F26"/>
    <x v="7"/>
    <s v="NAIL TREATMENT"/>
    <n v="0"/>
    <n v="0"/>
  </r>
  <r>
    <x v="1"/>
    <s v="RIMMEL"/>
    <s v="RIMP160_F26"/>
    <x v="8"/>
    <s v="LF COMPACT"/>
    <n v="0"/>
    <n v="0"/>
  </r>
  <r>
    <x v="1"/>
    <s v="RIMMEL"/>
    <s v="RIMP138_F26"/>
    <x v="9"/>
    <s v="MATCH PERFECTION (F4+VISUAL)"/>
    <n v="0"/>
    <n v="0"/>
  </r>
  <r>
    <x v="1"/>
    <s v="BOURJOIS"/>
    <s v="NEXTGENBASE120"/>
    <x v="10"/>
    <s v="NEXT GEN BASE 120 H2FY25 WILLSON"/>
    <n v="0"/>
    <n v="0"/>
  </r>
  <r>
    <x v="1"/>
    <s v="RIMMEL"/>
    <s v="MXFP155_F26"/>
    <x v="11"/>
    <s v="FACEFINITY BLUSH"/>
    <n v="0"/>
    <n v="0"/>
  </r>
  <r>
    <x v="1"/>
    <s v="RIMMEL"/>
    <s v="RIMP129_F26"/>
    <x v="12"/>
    <s v="HOT SPOT"/>
    <n v="0"/>
    <n v="0"/>
  </r>
  <r>
    <x v="1"/>
    <s v="RIMMEL"/>
    <s v="RIMP129_F26"/>
    <x v="13"/>
    <s v="HOT SPOT"/>
    <n v="0"/>
    <n v="0"/>
  </r>
  <r>
    <x v="1"/>
    <s v="RIMMEL"/>
    <s v="RIMP129_F26"/>
    <x v="14"/>
    <s v="HOT SPOT"/>
    <n v="0"/>
    <n v="0"/>
  </r>
  <r>
    <x v="2"/>
    <m/>
    <n v="54006522"/>
    <x v="15"/>
    <s v="ACT GONDOLA NOV SHINE"/>
    <n v="0"/>
    <n v="0"/>
  </r>
  <r>
    <x v="1"/>
    <s v="BOURJOIS"/>
    <s v="BJ0015"/>
    <x v="15"/>
    <s v="BJ_BASE_FD 120CM"/>
    <n v="0"/>
    <n v="0"/>
  </r>
  <r>
    <x v="5"/>
    <s v="RIMMEL"/>
    <s v="RIM127_F26"/>
    <x v="15"/>
    <s v="BANDEJA MULTITASKER PUSH PARA MUEBLE NEO"/>
    <n v="0"/>
    <n v="0"/>
  </r>
  <r>
    <x v="1"/>
    <s v="BOURJOIS"/>
    <s v="BJ0015"/>
    <x v="16"/>
    <s v="BJ_BASE_FD 120CM"/>
    <n v="0"/>
    <n v="0"/>
  </r>
  <r>
    <x v="5"/>
    <s v="RIMMEL"/>
    <s v="RIM128_F26"/>
    <x v="16"/>
    <s v="BANDEJA LIP LATEX+LIPOIL PARA MUEBLE NEO"/>
    <n v="0"/>
    <n v="0"/>
  </r>
  <r>
    <x v="5"/>
    <s v="RIMMEL"/>
    <s v="RIM130_F26"/>
    <x v="17"/>
    <s v="BANDEJA MASCARAS THS+K&amp;F+SERUM PARA MUEBLE NEO"/>
    <n v="0"/>
    <n v="0"/>
  </r>
  <r>
    <x v="5"/>
    <s v="MAXFACTOR"/>
    <s v="MXF152_F26"/>
    <x v="18"/>
    <s v="BANDEJA COLOUR EXILIR PARA MUEBLE NEO"/>
    <n v="0"/>
    <n v="0"/>
  </r>
  <r>
    <x v="2"/>
    <m/>
    <n v="54005696"/>
    <x v="19"/>
    <s v="HOTSPOT GONDOLA 2M FY25_EVCASH"/>
    <n v="0"/>
    <n v="0"/>
  </r>
  <r>
    <x v="2"/>
    <m/>
    <n v="54005884"/>
    <x v="19"/>
    <s v="HOTSPOT GONDOLA 2M FY25_SHINE"/>
    <n v="0"/>
    <n v="0"/>
  </r>
  <r>
    <x v="2"/>
    <m/>
    <n v="54006460"/>
    <x v="20"/>
    <s v="ACT GONDOLA NOV JUICY LIPGLOSS"/>
    <n v="0"/>
    <n v="0"/>
  </r>
  <r>
    <x v="2"/>
    <m/>
    <n v="54006523"/>
    <x v="20"/>
    <s v="ACT GONDOLA NOV BLUSHER"/>
    <n v="0"/>
    <n v="0"/>
  </r>
  <r>
    <x v="1"/>
    <s v="BOURJOIS"/>
    <s v="BJS_NEWGENBASE120"/>
    <x v="21"/>
    <s v="BJS BB 120 base H2 FY24 WILLSON"/>
    <n v="0"/>
    <n v="0"/>
  </r>
  <r>
    <x v="1"/>
    <s v="RIMMEL"/>
    <s v="BMIBAR120_26"/>
    <x v="21"/>
    <s v="BASE MIBAR 120 H2FY26"/>
    <n v="0"/>
    <n v="0"/>
  </r>
  <r>
    <x v="1"/>
    <s v="VARIAS"/>
    <s v="REVMATERIAL"/>
    <x v="22"/>
    <s v="MATERIAL PARA REVISAR"/>
    <n v="0"/>
    <n v="0"/>
  </r>
  <r>
    <x v="1"/>
    <s v="RIMMEL"/>
    <s v="BMIBAR120_26"/>
    <x v="23"/>
    <s v="BASE MIBAR 120 H2FY26"/>
    <n v="0"/>
    <n v="0"/>
  </r>
  <r>
    <x v="1"/>
    <s v="RIMMEL"/>
    <s v="DEV19"/>
    <x v="23"/>
    <s v="RIM_BASE_IBAR 1.2M DEV"/>
    <n v="0"/>
    <n v="0"/>
  </r>
  <r>
    <x v="1"/>
    <s v="MAXFACTOR"/>
    <s v="MXF_BASEH4120"/>
    <x v="24"/>
    <s v="MXF BASE BBH4 1.2M H1 FY24 DIAM"/>
    <n v="0"/>
    <n v="0"/>
  </r>
  <r>
    <x v="1"/>
    <s v="SALLY HANSEN"/>
    <s v="SHBALDAS"/>
    <x v="24"/>
    <s v="KIT SPINNER BALDAS"/>
    <n v="0"/>
    <n v="0"/>
  </r>
  <r>
    <x v="2"/>
    <s v="FLORMAR"/>
    <n v="54005267"/>
    <x v="25"/>
    <s v="NC WU BLUSH FAMILY 3SKU-VISUAL"/>
    <n v="0"/>
    <n v="0"/>
  </r>
  <r>
    <x v="2"/>
    <s v="FLORMAR"/>
    <n v="54005395"/>
    <x v="25"/>
    <s v="NC WU LOOSE POWDER 3SKU-VISUAL"/>
    <n v="0"/>
    <n v="0"/>
  </r>
  <r>
    <x v="2"/>
    <s v="FLORMAR"/>
    <n v="54005530"/>
    <x v="25"/>
    <s v="NC WU LWLP STICK-WATER LIP STAIN-VISUAL"/>
    <n v="0"/>
    <n v="0"/>
  </r>
  <r>
    <x v="2"/>
    <s v="FLORMAR"/>
    <n v="54005566"/>
    <x v="25"/>
    <s v="NC WU SMOOTH SKIN FOUN.-HD FOUN.-VISUAL"/>
    <n v="0"/>
    <n v="0"/>
  </r>
  <r>
    <x v="2"/>
    <s v="FLORMAR"/>
    <n v="54005785"/>
    <x v="25"/>
    <s v="NC WU CC CREAM-ALL DAY SPRAY"/>
    <n v="0"/>
    <n v="0"/>
  </r>
  <r>
    <x v="2"/>
    <s v="FLORMAR"/>
    <n v="54005832"/>
    <x v="25"/>
    <s v="NC WU STAY PERFECT CONCEALER 5F"/>
    <n v="0"/>
    <n v="0"/>
  </r>
  <r>
    <x v="2"/>
    <s v="FLORMAR"/>
    <n v="54006104"/>
    <x v="25"/>
    <s v="NC WU PERFECT COVERAGE&amp;STAY PERFECT&amp;LIP&amp;CHEEK"/>
    <n v="0"/>
    <n v="0"/>
  </r>
  <r>
    <x v="1"/>
    <s v="MAXFACTOR"/>
    <s v="MXFKIT_ATILA98"/>
    <x v="26"/>
    <s v="MXF KIT H1FY24 ATILA 98"/>
    <n v="0"/>
    <n v="0"/>
  </r>
  <r>
    <x v="1"/>
    <s v="VARIAS"/>
    <s v="XG150725.1"/>
    <x v="26"/>
    <s v="KITS H2FY25 RIMMEL Y MAX FACTOR"/>
    <n v="0"/>
    <n v="0"/>
  </r>
  <r>
    <x v="4"/>
    <s v="WET N WILD"/>
    <s v="WW TEST2024"/>
    <x v="27"/>
    <m/>
    <n v="0"/>
    <n v="0"/>
  </r>
  <r>
    <x v="4"/>
    <s v="PHYSICIANS FORM"/>
    <s v="PF_DIC2"/>
    <x v="28"/>
    <s v="TESTER PF 2024"/>
    <n v="0"/>
    <n v="0"/>
  </r>
  <r>
    <x v="1"/>
    <s v="MAXFACTOR"/>
    <s v="MXF 116"/>
    <x v="29"/>
    <s v="MXF_BANDEJA_116 LIPFINITY VELVET MATTE FOOD"/>
    <n v="0"/>
    <n v="0"/>
  </r>
  <r>
    <x v="1"/>
    <s v="MAXFACTOR"/>
    <s v="PGT410150001"/>
    <x v="30"/>
    <s v="COLOUR ELIXIR LIPSTICK AND PENCILS 6F"/>
    <n v="0"/>
    <n v="0"/>
  </r>
  <r>
    <x v="1"/>
    <s v="MAXFACTOR"/>
    <s v="PGT410360001"/>
    <x v="30"/>
    <s v="COLOUR X-PERT SOFT TOUCH PALETTE 2F"/>
    <n v="0"/>
    <n v="0"/>
  </r>
  <r>
    <x v="1"/>
    <s v="MAXFACTOR"/>
    <s v="PGT410361001"/>
    <x v="30"/>
    <s v="DIVINE LASHES MASCARA 2F"/>
    <n v="0"/>
    <n v="0"/>
  </r>
  <r>
    <x v="1"/>
    <s v="MAXFACTOR"/>
    <s v="PGT410442001"/>
    <x v="31"/>
    <s v="LASTING PERFORMANCE RESTAGE (2020) 2F"/>
    <n v="0"/>
    <n v="0"/>
  </r>
  <r>
    <x v="1"/>
    <s v="MAXFACTOR"/>
    <s v="PGT410540001"/>
    <x v="31"/>
    <s v="MIRACLE PURE FOUNDATION (TESTER ROOF) 3F"/>
    <n v="0"/>
    <n v="0"/>
  </r>
  <r>
    <x v="1"/>
    <s v="MAXFACTOR"/>
    <s v="PGT410541001"/>
    <x v="31"/>
    <s v="MIRACLE PURE SERUM - TESTING (CLEAR) 2F"/>
    <n v="0"/>
    <n v="0"/>
  </r>
  <r>
    <x v="1"/>
    <s v="MAXFACTOR"/>
    <s v="PGT410542001"/>
    <x v="31"/>
    <s v="MIRACLE PURE FOUNDATION (CLEAR) 2F"/>
    <n v="0"/>
    <n v="0"/>
  </r>
  <r>
    <x v="1"/>
    <s v="MAXFACTOR"/>
    <s v="PGT410197001.1"/>
    <x v="32"/>
    <s v="ALL DAY FLAWLESS 3F"/>
    <n v="0"/>
    <n v="0"/>
  </r>
  <r>
    <x v="1"/>
    <s v="MAXFACTOR"/>
    <s v="PGT410197001.2"/>
    <x v="32"/>
    <s v="RESTAGE LASTING PERFORMANCE 3F"/>
    <n v="0"/>
    <n v="0"/>
  </r>
  <r>
    <x v="1"/>
    <s v="MAXFACTOR"/>
    <s v="RL2110120001"/>
    <x v="32"/>
    <s v="3F NAILS 2 TIER 6F"/>
    <n v="0"/>
    <n v="0"/>
  </r>
  <r>
    <x v="1"/>
    <s v="MAXFACTOR"/>
    <s v="PGT410406001"/>
    <x v="33"/>
    <s v="FACEFINITY ALL DAY CONCEALER 3F"/>
    <n v="0"/>
    <n v="0"/>
  </r>
  <r>
    <x v="1"/>
    <s v="MAXFACTOR"/>
    <s v="PGT410406004"/>
    <x v="33"/>
    <s v="MIRACLE PURE CONCEALER (CLEAR) 3F"/>
    <n v="0"/>
    <n v="0"/>
  </r>
  <r>
    <x v="1"/>
    <s v="MAXFACTOR"/>
    <s v="PGT410515001.1"/>
    <x v="33"/>
    <s v="2000 CALORIE LIP GLAZE 3F"/>
    <n v="0"/>
    <n v="0"/>
  </r>
  <r>
    <x v="1"/>
    <s v="MAXFACTOR"/>
    <s v="PGT410515001.2"/>
    <x v="33"/>
    <s v="FACEFINITY MULTI PERFECTOR CONCEALER 3F"/>
    <n v="0"/>
    <n v="0"/>
  </r>
  <r>
    <x v="1"/>
    <s v="MAXFACTOR"/>
    <s v="PGT410539003"/>
    <x v="33"/>
    <s v="MASTERPIECE MONO EYESHADOW 3F"/>
    <n v="0"/>
    <n v="0"/>
  </r>
  <r>
    <x v="1"/>
    <s v="MAXFACTOR"/>
    <s v="PGT410885002"/>
    <x v="33"/>
    <s v="FACEFINITY COMPACT REFILL 4F"/>
    <n v="0"/>
    <n v="0"/>
  </r>
  <r>
    <x v="1"/>
    <s v="MAXFACTOR"/>
    <s v="PGT410138001"/>
    <x v="34"/>
    <s v="LIPFINITY VELVET MATTE 3F"/>
    <n v="0"/>
    <n v="0"/>
  </r>
  <r>
    <x v="1"/>
    <s v="MAXFACTOR"/>
    <s v="PGT410152001"/>
    <x v="34"/>
    <s v="LIPFINITY 2F"/>
    <n v="0"/>
    <n v="0"/>
  </r>
  <r>
    <x v="1"/>
    <s v="MAXFACTOR"/>
    <s v="PGT410405004"/>
    <x v="34"/>
    <s v="MIRACLE PURE CONCEALER (CLEAR) 2F"/>
    <n v="0"/>
    <n v="0"/>
  </r>
  <r>
    <x v="1"/>
    <s v="MAXFACTOR"/>
    <s v="PGT410128001.1"/>
    <x v="35"/>
    <s v="FALSE LASH EFFECT MASCARA 3F"/>
    <n v="0"/>
    <n v="0"/>
  </r>
  <r>
    <x v="1"/>
    <s v="MAXFACTOR"/>
    <s v="PGT410128001.2"/>
    <x v="35"/>
    <s v="LASH REVIVAL 3F"/>
    <n v="0"/>
    <n v="0"/>
  </r>
  <r>
    <x v="1"/>
    <s v="MAXFACTOR"/>
    <s v="PGT410153001"/>
    <x v="35"/>
    <s v="LIPFINITY 3F"/>
    <n v="0"/>
    <n v="0"/>
  </r>
  <r>
    <x v="1"/>
    <s v="MAXFACTOR"/>
    <s v="PGT410381001"/>
    <x v="36"/>
    <s v="LASTING PERFORMANCE SETTING SPRAY 1F"/>
    <n v="0"/>
    <n v="0"/>
  </r>
  <r>
    <x v="1"/>
    <s v="MAXFACTOR"/>
    <s v="PGT410399001"/>
    <x v="36"/>
    <s v="MIRACLE VEIL 1F"/>
    <n v="0"/>
    <n v="0"/>
  </r>
  <r>
    <x v="1"/>
    <s v="MAXFACTOR"/>
    <s v="PGT410927001"/>
    <x v="36"/>
    <s v="NAIL MODULE (NAILFINITY)"/>
    <n v="0"/>
    <n v="0"/>
  </r>
  <r>
    <x v="1"/>
    <s v="MAXFACTOR"/>
    <s v="PGT410607002.1"/>
    <x v="37"/>
    <s v="MIRACLE PURE BLUSH (CLEAR) 2F"/>
    <n v="0"/>
    <n v="0"/>
  </r>
  <r>
    <x v="1"/>
    <s v="MAXFACTOR"/>
    <s v="PGT410607002.2"/>
    <x v="37"/>
    <s v="MIRACLE PURE GOLDEN GLOW BRONZER 2F"/>
    <n v="0"/>
    <n v="0"/>
  </r>
  <r>
    <x v="1"/>
    <s v="MAXFACTOR"/>
    <s v="PGT410610002"/>
    <x v="37"/>
    <s v="MIRACLE PURE EYE ENHANCER 3F"/>
    <n v="0"/>
    <n v="0"/>
  </r>
  <r>
    <x v="1"/>
    <s v="MAXFACTOR"/>
    <s v="PGT410409001"/>
    <x v="38"/>
    <s v="LINER BAR 57F"/>
    <n v="0"/>
    <n v="0"/>
  </r>
  <r>
    <x v="1"/>
    <m/>
    <s v="COTY0092"/>
    <x v="39"/>
    <s v="FOOD_PORTA ETIQUETA 65X40 MM"/>
    <n v="0"/>
    <n v="0"/>
  </r>
  <r>
    <x v="1"/>
    <s v="MAXFACTOR"/>
    <s v="MXF 114"/>
    <x v="40"/>
    <s v="MXF_BANDEJA_114 MIRACLE TOUCH FOUNDATION FOOD"/>
    <n v="0"/>
    <n v="0"/>
  </r>
  <r>
    <x v="1"/>
    <s v="MAXFACTOR"/>
    <s v="MXF 116"/>
    <x v="40"/>
    <s v="MXF_BANDEJA_116 LIPFINITY VELVET MATTE FOOD"/>
    <n v="0"/>
    <n v="0"/>
  </r>
  <r>
    <x v="1"/>
    <s v="MAXFACTOR"/>
    <s v="MXF 125"/>
    <x v="40"/>
    <s v="MXF_BANDEJA_125 SECOND SKIN+SETTING SPRAY FOOD"/>
    <n v="0"/>
    <n v="0"/>
  </r>
  <r>
    <x v="1"/>
    <s v="MAXFACTOR"/>
    <s v="MXF 139"/>
    <x v="40"/>
    <s v="MXF_BANDEJA_139 SERUM FOOD"/>
    <n v="0"/>
    <n v="0"/>
  </r>
  <r>
    <x v="1"/>
    <s v="MAXFACTOR"/>
    <s v="MXF 134"/>
    <x v="41"/>
    <s v="MXF_BANDEJA_134 MASTERPIECE SHADOW FOOD"/>
    <n v="0"/>
    <n v="0"/>
  </r>
  <r>
    <x v="1"/>
    <s v="MAXFACTOR"/>
    <s v="PREXMXF"/>
    <x v="41"/>
    <s v="PREX MAX FACTOR"/>
    <n v="0"/>
    <n v="0"/>
  </r>
  <r>
    <x v="1"/>
    <s v="RIMMEL"/>
    <s v="PREXRIM"/>
    <x v="41"/>
    <s v="PREX RIMMEL"/>
    <n v="0"/>
    <n v="0"/>
  </r>
  <r>
    <x v="1"/>
    <s v="RIMMEL "/>
    <s v="RIM 101"/>
    <x v="41"/>
    <s v="RIM_BANDEJA_101 WONDER CLOUD FOOD"/>
    <n v="0"/>
    <n v="0"/>
  </r>
  <r>
    <x v="1"/>
    <s v="RIMMEL"/>
    <s v="RIM 120"/>
    <x v="41"/>
    <s v="RIM_BANDEJA_120 Lasting Mega Matte"/>
    <n v="0"/>
    <n v="0"/>
  </r>
  <r>
    <x v="1"/>
    <s v="MAXFACTOR"/>
    <s v="MXF178_NEO"/>
    <x v="42"/>
    <s v="BANDEJA PARA NEO SIN VISUAL"/>
    <n v="0"/>
    <n v="0"/>
  </r>
  <r>
    <x v="1"/>
    <s v="RIMMEL"/>
    <s v="RIM159_NEO"/>
    <x v="42"/>
    <s v="BANDEJA PARA NEO SIN VISUAL"/>
    <n v="0"/>
    <n v="0"/>
  </r>
  <r>
    <x v="1"/>
    <s v="RIMMEL"/>
    <s v="RIM160_NEO"/>
    <x v="42"/>
    <s v="BANDEJA PARA NEO SIN VISUAL"/>
    <n v="0"/>
    <n v="0"/>
  </r>
  <r>
    <x v="3"/>
    <m/>
    <s v="TIRAS_2025_PO"/>
    <x v="42"/>
    <s v="tiras graficas 2025 portugues"/>
    <n v="0"/>
    <n v="0"/>
  </r>
  <r>
    <x v="4"/>
    <s v="WET N WILD"/>
    <s v="WW_2025_T"/>
    <x v="42"/>
    <s v="TESTER"/>
    <n v="0"/>
    <n v="0"/>
  </r>
  <r>
    <x v="1"/>
    <s v="RIMMEL"/>
    <s v="RIM 119"/>
    <x v="43"/>
    <s v="RIM_BANDEJA_119 Lasting Finish 35h NEO"/>
    <n v="0"/>
    <n v="0"/>
  </r>
  <r>
    <x v="3"/>
    <m/>
    <s v="TIRAS_08_2025"/>
    <x v="43"/>
    <s v="TIRAS GRAFICAS AGOSTO 2025"/>
    <n v="0"/>
    <n v="0"/>
  </r>
  <r>
    <x v="1"/>
    <s v="RIMMEL"/>
    <s v="RIM 118"/>
    <x v="44"/>
    <s v="RIM_BANDEJA_118 MASCARAS"/>
    <n v="0"/>
    <n v="0"/>
  </r>
  <r>
    <x v="1"/>
    <s v="MAXFACTOR"/>
    <s v="MXF 116"/>
    <x v="45"/>
    <s v="MXF_BANDEJA_116 LIPFINITY VELVET MATTE FOOD"/>
    <n v="0"/>
    <n v="0"/>
  </r>
  <r>
    <x v="1"/>
    <s v="VARIAS"/>
    <s v="XG150725.2"/>
    <x v="46"/>
    <s v="KITS H1FY25 RIMMEL Y MAX FACTOR"/>
    <n v="0"/>
    <n v="0"/>
  </r>
  <r>
    <x v="4"/>
    <s v="PHYSICIANS FORM"/>
    <s v="CONVKIT 24"/>
    <x v="47"/>
    <s v="KITS CONVERSION WET FY24"/>
    <n v="0"/>
    <n v="0"/>
  </r>
  <r>
    <x v="4"/>
    <s v="WET N WILD"/>
    <s v="WW TEST2024"/>
    <x v="47"/>
    <m/>
    <n v="0"/>
    <n v="0"/>
  </r>
  <r>
    <x v="1"/>
    <s v="RIMMEL "/>
    <s v="RIM 108"/>
    <x v="48"/>
    <s v="RIM_BANDEJA_108 K&amp;F FOOD"/>
    <n v="0"/>
    <n v="0"/>
  </r>
  <r>
    <x v="2"/>
    <s v="FLORMAR"/>
    <n v="54004443"/>
    <x v="49"/>
    <s v="NC WU PNCL SINGLE"/>
    <n v="0"/>
    <n v="0"/>
  </r>
  <r>
    <x v="2"/>
    <s v="FLORMAR"/>
    <n v="54004838"/>
    <x v="49"/>
    <s v="NC WU KISS ME MORE LIP TATTOO 10 SKU"/>
    <n v="0"/>
    <n v="0"/>
  </r>
  <r>
    <x v="2"/>
    <s v="FLORMAR"/>
    <n v="54004919"/>
    <x v="49"/>
    <s v="NC WU LIGHTW. LIP POWDER-SUPERMATTE"/>
    <n v="0"/>
    <n v="0"/>
  </r>
  <r>
    <x v="2"/>
    <s v="FLORMAR"/>
    <n v="54005415"/>
    <x v="49"/>
    <s v="NC WU EYESHADOW PALETTE 3SKU-PENCIL"/>
    <n v="0"/>
    <n v="0"/>
  </r>
  <r>
    <x v="2"/>
    <s v="FLORMAR"/>
    <n v="54005589"/>
    <x v="49"/>
    <s v="NC WU SILK MATTE 12F-VISUAL"/>
    <n v="0"/>
    <n v="0"/>
  </r>
  <r>
    <x v="2"/>
    <s v="FLORMAR"/>
    <n v="54005592"/>
    <x v="49"/>
    <s v="NC WU SUPERMATTE 6F-LIP PENCILS 4F"/>
    <n v="0"/>
    <n v="0"/>
  </r>
  <r>
    <x v="2"/>
    <s v="FLORMAR"/>
    <n v="54005676"/>
    <x v="49"/>
    <s v="NC WU EQUIPMENT FOR MODULE TESTER SHORT"/>
    <n v="0"/>
    <n v="0"/>
  </r>
  <r>
    <x v="2"/>
    <s v="FLORMAR"/>
    <n v="54005677"/>
    <x v="49"/>
    <s v="NC WU EQUIPMENT FOR MODULE TESTER LONG"/>
    <n v="0"/>
    <n v="0"/>
  </r>
  <r>
    <x v="3"/>
    <m/>
    <s v="NEO_CAJA1"/>
    <x v="50"/>
    <s v="NEO_CAJA1_PRODUCTO"/>
    <n v="0"/>
    <n v="0"/>
  </r>
  <r>
    <x v="3"/>
    <m/>
    <s v="NEO_CAJAS"/>
    <x v="51"/>
    <s v="SOBRANTE "/>
    <n v="0"/>
    <n v="0"/>
  </r>
  <r>
    <x v="1"/>
    <s v="BOURJOIS"/>
    <s v="29185261000_MARU"/>
    <x v="52"/>
    <s v="BJ_BANDEJA"/>
    <n v="0"/>
    <n v="0"/>
  </r>
  <r>
    <x v="1"/>
    <s v="BOURJOIS"/>
    <s v="99350124542_MARU"/>
    <x v="53"/>
    <s v="BJ_BANDEJA"/>
    <n v="0"/>
    <n v="0"/>
  </r>
  <r>
    <x v="1"/>
    <s v="BOURJOIS"/>
    <s v="29175008000_MARU"/>
    <x v="54"/>
    <s v="BJ_BANDEJA_Foundcealer"/>
    <n v="0"/>
    <n v="0"/>
  </r>
  <r>
    <x v="6"/>
    <s v="ESSENCE"/>
    <s v="BACKTOBACK"/>
    <x v="55"/>
    <s v="BACK TO BACK ESSENCE"/>
    <n v="0"/>
    <n v="0"/>
  </r>
  <r>
    <x v="1"/>
    <s v="MXF_RIM"/>
    <s v="CABUÑASCRF4"/>
    <x v="55"/>
    <s v="CABECERAS DE UÑAS PARA X 4 UNIDADES"/>
    <n v="0"/>
    <n v="0"/>
  </r>
  <r>
    <x v="1"/>
    <s v="MXF_RIM"/>
    <s v="MXF_TESTERATI56"/>
    <x v="55"/>
    <s v="TESTER PARA MUEBLE ATILA 56"/>
    <n v="0"/>
    <n v="0"/>
  </r>
  <r>
    <x v="3"/>
    <m/>
    <s v="NEO_CAJA 16"/>
    <x v="55"/>
    <s v="LACAS DE UÑAS"/>
    <n v="0"/>
    <n v="0"/>
  </r>
  <r>
    <x v="1"/>
    <s v="RIMMEL"/>
    <s v="XG3006.2"/>
    <x v="55"/>
    <s v="KITS MIBAR 2M H1FY25"/>
    <n v="0"/>
    <n v="0"/>
  </r>
  <r>
    <x v="1"/>
    <s v="MAXFACTOR"/>
    <s v="TESTERGPVMXF_26"/>
    <x v="56"/>
    <s v="TESTER GPV MAX FACTOR 26"/>
    <n v="0"/>
    <n v="0"/>
  </r>
  <r>
    <x v="1"/>
    <s v="RIMMEL"/>
    <s v="TESTERGPVRIM_26"/>
    <x v="56"/>
    <s v="TESTER GPV RIMMEL 26"/>
    <n v="0"/>
    <n v="0"/>
  </r>
  <r>
    <x v="1"/>
    <s v="RIMMEL"/>
    <s v="I-00028-01"/>
    <x v="57"/>
    <s v="Foundation regular 1F"/>
    <n v="0"/>
    <n v="0"/>
  </r>
  <r>
    <x v="1"/>
    <s v="RIMMEL"/>
    <s v="I-00033-01"/>
    <x v="57"/>
    <s v="RIM_BANDEJA_ LASTING PROVOCALIPS 3F"/>
    <n v="0"/>
    <n v="0"/>
  </r>
  <r>
    <x v="1"/>
    <s v="RIMMEL"/>
    <s v="I-00035-01"/>
    <x v="57"/>
    <s v="lipstick HideTheBlemish 3F"/>
    <n v="0"/>
    <n v="0"/>
  </r>
  <r>
    <x v="1"/>
    <s v="RIMMEL"/>
    <s v="I-00035-03"/>
    <x v="57"/>
    <s v="lipstick LastingExtremeMatte 3F"/>
    <n v="0"/>
    <n v="0"/>
  </r>
  <r>
    <x v="1"/>
    <s v="RIMMEL"/>
    <s v="I-00036-03"/>
    <x v="57"/>
    <s v="lipstick LastingFinishSatin 4F"/>
    <n v="0"/>
    <n v="0"/>
  </r>
  <r>
    <x v="1"/>
    <s v="RIMMEL"/>
    <s v="I-00126-04"/>
    <x v="57"/>
    <s v="Magnif'eyes E/S 1F"/>
    <n v="0"/>
    <n v="0"/>
  </r>
  <r>
    <x v="3"/>
    <m/>
    <s v="NEO_CABLE"/>
    <x v="58"/>
    <s v="CABLE CON ADAPTADOR"/>
    <n v="0"/>
    <n v="0"/>
  </r>
  <r>
    <x v="1"/>
    <s v="BOURJOIS"/>
    <s v="TESTERBJPORT"/>
    <x v="58"/>
    <s v="TESTER BOURJOIS PORTUGAL"/>
    <n v="0"/>
    <n v="0"/>
  </r>
  <r>
    <x v="3"/>
    <s v="NEONAIL"/>
    <s v="TIRAS_04_2026"/>
    <x v="58"/>
    <s v="TIRAS GRAFICAS ABRIL 2026"/>
    <n v="0"/>
    <n v="0"/>
  </r>
  <r>
    <x v="3"/>
    <s v="NEONAIL"/>
    <s v="TIRAS_04_2026_2"/>
    <x v="58"/>
    <s v="TIRAS GRAFICAS ABRIL 2026 2º ENVIO"/>
    <n v="0"/>
    <n v="0"/>
  </r>
  <r>
    <x v="2"/>
    <m/>
    <s v="TIRAS_GOND_NOV25"/>
    <x v="58"/>
    <s v="ACT GONDOLA NOV"/>
    <n v="0"/>
    <n v="0"/>
  </r>
  <r>
    <x v="2"/>
    <m/>
    <s v="TIRAS_WALL_NOV25"/>
    <x v="58"/>
    <s v="ACT WALL UNIT NOV"/>
    <n v="0"/>
    <n v="0"/>
  </r>
  <r>
    <x v="2"/>
    <s v="FLORMAR"/>
    <s v="WALL_TIRAS_26"/>
    <x v="58"/>
    <s v="TIRAS WALL UNIT JUNIO 26"/>
    <n v="0"/>
    <n v="0"/>
  </r>
  <r>
    <x v="1"/>
    <s v="RIMMEL"/>
    <s v="I-00032-01"/>
    <x v="59"/>
    <s v="RIM_BANDEJA_ LASTING PROVOCALIPS 2F"/>
    <n v="0"/>
    <n v="0"/>
  </r>
  <r>
    <x v="1"/>
    <s v="RIMMEL"/>
    <s v="I-00033-01"/>
    <x v="59"/>
    <s v="RIM_BANDEJA_ LASTING PROVOCALIPS 3F"/>
    <n v="0"/>
    <n v="0"/>
  </r>
  <r>
    <x v="1"/>
    <s v="RIMMEL"/>
    <s v="I-00038-01"/>
    <x v="59"/>
    <s v="BANDEJA RIMMEL SUELTA MIBAR 2M SPANISH"/>
    <n v="0"/>
    <n v="0"/>
  </r>
  <r>
    <x v="1"/>
    <s v="RIMMEL"/>
    <s v="I-00681-02"/>
    <x v="59"/>
    <s v="Foundation K&amp;F 1F"/>
    <n v="0"/>
    <n v="0"/>
  </r>
  <r>
    <x v="1"/>
    <s v="RIMMEL"/>
    <s v="I-03065-01"/>
    <x v="59"/>
    <s v="Concealer/multi tasker 3F"/>
    <n v="0"/>
    <n v="0"/>
  </r>
  <r>
    <x v="1"/>
    <s v="RIMMEL"/>
    <s v="I-00027-01"/>
    <x v="60"/>
    <s v="Foundation regular 4F"/>
    <n v="0"/>
    <n v="0"/>
  </r>
  <r>
    <x v="1"/>
    <s v="RIMMEL"/>
    <s v="I-00033-12"/>
    <x v="60"/>
    <s v="LipBalm K&amp;F 3F"/>
    <n v="0"/>
    <n v="0"/>
  </r>
  <r>
    <x v="1"/>
    <s v="RIMMEL"/>
    <s v="I-00034-03"/>
    <x v="60"/>
    <s v="RIM_BANDEJA RECUPERADA"/>
    <n v="0"/>
    <n v="0"/>
  </r>
  <r>
    <x v="1"/>
    <s v="RIMMEL"/>
    <s v="I-00037-03"/>
    <x v="60"/>
    <s v="RIM_BANDEJA RECUPERADA"/>
    <n v="0"/>
    <n v="0"/>
  </r>
  <r>
    <x v="1"/>
    <s v="RIMMEL"/>
    <s v="I-00682-02"/>
    <x v="60"/>
    <s v="Foundation K&amp;F 2F"/>
    <n v="0"/>
    <n v="0"/>
  </r>
  <r>
    <x v="1"/>
    <s v="MAXFACTOR"/>
    <s v="COTY0186_S"/>
    <x v="61"/>
    <s v="TESTERS SUELTOS ATILAFY24 (FOOD)"/>
    <n v="0"/>
    <n v="0"/>
  </r>
  <r>
    <x v="1"/>
    <s v="CHANSON"/>
    <s v="TESTERS_EDMLEMON"/>
    <x v="62"/>
    <s v="Testers_FragEDMLemon"/>
    <n v="0"/>
    <n v="0"/>
  </r>
  <r>
    <x v="1"/>
    <s v="CHANSON"/>
    <s v="TESTERS_EDMROSE"/>
    <x v="62"/>
    <s v="Testers_FragEDMRose"/>
    <n v="0"/>
    <n v="0"/>
  </r>
  <r>
    <x v="1"/>
    <s v="CHANSON"/>
    <s v="TESTERS_EDMVANILLA"/>
    <x v="62"/>
    <s v="Testers_FragEDMVanilla"/>
    <n v="0"/>
    <n v="0"/>
  </r>
  <r>
    <x v="6"/>
    <s v="ESSENCE"/>
    <s v="X9999011290"/>
    <x v="62"/>
    <s v="ACT 03-26"/>
    <n v="0"/>
    <n v="0"/>
  </r>
  <r>
    <x v="1"/>
    <s v="MAXFACTOR"/>
    <s v="MXF_B2"/>
    <x v="63"/>
    <s v="MXF_BANDEJA 1_H3 150CM H2FY22"/>
    <n v="0"/>
    <n v="0"/>
  </r>
  <r>
    <x v="1"/>
    <s v="MAXFACTOR"/>
    <s v="MXF_B3"/>
    <x v="63"/>
    <s v="MXF_BANDEJA 3_H3 150CM H2FY22"/>
    <n v="0"/>
    <n v="0"/>
  </r>
  <r>
    <x v="1"/>
    <s v="MAXFACTOR"/>
    <s v="MXF_B4"/>
    <x v="63"/>
    <s v="MXF_BANDEJA 4_H3 150CM H2FY22"/>
    <n v="0"/>
    <n v="0"/>
  </r>
  <r>
    <x v="1"/>
    <s v="MAXFACTOR"/>
    <s v="MXF_B6"/>
    <x v="64"/>
    <s v="MXF_BANDEJA 2_H4 120CM H2FY22"/>
    <n v="0"/>
    <n v="0"/>
  </r>
  <r>
    <x v="1"/>
    <s v="MAXFACTOR"/>
    <s v="MXF_B7"/>
    <x v="64"/>
    <s v="MXF_BANDEJA 3_H4 120CM H2FY22"/>
    <n v="0"/>
    <n v="0"/>
  </r>
  <r>
    <x v="1"/>
    <s v="MAXFACTOR"/>
    <s v="MXF_B8"/>
    <x v="64"/>
    <s v="MXF_BANDEJA 4_H4 120CM H2FY22"/>
    <n v="0"/>
    <n v="0"/>
  </r>
  <r>
    <x v="1"/>
    <s v="RIMMEL"/>
    <s v="RMM0040"/>
    <x v="65"/>
    <s v="RIM_KIT ACT_RIM 1.2M AHORRAMAS FOOD"/>
    <n v="0"/>
    <n v="0"/>
  </r>
  <r>
    <x v="1"/>
    <s v="SALLY HANSEN"/>
    <s v="SHGANCHOS"/>
    <x v="66"/>
    <s v="KIT SPINNER GANCHOS"/>
    <n v="0"/>
    <n v="0"/>
  </r>
  <r>
    <x v="1"/>
    <s v="RIMMEL"/>
    <s v="REVRIMTESTER_26"/>
    <x v="67"/>
    <s v="TESTER RIMMEL 2026 REV"/>
    <n v="0"/>
    <n v="0"/>
  </r>
  <r>
    <x v="1"/>
    <s v="MAXFACTOR"/>
    <s v="MXF 120"/>
    <x v="68"/>
    <s v="MXF_BANDEJA_120 CREMEPUFF+BRONZER+HIGHLIGHTER FOOD"/>
    <n v="0"/>
    <n v="0"/>
  </r>
  <r>
    <x v="1"/>
    <s v="MAXFACTOR"/>
    <s v="COTY0142"/>
    <x v="69"/>
    <s v="MXF_TESTERS_NEO 90 (FOOD)"/>
    <n v="0"/>
    <n v="0"/>
  </r>
  <r>
    <x v="1"/>
    <s v="RIMMEL"/>
    <s v="RIM-02-ADA"/>
    <x v="69"/>
    <s v="RIM_BANDEJA_NAILS 60 SEG FOOD"/>
    <n v="0"/>
    <n v="0"/>
  </r>
  <r>
    <x v="1"/>
    <s v="RIMMEL"/>
    <s v="BASELIVERIM120"/>
    <x v="70"/>
    <s v="BASE LIVE RIMMEL 120 FY25"/>
    <n v="0"/>
    <n v="0"/>
  </r>
  <r>
    <x v="3"/>
    <m/>
    <s v="NEO_MAYO25_1"/>
    <x v="70"/>
    <s v="PRODUCTO BOX 1"/>
    <n v="0"/>
    <n v="0"/>
  </r>
  <r>
    <x v="1"/>
    <s v="BOURJOIS"/>
    <s v="NextGenBase120"/>
    <x v="70"/>
    <s v="NEXT GEN BASE 120 H2FY25 WILLSON"/>
    <n v="0"/>
    <n v="0"/>
  </r>
  <r>
    <x v="1"/>
    <s v="RIMMEL"/>
    <s v="TESTER120AHOR"/>
    <x v="71"/>
    <s v="KITS TESTER PARA AHORRAMAS"/>
    <n v="0"/>
    <n v="0"/>
  </r>
  <r>
    <x v="1"/>
    <s v="BOURJOIS"/>
    <s v="BJS_NewGenBase120"/>
    <x v="72"/>
    <s v="BJS BB 120 base H2 FY24 WILLSON"/>
    <n v="0"/>
    <n v="0"/>
  </r>
  <r>
    <x v="1"/>
    <s v="MAXFACTOR"/>
    <s v="MXF_BaseH4120"/>
    <x v="72"/>
    <s v="MXF BASE BBH4 1.2M H1 FY24 DIAM"/>
    <n v="0"/>
    <n v="0"/>
  </r>
  <r>
    <x v="1"/>
    <s v="RIMMEL"/>
    <s v="RIMM_BASEMIBAR120WAL"/>
    <x v="72"/>
    <s v="rimm base mibar120 h2 fy24 willson"/>
    <n v="0"/>
    <n v="0"/>
  </r>
  <r>
    <x v="1"/>
    <s v="RIMMEL"/>
    <s v="RIMM_BASEMIBAR120"/>
    <x v="73"/>
    <s v="RIM BASE MIBAR 1.2M H1 FY24 W&amp;B"/>
    <n v="0"/>
    <n v="0"/>
  </r>
  <r>
    <x v="1"/>
    <s v="RIMMEL"/>
    <s v="RIMM_BASEMIBAR120WAL"/>
    <x v="73"/>
    <s v="rimm base mibar120 h2 fy24 willson"/>
    <n v="0"/>
    <n v="0"/>
  </r>
  <r>
    <x v="1"/>
    <s v="MAXFACTOR"/>
    <s v="BASELIVEMXF120"/>
    <x v="74"/>
    <s v="BASE LIVE MAX FACTOR 120 FY25"/>
    <n v="0"/>
    <n v="0"/>
  </r>
  <r>
    <x v="1"/>
    <s v="RIMMEL"/>
    <s v="CRFALAME120"/>
    <x v="74"/>
    <s v="PALET ARMADO PARA CRF ALAMEDA MALAGA_MUEBLE 120"/>
    <n v="0"/>
    <n v="0"/>
  </r>
  <r>
    <x v="1"/>
    <s v="RIMMEL"/>
    <s v="EQP00159492"/>
    <x v="75"/>
    <s v="BARRAS METALICAS CRF PUSH 90CM H1FY26"/>
    <n v="0"/>
    <n v="0"/>
  </r>
  <r>
    <x v="1"/>
    <s v="RIMMEL"/>
    <s v="EQP00159493"/>
    <x v="75"/>
    <s v="BARRAS METALICAS CRF PUSH 110CM H1FY26"/>
    <n v="0"/>
    <n v="0"/>
  </r>
  <r>
    <x v="1"/>
    <s v="RIMMEL"/>
    <s v="EQP00159497"/>
    <x v="75"/>
    <s v="BARRAS METALICAS CRF PUSH 120CM H1FY26"/>
    <n v="0"/>
    <n v="0"/>
  </r>
  <r>
    <x v="1"/>
    <s v="RIMMEL"/>
    <s v="EQP00159498"/>
    <x v="75"/>
    <s v="BARRAS METALICAS CRF PUSH 130CM H1FY26"/>
    <n v="0"/>
    <n v="0"/>
  </r>
  <r>
    <x v="1"/>
    <s v="RIMMEL"/>
    <s v="EQP00159500"/>
    <x v="75"/>
    <s v="BARRAS METALICAS CRF PUSH 180CM H1FY26"/>
    <n v="0"/>
    <n v="0"/>
  </r>
  <r>
    <x v="2"/>
    <s v="FLORMAR"/>
    <s v="GOND_KIT_JUN26"/>
    <x v="75"/>
    <s v="KIT ACT. GOND UNIT JUNIO 26"/>
    <n v="0"/>
    <n v="0"/>
  </r>
  <r>
    <x v="2"/>
    <s v="FLORMAR"/>
    <s v="GOND_KIT_JUN26X"/>
    <x v="75"/>
    <s v="KIT ACT. GOND INCOMPLETO"/>
    <n v="0"/>
    <n v="0"/>
  </r>
  <r>
    <x v="1"/>
    <s v="MAXFACTOR"/>
    <s v="kit_pushMXF120"/>
    <x v="75"/>
    <s v="KITS PUSH PARA CRF_ACTUALIZ H1 Y H2FY26"/>
    <n v="0"/>
    <n v="0"/>
  </r>
  <r>
    <x v="1"/>
    <s v="MAXFACTOR"/>
    <s v="kit_pushMXF90"/>
    <x v="75"/>
    <s v="KITS PUSH PARA CRF_ACTUALIZ H1 Y H2FY26"/>
    <n v="0"/>
    <n v="0"/>
  </r>
  <r>
    <x v="1"/>
    <s v="RIMMEL"/>
    <s v="kit_pushRIM150"/>
    <x v="75"/>
    <s v="KITS PUSH PARA CRF_ACTUALIZ H1 Y H2FY26"/>
    <n v="0"/>
    <n v="0"/>
  </r>
  <r>
    <x v="1"/>
    <s v="MAXFACTOR"/>
    <s v="MXFP154_FY26"/>
    <x v="75"/>
    <s v="COLOUR ELIXIR"/>
    <n v="0"/>
    <n v="0"/>
  </r>
  <r>
    <x v="1"/>
    <s v="MAXFACTOR"/>
    <s v="MXFP156_FY26"/>
    <x v="75"/>
    <s v="FACEFINITY CONCELEAR"/>
    <n v="0"/>
    <n v="0"/>
  </r>
  <r>
    <x v="1"/>
    <s v="MAXFACTOR"/>
    <s v="MXFP157_F26"/>
    <x v="75"/>
    <s v="HOT SPOT"/>
    <n v="0"/>
    <n v="0"/>
  </r>
  <r>
    <x v="1"/>
    <s v="MAXFACTOR"/>
    <s v="MXFP159_FY26"/>
    <x v="75"/>
    <s v="LIPFINITY"/>
    <n v="0"/>
    <n v="0"/>
  </r>
  <r>
    <x v="1"/>
    <s v="MAXFACTOR"/>
    <s v="MXFP160_FY26"/>
    <x v="75"/>
    <s v="MASCARA 4+2"/>
    <n v="0"/>
    <n v="0"/>
  </r>
  <r>
    <x v="1"/>
    <s v="MAXFACTOR"/>
    <s v="MXFP161_FY26"/>
    <x v="75"/>
    <s v="MASCARA 5"/>
    <n v="0"/>
    <n v="0"/>
  </r>
  <r>
    <x v="7"/>
    <s v="MAXFACTOR"/>
    <s v="MXFP162_F26"/>
    <x v="75"/>
    <s v="MASTERPIECE SOMBRAS"/>
    <n v="0"/>
    <n v="0"/>
  </r>
  <r>
    <x v="1"/>
    <s v="MAXFACTOR"/>
    <s v="MXFP163_F26"/>
    <x v="75"/>
    <s v="MASTERPIECE XPRESS"/>
    <n v="0"/>
    <n v="0"/>
  </r>
  <r>
    <x v="7"/>
    <s v="MAXFACTOR"/>
    <s v="MXFP164_F26"/>
    <x v="75"/>
    <s v="MP CONCEALER"/>
    <n v="0"/>
    <n v="0"/>
  </r>
  <r>
    <x v="7"/>
    <s v="MAXFACTOR"/>
    <s v="MXFP165_F26"/>
    <x v="75"/>
    <s v="MULTIPERFECTOR"/>
    <n v="0"/>
    <n v="0"/>
  </r>
  <r>
    <x v="7"/>
    <s v="MAXFACTOR"/>
    <s v="MXFP166_F26"/>
    <x v="75"/>
    <s v="NAILFINITY"/>
    <n v="0"/>
    <n v="0"/>
  </r>
  <r>
    <x v="1"/>
    <s v="MAXFACTOR"/>
    <s v="MXFP167_F26"/>
    <x v="75"/>
    <s v="PORTAVISUAL 20X20 ACT H1FY26"/>
    <n v="0"/>
    <n v="0"/>
  </r>
  <r>
    <x v="7"/>
    <s v="MAXFACTOR"/>
    <s v="MXFP168_F26"/>
    <x v="75"/>
    <s v="FACEFINITY FDT"/>
    <n v="0"/>
    <n v="0"/>
  </r>
  <r>
    <x v="1"/>
    <s v="MAXFACTOR"/>
    <s v="MXFP170_FY26"/>
    <x v="75"/>
    <s v="MP BLUSH"/>
    <n v="0"/>
    <n v="0"/>
  </r>
  <r>
    <x v="1"/>
    <s v="MAXFACTOR"/>
    <s v="MXFP171_FY26"/>
    <x v="75"/>
    <s v="MP FDT"/>
    <n v="0"/>
    <n v="0"/>
  </r>
  <r>
    <x v="7"/>
    <s v="MAXFACTOR"/>
    <s v="MXFP172_F26"/>
    <x v="75"/>
    <s v="MP SERUM FDT"/>
    <n v="0"/>
    <n v="0"/>
  </r>
  <r>
    <x v="7"/>
    <s v="MAXFACTOR"/>
    <s v="MXFP173_F26"/>
    <x v="75"/>
    <s v="FF COMPACT"/>
    <n v="0"/>
    <n v="0"/>
  </r>
  <r>
    <x v="7"/>
    <s v="MAXFACTOR"/>
    <s v="MXFP174_F26"/>
    <x v="75"/>
    <s v="FACEFINITY FDT  + VISUAL"/>
    <n v="0"/>
    <n v="0"/>
  </r>
  <r>
    <x v="7"/>
    <s v="MAXFACTOR"/>
    <s v="MXFP175_F26"/>
    <x v="75"/>
    <s v="LASTING PERFORMANCE + VISUAL"/>
    <n v="0"/>
    <n v="0"/>
  </r>
  <r>
    <x v="7"/>
    <s v="MAXFACTOR"/>
    <s v="MXFP177_F26"/>
    <x v="75"/>
    <s v="LIP ENHANCER"/>
    <n v="0"/>
    <n v="0"/>
  </r>
  <r>
    <x v="7"/>
    <s v="MAXFACTOR"/>
    <s v="MXFP178_F26"/>
    <x v="75"/>
    <s v="MP BRONZER"/>
    <n v="0"/>
    <n v="0"/>
  </r>
  <r>
    <x v="1"/>
    <s v="FOOD"/>
    <s v="MXPF151CE_FY26"/>
    <x v="75"/>
    <s v="VISUAL DE CEJAS"/>
    <n v="0"/>
    <n v="0"/>
  </r>
  <r>
    <x v="1"/>
    <s v="FOOD"/>
    <s v="MXPF151EY_FY26"/>
    <x v="75"/>
    <s v="VISUAL DE EYLINERS"/>
    <n v="0"/>
    <n v="0"/>
  </r>
  <r>
    <x v="1"/>
    <s v="FOOD"/>
    <s v="MXPF169_FY26"/>
    <x v="75"/>
    <s v="LASTING PERFORMANCE"/>
    <n v="0"/>
    <n v="0"/>
  </r>
  <r>
    <x v="1"/>
    <s v="BOURJOIS"/>
    <s v="NextGenBase_26"/>
    <x v="75"/>
    <s v="NEXT GEN BASE 120 H2FY26"/>
    <n v="0"/>
    <n v="0"/>
  </r>
  <r>
    <x v="1"/>
    <s v="RIMMEL"/>
    <s v="PORTA VISUAL 1"/>
    <x v="75"/>
    <s v="PUSH_PORTAVISUAL_LAST MEGA MAT LIQ LIP"/>
    <n v="0"/>
    <n v="0"/>
  </r>
  <r>
    <x v="1"/>
    <s v="RIMMEL"/>
    <s v="PORTA VISUAL 2"/>
    <x v="75"/>
    <s v="PUSH_PORTAVISUAL_SUPER GEL"/>
    <n v="0"/>
    <n v="0"/>
  </r>
  <r>
    <x v="1"/>
    <s v="RIMMEL"/>
    <s v="PORTA VISUAL 3"/>
    <x v="75"/>
    <s v="PUSH_PORTAVISUAL_60 SECONDS SUPER SHINE"/>
    <n v="0"/>
    <n v="0"/>
  </r>
  <r>
    <x v="1"/>
    <s v="RIMMEL"/>
    <s v="PORTA VISUAL 4"/>
    <x v="75"/>
    <s v="PUSH_PORTAVISUAL_LASTING FINISH MATTE"/>
    <n v="0"/>
    <n v="0"/>
  </r>
  <r>
    <x v="1"/>
    <s v="RIMMEL"/>
    <s v="PORTA VISUAL 5"/>
    <x v="75"/>
    <s v="PUSH_PORTAVISUAL_LASTING FINISH PROVOCALIPS"/>
    <n v="0"/>
    <n v="0"/>
  </r>
  <r>
    <x v="1"/>
    <s v="RIMMEL"/>
    <s v="RIM P 127 V1"/>
    <x v="75"/>
    <s v="PUSH_ ANCILIARIES_ LINERS"/>
    <n v="0"/>
    <n v="0"/>
  </r>
  <r>
    <x v="1"/>
    <s v="RIMMEL"/>
    <s v="RIM P 127 V2"/>
    <x v="75"/>
    <s v="PUSH_ ANCILIARIES_CEJAS Y LIPS"/>
    <n v="0"/>
    <n v="0"/>
  </r>
  <r>
    <x v="1"/>
    <s v="RIMMEL"/>
    <s v="RIM P 128"/>
    <x v="75"/>
    <s v="PUSH_ MULTITASKER"/>
    <n v="0"/>
    <n v="0"/>
  </r>
  <r>
    <x v="1"/>
    <s v="RIMMEL"/>
    <s v="RIM P 129"/>
    <x v="75"/>
    <s v="PUSH_ HOT SPOT"/>
    <n v="0"/>
    <n v="0"/>
  </r>
  <r>
    <x v="1"/>
    <s v="RIMMEL"/>
    <s v="RIM P 132"/>
    <x v="75"/>
    <s v="PUSH_ MEGA MATTE"/>
    <n v="0"/>
    <n v="0"/>
  </r>
  <r>
    <x v="1"/>
    <s v="RIMMEL"/>
    <s v="RIM P 133"/>
    <x v="75"/>
    <s v="PUSH_ LASTING FINISH 35H_CON VISUAL"/>
    <n v="0"/>
    <n v="0"/>
  </r>
  <r>
    <x v="1"/>
    <s v="RIMMEL"/>
    <s v="RIM P 134"/>
    <x v="75"/>
    <s v="PUSH_ LASTING FINISH 35H_SIN VISUAL"/>
    <n v="0"/>
    <n v="0"/>
  </r>
  <r>
    <x v="1"/>
    <s v="RIMMEL"/>
    <s v="RIM P 135"/>
    <x v="75"/>
    <s v="PUSH_ LF EXTREME MATTE"/>
    <n v="0"/>
    <n v="0"/>
  </r>
  <r>
    <x v="1"/>
    <s v="RIMMEL"/>
    <s v="RIM P 136"/>
    <x v="75"/>
    <s v="PUSH_ MASCARAS WONDER + THRILL SEEKER"/>
    <n v="0"/>
    <n v="0"/>
  </r>
  <r>
    <x v="1"/>
    <s v="RIMMEL"/>
    <s v="RIM P 137"/>
    <x v="75"/>
    <s v="PUSH_ MASCARAS SCANDALEYES"/>
    <n v="0"/>
    <n v="0"/>
  </r>
  <r>
    <x v="1"/>
    <s v="RIMMEL"/>
    <s v="RIM P 138"/>
    <x v="75"/>
    <s v="PUSH_ MATCH PERFECTION_CON VISUAL"/>
    <n v="0"/>
    <n v="0"/>
  </r>
  <r>
    <x v="1"/>
    <s v="RIMMEL"/>
    <s v="RIM P 139"/>
    <x v="75"/>
    <s v="PUSH_ MATCH PERFECTION_SIN VISUAL"/>
    <n v="0"/>
    <n v="0"/>
  </r>
  <r>
    <x v="1"/>
    <s v="RIMMEL"/>
    <s v="RIM P 140"/>
    <x v="75"/>
    <s v="PUSH_ BLUSH + HIGHLIGHTER"/>
    <n v="0"/>
    <n v="0"/>
  </r>
  <r>
    <x v="1"/>
    <s v="RIMMEL"/>
    <s v="RIM P 141"/>
    <x v="75"/>
    <s v="PUSH_ PROVOCALIPS"/>
    <n v="0"/>
    <n v="0"/>
  </r>
  <r>
    <x v="1"/>
    <s v="RIMMEL"/>
    <s v="RIM P 142"/>
    <x v="75"/>
    <s v="PUSH_ SOMBRAS LIQUIDAS"/>
    <n v="0"/>
    <n v="0"/>
  </r>
  <r>
    <x v="1"/>
    <s v="RIMMEL"/>
    <s v="RIM P 143"/>
    <x v="75"/>
    <s v="PUSH_ PALETA DE SOMBRAS"/>
    <n v="0"/>
    <n v="0"/>
  </r>
  <r>
    <x v="1"/>
    <s v="RIMMEL"/>
    <s v="RIM P 144"/>
    <x v="75"/>
    <s v="PUSH_STAY MATTE_ BRONZER"/>
    <n v="0"/>
    <n v="0"/>
  </r>
  <r>
    <x v="1"/>
    <s v="RIMMEL"/>
    <s v="RIM P 145 V1"/>
    <x v="75"/>
    <s v="PUSH_ 60 SECONDS"/>
    <n v="0"/>
    <n v="0"/>
  </r>
  <r>
    <x v="1"/>
    <s v="RIMMEL"/>
    <s v="RIM P 145 V2"/>
    <x v="75"/>
    <s v="PUSH_ 60 SECONDS"/>
    <n v="0"/>
    <n v="0"/>
  </r>
  <r>
    <x v="1"/>
    <s v="RIMMEL"/>
    <s v="RIM P 146 V1"/>
    <x v="75"/>
    <s v="PUSH_ SUPER GEL_ COLOR"/>
    <n v="0"/>
    <n v="0"/>
  </r>
  <r>
    <x v="1"/>
    <s v="RIMMEL"/>
    <s v="RIM P 146 V2"/>
    <x v="75"/>
    <s v="PUSH_ SUPER GEL_ COLOR + TOP COAT"/>
    <n v="0"/>
    <n v="0"/>
  </r>
  <r>
    <x v="1"/>
    <s v="RIMMEL"/>
    <s v="RIM P 147 V1"/>
    <x v="75"/>
    <s v="PUSH_PORTA VISUAL_WONDER"/>
    <n v="0"/>
    <n v="0"/>
  </r>
  <r>
    <x v="1"/>
    <s v="RIMMEL"/>
    <s v="RIM P 147 V2"/>
    <x v="75"/>
    <s v="PUSH_PORTA VISUAL_SCANDALEYES"/>
    <n v="0"/>
    <n v="0"/>
  </r>
  <r>
    <x v="1"/>
    <s v="RIMMEL"/>
    <s v="RIM P 147 V3"/>
    <x v="75"/>
    <s v="PUSH_PORTA VISUAL_MULTITASKER"/>
    <n v="0"/>
    <n v="0"/>
  </r>
  <r>
    <x v="1"/>
    <s v="RIMMEL"/>
    <s v="RIM P 148"/>
    <x v="75"/>
    <s v="PUSH_ THS GLOSS"/>
    <n v="0"/>
    <n v="0"/>
  </r>
  <r>
    <x v="1"/>
    <s v="RIMMEL"/>
    <s v="RIM P 149"/>
    <x v="75"/>
    <s v="PUSH_ BETTER THAN FILTERS"/>
    <n v="0"/>
    <n v="0"/>
  </r>
  <r>
    <x v="1"/>
    <s v="RIMMEL"/>
    <s v="RIM_141124"/>
    <x v="75"/>
    <s v="KITS RIMMEL IBAR 120CM H1FY25"/>
    <n v="0"/>
    <n v="0"/>
  </r>
  <r>
    <x v="1"/>
    <s v="RIMMEL"/>
    <s v="RIM_141124.1"/>
    <x v="75"/>
    <s v="KITS RIMMEL IBAR 120CM ANT H1FY25"/>
    <n v="0"/>
    <n v="0"/>
  </r>
  <r>
    <x v="1"/>
    <s v="RIMMEL"/>
    <s v="RIM_141124.2"/>
    <x v="75"/>
    <s v="KIT RIMMEL MASCARA BAR H2FY24"/>
    <n v="0"/>
    <n v="0"/>
  </r>
  <r>
    <x v="1"/>
    <s v="RIMMEL"/>
    <s v="RIMM_BASEMIBAR120WAL"/>
    <x v="75"/>
    <s v="rimm base mibar120 h2 fy24 willson"/>
    <n v="0"/>
    <n v="0"/>
  </r>
  <r>
    <x v="1"/>
    <s v="RIMMEL"/>
    <s v="RIMP128_F26"/>
    <x v="75"/>
    <s v="MULTITASKER"/>
    <n v="0"/>
    <n v="0"/>
  </r>
  <r>
    <x v="1"/>
    <s v="RIMMEL"/>
    <s v="RIMP129_F26"/>
    <x v="75"/>
    <s v="HOT SPOT"/>
    <n v="0"/>
    <n v="0"/>
  </r>
  <r>
    <x v="1"/>
    <s v="RIMMEL"/>
    <s v="RIMP132_F26"/>
    <x v="75"/>
    <s v="LASTING MEGA MATE"/>
    <n v="0"/>
    <n v="0"/>
  </r>
  <r>
    <x v="1"/>
    <s v="RIMMEL"/>
    <s v="RIMP133_F26"/>
    <x v="75"/>
    <s v="LF 35H(4F + VISUAL)"/>
    <n v="0"/>
    <n v="0"/>
  </r>
  <r>
    <x v="1"/>
    <s v="RIMMEL"/>
    <s v="RIMP134_F26"/>
    <x v="75"/>
    <s v="LF 35H (5F)"/>
    <n v="0"/>
    <n v="0"/>
  </r>
  <r>
    <x v="1"/>
    <s v="RIMMEL"/>
    <s v="RIMP135_F26"/>
    <x v="75"/>
    <s v="LF EXTREME MATTE"/>
    <n v="0"/>
    <n v="0"/>
  </r>
  <r>
    <x v="1"/>
    <s v="RIMMEL"/>
    <s v="RIMP136_F26"/>
    <x v="75"/>
    <s v="SCANDALEYES(6F)"/>
    <n v="0"/>
    <n v="0"/>
  </r>
  <r>
    <x v="1"/>
    <s v="RIMMEL"/>
    <s v="RIMP136W_F26"/>
    <x v="75"/>
    <s v="WONDER"/>
    <n v="0"/>
    <n v="0"/>
  </r>
  <r>
    <x v="1"/>
    <s v="RIMMEL"/>
    <s v="RIMP140_F26"/>
    <x v="75"/>
    <s v="BLUSH+ HIGHLIGHTER"/>
    <n v="0"/>
    <n v="0"/>
  </r>
  <r>
    <x v="1"/>
    <s v="RIMMEL"/>
    <s v="RIMP141_F26"/>
    <x v="75"/>
    <s v="PROVOCALIPS"/>
    <n v="0"/>
    <n v="0"/>
  </r>
  <r>
    <x v="1"/>
    <s v="RIMMEL"/>
    <s v="RIMP142_F26"/>
    <x v="75"/>
    <s v="CEJAS"/>
    <n v="0"/>
    <n v="0"/>
  </r>
  <r>
    <x v="1"/>
    <s v="RIMMEL"/>
    <s v="RIMP144_F26"/>
    <x v="75"/>
    <s v="STAY MATTE + BRONZER"/>
    <n v="0"/>
    <n v="0"/>
  </r>
  <r>
    <x v="1"/>
    <s v="RIMMEL"/>
    <s v="RIMP146_F26"/>
    <x v="75"/>
    <s v="GEL"/>
    <n v="0"/>
    <n v="0"/>
  </r>
  <r>
    <x v="1"/>
    <s v="RIMMEL"/>
    <s v="RIMP147_F26"/>
    <x v="75"/>
    <s v="VISUAL 20X20"/>
    <n v="0"/>
    <n v="0"/>
  </r>
  <r>
    <x v="1"/>
    <s v="RIMMEL"/>
    <s v="RIMP148_F26"/>
    <x v="75"/>
    <s v="THS GLOSS"/>
    <n v="0"/>
    <n v="0"/>
  </r>
  <r>
    <x v="1"/>
    <s v="RIMMEL"/>
    <s v="RIMP152_F26"/>
    <x v="75"/>
    <s v="THS+K&amp;F(5F)"/>
    <n v="0"/>
    <n v="0"/>
  </r>
  <r>
    <x v="1"/>
    <s v="RIMMEL"/>
    <s v="RIMP153_F26"/>
    <x v="75"/>
    <s v="EYELINERS+SOMBRAS WONDER"/>
    <n v="0"/>
    <n v="0"/>
  </r>
  <r>
    <x v="1"/>
    <s v="RIMMEL"/>
    <s v="RIMP154_F26"/>
    <x v="75"/>
    <s v="LIP OIL"/>
    <n v="0"/>
    <n v="0"/>
  </r>
  <r>
    <x v="1"/>
    <s v="RIMMEL"/>
    <s v="RIMP155_F26"/>
    <x v="75"/>
    <s v="LIP LATEX"/>
    <n v="0"/>
    <n v="0"/>
  </r>
  <r>
    <x v="1"/>
    <s v="RIMMEL"/>
    <s v="RIMP157_F26"/>
    <x v="75"/>
    <s v="MULTI STICK BRONZER"/>
    <n v="0"/>
    <n v="0"/>
  </r>
  <r>
    <x v="1"/>
    <s v="RIMMEL"/>
    <s v="RIMP158_F26"/>
    <x v="75"/>
    <s v="MULTITASKER SE"/>
    <n v="0"/>
    <n v="0"/>
  </r>
  <r>
    <x v="1"/>
    <s v="RIMMEL"/>
    <s v="RIMP173_F26"/>
    <x v="75"/>
    <s v="FF COMPACT"/>
    <n v="0"/>
    <n v="0"/>
  </r>
  <r>
    <x v="1"/>
    <s v="RIMMEL"/>
    <s v="RIMP177_F26"/>
    <x v="75"/>
    <s v="LIP ENHACER"/>
    <n v="0"/>
    <n v="0"/>
  </r>
  <r>
    <x v="1"/>
    <s v="RIMMEL"/>
    <s v="KITS 120AHOR"/>
    <x v="76"/>
    <s v="KITS PUSH 120CM PARA AHORRAMAS"/>
    <n v="0"/>
    <n v="0"/>
  </r>
  <r>
    <x v="6"/>
    <s v="ESSENCE"/>
    <s v="INSERTS 9-25"/>
    <x v="77"/>
    <s v="ACT 09-25"/>
    <n v="0"/>
    <n v="0"/>
  </r>
  <r>
    <x v="1"/>
    <s v="MAXFACTOR"/>
    <s v="DEV230625.2"/>
    <x v="1"/>
    <s v="BASE MAX FACTOR PARA DESTRUIR"/>
    <n v="1"/>
    <n v="8.99"/>
  </r>
  <r>
    <x v="1"/>
    <s v="RIMMEL"/>
    <s v="TIRA_RIMIF01"/>
    <x v="78"/>
    <s v="TIRA GRÁFICA - RIM IF 01"/>
    <n v="1"/>
    <n v="8.99"/>
  </r>
  <r>
    <x v="4"/>
    <s v="WET N WILD"/>
    <s v="ECUBBY122"/>
    <x v="79"/>
    <s v="MEGALAS LIP COLOR TRAY"/>
    <n v="1"/>
    <n v="8.99"/>
  </r>
  <r>
    <x v="1"/>
    <s v="RIMMEL"/>
    <n v="20525.099999999999"/>
    <x v="2"/>
    <s v="VISUAL PRIMER E ILUMINADOR MULTITASKER H2FY25"/>
    <n v="1"/>
    <n v="8.99"/>
  </r>
  <r>
    <x v="1"/>
    <s v="RIMMEL"/>
    <s v="RIMP145_F26"/>
    <x v="80"/>
    <s v="60 SEC"/>
    <n v="1"/>
    <n v="8.99"/>
  </r>
  <r>
    <x v="1"/>
    <s v="BOURJOIS"/>
    <s v="BNEXTGEN120_26"/>
    <x v="81"/>
    <s v="BASE NEXT GEN 120 H2FY26"/>
    <n v="1"/>
    <n v="8.99"/>
  </r>
  <r>
    <x v="1"/>
    <s v="BOURJOIS"/>
    <s v="NEXTGENBASE120"/>
    <x v="3"/>
    <s v="NEXT GEN BASE 120 H2FY25 WILLSON"/>
    <n v="1"/>
    <n v="8.99"/>
  </r>
  <r>
    <x v="1"/>
    <s v="BOURJOIS"/>
    <s v="BNEXTGEN120_26"/>
    <x v="82"/>
    <s v="BASE NEXT GEN 120 H2FY26"/>
    <n v="1"/>
    <n v="8.99"/>
  </r>
  <r>
    <x v="1"/>
    <s v="BOURJOIS"/>
    <s v="NEXTGENBASE120"/>
    <x v="4"/>
    <s v="NEXT GEN BASE 120 H2FY25 WILLSON"/>
    <n v="1"/>
    <n v="8.99"/>
  </r>
  <r>
    <x v="1"/>
    <s v="BOURJOIS"/>
    <s v="BNEXTGEN120_26"/>
    <x v="83"/>
    <s v="BASE NEXT GEN 120 H2FY26"/>
    <n v="1"/>
    <n v="8.99"/>
  </r>
  <r>
    <x v="1"/>
    <s v="BOURJOIS"/>
    <s v="NEXTGENBASE120"/>
    <x v="5"/>
    <s v="NEXT GEN BASE 120 H2FY25 WILLSON"/>
    <n v="1"/>
    <n v="8.99"/>
  </r>
  <r>
    <x v="1"/>
    <s v="BOURJOIS"/>
    <s v="BNEXTGEN120_26"/>
    <x v="84"/>
    <s v="BASE NEXT GEN 120 H2FY26"/>
    <n v="1"/>
    <n v="8.99"/>
  </r>
  <r>
    <x v="1"/>
    <s v="BOURJOIS"/>
    <s v="NEXTGENBASE120"/>
    <x v="6"/>
    <s v="NEXT GEN BASE 120 H2FY25 WILLSON"/>
    <n v="1"/>
    <n v="8.99"/>
  </r>
  <r>
    <x v="1"/>
    <s v="RIMMEL"/>
    <s v="KIT_PUSHRIM210"/>
    <x v="7"/>
    <s v="KITS PUSH PARA CRF_ACTUALIZ H1 Y H2FY26"/>
    <n v="1"/>
    <n v="8.99"/>
  </r>
  <r>
    <x v="1"/>
    <s v="BOURJOIS"/>
    <s v="NEXTGENBASE120"/>
    <x v="8"/>
    <s v="NEXT GEN BASE 120 H2FY25 WILLSON"/>
    <n v="1"/>
    <n v="8.99"/>
  </r>
  <r>
    <x v="1"/>
    <s v="BOURJOIS"/>
    <s v="NEXTGENBASE120"/>
    <x v="9"/>
    <s v="NEXT GEN BASE 120 H2FY25 WILLSON"/>
    <n v="1"/>
    <n v="8.99"/>
  </r>
  <r>
    <x v="1"/>
    <s v="RIMMEL"/>
    <s v="RIMP138_F26"/>
    <x v="85"/>
    <s v="MATCH PERFECTION (F4+VISUAL)"/>
    <n v="1"/>
    <n v="8.99"/>
  </r>
  <r>
    <x v="1"/>
    <s v="RIMMEL"/>
    <s v="RIMP138_F26"/>
    <x v="86"/>
    <s v="MATCH PERFECTION (F4+VISUAL)"/>
    <n v="1"/>
    <n v="8.99"/>
  </r>
  <r>
    <x v="1"/>
    <s v="RIMMEL"/>
    <s v="RIMP139_F26"/>
    <x v="87"/>
    <s v="MATCH PERFECTION (5F)"/>
    <n v="1"/>
    <n v="8.99"/>
  </r>
  <r>
    <x v="1"/>
    <s v="RIMMEL"/>
    <s v="RIMP139_F26"/>
    <x v="88"/>
    <s v="MATCH PERFECTION (5F)"/>
    <n v="1"/>
    <n v="8.99"/>
  </r>
  <r>
    <x v="1"/>
    <s v="RIMMEL"/>
    <s v="RIMP139_F26"/>
    <x v="89"/>
    <s v="MATCH PERFECTION (5F)"/>
    <n v="1"/>
    <n v="8.99"/>
  </r>
  <r>
    <x v="1"/>
    <s v="MAXFACTOR"/>
    <s v="MXF_IF07"/>
    <x v="90"/>
    <s v="MXF IF 07"/>
    <n v="1"/>
    <n v="8.99"/>
  </r>
  <r>
    <x v="1"/>
    <s v="RIMMEL"/>
    <s v="RIMP149_F26"/>
    <x v="91"/>
    <s v="BETTER THAN FILTER"/>
    <n v="1"/>
    <n v="8.99"/>
  </r>
  <r>
    <x v="1"/>
    <s v="MAXFACTOR"/>
    <s v="MXF_IF07"/>
    <x v="92"/>
    <s v="MXF IF 07"/>
    <n v="1"/>
    <n v="8.99"/>
  </r>
  <r>
    <x v="1"/>
    <s v="RIMMEL"/>
    <s v="RIMP149_F26"/>
    <x v="93"/>
    <s v="BETTER THAN FILTER"/>
    <n v="1"/>
    <n v="8.99"/>
  </r>
  <r>
    <x v="1"/>
    <s v="MAXFACTOR"/>
    <s v="MXF_IF07"/>
    <x v="94"/>
    <s v="MXF IF 07"/>
    <n v="1"/>
    <n v="8.99"/>
  </r>
  <r>
    <x v="1"/>
    <s v="RIMMEL"/>
    <s v="RIMP149_F26"/>
    <x v="95"/>
    <s v="BETTER THAN FILTER"/>
    <n v="1"/>
    <n v="8.99"/>
  </r>
  <r>
    <x v="1"/>
    <s v="MAXFACTOR"/>
    <s v="MXF_IF07"/>
    <x v="96"/>
    <s v="MXF IF 07"/>
    <n v="1"/>
    <n v="8.99"/>
  </r>
  <r>
    <x v="1"/>
    <s v="MAXFACTOR"/>
    <s v="MXFP176_F26"/>
    <x v="97"/>
    <s v="PORTAVISUALES 10X20"/>
    <n v="1"/>
    <n v="8.99"/>
  </r>
  <r>
    <x v="1"/>
    <s v="MAXFACTOR"/>
    <s v="MXF_IF07"/>
    <x v="98"/>
    <s v="MXF IF 07"/>
    <n v="1"/>
    <n v="8.99"/>
  </r>
  <r>
    <x v="1"/>
    <s v="MAXFACTOR"/>
    <s v="MXFP176_F26"/>
    <x v="10"/>
    <s v="PORTAVISUALES 10X20"/>
    <n v="1"/>
    <n v="8.99"/>
  </r>
  <r>
    <x v="1"/>
    <s v="MAXFACTOR"/>
    <s v="MXF_IF07"/>
    <x v="99"/>
    <s v="MXF IF 07"/>
    <n v="1"/>
    <n v="8.99"/>
  </r>
  <r>
    <x v="1"/>
    <s v="RIMMEL"/>
    <s v="RIMP150_F26"/>
    <x v="100"/>
    <s v="PORTAVISUALES 10X20"/>
    <n v="1"/>
    <n v="8.99"/>
  </r>
  <r>
    <x v="1"/>
    <s v="MAXFACTOR"/>
    <s v="MXF_IF07"/>
    <x v="101"/>
    <s v="MXF IF 07"/>
    <n v="1"/>
    <n v="8.99"/>
  </r>
  <r>
    <x v="1"/>
    <s v="RIMMEL"/>
    <s v="RIMP150_F26"/>
    <x v="102"/>
    <s v="PORTAVISUALES 10X20"/>
    <n v="1"/>
    <n v="8.99"/>
  </r>
  <r>
    <x v="1"/>
    <s v="MAXFACTOR"/>
    <s v="MXF_IF07"/>
    <x v="103"/>
    <s v="MXF IF 07"/>
    <n v="1"/>
    <n v="8.99"/>
  </r>
  <r>
    <x v="1"/>
    <s v="RIMMEL"/>
    <s v="MXFP150_F26"/>
    <x v="104"/>
    <s v="2K CALORIES GLOSS"/>
    <n v="1"/>
    <n v="8.99"/>
  </r>
  <r>
    <x v="1"/>
    <s v="RIMMEL"/>
    <s v="DEV19"/>
    <x v="11"/>
    <s v="RIM_BASE_IBAR 1.2M DEV"/>
    <n v="1"/>
    <n v="8.99"/>
  </r>
  <r>
    <x v="1"/>
    <s v="RIMMEL"/>
    <s v="MXFP152_F26"/>
    <x v="105"/>
    <s v="BRONZER HIGHLIGHTER"/>
    <n v="1"/>
    <n v="8.99"/>
  </r>
  <r>
    <x v="1"/>
    <s v="RIMMEL"/>
    <s v="RIMP129_F26"/>
    <x v="106"/>
    <s v="HOT SPOT"/>
    <n v="1"/>
    <n v="8.99"/>
  </r>
  <r>
    <x v="1"/>
    <s v="RIMMEL"/>
    <s v="RIMP129_F26"/>
    <x v="107"/>
    <s v="HOT SPOT"/>
    <n v="1"/>
    <n v="8.99"/>
  </r>
  <r>
    <x v="5"/>
    <s v="MAXFACTOR"/>
    <s v="MXF153_F26"/>
    <x v="108"/>
    <s v="MASCARAS PUSH PARA MUEBLE NEO"/>
    <n v="1"/>
    <n v="8.99"/>
  </r>
  <r>
    <x v="1"/>
    <s v="RIMMEL"/>
    <s v="RIMP129_F26"/>
    <x v="109"/>
    <s v="HOT SPOT"/>
    <n v="1"/>
    <n v="8.99"/>
  </r>
  <r>
    <x v="5"/>
    <s v="MAXFACTOR"/>
    <s v="MXF155_F26"/>
    <x v="110"/>
    <s v="BANDEJA LIP ENHANCER PARA MUEBLE NEO"/>
    <n v="1"/>
    <n v="8.99"/>
  </r>
  <r>
    <x v="5"/>
    <s v="MAXFACTOR"/>
    <s v="MXF154_F26"/>
    <x v="111"/>
    <s v="BANDEJA ILUMINOUS TOUCH PARA MUEBLE NEO"/>
    <n v="1"/>
    <n v="8.99"/>
  </r>
  <r>
    <x v="5"/>
    <s v="RIMMEL"/>
    <s v="RIM129W_F26"/>
    <x v="112"/>
    <s v="BANDEJA RIM 129 PARA MUEBLE NEO"/>
    <n v="1"/>
    <n v="8.99"/>
  </r>
  <r>
    <x v="5"/>
    <s v="RIMMEL"/>
    <s v="RIM129S_F26"/>
    <x v="113"/>
    <s v="BANDEJA RIM 129 PARA MUEBLE NEO"/>
    <n v="1"/>
    <n v="8.99"/>
  </r>
  <r>
    <x v="5"/>
    <s v="RIMMEL"/>
    <s v="RIM_IF117_F26"/>
    <x v="114"/>
    <s v="BANDEJA RIM IF 117 PARA MUEBLE NEO"/>
    <n v="1"/>
    <n v="8.99"/>
  </r>
  <r>
    <x v="1"/>
    <s v="RIMMEL"/>
    <s v="RIMP129_F26"/>
    <x v="115"/>
    <s v="HOT SPOT"/>
    <n v="1"/>
    <n v="8.99"/>
  </r>
  <r>
    <x v="1"/>
    <s v="MAXFACTOR"/>
    <s v="MXF_IF07"/>
    <x v="116"/>
    <s v="MXF IF 07"/>
    <n v="1"/>
    <n v="8.99"/>
  </r>
  <r>
    <x v="5"/>
    <s v="MAXFACTOR"/>
    <s v="MXF153_F26"/>
    <x v="117"/>
    <s v="MASCARAS PUSH PARA MUEBLE NEO"/>
    <n v="1"/>
    <n v="8.99"/>
  </r>
  <r>
    <x v="1"/>
    <s v="RIMMEL"/>
    <s v="RIMP129_F26"/>
    <x v="118"/>
    <s v="HOT SPOT"/>
    <n v="1"/>
    <n v="8.99"/>
  </r>
  <r>
    <x v="1"/>
    <s v="MAXFACTOR"/>
    <s v="MXF_IF07"/>
    <x v="119"/>
    <s v="MXF IF 07"/>
    <n v="1"/>
    <n v="8.99"/>
  </r>
  <r>
    <x v="1"/>
    <s v="BOURJOIS"/>
    <s v="BNEXTGEN120_26"/>
    <x v="12"/>
    <s v="BASE NEXT GEN 120 H2FY26"/>
    <n v="1"/>
    <n v="8.99"/>
  </r>
  <r>
    <x v="1"/>
    <s v="MAXFACTOR"/>
    <s v="MXF_IF07"/>
    <x v="120"/>
    <s v="MXF IF 07"/>
    <n v="1"/>
    <n v="8.99"/>
  </r>
  <r>
    <x v="1"/>
    <s v="BOURJOIS"/>
    <s v="BNEXTGEN120_26"/>
    <x v="13"/>
    <s v="BASE NEXT GEN 120 H2FY26"/>
    <n v="1"/>
    <n v="8.99"/>
  </r>
  <r>
    <x v="1"/>
    <s v="BOURJOIS"/>
    <s v="BNEXTGEN120_26"/>
    <x v="14"/>
    <s v="BASE NEXT GEN 120 H2FY26"/>
    <n v="1"/>
    <n v="8.99"/>
  </r>
  <r>
    <x v="2"/>
    <m/>
    <n v="54005814"/>
    <x v="15"/>
    <s v="ENG EYES EVENT HOTSPOT"/>
    <n v="1"/>
    <n v="8.99"/>
  </r>
  <r>
    <x v="2"/>
    <m/>
    <n v="54004449"/>
    <x v="16"/>
    <s v="NC WU PUSHER SEPARATOR"/>
    <n v="1"/>
    <n v="8.99"/>
  </r>
  <r>
    <x v="1"/>
    <s v="BOURJOIS"/>
    <s v="BJ0015"/>
    <x v="17"/>
    <s v="BJ_BASE_FD 120CM"/>
    <n v="1"/>
    <n v="8.99"/>
  </r>
  <r>
    <x v="1"/>
    <s v="BOURJOIS"/>
    <s v="BJ0015"/>
    <x v="18"/>
    <s v="BJ_BASE_FD 120CM"/>
    <n v="1"/>
    <n v="8.99"/>
  </r>
  <r>
    <x v="1"/>
    <s v="RIMMEL"/>
    <s v="KITATIBLISTER"/>
    <x v="121"/>
    <s v="LADRILLO +12 GANCHOS+PORTA ETIQUETAS"/>
    <n v="1"/>
    <n v="8.99"/>
  </r>
  <r>
    <x v="1"/>
    <s v="RIMMEL"/>
    <s v="KITATIBLISTER"/>
    <x v="122"/>
    <s v="LADRILLO +12 GANCHOS+PORTA ETIQUETAS"/>
    <n v="1"/>
    <n v="8.99"/>
  </r>
  <r>
    <x v="1"/>
    <s v="BOURJOIS"/>
    <s v="BNEXTGEN120_26"/>
    <x v="123"/>
    <s v="BASE NEXT GEN 120 H2FY26"/>
    <n v="1"/>
    <n v="8.99"/>
  </r>
  <r>
    <x v="1"/>
    <s v="BOURJOIS"/>
    <s v="BNEXTGEN120_26"/>
    <x v="124"/>
    <s v="BASE NEXT GEN 120 H2FY26"/>
    <n v="1"/>
    <n v="8.99"/>
  </r>
  <r>
    <x v="1"/>
    <s v="BOURJOIS"/>
    <s v="BNEXTGEN120_26"/>
    <x v="125"/>
    <s v="BASE NEXT GEN 120 H2FY26"/>
    <n v="1"/>
    <n v="8.99"/>
  </r>
  <r>
    <x v="1"/>
    <s v="RIMMEL"/>
    <s v="TAPETA_RIMIF01"/>
    <x v="126"/>
    <s v="TAPETA RIM IF 01"/>
    <n v="1"/>
    <n v="8.99"/>
  </r>
  <r>
    <x v="1"/>
    <s v="RIMMEL"/>
    <s v="RIM_B 03"/>
    <x v="127"/>
    <s v="RIMMEL_BASE_1200X450X100 NEGRA"/>
    <n v="1"/>
    <n v="8.99"/>
  </r>
  <r>
    <x v="1"/>
    <s v="MXF_RIM"/>
    <s v="REV_VISUALES"/>
    <x v="128"/>
    <s v="MINI VISUALES PARA AHORRAMAS"/>
    <n v="1"/>
    <n v="8.99"/>
  </r>
  <r>
    <x v="1"/>
    <s v="MXF_RIM"/>
    <s v="REV_VISUALES"/>
    <x v="129"/>
    <s v="MINI VISUALES PARA AHORRAMAS"/>
    <n v="1"/>
    <n v="8.99"/>
  </r>
  <r>
    <x v="1"/>
    <s v="RIMMEL"/>
    <s v="RIM_B 01"/>
    <x v="130"/>
    <s v="RIMMEL_BASE_1200x450x100 BLANCA"/>
    <n v="1"/>
    <n v="8.99"/>
  </r>
  <r>
    <x v="1"/>
    <s v="RIMMEL "/>
    <s v="I-00015-01-R"/>
    <x v="131"/>
    <s v="RIM_BANDEJA_MASCARAS 3F RECUPERADA"/>
    <n v="1"/>
    <n v="8.99"/>
  </r>
  <r>
    <x v="1"/>
    <s v="RIMMEL "/>
    <n v="1449"/>
    <x v="132"/>
    <s v="RIM_BASE MIBAR 1.2M"/>
    <n v="1"/>
    <n v="8.99"/>
  </r>
  <r>
    <x v="1"/>
    <s v="BOURJOIS"/>
    <n v="260225.2"/>
    <x v="133"/>
    <s v="BASE NEXT GEN 120CM H2 FY24 WILLSON DEV"/>
    <n v="1"/>
    <n v="8.99"/>
  </r>
  <r>
    <x v="1"/>
    <s v="BOURJOIS"/>
    <n v="260225.2"/>
    <x v="134"/>
    <s v="BASE NEXT GEN 120CM H2 FY24 WILLSON DEV"/>
    <n v="1"/>
    <n v="8.99"/>
  </r>
  <r>
    <x v="1"/>
    <s v="RIMMEL"/>
    <s v="RIMUÑASBLIS"/>
    <x v="135"/>
    <s v="ladrillo uñas loos atila bliser hibrido"/>
    <n v="1"/>
    <n v="8.99"/>
  </r>
  <r>
    <x v="1"/>
    <m/>
    <n v="27072022"/>
    <x v="136"/>
    <s v="MATERIAL OFICINAS COTY"/>
    <n v="1"/>
    <n v="8.99"/>
  </r>
  <r>
    <x v="1"/>
    <s v="MXF_RIM"/>
    <s v="BAND_QUITADAS"/>
    <x v="137"/>
    <s v="BANDEJAS QUE QUITAMOS DE ACT H2FY26"/>
    <n v="1"/>
    <n v="8.99"/>
  </r>
  <r>
    <x v="1"/>
    <s v="SALLY HANSEN"/>
    <s v="SHCREMALLERAS"/>
    <x v="138"/>
    <s v="KIT SPINNER CREMALLERAS"/>
    <n v="1"/>
    <n v="8.99"/>
  </r>
  <r>
    <x v="1"/>
    <s v="MAXFACTOR"/>
    <s v="OKBASEH4120"/>
    <x v="139"/>
    <s v="BASE H4 1.2M RECUPERADA"/>
    <n v="1"/>
    <n v="8.99"/>
  </r>
  <r>
    <x v="1"/>
    <s v="RIMMEL"/>
    <s v="BMIBAR120_26"/>
    <x v="140"/>
    <s v="BASE MIBAR 120 H2FY26"/>
    <n v="1"/>
    <n v="8.99"/>
  </r>
  <r>
    <x v="1"/>
    <s v="RIMMEL"/>
    <s v="BMIBAR120_26"/>
    <x v="141"/>
    <s v="BASE MIBAR 120 H2FY26"/>
    <n v="1"/>
    <n v="8.99"/>
  </r>
  <r>
    <x v="2"/>
    <s v="FLORMAR"/>
    <n v="54005262"/>
    <x v="19"/>
    <s v="NC WU POWDER FAMILY 3SKU-VISUAL"/>
    <n v="1"/>
    <n v="8.99"/>
  </r>
  <r>
    <x v="1"/>
    <s v="BOURJOIS"/>
    <s v="COTY0122"/>
    <x v="142"/>
    <s v="BJ BASE NEXT GEN 120CM FY23"/>
    <n v="1"/>
    <n v="8.99"/>
  </r>
  <r>
    <x v="1"/>
    <s v="BOURJOIS"/>
    <s v="COTY0122"/>
    <x v="143"/>
    <s v="BJ BASE NEXT GEN 120CM FY23"/>
    <n v="1"/>
    <n v="8.99"/>
  </r>
  <r>
    <x v="1"/>
    <s v="RIMMEL"/>
    <s v="BASELIVERIM120"/>
    <x v="144"/>
    <s v="BASE LIVE RIMMEL 120 FY25"/>
    <n v="1"/>
    <n v="8.99"/>
  </r>
  <r>
    <x v="1"/>
    <s v="RIMMEL"/>
    <s v="BASELIVERIM120"/>
    <x v="145"/>
    <s v="BASE LIVE RIMMEL 120 FY25"/>
    <n v="1"/>
    <n v="8.99"/>
  </r>
  <r>
    <x v="1"/>
    <s v="SALLY HANSEN"/>
    <s v="180325KIT1.3"/>
    <x v="146"/>
    <s v="KIT PIEZAS SH SPINNER  1/3"/>
    <n v="1"/>
    <n v="8.99"/>
  </r>
  <r>
    <x v="1"/>
    <s v="SALLY HANSEN"/>
    <s v="180325KIT1.3"/>
    <x v="147"/>
    <s v="KIT PIEZAS SH SPINNER  1/3"/>
    <n v="1"/>
    <n v="8.99"/>
  </r>
  <r>
    <x v="1"/>
    <s v="SALLY HANSEN"/>
    <s v="180325KIT1.3"/>
    <x v="148"/>
    <s v="KIT PIEZAS SH SPINNER  1/3"/>
    <n v="1"/>
    <n v="8.99"/>
  </r>
  <r>
    <x v="1"/>
    <s v="SALLY HANSEN"/>
    <s v="180325KIT2.3"/>
    <x v="149"/>
    <s v="KIT PIEZAS SH SPINNER  2/3"/>
    <n v="1"/>
    <n v="8.99"/>
  </r>
  <r>
    <x v="1"/>
    <s v="SALLY HANSEN"/>
    <s v="180325KIT1.3"/>
    <x v="150"/>
    <s v="KIT PIEZAS SH SPINNER  1/3"/>
    <n v="1"/>
    <n v="8.99"/>
  </r>
  <r>
    <x v="1"/>
    <s v="SALLY HANSEN"/>
    <s v="180325KIT3.3"/>
    <x v="151"/>
    <s v="KIT PIEZAS SH SPINNER  3/3"/>
    <n v="1"/>
    <n v="8.99"/>
  </r>
  <r>
    <x v="1"/>
    <s v="SALLY HANSEN"/>
    <s v="180325KIT1.3"/>
    <x v="152"/>
    <s v="KIT PIEZAS SH SPINNER  1/3"/>
    <n v="1"/>
    <n v="8.99"/>
  </r>
  <r>
    <x v="1"/>
    <s v="SALLY HANSEN"/>
    <s v="180325KIT2.3"/>
    <x v="153"/>
    <s v="KIT PIEZAS SH SPINNER  2/3"/>
    <n v="1"/>
    <n v="8.99"/>
  </r>
  <r>
    <x v="1"/>
    <s v="SALLY HANSEN"/>
    <s v="180325KIT2.3"/>
    <x v="154"/>
    <s v="KIT PIEZAS SH SPINNER  2/3"/>
    <n v="1"/>
    <n v="8.99"/>
  </r>
  <r>
    <x v="1"/>
    <s v="SALLY HANSEN"/>
    <s v="180325KIT2.3"/>
    <x v="155"/>
    <s v="KIT PIEZAS SH SPINNER  2/3"/>
    <n v="1"/>
    <n v="8.99"/>
  </r>
  <r>
    <x v="1"/>
    <s v="SALLY HANSEN"/>
    <s v="180325KIT2.3"/>
    <x v="156"/>
    <s v="KIT PIEZAS SH SPINNER  2/3"/>
    <n v="1"/>
    <n v="8.99"/>
  </r>
  <r>
    <x v="1"/>
    <s v="SALLY HANSEN"/>
    <s v="180325KIT3.3"/>
    <x v="157"/>
    <s v="KIT PIEZAS SH SPINNER  3/3"/>
    <n v="1"/>
    <n v="8.99"/>
  </r>
  <r>
    <x v="1"/>
    <s v="SALLY HANSEN"/>
    <s v="180325KIT3.3"/>
    <x v="158"/>
    <s v="KIT PIEZAS SH SPINNER  3/3"/>
    <n v="1"/>
    <n v="8.99"/>
  </r>
  <r>
    <x v="1"/>
    <s v="SALLY HANSEN"/>
    <s v="180325KIT3.3"/>
    <x v="159"/>
    <s v="KIT PIEZAS SH SPINNER  3/3"/>
    <n v="1"/>
    <n v="8.99"/>
  </r>
  <r>
    <x v="1"/>
    <s v="SALLY HANSEN"/>
    <s v="180325KIT3.3"/>
    <x v="160"/>
    <s v="KIT PIEZAS SH SPINNER  3/3"/>
    <n v="1"/>
    <n v="8.99"/>
  </r>
  <r>
    <x v="4"/>
    <s v="WET N WILD"/>
    <s v="WW_2025_T"/>
    <x v="161"/>
    <s v="TESTER"/>
    <n v="1"/>
    <n v="8.99"/>
  </r>
  <r>
    <x v="1"/>
    <s v="SALLY HANSEN"/>
    <s v="SHBALDAS"/>
    <x v="162"/>
    <s v="KIT SPINNER BALDAS"/>
    <n v="1"/>
    <n v="8.99"/>
  </r>
  <r>
    <x v="2"/>
    <m/>
    <n v="54006459"/>
    <x v="20"/>
    <s v="ACT GONDOLA NOV PENCILS"/>
    <n v="1"/>
    <n v="8.99"/>
  </r>
  <r>
    <x v="1"/>
    <s v="MAXFACTOR"/>
    <s v="BH4120_26"/>
    <x v="21"/>
    <s v="BASE H4 120 H2FY26"/>
    <n v="1"/>
    <n v="8.99"/>
  </r>
  <r>
    <x v="1"/>
    <s v="SALLY HANSEN"/>
    <s v="SHBALDAS"/>
    <x v="163"/>
    <s v="KIT SPINNER BALDAS"/>
    <n v="1"/>
    <n v="8.99"/>
  </r>
  <r>
    <x v="1"/>
    <s v="MAX FACTOR"/>
    <s v="DEVMXF_BASEH412"/>
    <x v="164"/>
    <s v="MXF BASE BB 120 H1FY26"/>
    <n v="1"/>
    <n v="8.99"/>
  </r>
  <r>
    <x v="4"/>
    <s v="PHYSICIANS FORM"/>
    <s v="PF_BASE BLANCA"/>
    <x v="165"/>
    <s v="PHYSICIANS FORMULA_BASE_BLANCA"/>
    <n v="1"/>
    <n v="8.99"/>
  </r>
  <r>
    <x v="1"/>
    <s v="BOURJOIS"/>
    <n v="260225.2"/>
    <x v="166"/>
    <s v="BASE NEXT GEN 120CM H2 FY24 WILLSON DEV"/>
    <n v="1"/>
    <n v="8.99"/>
  </r>
  <r>
    <x v="1"/>
    <s v="MAXFACTOR"/>
    <s v="PORT_MXFHEATHER"/>
    <x v="22"/>
    <s v="MAX FACTOR_HEATHERS SET OF 4 PORTUGUES LIVE 1.2M"/>
    <n v="1"/>
    <n v="8.99"/>
  </r>
  <r>
    <x v="1"/>
    <s v="MAXFACTOR"/>
    <s v="BH4120_26"/>
    <x v="23"/>
    <s v="BASE H4 120 H2FY26"/>
    <n v="1"/>
    <n v="8.99"/>
  </r>
  <r>
    <x v="1"/>
    <s v="MAXFACTOR"/>
    <s v="kit_pushMXF150"/>
    <x v="167"/>
    <s v="KITS PUSH PARA CRF_ACTUALIZ H1 Y H2FY26"/>
    <n v="1"/>
    <n v="8.99"/>
  </r>
  <r>
    <x v="1"/>
    <s v="MAXFACTOR"/>
    <s v="MXF_BaseH4120"/>
    <x v="168"/>
    <s v="MXF BASE BBH4 1.2M H1 FY24 DIAM"/>
    <n v="1"/>
    <n v="8.99"/>
  </r>
  <r>
    <x v="2"/>
    <m/>
    <n v="54006462"/>
    <x v="169"/>
    <s v="KIT ACT WALL UNIT 1/2 NOV"/>
    <n v="1"/>
    <n v="8.99"/>
  </r>
  <r>
    <x v="1"/>
    <s v="RIMMEL "/>
    <n v="1788"/>
    <x v="24"/>
    <s v="BASE_MUEBLE_MIBAR 1.2M SPANISH H1 FY23"/>
    <n v="1"/>
    <n v="8.99"/>
  </r>
  <r>
    <x v="2"/>
    <s v="FLORMAR"/>
    <n v="54005258"/>
    <x v="25"/>
    <s v="NC WU POWDER FAMILY 1 SKU"/>
    <n v="1"/>
    <n v="8.99"/>
  </r>
  <r>
    <x v="1"/>
    <s v="RIMMEL"/>
    <s v="DEV050625.4"/>
    <x v="170"/>
    <s v="BASE MIBAR 1.2M DEV H1FY25"/>
    <n v="1"/>
    <n v="8.99"/>
  </r>
  <r>
    <x v="1"/>
    <s v="BOURJOIS"/>
    <n v="150525.20000000001"/>
    <x v="171"/>
    <s v="BASE NEXT GEN 1.2M DEV"/>
    <n v="1"/>
    <n v="8.99"/>
  </r>
  <r>
    <x v="1"/>
    <s v="MAXFACTOR"/>
    <s v="MXFATILA98"/>
    <x v="26"/>
    <s v="KIT ATILA 98 Y 120 H1FY25"/>
    <n v="1"/>
    <n v="8.99"/>
  </r>
  <r>
    <x v="4"/>
    <s v="WET N WILD"/>
    <s v="CAJON _URGE 2024"/>
    <x v="172"/>
    <s v="WET N WILD CAJON 2024"/>
    <n v="1"/>
    <n v="8.99"/>
  </r>
  <r>
    <x v="3"/>
    <s v="NEONAIL"/>
    <s v="NEO_ ALARGA"/>
    <x v="27"/>
    <s v="ALARGADOR CABLE NEONAIL"/>
    <n v="1"/>
    <n v="8.99"/>
  </r>
  <r>
    <x v="1"/>
    <s v="BOURJOIS"/>
    <n v="29101798000"/>
    <x v="173"/>
    <s v="1 SECOND UÑAS"/>
    <n v="1"/>
    <n v="8.99"/>
  </r>
  <r>
    <x v="1"/>
    <s v="MAXFACTOR"/>
    <s v="MXF 112"/>
    <x v="174"/>
    <s v="MXF_BANDEJA_112 LASTING PERF FOUNDATION FOOD"/>
    <n v="1"/>
    <n v="8.99"/>
  </r>
  <r>
    <x v="1"/>
    <s v="BOURJOIS"/>
    <n v="29101798000"/>
    <x v="175"/>
    <s v="1 SECOND UÑAS"/>
    <n v="1"/>
    <n v="8.99"/>
  </r>
  <r>
    <x v="4"/>
    <s v="PHYSICIANS FORM"/>
    <s v="PF_2025_T"/>
    <x v="28"/>
    <s v="TESTERS 2025"/>
    <n v="1"/>
    <n v="8.99"/>
  </r>
  <r>
    <x v="1"/>
    <s v="BOURJOIS"/>
    <n v="29101774000"/>
    <x v="176"/>
    <s v="FARD JOUES"/>
    <n v="1"/>
    <n v="8.99"/>
  </r>
  <r>
    <x v="1"/>
    <s v="MAXFACTOR"/>
    <s v="MXF 112"/>
    <x v="29"/>
    <s v="MXF_BANDEJA_112 LASTING PERF FOUNDATION FOOD"/>
    <n v="1"/>
    <n v="8.99"/>
  </r>
  <r>
    <x v="1"/>
    <s v="RIMMEL"/>
    <n v="17058508"/>
    <x v="177"/>
    <s v="RIMMEL_BANDEJA_CUBILETE"/>
    <n v="1"/>
    <n v="8.99"/>
  </r>
  <r>
    <x v="1"/>
    <s v="MAXFACTOR"/>
    <n v="99240116681"/>
    <x v="178"/>
    <s v="MXF FACEFINITY ADF C80 BRONZE SAMPLE"/>
    <n v="1"/>
    <n v="8.99"/>
  </r>
  <r>
    <x v="1"/>
    <s v="RIMMEL"/>
    <s v="RIMP159_F26"/>
    <x v="179"/>
    <s v="MULTITASKER CONCEALER"/>
    <n v="1"/>
    <n v="8.99"/>
  </r>
  <r>
    <x v="4"/>
    <s v="WET N WILD"/>
    <s v="CAJON _URGE 2024"/>
    <x v="180"/>
    <s v="WET N WILD CAJON 2024"/>
    <n v="1"/>
    <n v="8.99"/>
  </r>
  <r>
    <x v="1"/>
    <s v="BOURJOIS"/>
    <n v="29101803000"/>
    <x v="181"/>
    <s v="VOLUME CLUBBING / VOLUMIZER / BEAUTIFULL"/>
    <n v="1"/>
    <n v="8.99"/>
  </r>
  <r>
    <x v="1"/>
    <s v="MAXFACTOR"/>
    <s v="PGT410108001"/>
    <x v="30"/>
    <s v="CREME PUFF 3F"/>
    <n v="1"/>
    <n v="8.99"/>
  </r>
  <r>
    <x v="1"/>
    <s v="MAXFACTOR"/>
    <s v="PGT410182001"/>
    <x v="31"/>
    <s v="NUDE PALETTE 2F"/>
    <n v="1"/>
    <n v="8.99"/>
  </r>
  <r>
    <x v="1"/>
    <s v="MAXFACTOR"/>
    <s v="PGT410196001"/>
    <x v="32"/>
    <s v="ALL DAY FLAWLESS 2F"/>
    <n v="1"/>
    <n v="8.99"/>
  </r>
  <r>
    <x v="1"/>
    <s v="RIM/BJ/MXF"/>
    <s v="PORTAVIS_MINI"/>
    <x v="182"/>
    <s v="MINI PORTAVISUALES"/>
    <n v="1"/>
    <n v="8.99"/>
  </r>
  <r>
    <x v="1"/>
    <s v="MAXFACTOR"/>
    <s v="PGT410368001"/>
    <x v="33"/>
    <s v="3F NAIL MODULE H4 (ASTOR SMALL BOTTLE) 3F"/>
    <n v="1"/>
    <n v="8.99"/>
  </r>
  <r>
    <x v="1"/>
    <s v="MAXFACTOR"/>
    <s v="PGT410127001"/>
    <x v="34"/>
    <s v="FALSE LASH EFFECT MASCARA 2F"/>
    <n v="1"/>
    <n v="8.99"/>
  </r>
  <r>
    <x v="1"/>
    <s v="RIM/BJ/MXF"/>
    <s v="PORTAVIS_MINI"/>
    <x v="183"/>
    <s v="MINI PORTAVISUALES"/>
    <n v="1"/>
    <n v="8.99"/>
  </r>
  <r>
    <x v="1"/>
    <s v="MAXFACTOR"/>
    <s v="PGT410125001"/>
    <x v="35"/>
    <s v="MASTERPIECE MAX MASCARA 3F"/>
    <n v="1"/>
    <n v="8.99"/>
  </r>
  <r>
    <x v="1"/>
    <s v="MAXFACTOR"/>
    <s v="MXF 116"/>
    <x v="184"/>
    <s v="MXF_BANDEJA_116 LIPFINITY VELVET MATTE FOOD"/>
    <n v="1"/>
    <n v="8.99"/>
  </r>
  <r>
    <x v="1"/>
    <s v="MAXFACTOR"/>
    <s v="PGT410125002"/>
    <x v="36"/>
    <s v="MASTERPIECE 2IN1 LASH WOW MASCARA 3F"/>
    <n v="1"/>
    <n v="8.99"/>
  </r>
  <r>
    <x v="1"/>
    <s v="MAXFACTOR"/>
    <s v="PGT410124001"/>
    <x v="37"/>
    <s v="MASTERPIECE MASCARA 3F"/>
    <n v="1"/>
    <n v="8.99"/>
  </r>
  <r>
    <x v="1"/>
    <s v="MAXFACTOR"/>
    <s v="PGT410409001"/>
    <x v="185"/>
    <s v="LINER BAR 57F"/>
    <n v="1"/>
    <n v="8.99"/>
  </r>
  <r>
    <x v="1"/>
    <s v="RIMMEL "/>
    <n v="11111"/>
    <x v="186"/>
    <s v="Pieza HOTSPOT RIM Mibar 1.2M_KIT ACT Q1 FY21"/>
    <n v="1"/>
    <n v="8.99"/>
  </r>
  <r>
    <x v="1"/>
    <s v="BOURJOIS"/>
    <n v="29110002000"/>
    <x v="187"/>
    <s v="MASC EYECATCHING"/>
    <n v="1"/>
    <n v="8.99"/>
  </r>
  <r>
    <x v="1"/>
    <s v="MAXFACTOR"/>
    <s v="MXF 116"/>
    <x v="38"/>
    <s v="MXF_BANDEJA_116 LIPFINITY VELVET MATTE FOOD"/>
    <n v="1"/>
    <n v="8.99"/>
  </r>
  <r>
    <x v="1"/>
    <s v="MAXFACTOR"/>
    <n v="81624316"/>
    <x v="188"/>
    <s v="H4 - 1.5 M H-2 FY 16/17 CURL"/>
    <n v="1"/>
    <n v="8.99"/>
  </r>
  <r>
    <x v="1"/>
    <s v="BOURJOIS"/>
    <n v="29101801000"/>
    <x v="189"/>
    <s v="VOLUME GLAMOUR "/>
    <n v="1"/>
    <n v="8.99"/>
  </r>
  <r>
    <x v="1"/>
    <s v="MAXFACTOR"/>
    <s v="MXF 131"/>
    <x v="190"/>
    <s v="MXF_BANDEJA_131 MIRACLE PURE FOUNDATION FOOD"/>
    <n v="1"/>
    <n v="8.99"/>
  </r>
  <r>
    <x v="1"/>
    <s v="BOURJOIS"/>
    <n v="1104"/>
    <x v="191"/>
    <s v="BJS TEMPLE 200 FY20"/>
    <n v="1"/>
    <n v="8.99"/>
  </r>
  <r>
    <x v="1"/>
    <m/>
    <s v="COTY0091"/>
    <x v="39"/>
    <s v="FOOD_GANCHOS BLANCOS DOBLE L 242 MM"/>
    <n v="1"/>
    <n v="8.99"/>
  </r>
  <r>
    <x v="1"/>
    <s v="MAXFACTOR"/>
    <s v="MXF 116"/>
    <x v="192"/>
    <s v="MXF_BANDEJA_116 LIPFINITY VELVET MATTE FOOD"/>
    <n v="1"/>
    <n v="8.99"/>
  </r>
  <r>
    <x v="1"/>
    <s v="BOURJOIS"/>
    <n v="29101779000"/>
    <x v="193"/>
    <s v="VISUAL 10 CM"/>
    <n v="1"/>
    <n v="8.99"/>
  </r>
  <r>
    <x v="1"/>
    <s v="MAXFACTOR"/>
    <s v="MXF 112"/>
    <x v="40"/>
    <s v="MXF_BANDEJA_112 LASTING PERF FOUNDATION FOOD"/>
    <n v="1"/>
    <n v="8.99"/>
  </r>
  <r>
    <x v="1"/>
    <s v="MAXFACTOR"/>
    <s v="COTY0103"/>
    <x v="194"/>
    <s v="MXF_TESTERS_ATILA 98/120 (FOOD)"/>
    <n v="1"/>
    <n v="8.99"/>
  </r>
  <r>
    <x v="1"/>
    <s v="RIMMEL "/>
    <s v="RIM 101"/>
    <x v="195"/>
    <s v="RIM_BANDEJA_101 WONDER CLOUD FOOD"/>
    <n v="1"/>
    <n v="8.99"/>
  </r>
  <r>
    <x v="1"/>
    <s v="MAXFACTOR"/>
    <s v="KIT120_PUSH_MXFFY24"/>
    <x v="196"/>
    <s v="kit120_mxf push_fy24"/>
    <n v="1"/>
    <n v="8.99"/>
  </r>
  <r>
    <x v="1"/>
    <s v="MAXFACTOR"/>
    <s v="KIT120_PUSH_MXFFY24"/>
    <x v="197"/>
    <s v="kit120_mxf push_fy24"/>
    <n v="1"/>
    <n v="8.99"/>
  </r>
  <r>
    <x v="1"/>
    <s v="RIMMEL"/>
    <s v="COTY0043"/>
    <x v="198"/>
    <s v="KIT_CABECERA UÑAS FOOD_MAYO 2022"/>
    <n v="1"/>
    <n v="8.99"/>
  </r>
  <r>
    <x v="1"/>
    <s v="RIMMEL"/>
    <s v="COTY0043"/>
    <x v="199"/>
    <s v="KIT_CABECERA UÑAS FOOD_MAYO 2022"/>
    <n v="1"/>
    <n v="8.99"/>
  </r>
  <r>
    <x v="1"/>
    <s v="SALLY HANSEN"/>
    <s v="SHGANCHOS"/>
    <x v="200"/>
    <s v="KIT SPINNER GANCHOS"/>
    <n v="1"/>
    <n v="8.99"/>
  </r>
  <r>
    <x v="1"/>
    <s v="SALLY HANSEN"/>
    <s v="KIT120_PUSH_SHFY24-1"/>
    <x v="201"/>
    <s v="KIT120_SH PUSH_FY24 INCOMPLETO"/>
    <n v="1"/>
    <n v="8.99"/>
  </r>
  <r>
    <x v="1"/>
    <s v="SALLY HANSEN"/>
    <s v="KIT120_PUSH_SHFY24"/>
    <x v="202"/>
    <s v="KIT120_SH PUSH_FY24"/>
    <n v="1"/>
    <n v="8.99"/>
  </r>
  <r>
    <x v="1"/>
    <s v="SALLY HANSEN"/>
    <s v="KIT120_PUSH_SHFY24"/>
    <x v="203"/>
    <s v="KIT120_SH PUSH_FY24"/>
    <n v="1"/>
    <n v="8.99"/>
  </r>
  <r>
    <x v="1"/>
    <s v="SALLY HANSEN"/>
    <s v="KIT120_PUSH_SHFY24"/>
    <x v="204"/>
    <s v="KIT120_SH PUSH_FY24"/>
    <n v="1"/>
    <n v="8.99"/>
  </r>
  <r>
    <x v="1"/>
    <s v="SALLY HANSEN"/>
    <s v="KIT120_PUSH_SHFY24"/>
    <x v="205"/>
    <s v="KIT120_SH PUSH_FY24"/>
    <n v="1"/>
    <n v="8.99"/>
  </r>
  <r>
    <x v="1"/>
    <s v="SALLY HANSEN"/>
    <s v="KIT120_PUSH_SHFY24-1"/>
    <x v="206"/>
    <s v="KIT120_SH PUSH_FY24 INCOMPLETO"/>
    <n v="1"/>
    <n v="8.99"/>
  </r>
  <r>
    <x v="1"/>
    <s v="SALLY HANSEN"/>
    <s v="KIT120_PUSH_SHFY24"/>
    <x v="207"/>
    <s v="KIT120_SH PUSH_FY24"/>
    <n v="1"/>
    <n v="8.99"/>
  </r>
  <r>
    <x v="1"/>
    <s v="SALLY HANSEN"/>
    <s v="KIT120_PUSH_SHFY24"/>
    <x v="208"/>
    <s v="KIT120_SH PUSH_FY24"/>
    <n v="1"/>
    <n v="8.99"/>
  </r>
  <r>
    <x v="1"/>
    <s v="SALLY HANSEN"/>
    <s v="KIT120_PUSH_SHFY24"/>
    <x v="209"/>
    <s v="KIT120_SH PUSH_FY24"/>
    <n v="1"/>
    <n v="8.99"/>
  </r>
  <r>
    <x v="1"/>
    <s v="SALLY HANSEN"/>
    <s v="KIT120_PUSH_SHFY24"/>
    <x v="210"/>
    <s v="KIT120_SH PUSH_FY24"/>
    <n v="1"/>
    <n v="8.99"/>
  </r>
  <r>
    <x v="1"/>
    <s v="SALLY HANSEN"/>
    <s v="KIT120_PUSH_SHFY24"/>
    <x v="211"/>
    <s v="KIT120_SH PUSH_FY24"/>
    <n v="1"/>
    <n v="8.99"/>
  </r>
  <r>
    <x v="1"/>
    <s v="RIMMEL"/>
    <s v="RIMKIT90_PUSH"/>
    <x v="212"/>
    <s v="PALLET CON BANDEJAS PUSH DE 90CM"/>
    <n v="1"/>
    <n v="8.99"/>
  </r>
  <r>
    <x v="1"/>
    <s v="RIMMEL"/>
    <s v="KITRIMATILA120"/>
    <x v="213"/>
    <s v="KIT RIMMEL ATILA 120CM H2FY25"/>
    <n v="1"/>
    <n v="8.99"/>
  </r>
  <r>
    <x v="1"/>
    <s v="MAXFACTOR"/>
    <s v="MXF 103"/>
    <x v="41"/>
    <s v="MXF_BANDEJA_103 COVER STICK CONCEALER FOOD"/>
    <n v="1"/>
    <n v="8.99"/>
  </r>
  <r>
    <x v="1"/>
    <s v="RIMMEL "/>
    <n v="17058504"/>
    <x v="214"/>
    <s v="MAXFACTOR_PORTAVISUAL_BANDEJA FOOD"/>
    <n v="1"/>
    <n v="8.99"/>
  </r>
  <r>
    <x v="1"/>
    <s v="MAXFACTOR"/>
    <s v="kit_pushMXF90"/>
    <x v="215"/>
    <s v="KITS PUSH PARA CRF_ACTUALIZ H1 Y H2FY26"/>
    <n v="1"/>
    <n v="8.99"/>
  </r>
  <r>
    <x v="1"/>
    <s v="SALLY HANSEN"/>
    <s v="DEV220425.1"/>
    <x v="42"/>
    <s v="SH_CAJAS PIEZAS_SPINNER DEV"/>
    <n v="1"/>
    <n v="8.99"/>
  </r>
  <r>
    <x v="1"/>
    <s v="MXF_RIM"/>
    <s v="BASE_ATILA98_NEGRO"/>
    <x v="216"/>
    <s v="BASE ATILA 980 NEGRO ALCAMPO"/>
    <n v="1"/>
    <n v="8.99"/>
  </r>
  <r>
    <x v="1"/>
    <s v="RIMMEL"/>
    <s v="kit_pushRIM180"/>
    <x v="217"/>
    <s v="KITS PUSH PARA CRF_ACTUALIZ H1 Y H2FY26"/>
    <n v="1"/>
    <n v="8.99"/>
  </r>
  <r>
    <x v="1"/>
    <s v="MAXFACTOR"/>
    <s v="MXF 109 CEM"/>
    <x v="43"/>
    <s v="MXF_BANDEJA_109 CEM C.ELIXIR+C.ELIXIR MATTE FOOD"/>
    <n v="1"/>
    <n v="8.99"/>
  </r>
  <r>
    <x v="1"/>
    <s v="RIMMEL"/>
    <s v="I-00037-03"/>
    <x v="218"/>
    <s v="RIM_BANDEJA RECUPERADA"/>
    <n v="1"/>
    <n v="8.99"/>
  </r>
  <r>
    <x v="1"/>
    <s v="MXF_RIM"/>
    <s v="BASE_ATILA98_BLANCO"/>
    <x v="219"/>
    <s v="BASE ATILA 980 BLANCO ALCAMPO"/>
    <n v="1"/>
    <n v="8.99"/>
  </r>
  <r>
    <x v="1"/>
    <s v="MAXFACTOR"/>
    <s v="MXF 109 CE"/>
    <x v="44"/>
    <s v="MXF_BANDEJA_109 CE COLOR ELIXIR FOOD"/>
    <n v="1"/>
    <n v="8.99"/>
  </r>
  <r>
    <x v="1"/>
    <s v="RIMMEL"/>
    <s v="ALCLOSENLACES"/>
    <x v="220"/>
    <s v="KIT120_RIM PUSH_FY24_ALCAMPO LOS ENLACES"/>
    <n v="1"/>
    <n v="8.99"/>
  </r>
  <r>
    <x v="1"/>
    <s v="MXF_RIM"/>
    <s v="BASE_ATILA98_BLANCO"/>
    <x v="221"/>
    <s v="BASE ATILA 980 BLANCO ALCAMPO"/>
    <n v="1"/>
    <n v="8.99"/>
  </r>
  <r>
    <x v="1"/>
    <s v="MXF_RIM"/>
    <s v="BASE_ATILA56_NEGRO"/>
    <x v="222"/>
    <s v="BASE ATILA 560 NEGRO ALCAMPO"/>
    <n v="1"/>
    <n v="8.99"/>
  </r>
  <r>
    <x v="4"/>
    <s v="WET N WILD"/>
    <s v="WW_ZOCALO"/>
    <x v="223"/>
    <s v="ZOCALO WET N WILD"/>
    <n v="1"/>
    <n v="8.99"/>
  </r>
  <r>
    <x v="1"/>
    <s v="MAXFACTOR"/>
    <s v="MXF 112"/>
    <x v="45"/>
    <s v="MXF_BANDEJA_112 LASTING PERF FOUNDATION FOOD"/>
    <n v="1"/>
    <n v="8.99"/>
  </r>
  <r>
    <x v="1"/>
    <s v="RIMMEL"/>
    <s v="COTY0043"/>
    <x v="224"/>
    <s v="KIT_CABECERA UÑAS FOOD_MAYO 2022"/>
    <n v="1"/>
    <n v="8.99"/>
  </r>
  <r>
    <x v="1"/>
    <s v="MXF_RIM"/>
    <s v="BASE_ATILA98_BLANCO"/>
    <x v="225"/>
    <s v="BASE ATILA 980 BLANCO ALCAMPO"/>
    <n v="1"/>
    <n v="8.99"/>
  </r>
  <r>
    <x v="1"/>
    <s v="MXF_RIM"/>
    <s v="BASE_ATILA120_NEGRO"/>
    <x v="226"/>
    <s v="BASE ATILA 1200 NEGRO ALCAMPO"/>
    <n v="1"/>
    <n v="8.99"/>
  </r>
  <r>
    <x v="1"/>
    <s v="RIMMEL "/>
    <s v="RIM 107"/>
    <x v="227"/>
    <s v="RIM_BANDEJA_107 K&amp;F FOOD"/>
    <n v="1"/>
    <n v="8.99"/>
  </r>
  <r>
    <x v="1"/>
    <s v="SALLY HANSEN"/>
    <n v="99350044319"/>
    <x v="228"/>
    <s v="SH MULT GWP XMAS SET 3 1 VAC FORM 19GB"/>
    <n v="1"/>
    <n v="8.99"/>
  </r>
  <r>
    <x v="1"/>
    <s v="MXF_RIM"/>
    <s v="BASE_ATILA120_BLANCO"/>
    <x v="229"/>
    <s v="BASE ATILA 1200 BLANCO ALCAMPO"/>
    <n v="1"/>
    <n v="8.99"/>
  </r>
  <r>
    <x v="1"/>
    <s v="MAXFACTOR"/>
    <s v="MXF 117"/>
    <x v="230"/>
    <s v="MXF_BANDEJA_107 MASCARE FLE FOOD"/>
    <n v="1"/>
    <n v="8.99"/>
  </r>
  <r>
    <x v="1"/>
    <s v="MAXFACTOR"/>
    <s v="MXF 109 CE"/>
    <x v="231"/>
    <s v="MXF_BANDEJA_109 CE COLOR ELIXIR FOOD"/>
    <n v="1"/>
    <n v="8.99"/>
  </r>
  <r>
    <x v="1"/>
    <s v="MAXFACTOR"/>
    <s v="KITpushMXF90SB"/>
    <x v="46"/>
    <s v="KITS PUSH SIN BARRA METALICA"/>
    <n v="1"/>
    <n v="8.99"/>
  </r>
  <r>
    <x v="1"/>
    <s v="MAXFACTOR"/>
    <s v="kit_pushMXF120"/>
    <x v="232"/>
    <s v="KITS PUSH PARA CRF_ACTUALIZ H1 Y H2FY26"/>
    <n v="1"/>
    <n v="8.99"/>
  </r>
  <r>
    <x v="1"/>
    <s v="RIMMEL "/>
    <n v="11111"/>
    <x v="233"/>
    <s v="Pieza HOTSPOT RIM Mibar 1.2M_KIT ACT Q1 FY21"/>
    <n v="1"/>
    <n v="8.99"/>
  </r>
  <r>
    <x v="4"/>
    <s v="PHYSICIANS FORM"/>
    <s v="CONVKIT 23"/>
    <x v="47"/>
    <s v="KITS CONVERSION WET FY23"/>
    <n v="1"/>
    <n v="8.99"/>
  </r>
  <r>
    <x v="1"/>
    <s v="RIMMEL"/>
    <s v="KIT_PUSHRIM120"/>
    <x v="234"/>
    <s v="KITS PUSH PARA CRF_ACTUALIZ H1 Y H2FY26"/>
    <n v="1"/>
    <n v="8.99"/>
  </r>
  <r>
    <x v="1"/>
    <s v="MAXFACTOR"/>
    <s v="MXF0108"/>
    <x v="235"/>
    <s v="MXF_KIT_ACT_HIPERCOR 240 H2 FY22"/>
    <n v="1"/>
    <n v="8.99"/>
  </r>
  <r>
    <x v="1"/>
    <s v="RIMMEL"/>
    <n v="99350139274"/>
    <x v="236"/>
    <s v="RIM_KIT ACT_MIBAR 2M SPANISH H2 FY22"/>
    <n v="1"/>
    <n v="8.99"/>
  </r>
  <r>
    <x v="1"/>
    <s v="RIMMEL "/>
    <s v="RIM 106"/>
    <x v="237"/>
    <s v="RIM_BANDEJA_106 K&amp;F FOOD"/>
    <n v="1"/>
    <n v="8.99"/>
  </r>
  <r>
    <x v="2"/>
    <s v="FLORMAR"/>
    <s v="GOND_KIT_JUN26"/>
    <x v="238"/>
    <s v="KIT ACT. GOND UNIT JUNIO 26"/>
    <n v="1"/>
    <n v="8.99"/>
  </r>
  <r>
    <x v="1"/>
    <s v="BOURJOIS"/>
    <n v="29101277000"/>
    <x v="239"/>
    <s v="ROUGE VELVET"/>
    <n v="1"/>
    <n v="8.99"/>
  </r>
  <r>
    <x v="2"/>
    <s v="FLORMAR"/>
    <s v="WALL_KIT_JUN26"/>
    <x v="240"/>
    <s v="KIT ACT. WALL UNIT JUNIO 26"/>
    <n v="1"/>
    <n v="8.99"/>
  </r>
  <r>
    <x v="1"/>
    <s v="BOURJOIS"/>
    <n v="29100588000"/>
    <x v="241"/>
    <s v="MASC PUSH UP"/>
    <n v="1"/>
    <n v="8.99"/>
  </r>
  <r>
    <x v="1"/>
    <s v="MAXFACTOR"/>
    <s v="MXF 111"/>
    <x v="242"/>
    <s v="MXF_BANDEJA_111 FACEFINITY FOOD"/>
    <n v="1"/>
    <n v="8.99"/>
  </r>
  <r>
    <x v="1"/>
    <s v="SALLY HANSEN"/>
    <s v="BASESH1M"/>
    <x v="243"/>
    <s v="BASE SALLY HANSEN 1M BB H2FY25"/>
    <n v="1"/>
    <n v="8.99"/>
  </r>
  <r>
    <x v="8"/>
    <m/>
    <s v="NOTE_BASE"/>
    <x v="244"/>
    <s v="NOTE_BASE_BASES SUELTAS"/>
    <n v="1"/>
    <n v="8.99"/>
  </r>
  <r>
    <x v="1"/>
    <s v="BOURJOIS"/>
    <n v="29101772000"/>
    <x v="245"/>
    <s v="LAPICES BJS MULT MCH CRAYONS 5X1"/>
    <n v="1"/>
    <n v="8.99"/>
  </r>
  <r>
    <x v="1"/>
    <s v="RIMMEL"/>
    <s v="KIT120_RIMPUSH_FY24"/>
    <x v="246"/>
    <s v="KIT120_RIM PUSH_FY24"/>
    <n v="1"/>
    <n v="8.99"/>
  </r>
  <r>
    <x v="1"/>
    <s v="RIMMEL "/>
    <s v="RIM 108"/>
    <x v="247"/>
    <s v="RIM_BANDEJA_108 K&amp;F FOOD"/>
    <n v="1"/>
    <n v="8.99"/>
  </r>
  <r>
    <x v="1"/>
    <s v="BOURJOIS"/>
    <n v="99350145002"/>
    <x v="248"/>
    <s v="BJ_BANDEJA_Brow Gel &amp; Máscara Healthy Mix h1 FY23"/>
    <n v="1"/>
    <n v="8.99"/>
  </r>
  <r>
    <x v="1"/>
    <s v="SALLY HANSEN"/>
    <n v="270325.09999999998"/>
    <x v="249"/>
    <s v="SOBRE NAILS CHIPS COMPLETO H2FY25"/>
    <n v="1"/>
    <n v="8.99"/>
  </r>
  <r>
    <x v="1"/>
    <s v="BOURJOIS"/>
    <n v="29101799000"/>
    <x v="250"/>
    <s v="SACAPUNTAS"/>
    <n v="1"/>
    <n v="8.99"/>
  </r>
  <r>
    <x v="1"/>
    <s v="MAXFACTOR"/>
    <s v="MXF 133"/>
    <x v="48"/>
    <s v="MXF_BANDEJA_133 MIRACLE PURE BLUSH FOOD"/>
    <n v="1"/>
    <n v="8.99"/>
  </r>
  <r>
    <x v="1"/>
    <s v="BOURJOIS"/>
    <n v="99350165019"/>
    <x v="251"/>
    <s v="BJ_BANDEJA_Adaptador Foundation HM H1 FY23"/>
    <n v="1"/>
    <n v="8.99"/>
  </r>
  <r>
    <x v="1"/>
    <s v="BOURJOIS"/>
    <n v="29101779000"/>
    <x v="252"/>
    <s v="VISUAL 10 CM"/>
    <n v="1"/>
    <n v="8.99"/>
  </r>
  <r>
    <x v="1"/>
    <s v="BOURJOIS"/>
    <s v="29166145000_MARU"/>
    <x v="253"/>
    <s v="BJ_BANDEJA"/>
    <n v="1"/>
    <n v="8.99"/>
  </r>
  <r>
    <x v="1"/>
    <s v="BOURJOIS"/>
    <s v="KIT120_PUSH_BJFY24"/>
    <x v="254"/>
    <s v="KIT120_PUSH_BJFY24"/>
    <n v="1"/>
    <n v="8.99"/>
  </r>
  <r>
    <x v="1"/>
    <s v="RIMMEL"/>
    <s v="BMIBAR120_26"/>
    <x v="255"/>
    <s v="BASE MIBAR 120 H2FY26"/>
    <n v="1"/>
    <n v="8.99"/>
  </r>
  <r>
    <x v="1"/>
    <s v="BOURJOIS"/>
    <s v="KIT120_PUSH_BJFY24"/>
    <x v="256"/>
    <s v="KIT120_PUSH_BJFY24"/>
    <n v="1"/>
    <n v="8.99"/>
  </r>
  <r>
    <x v="1"/>
    <s v="RIMMEL"/>
    <s v="BMIBAR120_26"/>
    <x v="257"/>
    <s v="BASE MIBAR 120 H2FY26"/>
    <n v="1"/>
    <n v="8.99"/>
  </r>
  <r>
    <x v="1"/>
    <s v="BOURJOIS"/>
    <n v="29102732000"/>
    <x v="258"/>
    <s v="VOLUME REVEAL"/>
    <n v="1"/>
    <n v="8.99"/>
  </r>
  <r>
    <x v="1"/>
    <s v="BOURJOIS"/>
    <s v="KIT120_PUSH_BJFY24"/>
    <x v="259"/>
    <s v="KIT120_PUSH_BJFY24"/>
    <n v="1"/>
    <n v="8.99"/>
  </r>
  <r>
    <x v="1"/>
    <s v="BOURJOIS"/>
    <n v="29101782000"/>
    <x v="260"/>
    <s v="BJS MULT MCH MODPOP SHARPENER 5cmX1"/>
    <n v="1"/>
    <n v="8.99"/>
  </r>
  <r>
    <x v="1"/>
    <s v="BOURJOIS"/>
    <n v="29101798000"/>
    <x v="261"/>
    <s v="1 SECOND UÑAS"/>
    <n v="1"/>
    <n v="8.99"/>
  </r>
  <r>
    <x v="1"/>
    <s v="BOURJOIS"/>
    <s v="KIT120_PUSH_BJFY24"/>
    <x v="262"/>
    <s v="KIT120_PUSH_BJFY24"/>
    <n v="1"/>
    <n v="8.99"/>
  </r>
  <r>
    <x v="1"/>
    <s v="BOURJOIS"/>
    <s v="99350168005_MARU"/>
    <x v="263"/>
    <s v="BJ_BANDEJA"/>
    <n v="1"/>
    <n v="8.99"/>
  </r>
  <r>
    <x v="1"/>
    <s v="BOURJOIS"/>
    <s v="99350124537_MARU"/>
    <x v="264"/>
    <s v="BJ_BANDEJA"/>
    <n v="1"/>
    <n v="8.99"/>
  </r>
  <r>
    <x v="1"/>
    <s v="BOURJOIS"/>
    <n v="29101794000"/>
    <x v="265"/>
    <s v="HEALTHY MIX POWDER "/>
    <n v="1"/>
    <n v="8.99"/>
  </r>
  <r>
    <x v="1"/>
    <s v="MAXFACTOR"/>
    <s v="MXF 112"/>
    <x v="266"/>
    <s v="MXF_BANDEJA_112 LASTING PERF FOUNDATION FOOD"/>
    <n v="1"/>
    <n v="8.99"/>
  </r>
  <r>
    <x v="2"/>
    <s v="FLORMAR"/>
    <n v="54004388"/>
    <x v="49"/>
    <s v="NC WU MAT TOUCH FOUN. - INV.HD FOUN."/>
    <n v="1"/>
    <n v="8.99"/>
  </r>
  <r>
    <x v="1"/>
    <s v="BOURJOIS"/>
    <n v="29165275000"/>
    <x v="267"/>
    <s v="ROUGE FABULEUX"/>
    <n v="1"/>
    <n v="8.99"/>
  </r>
  <r>
    <x v="3"/>
    <m/>
    <s v="NEO_CAJA2"/>
    <x v="268"/>
    <s v="NEO_CAJA2_PRODUCTO"/>
    <n v="1"/>
    <n v="8.99"/>
  </r>
  <r>
    <x v="1"/>
    <s v="RIMMEL"/>
    <s v="BMIBAR120_26"/>
    <x v="269"/>
    <s v="BASE MIBAR 120 H2FY26"/>
    <n v="1"/>
    <n v="8.99"/>
  </r>
  <r>
    <x v="1"/>
    <s v="BOURJOIS"/>
    <n v="29101779000"/>
    <x v="270"/>
    <s v="VISUAL 10 CM"/>
    <n v="1"/>
    <n v="8.99"/>
  </r>
  <r>
    <x v="1"/>
    <s v="RIMMEL"/>
    <s v="BMIBAR120_26"/>
    <x v="271"/>
    <s v="BASE MIBAR 120 H2FY26"/>
    <n v="1"/>
    <n v="8.99"/>
  </r>
  <r>
    <x v="1"/>
    <s v="RIMMEL"/>
    <s v="BMIBAR120_26"/>
    <x v="50"/>
    <s v="BASE MIBAR 120 H2FY26"/>
    <n v="1"/>
    <n v="8.99"/>
  </r>
  <r>
    <x v="1"/>
    <s v="RIMMEL"/>
    <s v="BMIBAR120_26"/>
    <x v="272"/>
    <s v="BASE MIBAR 120 H2FY26"/>
    <n v="1"/>
    <n v="8.99"/>
  </r>
  <r>
    <x v="1"/>
    <s v="BOURJOIS"/>
    <n v="29175008000"/>
    <x v="273"/>
    <s v="BJ_BANDEJA_Foundcealer"/>
    <n v="1"/>
    <n v="8.99"/>
  </r>
  <r>
    <x v="1"/>
    <s v="BOURJOIS"/>
    <s v="29185185000_MARU"/>
    <x v="274"/>
    <s v="BJ_BANDEJA"/>
    <n v="1"/>
    <n v="8.99"/>
  </r>
  <r>
    <x v="1"/>
    <s v="BOURJOIS"/>
    <s v="99350168007_MARU"/>
    <x v="275"/>
    <s v="BJ_BANDEJA"/>
    <n v="1"/>
    <n v="8.99"/>
  </r>
  <r>
    <x v="1"/>
    <s v="RIMMEL"/>
    <s v="BMIBAR120_26"/>
    <x v="51"/>
    <s v="BASE MIBAR 120 H2FY26"/>
    <n v="1"/>
    <n v="8.99"/>
  </r>
  <r>
    <x v="1"/>
    <s v="BOURJOIS"/>
    <n v="99350168006"/>
    <x v="276"/>
    <s v="BOU MULT MCH EXP HM LIPSORB ARCHP2 (LIP SORBET)"/>
    <n v="1"/>
    <n v="8.99"/>
  </r>
  <r>
    <x v="1"/>
    <s v="BOURJOIS"/>
    <n v="29185261000"/>
    <x v="52"/>
    <s v="BJ_BANDEJA_BEAU REGARD"/>
    <n v="1"/>
    <n v="8.99"/>
  </r>
  <r>
    <x v="1"/>
    <s v="MAXFACTOR"/>
    <s v="MXF_BaseH4120"/>
    <x v="277"/>
    <s v="MXF BASE BBH4 1.2M H1 FY24 DIAM"/>
    <n v="1"/>
    <n v="8.99"/>
  </r>
  <r>
    <x v="1"/>
    <s v="BOURJOIS"/>
    <n v="99350168006"/>
    <x v="278"/>
    <s v="BOU MULT MCH EXP HM LIPSORB ARCHP2 (LIP SORBET)"/>
    <n v="1"/>
    <n v="8.99"/>
  </r>
  <r>
    <x v="1"/>
    <s v="BOURJOIS"/>
    <n v="99350124542"/>
    <x v="53"/>
    <s v="EYESHADOW VOLUME GLAMOUR 1FX6"/>
    <n v="1"/>
    <n v="8.99"/>
  </r>
  <r>
    <x v="1"/>
    <s v="BOURJOIS"/>
    <s v="99350145002_MARU"/>
    <x v="279"/>
    <s v="BJ_BANDEJA"/>
    <n v="1"/>
    <n v="8.99"/>
  </r>
  <r>
    <x v="1"/>
    <s v="BOURJOIS"/>
    <n v="29175008000"/>
    <x v="54"/>
    <s v="BJ_BANDEJA_Foundcealer"/>
    <n v="1"/>
    <n v="8.99"/>
  </r>
  <r>
    <x v="1"/>
    <s v="BOURJOIS"/>
    <n v="29166052000"/>
    <x v="280"/>
    <s v="HEALTHY MIX FOUNDATION"/>
    <n v="1"/>
    <n v="8.99"/>
  </r>
  <r>
    <x v="1"/>
    <s v="SALLY HANSEN"/>
    <s v="BASESH1M"/>
    <x v="281"/>
    <s v="BASE SALLY HANSEN 1M BB H2FY25"/>
    <n v="1"/>
    <n v="8.99"/>
  </r>
  <r>
    <x v="1"/>
    <s v="BOURJOIS"/>
    <n v="29166052000"/>
    <x v="282"/>
    <s v="HEALTHY MIX FOUNDATION"/>
    <n v="1"/>
    <n v="8.99"/>
  </r>
  <r>
    <x v="1"/>
    <s v="SALLY HANSEN"/>
    <s v="BASESH1M"/>
    <x v="283"/>
    <s v="BASE SALLY HANSEN 1M BB H2FY25"/>
    <n v="1"/>
    <n v="8.99"/>
  </r>
  <r>
    <x v="1"/>
    <s v="BOURJOIS"/>
    <n v="29166145000"/>
    <x v="284"/>
    <s v="ROUGE LAQUE+CONC ALW"/>
    <n v="1"/>
    <n v="8.99"/>
  </r>
  <r>
    <x v="1"/>
    <s v="SALLY HANSEN"/>
    <s v="BASESH1M"/>
    <x v="285"/>
    <s v="BASE SALLY HANSEN 1M BB H2FY25"/>
    <n v="1"/>
    <n v="8.99"/>
  </r>
  <r>
    <x v="1"/>
    <s v="BOURJOIS"/>
    <n v="29101809000"/>
    <x v="286"/>
    <s v="LINER PINCEU"/>
    <n v="1"/>
    <n v="8.99"/>
  </r>
  <r>
    <x v="1"/>
    <s v="BOURJOIS"/>
    <n v="29101774000"/>
    <x v="287"/>
    <s v="FARD JOUES"/>
    <n v="1"/>
    <n v="8.99"/>
  </r>
  <r>
    <x v="1"/>
    <s v="BOURJOIS"/>
    <n v="29155445000"/>
    <x v="288"/>
    <s v="VELVET THE LIPSTICK"/>
    <n v="1"/>
    <n v="8.99"/>
  </r>
  <r>
    <x v="1"/>
    <s v="SALLY HANSEN"/>
    <s v="BASESH1M"/>
    <x v="289"/>
    <s v="BASE SALLY HANSEN 1M BB H2FY25"/>
    <n v="1"/>
    <n v="8.99"/>
  </r>
  <r>
    <x v="1"/>
    <s v="BOURJOIS"/>
    <n v="29101798000"/>
    <x v="290"/>
    <s v="1 SECOND UÑAS"/>
    <n v="1"/>
    <n v="8.99"/>
  </r>
  <r>
    <x v="1"/>
    <s v="BOURJOIS"/>
    <n v="99350168006"/>
    <x v="291"/>
    <s v="BOU MULT MCH EXP HM LIPSORB ARCHP2 (LIP SORBET)"/>
    <n v="1"/>
    <n v="8.99"/>
  </r>
  <r>
    <x v="1"/>
    <s v="BOURJOIS"/>
    <n v="29101258000"/>
    <x v="292"/>
    <s v="ROUGE EDITION/BLUR THE LINES"/>
    <n v="1"/>
    <n v="8.99"/>
  </r>
  <r>
    <x v="4"/>
    <s v="WET N WILD"/>
    <s v="WWCONVKIT23"/>
    <x v="293"/>
    <s v="WET N WILD KIT CONVERSION 2023"/>
    <n v="1"/>
    <n v="8.99"/>
  </r>
  <r>
    <x v="2"/>
    <m/>
    <n v="54006347"/>
    <x v="55"/>
    <s v="HOTSPOT TO GO PRE PACK"/>
    <n v="1"/>
    <n v="8.99"/>
  </r>
  <r>
    <x v="1"/>
    <s v="MAXFACTOR"/>
    <s v="COTY0128"/>
    <x v="294"/>
    <s v="MXF_MODULO_AIR BAR"/>
    <n v="1"/>
    <n v="8.99"/>
  </r>
  <r>
    <x v="1"/>
    <s v="BOURJOIS"/>
    <n v="29185263000"/>
    <x v="295"/>
    <s v="BJ_BANDEJA_VELVET IMK"/>
    <n v="1"/>
    <n v="8.99"/>
  </r>
  <r>
    <x v="1"/>
    <s v="BOURJOIS"/>
    <s v="TESTERGPVBJ_26"/>
    <x v="56"/>
    <s v="TESTER GPV BOURJOIS 26"/>
    <n v="1"/>
    <n v="8.99"/>
  </r>
  <r>
    <x v="1"/>
    <s v="RIMMEL"/>
    <s v="I-00012-01"/>
    <x v="57"/>
    <s v="mascara WonderCareSerum 2F"/>
    <n v="1"/>
    <n v="8.99"/>
  </r>
  <r>
    <x v="2"/>
    <s v="FLORMAR"/>
    <s v="GOND_TIRAS_26"/>
    <x v="58"/>
    <s v="TIRAS GOND JUNIO 26"/>
    <n v="1"/>
    <n v="8.99"/>
  </r>
  <r>
    <x v="1"/>
    <s v="BOURJOIS"/>
    <n v="29175008000"/>
    <x v="296"/>
    <s v="BJ_BANDEJA_Foundcealer"/>
    <n v="1"/>
    <n v="8.99"/>
  </r>
  <r>
    <x v="1"/>
    <s v="MAXFACTOR"/>
    <s v="TESTERMXF_26"/>
    <x v="297"/>
    <s v="TESTER MAX FACTOR FOOD 26"/>
    <n v="1"/>
    <n v="8.99"/>
  </r>
  <r>
    <x v="1"/>
    <s v="RIMMEL"/>
    <s v="I-00031-01"/>
    <x v="59"/>
    <s v="BANDEJA RIMMEL SUELTA MIBAR 2M SPANISH"/>
    <n v="1"/>
    <n v="8.99"/>
  </r>
  <r>
    <x v="3"/>
    <m/>
    <s v="NEO_MAYO25_3"/>
    <x v="298"/>
    <s v="HOT SPOT"/>
    <n v="1"/>
    <n v="8.99"/>
  </r>
  <r>
    <x v="1"/>
    <s v="RIMMEL"/>
    <s v="I-00021-01"/>
    <x v="60"/>
    <s v="Brow This Way 1F"/>
    <n v="1"/>
    <n v="8.99"/>
  </r>
  <r>
    <x v="1"/>
    <s v="RIMMEL"/>
    <s v="TESTERSRIM_NEO"/>
    <x v="299"/>
    <s v="TestersRIM_NEO_H2FY24"/>
    <n v="1"/>
    <n v="8.99"/>
  </r>
  <r>
    <x v="1"/>
    <s v="MAXFACTOR"/>
    <s v="MXF-110-ADA"/>
    <x v="300"/>
    <s v="VISUAL 100 (CAMBIAR IMAGEN) FOOD"/>
    <n v="1"/>
    <n v="8.99"/>
  </r>
  <r>
    <x v="1"/>
    <s v="MAXFACTOR"/>
    <s v="TESTERSMXF_NEO"/>
    <x v="301"/>
    <s v="TestersMXF_NEO_H2FY24"/>
    <n v="1"/>
    <n v="8.99"/>
  </r>
  <r>
    <x v="1"/>
    <s v="MAXFACTOR"/>
    <s v="MXF 107"/>
    <x v="302"/>
    <s v="MXF_BANDEJA_107 CONCEALER FOOD"/>
    <n v="1"/>
    <n v="8.99"/>
  </r>
  <r>
    <x v="1"/>
    <s v="RIMMEL"/>
    <s v="RIM_TESTERATI56"/>
    <x v="303"/>
    <s v="TESTER PARA MUEBLE ATILA 56"/>
    <n v="1"/>
    <n v="8.99"/>
  </r>
  <r>
    <x v="1"/>
    <s v="RIMMEL "/>
    <s v="I-00016-01"/>
    <x v="304"/>
    <s v="BANDEJA MASCARAS 4FX7 RIM MIBAR 1.2M"/>
    <n v="1"/>
    <n v="8.99"/>
  </r>
  <r>
    <x v="1"/>
    <s v="RIMMEL"/>
    <s v="I-00015-01"/>
    <x v="305"/>
    <s v="BANDEJA MASCARAS 3FX7 RIM MIBAR 1.2M"/>
    <n v="1"/>
    <n v="8.99"/>
  </r>
  <r>
    <x v="1"/>
    <s v="BOURJOIS"/>
    <n v="29101779000"/>
    <x v="306"/>
    <s v="VISUAL 10 CM"/>
    <n v="1"/>
    <n v="8.99"/>
  </r>
  <r>
    <x v="1"/>
    <s v="BOURJOIS"/>
    <s v="BJNEO.4"/>
    <x v="307"/>
    <s v="NEO 270 H1FY25"/>
    <n v="1"/>
    <n v="8.99"/>
  </r>
  <r>
    <x v="1"/>
    <s v="RIMMEL"/>
    <s v="I-00015-01"/>
    <x v="308"/>
    <s v="BANDEJA MASCARAS 3FX7 RIM MIBAR 1.2M"/>
    <n v="1"/>
    <n v="8.99"/>
  </r>
  <r>
    <x v="1"/>
    <s v="RIMMEL"/>
    <s v="COTY0184_26"/>
    <x v="309"/>
    <s v="RIM_TESTERS"/>
    <n v="1"/>
    <n v="8.99"/>
  </r>
  <r>
    <x v="1"/>
    <s v="MAXFACTOR"/>
    <s v="MXF 102-A"/>
    <x v="310"/>
    <s v="MXF_BANDEJA_102-A LINERS FOOD"/>
    <n v="1"/>
    <n v="8.99"/>
  </r>
  <r>
    <x v="1"/>
    <s v="MAXFACTOR"/>
    <s v="COTY0182_26"/>
    <x v="61"/>
    <s v="MXF_TESTERS"/>
    <n v="1"/>
    <n v="8.99"/>
  </r>
  <r>
    <x v="1"/>
    <s v="BOURJOIS"/>
    <n v="29185261000"/>
    <x v="311"/>
    <s v="BJ_BANDEJA_BEAU REGARD"/>
    <n v="1"/>
    <n v="8.99"/>
  </r>
  <r>
    <x v="1"/>
    <s v="RIMMEL"/>
    <s v="XG3006.1"/>
    <x v="312"/>
    <s v="KITS MIBAR 2M H2FY25"/>
    <n v="1"/>
    <n v="8.99"/>
  </r>
  <r>
    <x v="1"/>
    <s v="MAXFACTOR"/>
    <s v="MXF 131"/>
    <x v="313"/>
    <s v="MXF_BANDEJA_131 MIRACLE PURE FOUNDATION FOOD"/>
    <n v="1"/>
    <n v="8.99"/>
  </r>
  <r>
    <x v="1"/>
    <s v="RIMMEL"/>
    <s v="TesterRIM120"/>
    <x v="314"/>
    <s v="KIT TESTERS RIMMEL 120 PUSH"/>
    <n v="1"/>
    <n v="8.99"/>
  </r>
  <r>
    <x v="1"/>
    <s v="BOURJOIS"/>
    <n v="29185263000"/>
    <x v="315"/>
    <s v="BJ_BANDEJA_VELVET IMK"/>
    <n v="1"/>
    <n v="8.99"/>
  </r>
  <r>
    <x v="1"/>
    <s v="CHANSON"/>
    <s v="TESTERS_EDMJASMIN"/>
    <x v="62"/>
    <s v="Testers_FragEDMJASMIN"/>
    <n v="1"/>
    <n v="8.99"/>
  </r>
  <r>
    <x v="1"/>
    <s v="RIMMEL"/>
    <s v="COTY0043"/>
    <x v="316"/>
    <s v="KIT_CABECERA UÑAS FOOD_MAYO 2022"/>
    <n v="1"/>
    <n v="8.99"/>
  </r>
  <r>
    <x v="1"/>
    <s v="BOURJOIS"/>
    <n v="29185263000"/>
    <x v="317"/>
    <s v="BJ_BANDEJA_VELVET IMK"/>
    <n v="1"/>
    <n v="8.99"/>
  </r>
  <r>
    <x v="1"/>
    <s v="RIMMEL"/>
    <s v="TESTERRIM_26"/>
    <x v="318"/>
    <s v="TESTER RIMMEL FOOD 26"/>
    <n v="1"/>
    <n v="8.99"/>
  </r>
  <r>
    <x v="1"/>
    <s v="MAXFACTOR"/>
    <s v="MXF 115"/>
    <x v="319"/>
    <s v="MXF_BANDEJA_115 LIPFINITY FOOD"/>
    <n v="1"/>
    <n v="8.99"/>
  </r>
  <r>
    <x v="1"/>
    <s v="MAX FACTOR"/>
    <s v="TESTERMXF120"/>
    <x v="320"/>
    <s v="TESTER PARA MUEBLES PUSH 120"/>
    <n v="1"/>
    <n v="8.99"/>
  </r>
  <r>
    <x v="1"/>
    <s v="MAXFACTOR"/>
    <s v="MXF_B1"/>
    <x v="63"/>
    <s v="MXF_BANDEJA 1_H3 150CM H2FY22"/>
    <n v="1"/>
    <n v="8.99"/>
  </r>
  <r>
    <x v="1"/>
    <s v="BOURJOIS"/>
    <n v="29101798000"/>
    <x v="321"/>
    <s v="1 SECOND UÑAS"/>
    <n v="1"/>
    <n v="8.99"/>
  </r>
  <r>
    <x v="1"/>
    <s v="RIMMEL"/>
    <s v="TESTERS_120AHORRAMAS"/>
    <x v="322"/>
    <s v="Testers_Rim120Ahorramas"/>
    <n v="1"/>
    <n v="8.99"/>
  </r>
  <r>
    <x v="1"/>
    <s v="MAXFACTOR"/>
    <s v="MXF_B5"/>
    <x v="64"/>
    <s v="MXF_BANDEJA 1_H4 120CM H2FY22"/>
    <n v="1"/>
    <n v="8.99"/>
  </r>
  <r>
    <x v="1"/>
    <m/>
    <s v="246FOOD"/>
    <x v="323"/>
    <s v="FOOD_CABCEREA UÑAS"/>
    <n v="1"/>
    <n v="8.99"/>
  </r>
  <r>
    <x v="1"/>
    <s v="MAXFACTOR"/>
    <s v="FOOD0016"/>
    <x v="324"/>
    <s v="RIM_TESTERS_NEO/ATILA (FOOD)"/>
    <n v="1"/>
    <n v="8.99"/>
  </r>
  <r>
    <x v="4"/>
    <s v="PHYSICIANS FORM"/>
    <s v="PF_DIC2"/>
    <x v="325"/>
    <s v="TESTER PF 2024"/>
    <n v="1"/>
    <n v="8.99"/>
  </r>
  <r>
    <x v="1"/>
    <s v="SALLY HANSEN"/>
    <s v="SHGANCHOS"/>
    <x v="326"/>
    <s v="KIT SPINNER GANCHOS"/>
    <n v="1"/>
    <n v="8.99"/>
  </r>
  <r>
    <x v="1"/>
    <s v="BOURJOIS"/>
    <n v="29185263000"/>
    <x v="65"/>
    <s v="BJ_BANDEJA_VELVET IMK"/>
    <n v="1"/>
    <n v="8.99"/>
  </r>
  <r>
    <x v="1"/>
    <s v="BOURJOIS"/>
    <s v="COTY0183"/>
    <x v="327"/>
    <s v="BJ_TESTERS"/>
    <n v="1"/>
    <n v="8.99"/>
  </r>
  <r>
    <x v="1"/>
    <s v="SALLY HANSEN"/>
    <s v="SHGANCHOS"/>
    <x v="328"/>
    <s v="KIT SPINNER GANCHOS"/>
    <n v="1"/>
    <n v="8.99"/>
  </r>
  <r>
    <x v="1"/>
    <s v="MAXFACTOR"/>
    <s v="MXF 115"/>
    <x v="66"/>
    <s v="MXF_BANDEJA_115 LIPFINITY FOOD"/>
    <n v="1"/>
    <n v="8.99"/>
  </r>
  <r>
    <x v="1"/>
    <s v="BOURJOIS"/>
    <s v="COTY0183_26"/>
    <x v="329"/>
    <s v="BJ_TESTERS"/>
    <n v="1"/>
    <n v="8.99"/>
  </r>
  <r>
    <x v="1"/>
    <s v="SALLY HANSEN"/>
    <s v="SHGANCHOS"/>
    <x v="330"/>
    <s v="KIT SPINNER GANCHOS"/>
    <n v="1"/>
    <n v="8.99"/>
  </r>
  <r>
    <x v="1"/>
    <s v="SALLY HANSEN"/>
    <s v="SHGANCHOS"/>
    <x v="331"/>
    <s v="KIT SPINNER GANCHOS"/>
    <n v="1"/>
    <n v="8.99"/>
  </r>
  <r>
    <x v="1"/>
    <s v="RIMMEL"/>
    <s v="BASELIVERIM120"/>
    <x v="67"/>
    <s v="BASE LIVE RIMMEL 120 FY25"/>
    <n v="1"/>
    <n v="8.99"/>
  </r>
  <r>
    <x v="1"/>
    <s v="RIMMEL"/>
    <s v="BASELIVERIM120"/>
    <x v="68"/>
    <s v="BASE LIVE RIMMEL 120 FY25"/>
    <n v="1"/>
    <n v="8.99"/>
  </r>
  <r>
    <x v="1"/>
    <s v="BOURJOIS"/>
    <n v="29166052000"/>
    <x v="332"/>
    <s v="HEALTHY MIX FOUNDATION"/>
    <n v="1"/>
    <n v="8.99"/>
  </r>
  <r>
    <x v="1"/>
    <s v="RIMMEL"/>
    <s v="COTY0136"/>
    <x v="69"/>
    <s v="RIMMEL_TESTERS_NEO 90 (FOOD)"/>
    <n v="1"/>
    <n v="8.99"/>
  </r>
  <r>
    <x v="1"/>
    <s v="RIMMEL"/>
    <s v="BASELIVERIM120"/>
    <x v="333"/>
    <s v="BASE LIVE RIMMEL 120 FY25"/>
    <n v="1"/>
    <n v="8.99"/>
  </r>
  <r>
    <x v="1"/>
    <s v="RIMMEL"/>
    <s v="BASELIVERIM120"/>
    <x v="334"/>
    <s v="BASE LIVE RIMMEL 120 FY25"/>
    <n v="1"/>
    <n v="8.99"/>
  </r>
  <r>
    <x v="1"/>
    <s v="MAXFACTOR"/>
    <s v="BH4120_26"/>
    <x v="335"/>
    <s v="BASE H4 120 H2FY26"/>
    <n v="1"/>
    <n v="8.99"/>
  </r>
  <r>
    <x v="1"/>
    <s v="MAXFACTOR"/>
    <s v="BASELIVEMXF120"/>
    <x v="70"/>
    <s v="BASE LIVE MAX FACTOR 120 FY25"/>
    <n v="1"/>
    <n v="8.99"/>
  </r>
  <r>
    <x v="1"/>
    <s v="MAXFACTOR"/>
    <s v="BH4120_26"/>
    <x v="336"/>
    <s v="BASE H4 120 H2FY26"/>
    <n v="1"/>
    <n v="8.99"/>
  </r>
  <r>
    <x v="1"/>
    <s v="RIMMEL"/>
    <s v="BASELIVERIM120"/>
    <x v="337"/>
    <s v="BASE LIVE RIMMEL 120 FY25"/>
    <n v="1"/>
    <n v="8.99"/>
  </r>
  <r>
    <x v="1"/>
    <s v="MAXFACTOR"/>
    <s v="BH4120_26"/>
    <x v="338"/>
    <s v="BASE H4 120 H2FY26"/>
    <n v="1"/>
    <n v="8.99"/>
  </r>
  <r>
    <x v="1"/>
    <s v="RIMMEL"/>
    <s v="CRFMIJAS110"/>
    <x v="339"/>
    <s v="PALET ARMADO PARA TIENDA CRF MIJAS_MUEBLE 110CM"/>
    <n v="1"/>
    <n v="8.99"/>
  </r>
  <r>
    <x v="3"/>
    <m/>
    <s v="NEO_ MAYO25_2"/>
    <x v="71"/>
    <s v="PRODUCTO BOX 2"/>
    <n v="1"/>
    <n v="8.99"/>
  </r>
  <r>
    <x v="1"/>
    <s v="RIMMEL"/>
    <s v="BASELIVERIM120"/>
    <x v="340"/>
    <s v="BASE LIVE RIMMEL 120 FY25"/>
    <n v="1"/>
    <n v="8.99"/>
  </r>
  <r>
    <x v="3"/>
    <m/>
    <s v="NEO_EXPO2025"/>
    <x v="341"/>
    <s v="HOT SPOT"/>
    <n v="1"/>
    <n v="8.99"/>
  </r>
  <r>
    <x v="1"/>
    <s v="MAXFACTOR"/>
    <s v="BASELIVEMXF120"/>
    <x v="342"/>
    <s v="BASE LIVE MAX FACTOR 120 FY25"/>
    <n v="1"/>
    <n v="8.99"/>
  </r>
  <r>
    <x v="1"/>
    <s v="MAXFACTOR"/>
    <s v="BASELIVEMXF120"/>
    <x v="343"/>
    <s v="BASE LIVE MAX FACTOR 120 FY25"/>
    <n v="1"/>
    <n v="8.99"/>
  </r>
  <r>
    <x v="1"/>
    <s v="MAXFACTOR"/>
    <s v="BASELIVEMXF120"/>
    <x v="344"/>
    <s v="BASE LIVE MAX FACTOR 120 FY25"/>
    <n v="1"/>
    <n v="8.99"/>
  </r>
  <r>
    <x v="9"/>
    <s v="GOSH"/>
    <s v="GOSH_BASE"/>
    <x v="345"/>
    <s v="BASE GOSH"/>
    <n v="1"/>
    <n v="8.99"/>
  </r>
  <r>
    <x v="1"/>
    <s v="MAXFACTOR"/>
    <s v="BASELIVEMXF120"/>
    <x v="346"/>
    <s v="BASE LIVE MAX FACTOR 120 FY25"/>
    <n v="1"/>
    <n v="8.99"/>
  </r>
  <r>
    <x v="1"/>
    <s v="SALLY HANSEN"/>
    <s v="SH_BASEBB 1M 2HFY24"/>
    <x v="347"/>
    <s v="SH base mueble 1m 2HFY24"/>
    <n v="1"/>
    <n v="8.99"/>
  </r>
  <r>
    <x v="1"/>
    <s v="MAXFACTOR"/>
    <s v="BASELIVEMXF120"/>
    <x v="348"/>
    <s v="BASE LIVE MAX FACTOR 120 FY25"/>
    <n v="1"/>
    <n v="8.99"/>
  </r>
  <r>
    <x v="1"/>
    <s v="MAXFACTOR"/>
    <s v="BASELIVEMXF120"/>
    <x v="349"/>
    <s v="BASE LIVE MAX FACTOR 120 FY25"/>
    <n v="1"/>
    <n v="8.99"/>
  </r>
  <r>
    <x v="1"/>
    <s v="MAXFACTOR"/>
    <s v="BASELIVEMXF120"/>
    <x v="72"/>
    <s v="BASE LIVE MAX FACTOR 120 FY25"/>
    <n v="1"/>
    <n v="8.99"/>
  </r>
  <r>
    <x v="1"/>
    <s v="RIMMEL"/>
    <s v="BASELIVERIM120"/>
    <x v="350"/>
    <s v="BASE LIVE RIMMEL 120 FY25"/>
    <n v="1"/>
    <n v="8.99"/>
  </r>
  <r>
    <x v="1"/>
    <s v="MAXFACTOR"/>
    <s v="BASELIVEMXF120"/>
    <x v="351"/>
    <s v="BASE LIVE MAX FACTOR 120 FY25"/>
    <n v="1"/>
    <n v="8.99"/>
  </r>
  <r>
    <x v="1"/>
    <s v="BOURJOIS"/>
    <s v="BJS_NEWGENBASE120"/>
    <x v="352"/>
    <s v="BJS BB 120 base H2 FY24 WILLSON"/>
    <n v="1"/>
    <n v="8.99"/>
  </r>
  <r>
    <x v="1"/>
    <s v="MAXFACTOR"/>
    <s v="BASELIVEMXF120"/>
    <x v="353"/>
    <s v="BASE LIVE MAX FACTOR 120 FY25"/>
    <n v="1"/>
    <n v="8.99"/>
  </r>
  <r>
    <x v="1"/>
    <s v="MAXFACTOR"/>
    <s v="BASELIVEMXF120"/>
    <x v="73"/>
    <s v="BASE LIVE MAX FACTOR 120 FY25"/>
    <n v="1"/>
    <n v="8.99"/>
  </r>
  <r>
    <x v="1"/>
    <s v="RIMMEL "/>
    <n v="1788"/>
    <x v="354"/>
    <s v="BASE_MUEBLE_MIBAR 1.2M SPANISH H1 FY23"/>
    <n v="1"/>
    <n v="8.99"/>
  </r>
  <r>
    <x v="1"/>
    <s v="MAXFACTOR"/>
    <n v="270001006"/>
    <x v="74"/>
    <s v="MXF_KIT ACT_H4 1.5M H2 FY22"/>
    <n v="1"/>
    <n v="8.99"/>
  </r>
  <r>
    <x v="1"/>
    <s v="MAXFACTOR"/>
    <s v="BASELIVEMXF120"/>
    <x v="355"/>
    <s v="BASE LIVE MAX FACTOR 120 FY25"/>
    <n v="1"/>
    <n v="8.99"/>
  </r>
  <r>
    <x v="1"/>
    <s v="BOURJOIS"/>
    <s v="BJS_NEWGENBASE120"/>
    <x v="356"/>
    <s v="BJS BB 120 base H2 FY24 WILLSON"/>
    <n v="1"/>
    <n v="8.99"/>
  </r>
  <r>
    <x v="1"/>
    <s v="RIMMEL"/>
    <s v="BASELIVERIM120"/>
    <x v="357"/>
    <s v="BASE LIVE RIMMEL 120 FY25"/>
    <n v="1"/>
    <n v="8.99"/>
  </r>
  <r>
    <x v="1"/>
    <s v="RIMMEL"/>
    <s v="BASELIVERIM120"/>
    <x v="358"/>
    <s v="BASE LIVE RIMMEL 120 FY25"/>
    <n v="1"/>
    <n v="8.99"/>
  </r>
  <r>
    <x v="1"/>
    <s v="BOURJOIS"/>
    <s v="BJS_NEWGENBASE120"/>
    <x v="359"/>
    <s v="BJS BB 120 base H2 FY24 WILLSON"/>
    <n v="1"/>
    <n v="8.99"/>
  </r>
  <r>
    <x v="1"/>
    <s v="BOURJOIS"/>
    <s v="BJS_NEWGENBASE120"/>
    <x v="360"/>
    <s v="BJS BB 120 base H2 FY24 WILLSON"/>
    <n v="1"/>
    <n v="8.99"/>
  </r>
  <r>
    <x v="1"/>
    <s v="MAXFACTOR"/>
    <n v="270001006"/>
    <x v="361"/>
    <s v="MXF_KIT ACT_H4 1.5M H2 FY22"/>
    <n v="1"/>
    <n v="8.99"/>
  </r>
  <r>
    <x v="2"/>
    <m/>
    <s v="BASE WALLUNIT _"/>
    <x v="75"/>
    <s v="BASE"/>
    <n v="1"/>
    <n v="8.99"/>
  </r>
  <r>
    <x v="1"/>
    <s v="MXF_RIM"/>
    <s v="BAND_QUITADAS"/>
    <x v="362"/>
    <s v="BANDEJAS QUE QUITAMOS DE ACT H2FY26"/>
    <n v="1"/>
    <n v="8.99"/>
  </r>
  <r>
    <x v="6"/>
    <s v="ESSENCE"/>
    <s v="INSERTS 3-25"/>
    <x v="77"/>
    <s v="ACT 03-25"/>
    <n v="1"/>
    <n v="8.99"/>
  </r>
  <r>
    <x v="2"/>
    <m/>
    <s v="VAGUADA"/>
    <x v="363"/>
    <s v="FLORMAR_MUEBLE_WALL UNIT 1 M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CCF8A-368A-4CFB-AE13-5436BFE4AAB3}" name="TablaDinámica1" cacheId="2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5" firstHeaderRow="0" firstDataRow="1" firstDataCol="1"/>
  <pivotFields count="10">
    <pivotField axis="axisRow" showAll="0">
      <items count="12">
        <item x="3"/>
        <item x="4"/>
        <item x="0"/>
        <item x="8"/>
        <item x="1"/>
        <item x="10"/>
        <item x="6"/>
        <item x="7"/>
        <item x="2"/>
        <item x="5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STE EXTRA" fld="9" baseField="0" baseItem="0"/>
    <dataField name="Suma de COSTE2" fld="8" baseField="0" baseItem="0"/>
    <dataField name="Suma de COST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9CBC7-478B-47AA-B3B4-0315DF78A5F3}" name="TablaDinámica2" cacheId="2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:N12" firstHeaderRow="1" firstDataRow="1" firstDataCol="1"/>
  <pivotFields count="7">
    <pivotField axis="axisRow" showAll="0">
      <items count="11">
        <item x="6"/>
        <item x="1"/>
        <item x="5"/>
        <item x="2"/>
        <item x="7"/>
        <item x="9"/>
        <item x="0"/>
        <item x="4"/>
        <item x="3"/>
        <item x="8"/>
        <item t="default"/>
      </items>
    </pivotField>
    <pivotField showAll="0"/>
    <pivotField showAll="0"/>
    <pivotField dataField="1" showAll="0">
      <items count="365">
        <item x="0"/>
        <item x="1"/>
        <item x="78"/>
        <item x="79"/>
        <item x="2"/>
        <item x="80"/>
        <item x="81"/>
        <item x="3"/>
        <item x="82"/>
        <item x="4"/>
        <item x="83"/>
        <item x="5"/>
        <item x="84"/>
        <item x="6"/>
        <item x="7"/>
        <item x="8"/>
        <item x="9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0"/>
        <item x="99"/>
        <item x="100"/>
        <item x="101"/>
        <item x="102"/>
        <item x="103"/>
        <item x="104"/>
        <item x="1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"/>
        <item x="120"/>
        <item x="13"/>
        <item x="14"/>
        <item x="15"/>
        <item x="16"/>
        <item x="17"/>
        <item x="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363"/>
        <item x="140"/>
        <item x="141"/>
        <item x="19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20"/>
        <item x="21"/>
        <item x="163"/>
        <item x="164"/>
        <item x="165"/>
        <item x="166"/>
        <item x="22"/>
        <item x="23"/>
        <item x="167"/>
        <item x="168"/>
        <item x="169"/>
        <item x="24"/>
        <item x="25"/>
        <item x="170"/>
        <item x="171"/>
        <item x="26"/>
        <item x="172"/>
        <item x="27"/>
        <item x="173"/>
        <item x="174"/>
        <item x="175"/>
        <item x="28"/>
        <item x="176"/>
        <item x="29"/>
        <item x="177"/>
        <item x="178"/>
        <item x="179"/>
        <item x="180"/>
        <item x="181"/>
        <item x="30"/>
        <item x="31"/>
        <item x="32"/>
        <item x="182"/>
        <item x="33"/>
        <item x="34"/>
        <item x="183"/>
        <item x="35"/>
        <item x="184"/>
        <item x="36"/>
        <item x="37"/>
        <item x="185"/>
        <item x="186"/>
        <item x="187"/>
        <item x="38"/>
        <item x="188"/>
        <item x="189"/>
        <item x="190"/>
        <item x="191"/>
        <item x="39"/>
        <item x="192"/>
        <item x="193"/>
        <item x="40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41"/>
        <item x="214"/>
        <item x="215"/>
        <item x="42"/>
        <item x="216"/>
        <item x="217"/>
        <item x="43"/>
        <item x="218"/>
        <item x="219"/>
        <item x="44"/>
        <item x="220"/>
        <item x="221"/>
        <item x="222"/>
        <item x="223"/>
        <item x="45"/>
        <item x="224"/>
        <item x="225"/>
        <item x="226"/>
        <item x="227"/>
        <item x="228"/>
        <item x="229"/>
        <item x="230"/>
        <item x="231"/>
        <item x="46"/>
        <item x="232"/>
        <item x="233"/>
        <item x="47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49"/>
        <item x="267"/>
        <item x="268"/>
        <item x="269"/>
        <item x="270"/>
        <item x="271"/>
        <item x="50"/>
        <item x="272"/>
        <item x="273"/>
        <item x="274"/>
        <item x="275"/>
        <item x="51"/>
        <item x="276"/>
        <item x="52"/>
        <item x="277"/>
        <item x="278"/>
        <item x="53"/>
        <item x="279"/>
        <item x="54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55"/>
        <item x="294"/>
        <item x="295"/>
        <item x="56"/>
        <item x="57"/>
        <item x="58"/>
        <item x="296"/>
        <item x="297"/>
        <item x="59"/>
        <item x="298"/>
        <item x="60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1"/>
        <item x="311"/>
        <item x="312"/>
        <item x="313"/>
        <item x="314"/>
        <item x="315"/>
        <item x="62"/>
        <item x="316"/>
        <item x="317"/>
        <item x="318"/>
        <item x="319"/>
        <item x="320"/>
        <item x="63"/>
        <item x="321"/>
        <item x="322"/>
        <item x="64"/>
        <item x="323"/>
        <item x="324"/>
        <item x="325"/>
        <item x="326"/>
        <item x="65"/>
        <item x="327"/>
        <item x="328"/>
        <item x="66"/>
        <item x="329"/>
        <item x="330"/>
        <item x="331"/>
        <item x="67"/>
        <item x="68"/>
        <item x="332"/>
        <item x="69"/>
        <item x="333"/>
        <item x="334"/>
        <item x="335"/>
        <item x="70"/>
        <item x="336"/>
        <item x="337"/>
        <item x="338"/>
        <item x="339"/>
        <item x="71"/>
        <item x="340"/>
        <item x="341"/>
        <item x="342"/>
        <item x="343"/>
        <item x="344"/>
        <item x="345"/>
        <item x="346"/>
        <item x="347"/>
        <item x="348"/>
        <item x="349"/>
        <item x="72"/>
        <item x="350"/>
        <item x="351"/>
        <item x="352"/>
        <item x="353"/>
        <item x="73"/>
        <item x="354"/>
        <item x="74"/>
        <item x="355"/>
        <item x="356"/>
        <item x="357"/>
        <item x="358"/>
        <item x="359"/>
        <item x="360"/>
        <item x="361"/>
        <item x="75"/>
        <item x="76"/>
        <item x="362"/>
        <item x="77"/>
        <item t="default"/>
      </items>
    </pivotField>
    <pivotField showAll="0"/>
    <pivotField showAll="0"/>
    <pivotField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UBICACIÓ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67AC-AB7D-4A7D-ACA4-F98392F1557E}">
  <dimension ref="A1:J497"/>
  <sheetViews>
    <sheetView topLeftCell="A487" workbookViewId="0">
      <selection activeCell="J503" sqref="J503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1.42578125" style="5"/>
  </cols>
  <sheetData>
    <row r="1" spans="1:9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9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</row>
    <row r="5" spans="1:9">
      <c r="A5" s="4" t="s">
        <v>9</v>
      </c>
      <c r="B5" s="4"/>
      <c r="C5" s="4" t="s">
        <v>10</v>
      </c>
      <c r="D5" s="4" t="s">
        <v>11</v>
      </c>
      <c r="E5" s="4" t="s">
        <v>12</v>
      </c>
      <c r="F5" s="4"/>
      <c r="G5" s="7"/>
      <c r="H5" s="4">
        <v>1</v>
      </c>
      <c r="I5" s="7">
        <v>8.99</v>
      </c>
    </row>
    <row r="6" spans="1:9">
      <c r="A6" s="4" t="s">
        <v>9</v>
      </c>
      <c r="B6" s="4"/>
      <c r="C6" s="4" t="s">
        <v>13</v>
      </c>
      <c r="D6" s="4" t="s">
        <v>14</v>
      </c>
      <c r="E6" s="4" t="s">
        <v>15</v>
      </c>
      <c r="F6" s="4"/>
      <c r="G6" s="7"/>
      <c r="H6" s="4">
        <v>1</v>
      </c>
      <c r="I6" s="7">
        <v>8.99</v>
      </c>
    </row>
    <row r="7" spans="1:9">
      <c r="A7" s="4" t="s">
        <v>9</v>
      </c>
      <c r="B7" s="4"/>
      <c r="C7" s="4" t="s">
        <v>16</v>
      </c>
      <c r="D7" s="4" t="s">
        <v>14</v>
      </c>
      <c r="E7" s="4" t="s">
        <v>17</v>
      </c>
      <c r="F7" s="4"/>
      <c r="G7" s="7"/>
      <c r="H7" s="4">
        <v>0</v>
      </c>
      <c r="I7" s="7">
        <v>0</v>
      </c>
    </row>
    <row r="8" spans="1:9">
      <c r="A8" s="4" t="s">
        <v>9</v>
      </c>
      <c r="B8" s="4"/>
      <c r="C8" s="4" t="s">
        <v>18</v>
      </c>
      <c r="D8" s="4" t="s">
        <v>19</v>
      </c>
      <c r="E8" s="4" t="s">
        <v>20</v>
      </c>
      <c r="F8" s="4"/>
      <c r="G8" s="7"/>
      <c r="H8" s="4">
        <v>1</v>
      </c>
      <c r="I8" s="7">
        <v>8.99</v>
      </c>
    </row>
    <row r="9" spans="1:9">
      <c r="A9" s="4" t="s">
        <v>9</v>
      </c>
      <c r="B9" s="4"/>
      <c r="C9" s="4" t="s">
        <v>21</v>
      </c>
      <c r="D9" s="4" t="s">
        <v>19</v>
      </c>
      <c r="E9" s="4" t="s">
        <v>22</v>
      </c>
      <c r="F9" s="4"/>
      <c r="G9" s="7"/>
      <c r="H9" s="4">
        <v>0</v>
      </c>
      <c r="I9" s="7">
        <v>0</v>
      </c>
    </row>
    <row r="10" spans="1:9">
      <c r="A10" s="4" t="s">
        <v>9</v>
      </c>
      <c r="B10" s="4"/>
      <c r="C10" s="4" t="s">
        <v>23</v>
      </c>
      <c r="D10" s="4" t="s">
        <v>19</v>
      </c>
      <c r="E10" s="4" t="s">
        <v>24</v>
      </c>
      <c r="F10" s="4"/>
      <c r="G10" s="7"/>
      <c r="H10" s="4">
        <v>0</v>
      </c>
      <c r="I10" s="7">
        <v>0</v>
      </c>
    </row>
    <row r="11" spans="1:9">
      <c r="A11" s="4" t="s">
        <v>9</v>
      </c>
      <c r="B11" s="4"/>
      <c r="C11" s="4" t="s">
        <v>25</v>
      </c>
      <c r="D11" s="4" t="s">
        <v>26</v>
      </c>
      <c r="E11" s="4" t="s">
        <v>27</v>
      </c>
      <c r="F11" s="4"/>
      <c r="G11" s="7"/>
      <c r="H11" s="4">
        <v>1</v>
      </c>
      <c r="I11" s="7">
        <v>8.99</v>
      </c>
    </row>
    <row r="12" spans="1:9">
      <c r="A12" s="4" t="s">
        <v>9</v>
      </c>
      <c r="B12" s="4"/>
      <c r="C12" s="4" t="s">
        <v>28</v>
      </c>
      <c r="D12" s="4" t="s">
        <v>26</v>
      </c>
      <c r="E12" s="4" t="s">
        <v>29</v>
      </c>
      <c r="F12" s="4"/>
      <c r="G12" s="7"/>
      <c r="H12" s="4">
        <v>0</v>
      </c>
      <c r="I12" s="7">
        <v>0</v>
      </c>
    </row>
    <row r="13" spans="1:9">
      <c r="A13" s="4" t="s">
        <v>9</v>
      </c>
      <c r="B13" s="4"/>
      <c r="C13" s="4" t="s">
        <v>30</v>
      </c>
      <c r="D13" s="4" t="s">
        <v>31</v>
      </c>
      <c r="E13" s="4" t="s">
        <v>32</v>
      </c>
      <c r="F13" s="4"/>
      <c r="G13" s="7"/>
      <c r="H13" s="4">
        <v>1</v>
      </c>
      <c r="I13" s="7">
        <v>8.99</v>
      </c>
    </row>
    <row r="14" spans="1:9">
      <c r="A14" s="4" t="s">
        <v>9</v>
      </c>
      <c r="B14" s="4"/>
      <c r="C14" s="4">
        <v>73123</v>
      </c>
      <c r="D14" s="4" t="s">
        <v>31</v>
      </c>
      <c r="E14" s="4" t="s">
        <v>33</v>
      </c>
      <c r="F14" s="4"/>
      <c r="G14" s="7"/>
      <c r="H14" s="4">
        <v>0</v>
      </c>
      <c r="I14" s="7">
        <v>0</v>
      </c>
    </row>
    <row r="15" spans="1:9">
      <c r="A15" s="4" t="s">
        <v>9</v>
      </c>
      <c r="B15" s="4"/>
      <c r="C15" s="4" t="s">
        <v>34</v>
      </c>
      <c r="D15" s="4" t="s">
        <v>31</v>
      </c>
      <c r="E15" s="4" t="s">
        <v>35</v>
      </c>
      <c r="F15" s="4"/>
      <c r="G15" s="7"/>
      <c r="H15" s="4">
        <v>0</v>
      </c>
      <c r="I15" s="7">
        <v>0</v>
      </c>
    </row>
    <row r="16" spans="1:9">
      <c r="A16" s="4" t="s">
        <v>9</v>
      </c>
      <c r="B16" s="4"/>
      <c r="C16" s="4" t="s">
        <v>36</v>
      </c>
      <c r="D16" s="4" t="s">
        <v>31</v>
      </c>
      <c r="E16" s="4" t="s">
        <v>37</v>
      </c>
      <c r="F16" s="4"/>
      <c r="G16" s="7"/>
      <c r="H16" s="4">
        <v>0</v>
      </c>
      <c r="I16" s="7">
        <v>0</v>
      </c>
    </row>
    <row r="17" spans="1:9">
      <c r="A17" s="4" t="s">
        <v>9</v>
      </c>
      <c r="B17" s="4"/>
      <c r="C17" s="4" t="s">
        <v>38</v>
      </c>
      <c r="D17" s="4" t="s">
        <v>31</v>
      </c>
      <c r="E17" s="4" t="s">
        <v>39</v>
      </c>
      <c r="F17" s="4"/>
      <c r="G17" s="7"/>
      <c r="H17" s="4">
        <v>0</v>
      </c>
      <c r="I17" s="7">
        <v>0</v>
      </c>
    </row>
    <row r="18" spans="1:9">
      <c r="A18" s="4" t="s">
        <v>9</v>
      </c>
      <c r="B18" s="4"/>
      <c r="C18" s="4" t="s">
        <v>40</v>
      </c>
      <c r="D18" s="4" t="s">
        <v>31</v>
      </c>
      <c r="E18" s="4" t="s">
        <v>41</v>
      </c>
      <c r="F18" s="4"/>
      <c r="G18" s="7"/>
      <c r="H18" s="4">
        <v>0</v>
      </c>
      <c r="I18" s="7">
        <v>0</v>
      </c>
    </row>
    <row r="19" spans="1:9">
      <c r="A19" s="4" t="s">
        <v>9</v>
      </c>
      <c r="B19" s="4"/>
      <c r="C19" s="4" t="s">
        <v>42</v>
      </c>
      <c r="D19" s="4" t="s">
        <v>31</v>
      </c>
      <c r="E19" s="4" t="s">
        <v>43</v>
      </c>
      <c r="F19" s="4"/>
      <c r="G19" s="7"/>
      <c r="H19" s="4">
        <v>0</v>
      </c>
      <c r="I19" s="7">
        <v>0</v>
      </c>
    </row>
    <row r="20" spans="1:9">
      <c r="A20" s="4" t="s">
        <v>9</v>
      </c>
      <c r="B20" s="4"/>
      <c r="C20" s="4" t="s">
        <v>44</v>
      </c>
      <c r="D20" s="4" t="s">
        <v>31</v>
      </c>
      <c r="E20" s="4" t="s">
        <v>45</v>
      </c>
      <c r="F20" s="4"/>
      <c r="G20" s="7"/>
      <c r="H20" s="4">
        <v>0</v>
      </c>
      <c r="I20" s="7">
        <v>0</v>
      </c>
    </row>
    <row r="21" spans="1:9">
      <c r="A21" s="4" t="s">
        <v>9</v>
      </c>
      <c r="B21" s="4"/>
      <c r="C21" s="4" t="s">
        <v>46</v>
      </c>
      <c r="D21" s="4" t="s">
        <v>47</v>
      </c>
      <c r="E21" s="4" t="s">
        <v>48</v>
      </c>
      <c r="F21" s="4"/>
      <c r="G21" s="7"/>
      <c r="H21" s="4">
        <v>1</v>
      </c>
      <c r="I21" s="7">
        <v>8.99</v>
      </c>
    </row>
    <row r="22" spans="1:9">
      <c r="A22" s="4" t="s">
        <v>9</v>
      </c>
      <c r="B22" s="4"/>
      <c r="C22" s="4" t="s">
        <v>49</v>
      </c>
      <c r="D22" s="4" t="s">
        <v>47</v>
      </c>
      <c r="E22" s="4" t="s">
        <v>50</v>
      </c>
      <c r="F22" s="4"/>
      <c r="G22" s="7"/>
      <c r="H22" s="4">
        <v>0</v>
      </c>
      <c r="I22" s="7">
        <v>0</v>
      </c>
    </row>
    <row r="23" spans="1:9">
      <c r="A23" s="4" t="s">
        <v>9</v>
      </c>
      <c r="B23" s="4"/>
      <c r="C23" s="4" t="s">
        <v>51</v>
      </c>
      <c r="D23" s="4" t="s">
        <v>47</v>
      </c>
      <c r="E23" s="4" t="s">
        <v>52</v>
      </c>
      <c r="F23" s="4"/>
      <c r="G23" s="7"/>
      <c r="H23" s="4">
        <v>0</v>
      </c>
      <c r="I23" s="7">
        <v>0</v>
      </c>
    </row>
    <row r="24" spans="1:9">
      <c r="A24" s="4" t="s">
        <v>9</v>
      </c>
      <c r="B24" s="4"/>
      <c r="C24" s="4" t="s">
        <v>53</v>
      </c>
      <c r="D24" s="4" t="s">
        <v>47</v>
      </c>
      <c r="E24" s="4" t="s">
        <v>54</v>
      </c>
      <c r="F24" s="4"/>
      <c r="G24" s="7"/>
      <c r="H24" s="4">
        <v>0</v>
      </c>
      <c r="I24" s="7">
        <v>0</v>
      </c>
    </row>
    <row r="25" spans="1:9">
      <c r="A25" s="4" t="s">
        <v>9</v>
      </c>
      <c r="B25" s="4"/>
      <c r="C25" s="4" t="s">
        <v>55</v>
      </c>
      <c r="D25" s="4" t="s">
        <v>47</v>
      </c>
      <c r="E25" s="4" t="s">
        <v>56</v>
      </c>
      <c r="F25" s="4"/>
      <c r="G25" s="7"/>
      <c r="H25" s="4">
        <v>0</v>
      </c>
      <c r="I25" s="7">
        <v>0</v>
      </c>
    </row>
    <row r="26" spans="1:9">
      <c r="A26" s="4" t="s">
        <v>9</v>
      </c>
      <c r="B26" s="4"/>
      <c r="C26" s="4" t="s">
        <v>57</v>
      </c>
      <c r="D26" s="4" t="s">
        <v>47</v>
      </c>
      <c r="E26" s="4" t="s">
        <v>58</v>
      </c>
      <c r="F26" s="4"/>
      <c r="G26" s="7"/>
      <c r="H26" s="4">
        <v>0</v>
      </c>
      <c r="I26" s="7">
        <v>0</v>
      </c>
    </row>
    <row r="27" spans="1:9">
      <c r="A27" s="4" t="s">
        <v>9</v>
      </c>
      <c r="B27" s="4"/>
      <c r="C27" s="4" t="s">
        <v>59</v>
      </c>
      <c r="D27" s="4" t="s">
        <v>47</v>
      </c>
      <c r="E27" s="4" t="s">
        <v>60</v>
      </c>
      <c r="F27" s="4"/>
      <c r="G27" s="7"/>
      <c r="H27" s="4">
        <v>0</v>
      </c>
      <c r="I27" s="7">
        <v>0</v>
      </c>
    </row>
    <row r="28" spans="1:9">
      <c r="A28" s="4" t="s">
        <v>9</v>
      </c>
      <c r="B28" s="4"/>
      <c r="C28" s="4" t="s">
        <v>61</v>
      </c>
      <c r="D28" s="4" t="s">
        <v>47</v>
      </c>
      <c r="E28" s="4" t="s">
        <v>62</v>
      </c>
      <c r="F28" s="4"/>
      <c r="G28" s="7"/>
      <c r="H28" s="4">
        <v>0</v>
      </c>
      <c r="I28" s="7">
        <v>0</v>
      </c>
    </row>
    <row r="29" spans="1:9">
      <c r="A29" s="4" t="s">
        <v>9</v>
      </c>
      <c r="B29" s="4"/>
      <c r="C29" s="4" t="s">
        <v>63</v>
      </c>
      <c r="D29" s="4" t="s">
        <v>47</v>
      </c>
      <c r="E29" s="4" t="s">
        <v>64</v>
      </c>
      <c r="F29" s="4"/>
      <c r="G29" s="7"/>
      <c r="H29" s="4">
        <v>0</v>
      </c>
      <c r="I29" s="7">
        <v>0</v>
      </c>
    </row>
    <row r="30" spans="1:9">
      <c r="A30" s="4" t="s">
        <v>9</v>
      </c>
      <c r="B30" s="4"/>
      <c r="C30" s="4" t="s">
        <v>65</v>
      </c>
      <c r="D30" s="4" t="s">
        <v>47</v>
      </c>
      <c r="E30" s="4" t="s">
        <v>66</v>
      </c>
      <c r="F30" s="4"/>
      <c r="G30" s="7"/>
      <c r="H30" s="4">
        <v>0</v>
      </c>
      <c r="I30" s="7">
        <v>0</v>
      </c>
    </row>
    <row r="31" spans="1:9">
      <c r="A31" s="4" t="s">
        <v>9</v>
      </c>
      <c r="B31" s="4"/>
      <c r="C31" s="4" t="s">
        <v>67</v>
      </c>
      <c r="D31" s="4" t="s">
        <v>47</v>
      </c>
      <c r="E31" s="4" t="s">
        <v>68</v>
      </c>
      <c r="F31" s="4"/>
      <c r="G31" s="7"/>
      <c r="H31" s="4">
        <v>0</v>
      </c>
      <c r="I31" s="7">
        <v>0</v>
      </c>
    </row>
    <row r="32" spans="1:9">
      <c r="A32" s="4" t="s">
        <v>9</v>
      </c>
      <c r="B32" s="4"/>
      <c r="C32" s="4" t="s">
        <v>69</v>
      </c>
      <c r="D32" s="4" t="s">
        <v>47</v>
      </c>
      <c r="E32" s="4" t="s">
        <v>70</v>
      </c>
      <c r="F32" s="4"/>
      <c r="G32" s="7"/>
      <c r="H32" s="4">
        <v>0</v>
      </c>
      <c r="I32" s="7">
        <v>0</v>
      </c>
    </row>
    <row r="33" spans="1:9">
      <c r="A33" s="4" t="s">
        <v>9</v>
      </c>
      <c r="B33" s="4"/>
      <c r="C33" s="4" t="s">
        <v>71</v>
      </c>
      <c r="D33" s="4" t="s">
        <v>47</v>
      </c>
      <c r="E33" s="4" t="s">
        <v>72</v>
      </c>
      <c r="F33" s="4"/>
      <c r="G33" s="7"/>
      <c r="H33" s="4">
        <v>0</v>
      </c>
      <c r="I33" s="7">
        <v>0</v>
      </c>
    </row>
    <row r="34" spans="1:9">
      <c r="A34" s="4" t="s">
        <v>9</v>
      </c>
      <c r="B34" s="4"/>
      <c r="C34" s="4" t="s">
        <v>73</v>
      </c>
      <c r="D34" s="4" t="s">
        <v>47</v>
      </c>
      <c r="E34" s="4" t="s">
        <v>74</v>
      </c>
      <c r="F34" s="4"/>
      <c r="G34" s="7"/>
      <c r="H34" s="4">
        <v>0</v>
      </c>
      <c r="I34" s="7">
        <v>0</v>
      </c>
    </row>
    <row r="35" spans="1:9">
      <c r="A35" s="4" t="s">
        <v>9</v>
      </c>
      <c r="B35" s="4"/>
      <c r="C35" s="4" t="s">
        <v>75</v>
      </c>
      <c r="D35" s="4" t="s">
        <v>47</v>
      </c>
      <c r="E35" s="4" t="s">
        <v>76</v>
      </c>
      <c r="F35" s="4"/>
      <c r="G35" s="7"/>
      <c r="H35" s="4">
        <v>0</v>
      </c>
      <c r="I35" s="7">
        <v>0</v>
      </c>
    </row>
    <row r="36" spans="1:9">
      <c r="A36" s="4" t="s">
        <v>9</v>
      </c>
      <c r="B36" s="4"/>
      <c r="C36" s="4" t="s">
        <v>77</v>
      </c>
      <c r="D36" s="4" t="s">
        <v>47</v>
      </c>
      <c r="E36" s="4" t="s">
        <v>78</v>
      </c>
      <c r="F36" s="4"/>
      <c r="G36" s="7"/>
      <c r="H36" s="4">
        <v>0</v>
      </c>
      <c r="I36" s="7">
        <v>0</v>
      </c>
    </row>
    <row r="37" spans="1:9">
      <c r="A37" s="4" t="s">
        <v>9</v>
      </c>
      <c r="B37" s="4"/>
      <c r="C37" s="4" t="s">
        <v>79</v>
      </c>
      <c r="D37" s="4" t="s">
        <v>47</v>
      </c>
      <c r="E37" s="4" t="s">
        <v>80</v>
      </c>
      <c r="F37" s="4"/>
      <c r="G37" s="7"/>
      <c r="H37" s="4">
        <v>0</v>
      </c>
      <c r="I37" s="7">
        <v>0</v>
      </c>
    </row>
    <row r="38" spans="1:9">
      <c r="A38" s="4" t="s">
        <v>9</v>
      </c>
      <c r="B38" s="4"/>
      <c r="C38" s="4" t="s">
        <v>81</v>
      </c>
      <c r="D38" s="4" t="s">
        <v>47</v>
      </c>
      <c r="E38" s="4" t="s">
        <v>82</v>
      </c>
      <c r="F38" s="4"/>
      <c r="G38" s="7"/>
      <c r="H38" s="4">
        <v>0</v>
      </c>
      <c r="I38" s="7">
        <v>0</v>
      </c>
    </row>
    <row r="39" spans="1:9">
      <c r="A39" s="4" t="s">
        <v>9</v>
      </c>
      <c r="B39" s="4"/>
      <c r="C39" s="4" t="s">
        <v>83</v>
      </c>
      <c r="D39" s="4" t="s">
        <v>47</v>
      </c>
      <c r="E39" s="4" t="s">
        <v>84</v>
      </c>
      <c r="F39" s="4"/>
      <c r="G39" s="7"/>
      <c r="H39" s="4">
        <v>0</v>
      </c>
      <c r="I39" s="7">
        <v>0</v>
      </c>
    </row>
    <row r="40" spans="1:9">
      <c r="A40" s="4" t="s">
        <v>9</v>
      </c>
      <c r="B40" s="4"/>
      <c r="C40" s="4" t="s">
        <v>85</v>
      </c>
      <c r="D40" s="4" t="s">
        <v>47</v>
      </c>
      <c r="E40" s="4" t="s">
        <v>86</v>
      </c>
      <c r="F40" s="4"/>
      <c r="G40" s="7"/>
      <c r="H40" s="4">
        <v>0</v>
      </c>
      <c r="I40" s="7">
        <v>0</v>
      </c>
    </row>
    <row r="41" spans="1:9">
      <c r="A41" s="4" t="s">
        <v>9</v>
      </c>
      <c r="B41" s="4"/>
      <c r="C41" s="4" t="s">
        <v>87</v>
      </c>
      <c r="D41" s="4" t="s">
        <v>47</v>
      </c>
      <c r="E41" s="4" t="s">
        <v>88</v>
      </c>
      <c r="F41" s="4"/>
      <c r="G41" s="7"/>
      <c r="H41" s="4">
        <v>0</v>
      </c>
      <c r="I41" s="7">
        <v>0</v>
      </c>
    </row>
    <row r="42" spans="1:9">
      <c r="A42" s="4" t="s">
        <v>9</v>
      </c>
      <c r="B42" s="4"/>
      <c r="C42" s="4" t="s">
        <v>89</v>
      </c>
      <c r="D42" s="4" t="s">
        <v>47</v>
      </c>
      <c r="E42" s="4" t="s">
        <v>90</v>
      </c>
      <c r="F42" s="4"/>
      <c r="G42" s="7"/>
      <c r="H42" s="4">
        <v>0</v>
      </c>
      <c r="I42" s="7">
        <v>0</v>
      </c>
    </row>
    <row r="43" spans="1:9">
      <c r="A43" s="4" t="s">
        <v>9</v>
      </c>
      <c r="B43" s="4"/>
      <c r="C43" s="4" t="s">
        <v>91</v>
      </c>
      <c r="D43" s="4" t="s">
        <v>47</v>
      </c>
      <c r="E43" s="4" t="s">
        <v>92</v>
      </c>
      <c r="F43" s="4"/>
      <c r="G43" s="7"/>
      <c r="H43" s="4">
        <v>0</v>
      </c>
      <c r="I43" s="7">
        <v>0</v>
      </c>
    </row>
    <row r="44" spans="1:9">
      <c r="A44" s="4" t="s">
        <v>9</v>
      </c>
      <c r="B44" s="4"/>
      <c r="C44" s="4" t="s">
        <v>93</v>
      </c>
      <c r="D44" s="4" t="s">
        <v>47</v>
      </c>
      <c r="E44" s="4" t="s">
        <v>94</v>
      </c>
      <c r="F44" s="4"/>
      <c r="G44" s="7"/>
      <c r="H44" s="4">
        <v>0</v>
      </c>
      <c r="I44" s="7">
        <v>0</v>
      </c>
    </row>
    <row r="45" spans="1:9">
      <c r="A45" s="4" t="s">
        <v>9</v>
      </c>
      <c r="B45" s="4"/>
      <c r="C45" s="4" t="s">
        <v>95</v>
      </c>
      <c r="D45" s="4" t="s">
        <v>47</v>
      </c>
      <c r="E45" s="4" t="s">
        <v>96</v>
      </c>
      <c r="F45" s="4"/>
      <c r="G45" s="7"/>
      <c r="H45" s="4">
        <v>0</v>
      </c>
      <c r="I45" s="7">
        <v>0</v>
      </c>
    </row>
    <row r="46" spans="1:9">
      <c r="A46" s="4" t="s">
        <v>9</v>
      </c>
      <c r="B46" s="4"/>
      <c r="C46" s="4" t="s">
        <v>97</v>
      </c>
      <c r="D46" s="4" t="s">
        <v>47</v>
      </c>
      <c r="E46" s="4" t="s">
        <v>98</v>
      </c>
      <c r="F46" s="4"/>
      <c r="G46" s="7"/>
      <c r="H46" s="4">
        <v>0</v>
      </c>
      <c r="I46" s="7">
        <v>0</v>
      </c>
    </row>
    <row r="47" spans="1:9">
      <c r="A47" s="4" t="s">
        <v>9</v>
      </c>
      <c r="B47" s="4"/>
      <c r="C47" s="4" t="s">
        <v>99</v>
      </c>
      <c r="D47" s="4" t="s">
        <v>47</v>
      </c>
      <c r="E47" s="4" t="s">
        <v>100</v>
      </c>
      <c r="F47" s="4"/>
      <c r="G47" s="7"/>
      <c r="H47" s="4">
        <v>0</v>
      </c>
      <c r="I47" s="7">
        <v>0</v>
      </c>
    </row>
    <row r="48" spans="1:9">
      <c r="A48" s="4" t="s">
        <v>9</v>
      </c>
      <c r="B48" s="4"/>
      <c r="C48" s="4" t="s">
        <v>101</v>
      </c>
      <c r="D48" s="4" t="s">
        <v>47</v>
      </c>
      <c r="E48" s="4" t="s">
        <v>102</v>
      </c>
      <c r="F48" s="4"/>
      <c r="G48" s="7"/>
      <c r="H48" s="4">
        <v>0</v>
      </c>
      <c r="I48" s="7">
        <v>0</v>
      </c>
    </row>
    <row r="49" spans="1:9">
      <c r="A49" s="4" t="s">
        <v>9</v>
      </c>
      <c r="B49" s="4"/>
      <c r="C49" s="4" t="s">
        <v>103</v>
      </c>
      <c r="D49" s="4" t="s">
        <v>47</v>
      </c>
      <c r="E49" s="4" t="s">
        <v>104</v>
      </c>
      <c r="F49" s="4"/>
      <c r="G49" s="7"/>
      <c r="H49" s="4">
        <v>0</v>
      </c>
      <c r="I49" s="7">
        <v>0</v>
      </c>
    </row>
    <row r="50" spans="1:9">
      <c r="A50" s="4" t="s">
        <v>9</v>
      </c>
      <c r="B50" s="4"/>
      <c r="C50" s="4" t="s">
        <v>105</v>
      </c>
      <c r="D50" s="4" t="s">
        <v>47</v>
      </c>
      <c r="E50" s="4" t="s">
        <v>106</v>
      </c>
      <c r="F50" s="4"/>
      <c r="G50" s="7"/>
      <c r="H50" s="4">
        <v>0</v>
      </c>
      <c r="I50" s="7">
        <v>0</v>
      </c>
    </row>
    <row r="51" spans="1:9">
      <c r="A51" s="4" t="s">
        <v>9</v>
      </c>
      <c r="B51" s="4"/>
      <c r="C51" s="4" t="s">
        <v>107</v>
      </c>
      <c r="D51" s="4" t="s">
        <v>47</v>
      </c>
      <c r="E51" s="4" t="s">
        <v>108</v>
      </c>
      <c r="F51" s="4"/>
      <c r="G51" s="7"/>
      <c r="H51" s="4">
        <v>0</v>
      </c>
      <c r="I51" s="7">
        <v>0</v>
      </c>
    </row>
    <row r="52" spans="1:9">
      <c r="A52" s="4" t="s">
        <v>9</v>
      </c>
      <c r="B52" s="4"/>
      <c r="C52" s="4" t="s">
        <v>109</v>
      </c>
      <c r="D52" s="4" t="s">
        <v>47</v>
      </c>
      <c r="E52" s="4" t="s">
        <v>110</v>
      </c>
      <c r="F52" s="4"/>
      <c r="G52" s="7"/>
      <c r="H52" s="4">
        <v>0</v>
      </c>
      <c r="I52" s="7">
        <v>0</v>
      </c>
    </row>
    <row r="53" spans="1:9">
      <c r="A53" s="4" t="s">
        <v>9</v>
      </c>
      <c r="B53" s="4"/>
      <c r="C53" s="4" t="s">
        <v>111</v>
      </c>
      <c r="D53" s="4" t="s">
        <v>47</v>
      </c>
      <c r="E53" s="4" t="s">
        <v>112</v>
      </c>
      <c r="F53" s="4"/>
      <c r="G53" s="7"/>
      <c r="H53" s="4">
        <v>0</v>
      </c>
      <c r="I53" s="7">
        <v>0</v>
      </c>
    </row>
    <row r="54" spans="1:9">
      <c r="A54" s="4" t="s">
        <v>9</v>
      </c>
      <c r="B54" s="4"/>
      <c r="C54" s="4" t="s">
        <v>113</v>
      </c>
      <c r="D54" s="4" t="s">
        <v>47</v>
      </c>
      <c r="E54" s="4" t="s">
        <v>114</v>
      </c>
      <c r="F54" s="4"/>
      <c r="G54" s="7"/>
      <c r="H54" s="4">
        <v>0</v>
      </c>
      <c r="I54" s="7">
        <v>0</v>
      </c>
    </row>
    <row r="55" spans="1:9">
      <c r="A55" s="4" t="s">
        <v>9</v>
      </c>
      <c r="B55" s="4"/>
      <c r="C55" s="4" t="s">
        <v>115</v>
      </c>
      <c r="D55" s="4" t="s">
        <v>47</v>
      </c>
      <c r="E55" s="4" t="s">
        <v>116</v>
      </c>
      <c r="F55" s="4"/>
      <c r="G55" s="7"/>
      <c r="H55" s="4">
        <v>0</v>
      </c>
      <c r="I55" s="7">
        <v>0</v>
      </c>
    </row>
    <row r="56" spans="1:9">
      <c r="A56" s="4" t="s">
        <v>9</v>
      </c>
      <c r="B56" s="4"/>
      <c r="C56" s="4" t="s">
        <v>117</v>
      </c>
      <c r="D56" s="4" t="s">
        <v>47</v>
      </c>
      <c r="E56" s="4" t="s">
        <v>118</v>
      </c>
      <c r="F56" s="4"/>
      <c r="G56" s="7"/>
      <c r="H56" s="4">
        <v>0</v>
      </c>
      <c r="I56" s="7">
        <v>0</v>
      </c>
    </row>
    <row r="57" spans="1:9">
      <c r="A57" s="4" t="s">
        <v>9</v>
      </c>
      <c r="B57" s="4"/>
      <c r="C57" s="4" t="s">
        <v>119</v>
      </c>
      <c r="D57" s="4" t="s">
        <v>47</v>
      </c>
      <c r="E57" s="4" t="s">
        <v>120</v>
      </c>
      <c r="F57" s="4"/>
      <c r="G57" s="7"/>
      <c r="H57" s="4">
        <v>0</v>
      </c>
      <c r="I57" s="7">
        <v>0</v>
      </c>
    </row>
    <row r="58" spans="1:9">
      <c r="A58" s="4" t="s">
        <v>9</v>
      </c>
      <c r="B58" s="4"/>
      <c r="C58" s="4" t="s">
        <v>121</v>
      </c>
      <c r="D58" s="4" t="s">
        <v>47</v>
      </c>
      <c r="E58" s="4" t="s">
        <v>122</v>
      </c>
      <c r="F58" s="4"/>
      <c r="G58" s="7"/>
      <c r="H58" s="4">
        <v>0</v>
      </c>
      <c r="I58" s="7">
        <v>0</v>
      </c>
    </row>
    <row r="59" spans="1:9">
      <c r="A59" s="4" t="s">
        <v>9</v>
      </c>
      <c r="B59" s="4"/>
      <c r="C59" s="4" t="s">
        <v>123</v>
      </c>
      <c r="D59" s="4" t="s">
        <v>47</v>
      </c>
      <c r="E59" s="4" t="s">
        <v>124</v>
      </c>
      <c r="F59" s="4"/>
      <c r="G59" s="7"/>
      <c r="H59" s="4">
        <v>0</v>
      </c>
      <c r="I59" s="7">
        <v>0</v>
      </c>
    </row>
    <row r="60" spans="1:9">
      <c r="A60" s="4" t="s">
        <v>9</v>
      </c>
      <c r="B60" s="4"/>
      <c r="C60" s="4" t="s">
        <v>125</v>
      </c>
      <c r="D60" s="4" t="s">
        <v>47</v>
      </c>
      <c r="E60" s="4" t="s">
        <v>126</v>
      </c>
      <c r="F60" s="4"/>
      <c r="G60" s="7"/>
      <c r="H60" s="4">
        <v>0</v>
      </c>
      <c r="I60" s="7">
        <v>0</v>
      </c>
    </row>
    <row r="61" spans="1:9">
      <c r="A61" s="4" t="s">
        <v>9</v>
      </c>
      <c r="B61" s="4"/>
      <c r="C61" s="4" t="s">
        <v>127</v>
      </c>
      <c r="D61" s="4" t="s">
        <v>47</v>
      </c>
      <c r="E61" s="4" t="s">
        <v>128</v>
      </c>
      <c r="F61" s="4"/>
      <c r="G61" s="7"/>
      <c r="H61" s="4">
        <v>0</v>
      </c>
      <c r="I61" s="7">
        <v>0</v>
      </c>
    </row>
    <row r="62" spans="1:9">
      <c r="A62" s="4" t="s">
        <v>9</v>
      </c>
      <c r="B62" s="4"/>
      <c r="C62" s="4" t="s">
        <v>129</v>
      </c>
      <c r="D62" s="4" t="s">
        <v>47</v>
      </c>
      <c r="E62" s="4" t="s">
        <v>130</v>
      </c>
      <c r="F62" s="4"/>
      <c r="G62" s="7"/>
      <c r="H62" s="4">
        <v>0</v>
      </c>
      <c r="I62" s="7">
        <v>0</v>
      </c>
    </row>
    <row r="63" spans="1:9">
      <c r="A63" s="4" t="s">
        <v>9</v>
      </c>
      <c r="B63" s="4"/>
      <c r="C63" s="4" t="s">
        <v>131</v>
      </c>
      <c r="D63" s="4" t="s">
        <v>47</v>
      </c>
      <c r="E63" s="4" t="s">
        <v>132</v>
      </c>
      <c r="F63" s="4"/>
      <c r="G63" s="7"/>
      <c r="H63" s="4">
        <v>0</v>
      </c>
      <c r="I63" s="7">
        <v>0</v>
      </c>
    </row>
    <row r="64" spans="1:9">
      <c r="A64" s="4" t="s">
        <v>9</v>
      </c>
      <c r="B64" s="4"/>
      <c r="C64" s="4" t="s">
        <v>133</v>
      </c>
      <c r="D64" s="4" t="s">
        <v>47</v>
      </c>
      <c r="E64" s="4" t="s">
        <v>134</v>
      </c>
      <c r="F64" s="4"/>
      <c r="G64" s="7"/>
      <c r="H64" s="4">
        <v>0</v>
      </c>
      <c r="I64" s="7">
        <v>0</v>
      </c>
    </row>
    <row r="65" spans="1:9">
      <c r="A65" s="4" t="s">
        <v>9</v>
      </c>
      <c r="B65" s="4"/>
      <c r="C65" s="4" t="s">
        <v>135</v>
      </c>
      <c r="D65" s="4" t="s">
        <v>47</v>
      </c>
      <c r="E65" s="4" t="s">
        <v>136</v>
      </c>
      <c r="F65" s="4"/>
      <c r="G65" s="7"/>
      <c r="H65" s="4">
        <v>0</v>
      </c>
      <c r="I65" s="7">
        <v>0</v>
      </c>
    </row>
    <row r="66" spans="1:9">
      <c r="A66" s="4" t="s">
        <v>9</v>
      </c>
      <c r="B66" s="4"/>
      <c r="C66" s="4" t="s">
        <v>137</v>
      </c>
      <c r="D66" s="4" t="s">
        <v>47</v>
      </c>
      <c r="E66" s="4" t="s">
        <v>138</v>
      </c>
      <c r="F66" s="4"/>
      <c r="G66" s="7"/>
      <c r="H66" s="4">
        <v>0</v>
      </c>
      <c r="I66" s="7">
        <v>0</v>
      </c>
    </row>
    <row r="67" spans="1:9">
      <c r="A67" s="4" t="s">
        <v>9</v>
      </c>
      <c r="B67" s="4"/>
      <c r="C67" s="4" t="s">
        <v>139</v>
      </c>
      <c r="D67" s="4" t="s">
        <v>47</v>
      </c>
      <c r="E67" s="4" t="s">
        <v>140</v>
      </c>
      <c r="F67" s="4"/>
      <c r="G67" s="7"/>
      <c r="H67" s="4">
        <v>0</v>
      </c>
      <c r="I67" s="7">
        <v>0</v>
      </c>
    </row>
    <row r="68" spans="1:9">
      <c r="A68" s="4" t="s">
        <v>9</v>
      </c>
      <c r="B68" s="4"/>
      <c r="C68" s="4" t="s">
        <v>141</v>
      </c>
      <c r="D68" s="4" t="s">
        <v>47</v>
      </c>
      <c r="E68" s="4" t="s">
        <v>142</v>
      </c>
      <c r="F68" s="4"/>
      <c r="G68" s="7"/>
      <c r="H68" s="4">
        <v>0</v>
      </c>
      <c r="I68" s="7">
        <v>0</v>
      </c>
    </row>
    <row r="69" spans="1:9">
      <c r="A69" s="4" t="s">
        <v>9</v>
      </c>
      <c r="B69" s="4"/>
      <c r="C69" s="4" t="s">
        <v>143</v>
      </c>
      <c r="D69" s="4" t="s">
        <v>47</v>
      </c>
      <c r="E69" s="4" t="s">
        <v>144</v>
      </c>
      <c r="F69" s="4"/>
      <c r="G69" s="7"/>
      <c r="H69" s="4">
        <v>0</v>
      </c>
      <c r="I69" s="7">
        <v>0</v>
      </c>
    </row>
    <row r="70" spans="1:9">
      <c r="A70" s="4" t="s">
        <v>9</v>
      </c>
      <c r="B70" s="4"/>
      <c r="C70" s="4" t="s">
        <v>145</v>
      </c>
      <c r="D70" s="4" t="s">
        <v>47</v>
      </c>
      <c r="E70" s="4" t="s">
        <v>146</v>
      </c>
      <c r="F70" s="4"/>
      <c r="G70" s="7"/>
      <c r="H70" s="4">
        <v>0</v>
      </c>
      <c r="I70" s="7">
        <v>0</v>
      </c>
    </row>
    <row r="71" spans="1:9">
      <c r="A71" s="4" t="s">
        <v>9</v>
      </c>
      <c r="B71" s="4"/>
      <c r="C71" s="4" t="s">
        <v>147</v>
      </c>
      <c r="D71" s="4" t="s">
        <v>47</v>
      </c>
      <c r="E71" s="4" t="s">
        <v>148</v>
      </c>
      <c r="F71" s="4"/>
      <c r="G71" s="7"/>
      <c r="H71" s="4">
        <v>0</v>
      </c>
      <c r="I71" s="7">
        <v>0</v>
      </c>
    </row>
    <row r="72" spans="1:9">
      <c r="A72" s="4" t="s">
        <v>9</v>
      </c>
      <c r="B72" s="4"/>
      <c r="C72" s="4" t="s">
        <v>149</v>
      </c>
      <c r="D72" s="4" t="s">
        <v>47</v>
      </c>
      <c r="E72" s="4" t="s">
        <v>150</v>
      </c>
      <c r="F72" s="4"/>
      <c r="G72" s="7"/>
      <c r="H72" s="4">
        <v>0</v>
      </c>
      <c r="I72" s="7">
        <v>0</v>
      </c>
    </row>
    <row r="73" spans="1:9">
      <c r="A73" s="4" t="s">
        <v>9</v>
      </c>
      <c r="B73" s="4"/>
      <c r="C73" s="4" t="s">
        <v>151</v>
      </c>
      <c r="D73" s="4" t="s">
        <v>47</v>
      </c>
      <c r="E73" s="4" t="s">
        <v>152</v>
      </c>
      <c r="F73" s="4"/>
      <c r="G73" s="7"/>
      <c r="H73" s="4">
        <v>0</v>
      </c>
      <c r="I73" s="7">
        <v>0</v>
      </c>
    </row>
    <row r="74" spans="1:9">
      <c r="A74" s="4" t="s">
        <v>9</v>
      </c>
      <c r="B74" s="4"/>
      <c r="C74" s="4" t="s">
        <v>153</v>
      </c>
      <c r="D74" s="4" t="s">
        <v>47</v>
      </c>
      <c r="E74" s="4" t="s">
        <v>154</v>
      </c>
      <c r="F74" s="4"/>
      <c r="G74" s="7"/>
      <c r="H74" s="4">
        <v>0</v>
      </c>
      <c r="I74" s="7">
        <v>0</v>
      </c>
    </row>
    <row r="75" spans="1:9">
      <c r="A75" s="4" t="s">
        <v>9</v>
      </c>
      <c r="B75" s="4"/>
      <c r="C75" s="4" t="s">
        <v>155</v>
      </c>
      <c r="D75" s="4" t="s">
        <v>47</v>
      </c>
      <c r="E75" s="4" t="s">
        <v>156</v>
      </c>
      <c r="F75" s="4"/>
      <c r="G75" s="7"/>
      <c r="H75" s="4">
        <v>0</v>
      </c>
      <c r="I75" s="7">
        <v>0</v>
      </c>
    </row>
    <row r="76" spans="1:9">
      <c r="A76" s="4" t="s">
        <v>9</v>
      </c>
      <c r="B76" s="4"/>
      <c r="C76" s="4" t="s">
        <v>157</v>
      </c>
      <c r="D76" s="4" t="s">
        <v>47</v>
      </c>
      <c r="E76" s="4" t="s">
        <v>157</v>
      </c>
      <c r="F76" s="4"/>
      <c r="G76" s="7"/>
      <c r="H76" s="4">
        <v>0</v>
      </c>
      <c r="I76" s="7">
        <v>0</v>
      </c>
    </row>
    <row r="77" spans="1:9">
      <c r="A77" s="4" t="s">
        <v>9</v>
      </c>
      <c r="B77" s="4"/>
      <c r="C77" s="4" t="s">
        <v>158</v>
      </c>
      <c r="D77" s="4" t="s">
        <v>47</v>
      </c>
      <c r="E77" s="4" t="s">
        <v>158</v>
      </c>
      <c r="F77" s="4"/>
      <c r="G77" s="7"/>
      <c r="H77" s="4">
        <v>0</v>
      </c>
      <c r="I77" s="7">
        <v>0</v>
      </c>
    </row>
    <row r="78" spans="1:9">
      <c r="A78" s="4" t="s">
        <v>9</v>
      </c>
      <c r="B78" s="4"/>
      <c r="C78" s="4" t="s">
        <v>159</v>
      </c>
      <c r="D78" s="4" t="s">
        <v>47</v>
      </c>
      <c r="E78" s="4" t="s">
        <v>159</v>
      </c>
      <c r="F78" s="4"/>
      <c r="G78" s="7"/>
      <c r="H78" s="4">
        <v>0</v>
      </c>
      <c r="I78" s="7">
        <v>0</v>
      </c>
    </row>
    <row r="79" spans="1:9">
      <c r="A79" s="4" t="s">
        <v>9</v>
      </c>
      <c r="B79" s="4"/>
      <c r="C79" s="4" t="s">
        <v>160</v>
      </c>
      <c r="D79" s="4" t="s">
        <v>47</v>
      </c>
      <c r="E79" s="4" t="s">
        <v>161</v>
      </c>
      <c r="F79" s="4"/>
      <c r="G79" s="7"/>
      <c r="H79" s="4">
        <v>0</v>
      </c>
      <c r="I79" s="7">
        <v>0</v>
      </c>
    </row>
    <row r="80" spans="1:9">
      <c r="A80" s="4" t="s">
        <v>9</v>
      </c>
      <c r="B80" s="4"/>
      <c r="C80" s="4" t="s">
        <v>162</v>
      </c>
      <c r="D80" s="4" t="s">
        <v>47</v>
      </c>
      <c r="E80" s="4" t="s">
        <v>163</v>
      </c>
      <c r="F80" s="4"/>
      <c r="G80" s="7"/>
      <c r="H80" s="4">
        <v>0</v>
      </c>
      <c r="I80" s="7">
        <v>0</v>
      </c>
    </row>
    <row r="81" spans="1:9">
      <c r="A81" s="4" t="s">
        <v>9</v>
      </c>
      <c r="B81" s="4"/>
      <c r="C81" s="4" t="s">
        <v>164</v>
      </c>
      <c r="D81" s="4" t="s">
        <v>47</v>
      </c>
      <c r="E81" s="4" t="s">
        <v>165</v>
      </c>
      <c r="F81" s="4"/>
      <c r="G81" s="7"/>
      <c r="H81" s="4">
        <v>0</v>
      </c>
      <c r="I81" s="7">
        <v>0</v>
      </c>
    </row>
    <row r="82" spans="1:9">
      <c r="A82" s="4" t="s">
        <v>9</v>
      </c>
      <c r="B82" s="4"/>
      <c r="C82" s="4" t="s">
        <v>166</v>
      </c>
      <c r="D82" s="4" t="s">
        <v>47</v>
      </c>
      <c r="E82" s="4" t="s">
        <v>166</v>
      </c>
      <c r="F82" s="4"/>
      <c r="G82" s="7"/>
      <c r="H82" s="4">
        <v>0</v>
      </c>
      <c r="I82" s="7">
        <v>0</v>
      </c>
    </row>
    <row r="83" spans="1:9">
      <c r="A83" s="4" t="s">
        <v>9</v>
      </c>
      <c r="B83" s="4"/>
      <c r="C83" s="4" t="s">
        <v>167</v>
      </c>
      <c r="D83" s="4" t="s">
        <v>47</v>
      </c>
      <c r="E83" s="4" t="s">
        <v>168</v>
      </c>
      <c r="F83" s="4"/>
      <c r="G83" s="7"/>
      <c r="H83" s="4">
        <v>0</v>
      </c>
      <c r="I83" s="7">
        <v>0</v>
      </c>
    </row>
    <row r="84" spans="1:9">
      <c r="A84" s="4" t="s">
        <v>9</v>
      </c>
      <c r="B84" s="4"/>
      <c r="C84" s="4" t="s">
        <v>169</v>
      </c>
      <c r="D84" s="4" t="s">
        <v>47</v>
      </c>
      <c r="E84" s="4" t="s">
        <v>170</v>
      </c>
      <c r="F84" s="4"/>
      <c r="G84" s="7"/>
      <c r="H84" s="4">
        <v>0</v>
      </c>
      <c r="I84" s="7">
        <v>0</v>
      </c>
    </row>
    <row r="85" spans="1:9">
      <c r="A85" s="4" t="s">
        <v>9</v>
      </c>
      <c r="B85" s="4"/>
      <c r="C85" s="4" t="s">
        <v>171</v>
      </c>
      <c r="D85" s="4" t="s">
        <v>47</v>
      </c>
      <c r="E85" s="4" t="s">
        <v>172</v>
      </c>
      <c r="F85" s="4"/>
      <c r="G85" s="7"/>
      <c r="H85" s="4">
        <v>0</v>
      </c>
      <c r="I85" s="7">
        <v>0</v>
      </c>
    </row>
    <row r="86" spans="1:9">
      <c r="A86" s="4" t="s">
        <v>9</v>
      </c>
      <c r="B86" s="4"/>
      <c r="C86" s="4" t="s">
        <v>173</v>
      </c>
      <c r="D86" s="4" t="s">
        <v>47</v>
      </c>
      <c r="E86" s="4" t="s">
        <v>174</v>
      </c>
      <c r="F86" s="4"/>
      <c r="G86" s="7"/>
      <c r="H86" s="4">
        <v>0</v>
      </c>
      <c r="I86" s="7">
        <v>0</v>
      </c>
    </row>
    <row r="87" spans="1:9">
      <c r="A87" s="4" t="s">
        <v>9</v>
      </c>
      <c r="B87" s="4"/>
      <c r="C87" s="4" t="s">
        <v>175</v>
      </c>
      <c r="D87" s="4" t="s">
        <v>47</v>
      </c>
      <c r="E87" s="4" t="s">
        <v>176</v>
      </c>
      <c r="F87" s="4"/>
      <c r="G87" s="7"/>
      <c r="H87" s="4">
        <v>0</v>
      </c>
      <c r="I87" s="7">
        <v>0</v>
      </c>
    </row>
    <row r="88" spans="1:9">
      <c r="A88" s="4" t="s">
        <v>9</v>
      </c>
      <c r="B88" s="4"/>
      <c r="C88" s="4" t="s">
        <v>177</v>
      </c>
      <c r="D88" s="4" t="s">
        <v>47</v>
      </c>
      <c r="E88" s="4" t="s">
        <v>178</v>
      </c>
      <c r="F88" s="4"/>
      <c r="G88" s="7"/>
      <c r="H88" s="4">
        <v>0</v>
      </c>
      <c r="I88" s="7">
        <v>0</v>
      </c>
    </row>
    <row r="89" spans="1:9">
      <c r="A89" s="4" t="s">
        <v>9</v>
      </c>
      <c r="B89" s="4"/>
      <c r="C89" s="4" t="s">
        <v>179</v>
      </c>
      <c r="D89" s="4" t="s">
        <v>47</v>
      </c>
      <c r="E89" s="4" t="s">
        <v>180</v>
      </c>
      <c r="F89" s="4"/>
      <c r="G89" s="7"/>
      <c r="H89" s="4">
        <v>0</v>
      </c>
      <c r="I89" s="7">
        <v>0</v>
      </c>
    </row>
    <row r="90" spans="1:9">
      <c r="A90" s="4" t="s">
        <v>9</v>
      </c>
      <c r="B90" s="4"/>
      <c r="C90" s="4" t="s">
        <v>181</v>
      </c>
      <c r="D90" s="4" t="s">
        <v>47</v>
      </c>
      <c r="E90" s="4" t="s">
        <v>182</v>
      </c>
      <c r="F90" s="4"/>
      <c r="G90" s="7"/>
      <c r="H90" s="4">
        <v>0</v>
      </c>
      <c r="I90" s="7">
        <v>0</v>
      </c>
    </row>
    <row r="91" spans="1:9">
      <c r="A91" s="4" t="s">
        <v>9</v>
      </c>
      <c r="B91" s="4"/>
      <c r="C91" s="4" t="s">
        <v>183</v>
      </c>
      <c r="D91" s="4" t="s">
        <v>47</v>
      </c>
      <c r="E91" s="4" t="s">
        <v>184</v>
      </c>
      <c r="F91" s="4"/>
      <c r="G91" s="7"/>
      <c r="H91" s="4">
        <v>0</v>
      </c>
      <c r="I91" s="7">
        <v>0</v>
      </c>
    </row>
    <row r="92" spans="1:9">
      <c r="A92" s="4" t="s">
        <v>9</v>
      </c>
      <c r="B92" s="4"/>
      <c r="C92" s="4" t="s">
        <v>185</v>
      </c>
      <c r="D92" s="4" t="s">
        <v>47</v>
      </c>
      <c r="E92" s="4">
        <v>1076831</v>
      </c>
      <c r="F92" s="4"/>
      <c r="G92" s="7"/>
      <c r="H92" s="4">
        <v>0</v>
      </c>
      <c r="I92" s="7">
        <v>0</v>
      </c>
    </row>
    <row r="93" spans="1:9">
      <c r="A93" s="4" t="s">
        <v>9</v>
      </c>
      <c r="B93" s="4"/>
      <c r="C93" s="4" t="s">
        <v>186</v>
      </c>
      <c r="D93" s="4" t="s">
        <v>47</v>
      </c>
      <c r="E93" s="4">
        <v>1076399</v>
      </c>
      <c r="F93" s="4"/>
      <c r="G93" s="7"/>
      <c r="H93" s="4">
        <v>0</v>
      </c>
      <c r="I93" s="7">
        <v>0</v>
      </c>
    </row>
    <row r="94" spans="1:9">
      <c r="A94" s="4" t="s">
        <v>9</v>
      </c>
      <c r="B94" s="4"/>
      <c r="C94" s="4" t="s">
        <v>187</v>
      </c>
      <c r="D94" s="4" t="s">
        <v>47</v>
      </c>
      <c r="E94" s="4">
        <v>1076400</v>
      </c>
      <c r="F94" s="4"/>
      <c r="G94" s="7"/>
      <c r="H94" s="4">
        <v>0</v>
      </c>
      <c r="I94" s="7">
        <v>0</v>
      </c>
    </row>
    <row r="95" spans="1:9">
      <c r="A95" s="4" t="s">
        <v>9</v>
      </c>
      <c r="B95" s="4"/>
      <c r="C95" s="4" t="s">
        <v>188</v>
      </c>
      <c r="D95" s="4" t="s">
        <v>47</v>
      </c>
      <c r="E95" s="4" t="s">
        <v>189</v>
      </c>
      <c r="F95" s="4"/>
      <c r="G95" s="7"/>
      <c r="H95" s="4">
        <v>0</v>
      </c>
      <c r="I95" s="7">
        <v>0</v>
      </c>
    </row>
    <row r="96" spans="1:9">
      <c r="A96" s="4" t="s">
        <v>9</v>
      </c>
      <c r="B96" s="4"/>
      <c r="C96" s="4" t="s">
        <v>36</v>
      </c>
      <c r="D96" s="4" t="s">
        <v>47</v>
      </c>
      <c r="E96" s="4" t="s">
        <v>37</v>
      </c>
      <c r="F96" s="4"/>
      <c r="G96" s="7"/>
      <c r="H96" s="4">
        <v>0</v>
      </c>
      <c r="I96" s="7">
        <v>0</v>
      </c>
    </row>
    <row r="97" spans="1:9">
      <c r="A97" s="4" t="s">
        <v>9</v>
      </c>
      <c r="B97" s="4"/>
      <c r="C97" s="4" t="s">
        <v>190</v>
      </c>
      <c r="D97" s="4" t="s">
        <v>47</v>
      </c>
      <c r="E97" s="4" t="s">
        <v>191</v>
      </c>
      <c r="F97" s="4"/>
      <c r="G97" s="7"/>
      <c r="H97" s="4">
        <v>0</v>
      </c>
      <c r="I97" s="7">
        <v>0</v>
      </c>
    </row>
    <row r="98" spans="1:9">
      <c r="A98" s="4" t="s">
        <v>9</v>
      </c>
      <c r="B98" s="4"/>
      <c r="C98" s="4" t="s">
        <v>192</v>
      </c>
      <c r="D98" s="4" t="s">
        <v>47</v>
      </c>
      <c r="E98" s="4" t="s">
        <v>193</v>
      </c>
      <c r="F98" s="4"/>
      <c r="G98" s="7"/>
      <c r="H98" s="4">
        <v>0</v>
      </c>
      <c r="I98" s="7">
        <v>0</v>
      </c>
    </row>
    <row r="99" spans="1:9">
      <c r="A99" s="4" t="s">
        <v>9</v>
      </c>
      <c r="B99" s="4"/>
      <c r="C99" s="4" t="s">
        <v>38</v>
      </c>
      <c r="D99" s="4" t="s">
        <v>47</v>
      </c>
      <c r="E99" s="4" t="s">
        <v>39</v>
      </c>
      <c r="F99" s="4"/>
      <c r="G99" s="7"/>
      <c r="H99" s="4">
        <v>0</v>
      </c>
      <c r="I99" s="7">
        <v>0</v>
      </c>
    </row>
    <row r="100" spans="1:9">
      <c r="A100" s="4" t="s">
        <v>9</v>
      </c>
      <c r="B100" s="4"/>
      <c r="C100" s="4" t="s">
        <v>194</v>
      </c>
      <c r="D100" s="4" t="s">
        <v>47</v>
      </c>
      <c r="E100" s="4" t="s">
        <v>194</v>
      </c>
      <c r="F100" s="4"/>
      <c r="G100" s="7"/>
      <c r="H100" s="4">
        <v>0</v>
      </c>
      <c r="I100" s="7">
        <v>0</v>
      </c>
    </row>
    <row r="101" spans="1:9">
      <c r="A101" s="4" t="s">
        <v>9</v>
      </c>
      <c r="B101" s="4"/>
      <c r="C101" s="4" t="s">
        <v>195</v>
      </c>
      <c r="D101" s="4" t="s">
        <v>47</v>
      </c>
      <c r="E101" s="4" t="s">
        <v>195</v>
      </c>
      <c r="F101" s="4"/>
      <c r="G101" s="7"/>
      <c r="H101" s="4">
        <v>0</v>
      </c>
      <c r="I101" s="7">
        <v>0</v>
      </c>
    </row>
    <row r="102" spans="1:9">
      <c r="A102" s="4" t="s">
        <v>9</v>
      </c>
      <c r="B102" s="4"/>
      <c r="C102" s="4" t="s">
        <v>196</v>
      </c>
      <c r="D102" s="4" t="s">
        <v>47</v>
      </c>
      <c r="E102" s="4" t="s">
        <v>196</v>
      </c>
      <c r="F102" s="4"/>
      <c r="G102" s="7"/>
      <c r="H102" s="4">
        <v>0</v>
      </c>
      <c r="I102" s="7">
        <v>0</v>
      </c>
    </row>
    <row r="103" spans="1:9">
      <c r="A103" s="4" t="s">
        <v>9</v>
      </c>
      <c r="B103" s="4"/>
      <c r="C103" s="4" t="s">
        <v>197</v>
      </c>
      <c r="D103" s="4" t="s">
        <v>47</v>
      </c>
      <c r="E103" s="4" t="s">
        <v>197</v>
      </c>
      <c r="F103" s="4"/>
      <c r="G103" s="7"/>
      <c r="H103" s="4">
        <v>0</v>
      </c>
      <c r="I103" s="7">
        <v>0</v>
      </c>
    </row>
    <row r="104" spans="1:9">
      <c r="A104" s="4" t="s">
        <v>9</v>
      </c>
      <c r="B104" s="4"/>
      <c r="C104" s="4" t="s">
        <v>198</v>
      </c>
      <c r="D104" s="4" t="s">
        <v>47</v>
      </c>
      <c r="E104" s="4" t="s">
        <v>199</v>
      </c>
      <c r="F104" s="4"/>
      <c r="G104" s="7"/>
      <c r="H104" s="4">
        <v>0</v>
      </c>
      <c r="I104" s="7">
        <v>0</v>
      </c>
    </row>
    <row r="105" spans="1:9">
      <c r="A105" s="4" t="s">
        <v>9</v>
      </c>
      <c r="B105" s="4"/>
      <c r="C105" s="4" t="s">
        <v>200</v>
      </c>
      <c r="D105" s="4" t="s">
        <v>47</v>
      </c>
      <c r="E105" s="4" t="s">
        <v>201</v>
      </c>
      <c r="F105" s="4"/>
      <c r="G105" s="7"/>
      <c r="H105" s="4">
        <v>0</v>
      </c>
      <c r="I105" s="7">
        <v>0</v>
      </c>
    </row>
    <row r="106" spans="1:9">
      <c r="A106" s="4" t="s">
        <v>9</v>
      </c>
      <c r="B106" s="4"/>
      <c r="C106" s="4" t="s">
        <v>202</v>
      </c>
      <c r="D106" s="4" t="s">
        <v>47</v>
      </c>
      <c r="E106" s="4" t="s">
        <v>203</v>
      </c>
      <c r="F106" s="4"/>
      <c r="G106" s="7"/>
      <c r="H106" s="4">
        <v>0</v>
      </c>
      <c r="I106" s="7">
        <v>0</v>
      </c>
    </row>
    <row r="107" spans="1:9">
      <c r="A107" s="4" t="s">
        <v>9</v>
      </c>
      <c r="B107" s="4"/>
      <c r="C107" s="4" t="s">
        <v>204</v>
      </c>
      <c r="D107" s="4" t="s">
        <v>47</v>
      </c>
      <c r="E107" s="4" t="s">
        <v>205</v>
      </c>
      <c r="F107" s="4"/>
      <c r="G107" s="7"/>
      <c r="H107" s="4">
        <v>0</v>
      </c>
      <c r="I107" s="7">
        <v>0</v>
      </c>
    </row>
    <row r="108" spans="1:9">
      <c r="A108" s="4" t="s">
        <v>9</v>
      </c>
      <c r="B108" s="4"/>
      <c r="C108" s="4" t="s">
        <v>206</v>
      </c>
      <c r="D108" s="4" t="s">
        <v>47</v>
      </c>
      <c r="E108" s="4" t="s">
        <v>207</v>
      </c>
      <c r="F108" s="4"/>
      <c r="G108" s="7"/>
      <c r="H108" s="4">
        <v>0</v>
      </c>
      <c r="I108" s="7">
        <v>0</v>
      </c>
    </row>
    <row r="109" spans="1:9">
      <c r="A109" s="4" t="s">
        <v>9</v>
      </c>
      <c r="B109" s="4"/>
      <c r="C109" s="4" t="s">
        <v>208</v>
      </c>
      <c r="D109" s="4" t="s">
        <v>47</v>
      </c>
      <c r="E109" s="4" t="s">
        <v>209</v>
      </c>
      <c r="F109" s="4"/>
      <c r="G109" s="7"/>
      <c r="H109" s="4">
        <v>0</v>
      </c>
      <c r="I109" s="7">
        <v>0</v>
      </c>
    </row>
    <row r="110" spans="1:9">
      <c r="A110" s="4" t="s">
        <v>9</v>
      </c>
      <c r="B110" s="4"/>
      <c r="C110" s="4" t="s">
        <v>210</v>
      </c>
      <c r="D110" s="4" t="s">
        <v>47</v>
      </c>
      <c r="E110" s="4" t="s">
        <v>211</v>
      </c>
      <c r="F110" s="4"/>
      <c r="G110" s="7"/>
      <c r="H110" s="4">
        <v>0</v>
      </c>
      <c r="I110" s="7">
        <v>0</v>
      </c>
    </row>
    <row r="111" spans="1:9">
      <c r="A111" s="4" t="s">
        <v>9</v>
      </c>
      <c r="B111" s="4"/>
      <c r="C111" s="4" t="s">
        <v>212</v>
      </c>
      <c r="D111" s="4" t="s">
        <v>47</v>
      </c>
      <c r="E111" s="4" t="s">
        <v>213</v>
      </c>
      <c r="F111" s="4"/>
      <c r="G111" s="7"/>
      <c r="H111" s="4">
        <v>0</v>
      </c>
      <c r="I111" s="7">
        <v>0</v>
      </c>
    </row>
    <row r="112" spans="1:9">
      <c r="A112" s="4" t="s">
        <v>9</v>
      </c>
      <c r="B112" s="4"/>
      <c r="C112" s="4" t="s">
        <v>214</v>
      </c>
      <c r="D112" s="4" t="s">
        <v>47</v>
      </c>
      <c r="E112" s="4" t="s">
        <v>215</v>
      </c>
      <c r="F112" s="4"/>
      <c r="G112" s="7"/>
      <c r="H112" s="4">
        <v>0</v>
      </c>
      <c r="I112" s="7">
        <v>0</v>
      </c>
    </row>
    <row r="113" spans="1:9">
      <c r="A113" s="4" t="s">
        <v>9</v>
      </c>
      <c r="B113" s="4"/>
      <c r="C113" s="4" t="s">
        <v>216</v>
      </c>
      <c r="D113" s="4" t="s">
        <v>47</v>
      </c>
      <c r="E113" s="4" t="s">
        <v>216</v>
      </c>
      <c r="F113" s="4"/>
      <c r="G113" s="7"/>
      <c r="H113" s="4">
        <v>0</v>
      </c>
      <c r="I113" s="7">
        <v>0</v>
      </c>
    </row>
    <row r="114" spans="1:9">
      <c r="A114" s="4" t="s">
        <v>9</v>
      </c>
      <c r="B114" s="4"/>
      <c r="C114" s="4" t="s">
        <v>217</v>
      </c>
      <c r="D114" s="4" t="s">
        <v>47</v>
      </c>
      <c r="E114" s="4" t="s">
        <v>218</v>
      </c>
      <c r="F114" s="4"/>
      <c r="G114" s="7"/>
      <c r="H114" s="4">
        <v>0</v>
      </c>
      <c r="I114" s="7">
        <v>0</v>
      </c>
    </row>
    <row r="115" spans="1:9">
      <c r="A115" s="4" t="s">
        <v>9</v>
      </c>
      <c r="B115" s="4"/>
      <c r="C115" s="4" t="s">
        <v>219</v>
      </c>
      <c r="D115" s="4" t="s">
        <v>47</v>
      </c>
      <c r="E115" s="4" t="s">
        <v>220</v>
      </c>
      <c r="F115" s="4"/>
      <c r="G115" s="7"/>
      <c r="H115" s="4">
        <v>0</v>
      </c>
      <c r="I115" s="7">
        <v>0</v>
      </c>
    </row>
    <row r="116" spans="1:9">
      <c r="A116" s="4" t="s">
        <v>9</v>
      </c>
      <c r="B116" s="4"/>
      <c r="C116" s="4" t="s">
        <v>221</v>
      </c>
      <c r="D116" s="4" t="s">
        <v>47</v>
      </c>
      <c r="E116" s="4" t="s">
        <v>222</v>
      </c>
      <c r="F116" s="4"/>
      <c r="G116" s="7"/>
      <c r="H116" s="4">
        <v>0</v>
      </c>
      <c r="I116" s="7">
        <v>0</v>
      </c>
    </row>
    <row r="117" spans="1:9">
      <c r="A117" s="4" t="s">
        <v>9</v>
      </c>
      <c r="B117" s="4"/>
      <c r="C117" s="4" t="s">
        <v>223</v>
      </c>
      <c r="D117" s="4" t="s">
        <v>47</v>
      </c>
      <c r="E117" s="4" t="s">
        <v>224</v>
      </c>
      <c r="F117" s="4"/>
      <c r="G117" s="7"/>
      <c r="H117" s="4">
        <v>0</v>
      </c>
      <c r="I117" s="7">
        <v>0</v>
      </c>
    </row>
    <row r="118" spans="1:9">
      <c r="A118" s="4" t="s">
        <v>9</v>
      </c>
      <c r="B118" s="4"/>
      <c r="C118" s="4" t="s">
        <v>225</v>
      </c>
      <c r="D118" s="4" t="s">
        <v>47</v>
      </c>
      <c r="E118" s="4" t="s">
        <v>226</v>
      </c>
      <c r="F118" s="4"/>
      <c r="G118" s="7"/>
      <c r="H118" s="4">
        <v>0</v>
      </c>
      <c r="I118" s="7">
        <v>0</v>
      </c>
    </row>
    <row r="119" spans="1:9">
      <c r="A119" s="4" t="s">
        <v>9</v>
      </c>
      <c r="B119" s="4"/>
      <c r="C119" s="4" t="s">
        <v>227</v>
      </c>
      <c r="D119" s="4" t="s">
        <v>47</v>
      </c>
      <c r="E119" s="4" t="s">
        <v>228</v>
      </c>
      <c r="F119" s="4"/>
      <c r="G119" s="7"/>
      <c r="H119" s="4">
        <v>0</v>
      </c>
      <c r="I119" s="7">
        <v>0</v>
      </c>
    </row>
    <row r="120" spans="1:9">
      <c r="A120" s="4" t="s">
        <v>9</v>
      </c>
      <c r="B120" s="4"/>
      <c r="C120" s="4" t="s">
        <v>229</v>
      </c>
      <c r="D120" s="4" t="s">
        <v>47</v>
      </c>
      <c r="E120" s="4" t="s">
        <v>230</v>
      </c>
      <c r="F120" s="4"/>
      <c r="G120" s="7"/>
      <c r="H120" s="4">
        <v>0</v>
      </c>
      <c r="I120" s="7">
        <v>0</v>
      </c>
    </row>
    <row r="121" spans="1:9">
      <c r="A121" s="4" t="s">
        <v>9</v>
      </c>
      <c r="B121" s="4"/>
      <c r="C121" s="4" t="s">
        <v>231</v>
      </c>
      <c r="D121" s="4" t="s">
        <v>47</v>
      </c>
      <c r="E121" s="4" t="s">
        <v>232</v>
      </c>
      <c r="F121" s="4"/>
      <c r="G121" s="7"/>
      <c r="H121" s="4">
        <v>0</v>
      </c>
      <c r="I121" s="7">
        <v>0</v>
      </c>
    </row>
    <row r="122" spans="1:9">
      <c r="A122" s="4" t="s">
        <v>9</v>
      </c>
      <c r="B122" s="4"/>
      <c r="C122" s="4" t="s">
        <v>233</v>
      </c>
      <c r="D122" s="4" t="s">
        <v>47</v>
      </c>
      <c r="E122" s="4" t="s">
        <v>234</v>
      </c>
      <c r="F122" s="4"/>
      <c r="G122" s="7"/>
      <c r="H122" s="4">
        <v>0</v>
      </c>
      <c r="I122" s="7">
        <v>0</v>
      </c>
    </row>
    <row r="123" spans="1:9">
      <c r="A123" s="4" t="s">
        <v>9</v>
      </c>
      <c r="B123" s="4"/>
      <c r="C123" s="4" t="s">
        <v>235</v>
      </c>
      <c r="D123" s="4" t="s">
        <v>47</v>
      </c>
      <c r="E123" s="4" t="s">
        <v>236</v>
      </c>
      <c r="F123" s="4"/>
      <c r="G123" s="7"/>
      <c r="H123" s="4">
        <v>0</v>
      </c>
      <c r="I123" s="7">
        <v>0</v>
      </c>
    </row>
    <row r="124" spans="1:9">
      <c r="A124" s="4" t="s">
        <v>9</v>
      </c>
      <c r="B124" s="4"/>
      <c r="C124" s="4" t="s">
        <v>237</v>
      </c>
      <c r="D124" s="4" t="s">
        <v>47</v>
      </c>
      <c r="E124" s="4" t="s">
        <v>238</v>
      </c>
      <c r="F124" s="4"/>
      <c r="G124" s="7"/>
      <c r="H124" s="4">
        <v>0</v>
      </c>
      <c r="I124" s="7">
        <v>0</v>
      </c>
    </row>
    <row r="125" spans="1:9">
      <c r="A125" s="4" t="s">
        <v>9</v>
      </c>
      <c r="B125" s="4"/>
      <c r="C125" s="4" t="s">
        <v>239</v>
      </c>
      <c r="D125" s="4" t="s">
        <v>47</v>
      </c>
      <c r="E125" s="4" t="s">
        <v>240</v>
      </c>
      <c r="F125" s="4"/>
      <c r="G125" s="7"/>
      <c r="H125" s="4">
        <v>0</v>
      </c>
      <c r="I125" s="7">
        <v>0</v>
      </c>
    </row>
    <row r="126" spans="1:9">
      <c r="A126" s="4" t="s">
        <v>9</v>
      </c>
      <c r="B126" s="4"/>
      <c r="C126" s="4" t="s">
        <v>241</v>
      </c>
      <c r="D126" s="4" t="s">
        <v>47</v>
      </c>
      <c r="E126" s="4" t="s">
        <v>242</v>
      </c>
      <c r="F126" s="4"/>
      <c r="G126" s="7"/>
      <c r="H126" s="4">
        <v>0</v>
      </c>
      <c r="I126" s="7">
        <v>0</v>
      </c>
    </row>
    <row r="127" spans="1:9">
      <c r="A127" s="4" t="s">
        <v>9</v>
      </c>
      <c r="B127" s="4"/>
      <c r="C127" s="4" t="s">
        <v>243</v>
      </c>
      <c r="D127" s="4" t="s">
        <v>47</v>
      </c>
      <c r="E127" s="4" t="s">
        <v>244</v>
      </c>
      <c r="F127" s="4"/>
      <c r="G127" s="7"/>
      <c r="H127" s="4">
        <v>0</v>
      </c>
      <c r="I127" s="7">
        <v>0</v>
      </c>
    </row>
    <row r="128" spans="1:9">
      <c r="A128" s="4" t="s">
        <v>9</v>
      </c>
      <c r="B128" s="4"/>
      <c r="C128" s="4" t="s">
        <v>245</v>
      </c>
      <c r="D128" s="4" t="s">
        <v>47</v>
      </c>
      <c r="E128" s="4" t="s">
        <v>246</v>
      </c>
      <c r="F128" s="4"/>
      <c r="G128" s="7"/>
      <c r="H128" s="4">
        <v>0</v>
      </c>
      <c r="I128" s="7">
        <v>0</v>
      </c>
    </row>
    <row r="129" spans="1:9">
      <c r="A129" s="4" t="s">
        <v>9</v>
      </c>
      <c r="B129" s="4"/>
      <c r="C129" s="4" t="s">
        <v>247</v>
      </c>
      <c r="D129" s="4" t="s">
        <v>47</v>
      </c>
      <c r="E129" s="4" t="s">
        <v>247</v>
      </c>
      <c r="F129" s="4"/>
      <c r="G129" s="7"/>
      <c r="H129" s="4">
        <v>0</v>
      </c>
      <c r="I129" s="7">
        <v>0</v>
      </c>
    </row>
    <row r="130" spans="1:9">
      <c r="A130" s="4" t="s">
        <v>9</v>
      </c>
      <c r="B130" s="4"/>
      <c r="C130" s="4" t="s">
        <v>248</v>
      </c>
      <c r="D130" s="4" t="s">
        <v>47</v>
      </c>
      <c r="E130" s="4" t="s">
        <v>248</v>
      </c>
      <c r="F130" s="4"/>
      <c r="G130" s="7"/>
      <c r="H130" s="4">
        <v>0</v>
      </c>
      <c r="I130" s="7">
        <v>0</v>
      </c>
    </row>
    <row r="131" spans="1:9">
      <c r="A131" s="4" t="s">
        <v>9</v>
      </c>
      <c r="B131" s="4"/>
      <c r="C131" s="4" t="s">
        <v>249</v>
      </c>
      <c r="D131" s="4" t="s">
        <v>47</v>
      </c>
      <c r="E131" s="4" t="s">
        <v>250</v>
      </c>
      <c r="F131" s="4"/>
      <c r="G131" s="7"/>
      <c r="H131" s="4">
        <v>0</v>
      </c>
      <c r="I131" s="7">
        <v>0</v>
      </c>
    </row>
    <row r="132" spans="1:9">
      <c r="A132" s="4" t="s">
        <v>9</v>
      </c>
      <c r="B132" s="4"/>
      <c r="C132" s="4" t="s">
        <v>251</v>
      </c>
      <c r="D132" s="4" t="s">
        <v>47</v>
      </c>
      <c r="E132" s="4" t="s">
        <v>252</v>
      </c>
      <c r="F132" s="4"/>
      <c r="G132" s="7"/>
      <c r="H132" s="4">
        <v>0</v>
      </c>
      <c r="I132" s="7">
        <v>0</v>
      </c>
    </row>
    <row r="133" spans="1:9">
      <c r="A133" s="4" t="s">
        <v>9</v>
      </c>
      <c r="B133" s="4"/>
      <c r="C133" s="4" t="s">
        <v>253</v>
      </c>
      <c r="D133" s="4" t="s">
        <v>47</v>
      </c>
      <c r="E133" s="4" t="s">
        <v>254</v>
      </c>
      <c r="F133" s="4"/>
      <c r="G133" s="7"/>
      <c r="H133" s="4">
        <v>0</v>
      </c>
      <c r="I133" s="7">
        <v>0</v>
      </c>
    </row>
    <row r="134" spans="1:9">
      <c r="A134" s="4" t="s">
        <v>9</v>
      </c>
      <c r="B134" s="4"/>
      <c r="C134" s="4" t="s">
        <v>255</v>
      </c>
      <c r="D134" s="4" t="s">
        <v>47</v>
      </c>
      <c r="E134" s="4" t="s">
        <v>256</v>
      </c>
      <c r="F134" s="4"/>
      <c r="G134" s="7"/>
      <c r="H134" s="4">
        <v>0</v>
      </c>
      <c r="I134" s="7">
        <v>0</v>
      </c>
    </row>
    <row r="135" spans="1:9">
      <c r="A135" s="4" t="s">
        <v>9</v>
      </c>
      <c r="B135" s="4"/>
      <c r="C135" s="4" t="s">
        <v>257</v>
      </c>
      <c r="D135" s="4" t="s">
        <v>47</v>
      </c>
      <c r="E135" s="4" t="s">
        <v>258</v>
      </c>
      <c r="F135" s="4"/>
      <c r="G135" s="7"/>
      <c r="H135" s="4">
        <v>0</v>
      </c>
      <c r="I135" s="7">
        <v>0</v>
      </c>
    </row>
    <row r="136" spans="1:9">
      <c r="A136" s="4" t="s">
        <v>9</v>
      </c>
      <c r="B136" s="4"/>
      <c r="C136" s="4" t="s">
        <v>259</v>
      </c>
      <c r="D136" s="4" t="s">
        <v>47</v>
      </c>
      <c r="E136" s="4" t="s">
        <v>260</v>
      </c>
      <c r="F136" s="4"/>
      <c r="G136" s="7"/>
      <c r="H136" s="4">
        <v>0</v>
      </c>
      <c r="I136" s="7">
        <v>0</v>
      </c>
    </row>
    <row r="137" spans="1:9">
      <c r="A137" s="4" t="s">
        <v>9</v>
      </c>
      <c r="B137" s="4"/>
      <c r="C137" s="4" t="s">
        <v>261</v>
      </c>
      <c r="D137" s="4" t="s">
        <v>262</v>
      </c>
      <c r="E137" s="4" t="s">
        <v>261</v>
      </c>
      <c r="F137" s="4"/>
      <c r="G137" s="7"/>
      <c r="H137" s="4">
        <v>1</v>
      </c>
      <c r="I137" s="7">
        <v>8.99</v>
      </c>
    </row>
    <row r="138" spans="1:9">
      <c r="A138" s="4" t="s">
        <v>9</v>
      </c>
      <c r="B138" s="4"/>
      <c r="C138" s="4" t="s">
        <v>263</v>
      </c>
      <c r="D138" s="4" t="s">
        <v>262</v>
      </c>
      <c r="E138" s="4" t="s">
        <v>264</v>
      </c>
      <c r="F138" s="4"/>
      <c r="G138" s="7"/>
      <c r="H138" s="4">
        <v>0</v>
      </c>
      <c r="I138" s="7">
        <v>0</v>
      </c>
    </row>
    <row r="139" spans="1:9">
      <c r="A139" s="4" t="s">
        <v>9</v>
      </c>
      <c r="B139" s="4"/>
      <c r="C139" s="4" t="s">
        <v>265</v>
      </c>
      <c r="D139" s="4" t="s">
        <v>262</v>
      </c>
      <c r="E139" s="4" t="s">
        <v>266</v>
      </c>
      <c r="F139" s="4"/>
      <c r="G139" s="7"/>
      <c r="H139" s="4">
        <v>0</v>
      </c>
      <c r="I139" s="7">
        <v>0</v>
      </c>
    </row>
    <row r="140" spans="1:9">
      <c r="A140" s="4" t="s">
        <v>9</v>
      </c>
      <c r="B140" s="4"/>
      <c r="C140" s="4" t="s">
        <v>267</v>
      </c>
      <c r="D140" s="4" t="s">
        <v>262</v>
      </c>
      <c r="E140" s="4" t="s">
        <v>268</v>
      </c>
      <c r="F140" s="4"/>
      <c r="G140" s="7"/>
      <c r="H140" s="4">
        <v>0</v>
      </c>
      <c r="I140" s="7">
        <v>0</v>
      </c>
    </row>
    <row r="141" spans="1:9">
      <c r="A141" s="4" t="s">
        <v>9</v>
      </c>
      <c r="B141" s="4"/>
      <c r="C141" s="4" t="s">
        <v>269</v>
      </c>
      <c r="D141" s="4" t="s">
        <v>262</v>
      </c>
      <c r="E141" s="4" t="s">
        <v>268</v>
      </c>
      <c r="F141" s="4"/>
      <c r="G141" s="7"/>
      <c r="H141" s="4">
        <v>0</v>
      </c>
      <c r="I141" s="7">
        <v>0</v>
      </c>
    </row>
    <row r="142" spans="1:9">
      <c r="A142" s="4" t="s">
        <v>9</v>
      </c>
      <c r="B142" s="4"/>
      <c r="C142" s="4" t="s">
        <v>270</v>
      </c>
      <c r="D142" s="4" t="s">
        <v>262</v>
      </c>
      <c r="E142" s="4" t="s">
        <v>268</v>
      </c>
      <c r="F142" s="4"/>
      <c r="G142" s="7"/>
      <c r="H142" s="4">
        <v>0</v>
      </c>
      <c r="I142" s="7">
        <v>0</v>
      </c>
    </row>
    <row r="143" spans="1:9">
      <c r="A143" s="4" t="s">
        <v>9</v>
      </c>
      <c r="B143" s="4"/>
      <c r="C143" s="4" t="s">
        <v>271</v>
      </c>
      <c r="D143" s="4" t="s">
        <v>262</v>
      </c>
      <c r="E143" s="4" t="s">
        <v>268</v>
      </c>
      <c r="F143" s="4"/>
      <c r="G143" s="7"/>
      <c r="H143" s="4">
        <v>0</v>
      </c>
      <c r="I143" s="7">
        <v>0</v>
      </c>
    </row>
    <row r="144" spans="1:9">
      <c r="A144" s="4" t="s">
        <v>9</v>
      </c>
      <c r="B144" s="4"/>
      <c r="C144" s="4" t="s">
        <v>272</v>
      </c>
      <c r="D144" s="4" t="s">
        <v>262</v>
      </c>
      <c r="E144" s="4" t="s">
        <v>268</v>
      </c>
      <c r="F144" s="4"/>
      <c r="G144" s="7"/>
      <c r="H144" s="4">
        <v>0</v>
      </c>
      <c r="I144" s="7">
        <v>0</v>
      </c>
    </row>
    <row r="145" spans="1:9">
      <c r="A145" s="4" t="s">
        <v>9</v>
      </c>
      <c r="B145" s="4"/>
      <c r="C145" s="4" t="s">
        <v>273</v>
      </c>
      <c r="D145" s="4" t="s">
        <v>262</v>
      </c>
      <c r="E145" s="4" t="s">
        <v>268</v>
      </c>
      <c r="F145" s="4"/>
      <c r="G145" s="7"/>
      <c r="H145" s="4">
        <v>0</v>
      </c>
      <c r="I145" s="7">
        <v>0</v>
      </c>
    </row>
    <row r="146" spans="1:9">
      <c r="A146" s="4" t="s">
        <v>9</v>
      </c>
      <c r="B146" s="4"/>
      <c r="C146" s="4" t="s">
        <v>274</v>
      </c>
      <c r="D146" s="4" t="s">
        <v>262</v>
      </c>
      <c r="E146" s="4" t="s">
        <v>275</v>
      </c>
      <c r="F146" s="4"/>
      <c r="G146" s="7"/>
      <c r="H146" s="4">
        <v>0</v>
      </c>
      <c r="I146" s="7">
        <v>0</v>
      </c>
    </row>
    <row r="147" spans="1:9">
      <c r="A147" s="4" t="s">
        <v>9</v>
      </c>
      <c r="B147" s="4"/>
      <c r="C147" s="4" t="s">
        <v>276</v>
      </c>
      <c r="D147" s="4" t="s">
        <v>262</v>
      </c>
      <c r="E147" s="4" t="s">
        <v>277</v>
      </c>
      <c r="F147" s="4"/>
      <c r="G147" s="7"/>
      <c r="H147" s="4">
        <v>0</v>
      </c>
      <c r="I147" s="7">
        <v>0</v>
      </c>
    </row>
    <row r="148" spans="1:9">
      <c r="A148" s="4" t="s">
        <v>9</v>
      </c>
      <c r="B148" s="4"/>
      <c r="C148" s="4" t="s">
        <v>278</v>
      </c>
      <c r="D148" s="4" t="s">
        <v>262</v>
      </c>
      <c r="E148" s="4" t="s">
        <v>278</v>
      </c>
      <c r="F148" s="4"/>
      <c r="G148" s="7"/>
      <c r="H148" s="4">
        <v>0</v>
      </c>
      <c r="I148" s="7">
        <v>0</v>
      </c>
    </row>
    <row r="149" spans="1:9">
      <c r="A149" s="4" t="s">
        <v>9</v>
      </c>
      <c r="B149" s="4"/>
      <c r="C149" s="4" t="s">
        <v>279</v>
      </c>
      <c r="D149" s="4" t="s">
        <v>262</v>
      </c>
      <c r="E149" s="4" t="s">
        <v>279</v>
      </c>
      <c r="F149" s="4"/>
      <c r="G149" s="7"/>
      <c r="H149" s="4">
        <v>0</v>
      </c>
      <c r="I149" s="7">
        <v>0</v>
      </c>
    </row>
    <row r="150" spans="1:9">
      <c r="A150" s="4" t="s">
        <v>9</v>
      </c>
      <c r="B150" s="4"/>
      <c r="C150" s="4" t="s">
        <v>280</v>
      </c>
      <c r="D150" s="4" t="s">
        <v>262</v>
      </c>
      <c r="E150" s="4" t="s">
        <v>281</v>
      </c>
      <c r="F150" s="4"/>
      <c r="G150" s="7"/>
      <c r="H150" s="4">
        <v>0</v>
      </c>
      <c r="I150" s="7">
        <v>0</v>
      </c>
    </row>
    <row r="151" spans="1:9">
      <c r="A151" s="4" t="s">
        <v>9</v>
      </c>
      <c r="B151" s="4"/>
      <c r="C151" s="4" t="s">
        <v>282</v>
      </c>
      <c r="D151" s="4" t="s">
        <v>262</v>
      </c>
      <c r="E151" s="4" t="s">
        <v>282</v>
      </c>
      <c r="F151" s="4"/>
      <c r="G151" s="7"/>
      <c r="H151" s="4">
        <v>0</v>
      </c>
      <c r="I151" s="7">
        <v>0</v>
      </c>
    </row>
    <row r="152" spans="1:9">
      <c r="A152" s="4" t="s">
        <v>9</v>
      </c>
      <c r="B152" s="4"/>
      <c r="C152" s="4" t="s">
        <v>283</v>
      </c>
      <c r="D152" s="4" t="s">
        <v>262</v>
      </c>
      <c r="E152" s="4" t="s">
        <v>284</v>
      </c>
      <c r="F152" s="4"/>
      <c r="G152" s="7"/>
      <c r="H152" s="4">
        <v>0</v>
      </c>
      <c r="I152" s="7">
        <v>0</v>
      </c>
    </row>
    <row r="153" spans="1:9">
      <c r="A153" s="4" t="s">
        <v>9</v>
      </c>
      <c r="B153" s="4"/>
      <c r="C153" s="4" t="s">
        <v>285</v>
      </c>
      <c r="D153" s="4" t="s">
        <v>262</v>
      </c>
      <c r="E153" s="4" t="s">
        <v>286</v>
      </c>
      <c r="F153" s="4"/>
      <c r="G153" s="7"/>
      <c r="H153" s="4">
        <v>0</v>
      </c>
      <c r="I153" s="7">
        <v>0</v>
      </c>
    </row>
    <row r="154" spans="1:9">
      <c r="A154" s="4" t="s">
        <v>9</v>
      </c>
      <c r="B154" s="4"/>
      <c r="C154" s="4" t="s">
        <v>287</v>
      </c>
      <c r="D154" s="4" t="s">
        <v>262</v>
      </c>
      <c r="E154" s="4" t="s">
        <v>288</v>
      </c>
      <c r="F154" s="4"/>
      <c r="G154" s="7"/>
      <c r="H154" s="4">
        <v>0</v>
      </c>
      <c r="I154" s="7">
        <v>0</v>
      </c>
    </row>
    <row r="155" spans="1:9">
      <c r="A155" s="4" t="s">
        <v>9</v>
      </c>
      <c r="B155" s="4"/>
      <c r="C155" s="4" t="s">
        <v>289</v>
      </c>
      <c r="D155" s="4" t="s">
        <v>262</v>
      </c>
      <c r="E155" s="4" t="s">
        <v>290</v>
      </c>
      <c r="F155" s="4"/>
      <c r="G155" s="7"/>
      <c r="H155" s="4">
        <v>0</v>
      </c>
      <c r="I155" s="7">
        <v>0</v>
      </c>
    </row>
    <row r="156" spans="1:9">
      <c r="A156" s="4" t="s">
        <v>9</v>
      </c>
      <c r="B156" s="4"/>
      <c r="C156" s="4" t="s">
        <v>291</v>
      </c>
      <c r="D156" s="4" t="s">
        <v>262</v>
      </c>
      <c r="E156" s="4" t="s">
        <v>292</v>
      </c>
      <c r="F156" s="4"/>
      <c r="G156" s="7"/>
      <c r="H156" s="4">
        <v>0</v>
      </c>
      <c r="I156" s="7">
        <v>0</v>
      </c>
    </row>
    <row r="157" spans="1:9">
      <c r="A157" s="4" t="s">
        <v>9</v>
      </c>
      <c r="B157" s="4"/>
      <c r="C157" s="4" t="s">
        <v>293</v>
      </c>
      <c r="D157" s="4" t="s">
        <v>262</v>
      </c>
      <c r="E157" s="4" t="s">
        <v>293</v>
      </c>
      <c r="F157" s="4"/>
      <c r="G157" s="7"/>
      <c r="H157" s="4">
        <v>0</v>
      </c>
      <c r="I157" s="7">
        <v>0</v>
      </c>
    </row>
    <row r="158" spans="1:9">
      <c r="A158" s="4" t="s">
        <v>9</v>
      </c>
      <c r="B158" s="4"/>
      <c r="C158" s="4" t="s">
        <v>294</v>
      </c>
      <c r="D158" s="4" t="s">
        <v>262</v>
      </c>
      <c r="E158" s="4" t="s">
        <v>295</v>
      </c>
      <c r="F158" s="4"/>
      <c r="G158" s="7"/>
      <c r="H158" s="4">
        <v>0</v>
      </c>
      <c r="I158" s="7">
        <v>0</v>
      </c>
    </row>
    <row r="159" spans="1:9">
      <c r="A159" s="4" t="s">
        <v>9</v>
      </c>
      <c r="B159" s="4"/>
      <c r="C159" s="4" t="s">
        <v>296</v>
      </c>
      <c r="D159" s="4" t="s">
        <v>262</v>
      </c>
      <c r="E159" s="4" t="s">
        <v>297</v>
      </c>
      <c r="F159" s="4"/>
      <c r="G159" s="7"/>
      <c r="H159" s="4">
        <v>0</v>
      </c>
      <c r="I159" s="7">
        <v>0</v>
      </c>
    </row>
    <row r="160" spans="1:9">
      <c r="A160" s="4" t="s">
        <v>9</v>
      </c>
      <c r="B160" s="4"/>
      <c r="C160" s="4" t="s">
        <v>298</v>
      </c>
      <c r="D160" s="4" t="s">
        <v>262</v>
      </c>
      <c r="E160" s="4" t="s">
        <v>299</v>
      </c>
      <c r="F160" s="4"/>
      <c r="G160" s="7"/>
      <c r="H160" s="4">
        <v>0</v>
      </c>
      <c r="I160" s="7">
        <v>0</v>
      </c>
    </row>
    <row r="161" spans="1:9">
      <c r="A161" s="4" t="s">
        <v>9</v>
      </c>
      <c r="B161" s="4"/>
      <c r="C161" s="4" t="s">
        <v>300</v>
      </c>
      <c r="D161" s="4" t="s">
        <v>262</v>
      </c>
      <c r="E161" s="4" t="s">
        <v>301</v>
      </c>
      <c r="F161" s="4"/>
      <c r="G161" s="7"/>
      <c r="H161" s="4">
        <v>0</v>
      </c>
      <c r="I161" s="7">
        <v>0</v>
      </c>
    </row>
    <row r="162" spans="1:9">
      <c r="A162" s="4" t="s">
        <v>9</v>
      </c>
      <c r="B162" s="4"/>
      <c r="C162" s="4" t="s">
        <v>302</v>
      </c>
      <c r="D162" s="4" t="s">
        <v>262</v>
      </c>
      <c r="E162" s="4" t="s">
        <v>303</v>
      </c>
      <c r="F162" s="4"/>
      <c r="G162" s="7"/>
      <c r="H162" s="4">
        <v>0</v>
      </c>
      <c r="I162" s="7">
        <v>0</v>
      </c>
    </row>
    <row r="163" spans="1:9">
      <c r="A163" s="4" t="s">
        <v>9</v>
      </c>
      <c r="B163" s="4"/>
      <c r="C163" s="4" t="s">
        <v>188</v>
      </c>
      <c r="D163" s="4" t="s">
        <v>262</v>
      </c>
      <c r="E163" s="4" t="s">
        <v>189</v>
      </c>
      <c r="F163" s="4"/>
      <c r="G163" s="7"/>
      <c r="H163" s="4">
        <v>0</v>
      </c>
      <c r="I163" s="7">
        <v>0</v>
      </c>
    </row>
    <row r="164" spans="1:9">
      <c r="A164" s="4" t="s">
        <v>9</v>
      </c>
      <c r="B164" s="4"/>
      <c r="C164" s="4" t="s">
        <v>304</v>
      </c>
      <c r="D164" s="4" t="s">
        <v>262</v>
      </c>
      <c r="E164" s="4" t="s">
        <v>305</v>
      </c>
      <c r="F164" s="4"/>
      <c r="G164" s="7"/>
      <c r="H164" s="4">
        <v>0</v>
      </c>
      <c r="I164" s="7">
        <v>0</v>
      </c>
    </row>
    <row r="165" spans="1:9">
      <c r="A165" s="4" t="s">
        <v>9</v>
      </c>
      <c r="B165" s="4"/>
      <c r="C165" s="4" t="s">
        <v>306</v>
      </c>
      <c r="D165" s="4" t="s">
        <v>262</v>
      </c>
      <c r="E165" s="4" t="s">
        <v>306</v>
      </c>
      <c r="F165" s="4"/>
      <c r="G165" s="7"/>
      <c r="H165" s="4">
        <v>0</v>
      </c>
      <c r="I165" s="7">
        <v>0</v>
      </c>
    </row>
    <row r="166" spans="1:9">
      <c r="A166" s="4" t="s">
        <v>9</v>
      </c>
      <c r="B166" s="4"/>
      <c r="C166" s="4" t="s">
        <v>307</v>
      </c>
      <c r="D166" s="4" t="s">
        <v>262</v>
      </c>
      <c r="E166" s="4" t="s">
        <v>308</v>
      </c>
      <c r="F166" s="4"/>
      <c r="G166" s="7"/>
      <c r="H166" s="4">
        <v>0</v>
      </c>
      <c r="I166" s="7">
        <v>0</v>
      </c>
    </row>
    <row r="167" spans="1:9">
      <c r="A167" s="4" t="s">
        <v>9</v>
      </c>
      <c r="B167" s="4"/>
      <c r="C167" s="4" t="s">
        <v>309</v>
      </c>
      <c r="D167" s="4" t="s">
        <v>262</v>
      </c>
      <c r="E167" s="4" t="s">
        <v>310</v>
      </c>
      <c r="F167" s="4"/>
      <c r="G167" s="7"/>
      <c r="H167" s="4">
        <v>0</v>
      </c>
      <c r="I167" s="7">
        <v>0</v>
      </c>
    </row>
    <row r="168" spans="1:9">
      <c r="A168" s="4" t="s">
        <v>9</v>
      </c>
      <c r="B168" s="4"/>
      <c r="C168" s="4" t="s">
        <v>311</v>
      </c>
      <c r="D168" s="4" t="s">
        <v>262</v>
      </c>
      <c r="E168" s="4" t="s">
        <v>312</v>
      </c>
      <c r="F168" s="4"/>
      <c r="G168" s="7"/>
      <c r="H168" s="4">
        <v>0</v>
      </c>
      <c r="I168" s="7">
        <v>0</v>
      </c>
    </row>
    <row r="169" spans="1:9">
      <c r="A169" s="4" t="s">
        <v>9</v>
      </c>
      <c r="B169" s="4"/>
      <c r="C169" s="4" t="s">
        <v>313</v>
      </c>
      <c r="D169" s="4" t="s">
        <v>262</v>
      </c>
      <c r="E169" s="4" t="s">
        <v>314</v>
      </c>
      <c r="F169" s="4"/>
      <c r="G169" s="7"/>
      <c r="H169" s="4">
        <v>0</v>
      </c>
      <c r="I169" s="7">
        <v>0</v>
      </c>
    </row>
    <row r="170" spans="1:9">
      <c r="A170" s="4" t="s">
        <v>9</v>
      </c>
      <c r="B170" s="4"/>
      <c r="C170" s="4" t="s">
        <v>315</v>
      </c>
      <c r="D170" s="4" t="s">
        <v>262</v>
      </c>
      <c r="E170" s="4" t="s">
        <v>316</v>
      </c>
      <c r="F170" s="4"/>
      <c r="G170" s="7"/>
      <c r="H170" s="4">
        <v>0</v>
      </c>
      <c r="I170" s="7">
        <v>0</v>
      </c>
    </row>
    <row r="171" spans="1:9">
      <c r="A171" s="4" t="s">
        <v>9</v>
      </c>
      <c r="B171" s="4"/>
      <c r="C171" s="4" t="s">
        <v>317</v>
      </c>
      <c r="D171" s="4" t="s">
        <v>262</v>
      </c>
      <c r="E171" s="4" t="s">
        <v>317</v>
      </c>
      <c r="F171" s="4"/>
      <c r="G171" s="7"/>
      <c r="H171" s="4">
        <v>0</v>
      </c>
      <c r="I171" s="7">
        <v>0</v>
      </c>
    </row>
    <row r="172" spans="1:9">
      <c r="A172" s="4" t="s">
        <v>9</v>
      </c>
      <c r="B172" s="4"/>
      <c r="C172" s="4" t="s">
        <v>318</v>
      </c>
      <c r="D172" s="4" t="s">
        <v>262</v>
      </c>
      <c r="E172" s="4" t="s">
        <v>319</v>
      </c>
      <c r="F172" s="4"/>
      <c r="G172" s="7"/>
      <c r="H172" s="4">
        <v>0</v>
      </c>
      <c r="I172" s="7">
        <v>0</v>
      </c>
    </row>
    <row r="173" spans="1:9">
      <c r="A173" s="4" t="s">
        <v>9</v>
      </c>
      <c r="B173" s="4"/>
      <c r="C173" s="4" t="s">
        <v>320</v>
      </c>
      <c r="D173" s="4" t="s">
        <v>262</v>
      </c>
      <c r="E173" s="4" t="s">
        <v>321</v>
      </c>
      <c r="F173" s="4"/>
      <c r="G173" s="7"/>
      <c r="H173" s="4">
        <v>0</v>
      </c>
      <c r="I173" s="7">
        <v>0</v>
      </c>
    </row>
    <row r="174" spans="1:9">
      <c r="A174" s="4" t="s">
        <v>9</v>
      </c>
      <c r="B174" s="4"/>
      <c r="C174" s="4" t="s">
        <v>248</v>
      </c>
      <c r="D174" s="4" t="s">
        <v>262</v>
      </c>
      <c r="E174" s="4" t="s">
        <v>248</v>
      </c>
      <c r="F174" s="4"/>
      <c r="G174" s="7"/>
      <c r="H174" s="4">
        <v>0</v>
      </c>
      <c r="I174" s="7">
        <v>0</v>
      </c>
    </row>
    <row r="175" spans="1:9">
      <c r="A175" s="4" t="s">
        <v>9</v>
      </c>
      <c r="B175" s="4" t="s">
        <v>9</v>
      </c>
      <c r="C175" s="4" t="s">
        <v>322</v>
      </c>
      <c r="D175" s="4" t="s">
        <v>262</v>
      </c>
      <c r="E175" s="4" t="s">
        <v>323</v>
      </c>
      <c r="F175" s="4"/>
      <c r="G175" s="7"/>
      <c r="H175" s="4">
        <v>0</v>
      </c>
      <c r="I175" s="7">
        <v>0</v>
      </c>
    </row>
    <row r="176" spans="1:9">
      <c r="A176" s="4" t="s">
        <v>9</v>
      </c>
      <c r="B176" s="4"/>
      <c r="C176" s="4" t="s">
        <v>324</v>
      </c>
      <c r="D176" s="4" t="s">
        <v>262</v>
      </c>
      <c r="E176" s="4" t="s">
        <v>325</v>
      </c>
      <c r="F176" s="4"/>
      <c r="G176" s="7"/>
      <c r="H176" s="4">
        <v>0</v>
      </c>
      <c r="I176" s="7">
        <v>0</v>
      </c>
    </row>
    <row r="177" spans="1:9">
      <c r="A177" s="4" t="s">
        <v>9</v>
      </c>
      <c r="B177" s="4"/>
      <c r="C177" s="4" t="s">
        <v>326</v>
      </c>
      <c r="D177" s="4" t="s">
        <v>262</v>
      </c>
      <c r="E177" s="4" t="s">
        <v>327</v>
      </c>
      <c r="F177" s="4"/>
      <c r="G177" s="7"/>
      <c r="H177" s="4">
        <v>0</v>
      </c>
      <c r="I177" s="7">
        <v>0</v>
      </c>
    </row>
    <row r="178" spans="1:9">
      <c r="A178" s="4" t="s">
        <v>9</v>
      </c>
      <c r="B178" s="4"/>
      <c r="C178" s="4" t="s">
        <v>328</v>
      </c>
      <c r="D178" s="4" t="s">
        <v>262</v>
      </c>
      <c r="E178" s="4" t="s">
        <v>329</v>
      </c>
      <c r="F178" s="4"/>
      <c r="G178" s="7"/>
      <c r="H178" s="4">
        <v>0</v>
      </c>
      <c r="I178" s="7">
        <v>0</v>
      </c>
    </row>
    <row r="179" spans="1:9">
      <c r="A179" s="4" t="s">
        <v>9</v>
      </c>
      <c r="B179" s="4"/>
      <c r="C179" s="4" t="s">
        <v>330</v>
      </c>
      <c r="D179" s="4" t="s">
        <v>262</v>
      </c>
      <c r="E179" s="4" t="s">
        <v>331</v>
      </c>
      <c r="F179" s="4"/>
      <c r="G179" s="7"/>
      <c r="H179" s="4">
        <v>0</v>
      </c>
      <c r="I179" s="7">
        <v>0</v>
      </c>
    </row>
    <row r="180" spans="1:9">
      <c r="A180" s="4" t="s">
        <v>9</v>
      </c>
      <c r="B180" s="4" t="s">
        <v>9</v>
      </c>
      <c r="C180" s="4" t="s">
        <v>332</v>
      </c>
      <c r="D180" s="4" t="s">
        <v>262</v>
      </c>
      <c r="E180" s="4" t="s">
        <v>333</v>
      </c>
      <c r="F180" s="4"/>
      <c r="G180" s="7"/>
      <c r="H180" s="4">
        <v>0</v>
      </c>
      <c r="I180" s="7">
        <v>0</v>
      </c>
    </row>
    <row r="181" spans="1:9">
      <c r="A181" s="4" t="s">
        <v>9</v>
      </c>
      <c r="B181" s="4"/>
      <c r="C181" s="4" t="s">
        <v>334</v>
      </c>
      <c r="D181" s="4" t="s">
        <v>335</v>
      </c>
      <c r="E181" s="4" t="s">
        <v>336</v>
      </c>
      <c r="F181" s="4"/>
      <c r="G181" s="7"/>
      <c r="H181" s="4">
        <v>1</v>
      </c>
      <c r="I181" s="7">
        <v>8.99</v>
      </c>
    </row>
    <row r="182" spans="1:9">
      <c r="A182" s="4" t="s">
        <v>9</v>
      </c>
      <c r="B182" s="4" t="s">
        <v>9</v>
      </c>
      <c r="C182" s="4" t="s">
        <v>337</v>
      </c>
      <c r="D182" s="4" t="s">
        <v>335</v>
      </c>
      <c r="E182" s="4" t="s">
        <v>338</v>
      </c>
      <c r="F182" s="4"/>
      <c r="G182" s="7"/>
      <c r="H182" s="4">
        <v>0</v>
      </c>
      <c r="I182" s="7">
        <v>0</v>
      </c>
    </row>
    <row r="183" spans="1:9">
      <c r="A183" s="4" t="s">
        <v>9</v>
      </c>
      <c r="B183" s="4"/>
      <c r="C183" s="4" t="s">
        <v>30</v>
      </c>
      <c r="D183" s="4" t="s">
        <v>335</v>
      </c>
      <c r="E183" s="4" t="s">
        <v>32</v>
      </c>
      <c r="F183" s="4"/>
      <c r="G183" s="7"/>
      <c r="H183" s="4">
        <v>0</v>
      </c>
      <c r="I183" s="7">
        <v>0</v>
      </c>
    </row>
    <row r="184" spans="1:9">
      <c r="A184" s="4" t="s">
        <v>9</v>
      </c>
      <c r="B184" s="4"/>
      <c r="C184" s="4" t="s">
        <v>103</v>
      </c>
      <c r="D184" s="4" t="s">
        <v>335</v>
      </c>
      <c r="E184" s="4" t="s">
        <v>104</v>
      </c>
      <c r="F184" s="4"/>
      <c r="G184" s="7"/>
      <c r="H184" s="4">
        <v>0</v>
      </c>
      <c r="I184" s="7">
        <v>0</v>
      </c>
    </row>
    <row r="185" spans="1:9">
      <c r="A185" s="4" t="s">
        <v>9</v>
      </c>
      <c r="B185" s="4"/>
      <c r="C185" s="4" t="s">
        <v>109</v>
      </c>
      <c r="D185" s="4" t="s">
        <v>335</v>
      </c>
      <c r="E185" s="4" t="s">
        <v>110</v>
      </c>
      <c r="F185" s="4"/>
      <c r="G185" s="7"/>
      <c r="H185" s="4">
        <v>0</v>
      </c>
      <c r="I185" s="7">
        <v>0</v>
      </c>
    </row>
    <row r="186" spans="1:9">
      <c r="A186" s="4" t="s">
        <v>9</v>
      </c>
      <c r="B186" s="4"/>
      <c r="C186" s="4" t="s">
        <v>263</v>
      </c>
      <c r="D186" s="4" t="s">
        <v>335</v>
      </c>
      <c r="E186" s="4" t="s">
        <v>264</v>
      </c>
      <c r="F186" s="4"/>
      <c r="G186" s="7"/>
      <c r="H186" s="4">
        <v>0</v>
      </c>
      <c r="I186" s="7">
        <v>0</v>
      </c>
    </row>
    <row r="187" spans="1:9">
      <c r="A187" s="4" t="s">
        <v>9</v>
      </c>
      <c r="B187" s="4"/>
      <c r="C187" s="4" t="s">
        <v>339</v>
      </c>
      <c r="D187" s="4" t="s">
        <v>335</v>
      </c>
      <c r="E187" s="4" t="s">
        <v>340</v>
      </c>
      <c r="F187" s="4"/>
      <c r="G187" s="7"/>
      <c r="H187" s="4">
        <v>0</v>
      </c>
      <c r="I187" s="7">
        <v>0</v>
      </c>
    </row>
    <row r="188" spans="1:9">
      <c r="A188" s="4" t="s">
        <v>9</v>
      </c>
      <c r="B188" s="4"/>
      <c r="C188" s="4" t="s">
        <v>295</v>
      </c>
      <c r="D188" s="4" t="s">
        <v>335</v>
      </c>
      <c r="E188" s="4" t="s">
        <v>341</v>
      </c>
      <c r="F188" s="4"/>
      <c r="G188" s="7"/>
      <c r="H188" s="4">
        <v>0</v>
      </c>
      <c r="I188" s="7">
        <v>0</v>
      </c>
    </row>
    <row r="189" spans="1:9">
      <c r="A189" s="4" t="s">
        <v>9</v>
      </c>
      <c r="B189" s="4"/>
      <c r="C189" s="4" t="s">
        <v>342</v>
      </c>
      <c r="D189" s="4" t="s">
        <v>335</v>
      </c>
      <c r="E189" s="4" t="s">
        <v>343</v>
      </c>
      <c r="F189" s="4"/>
      <c r="G189" s="7"/>
      <c r="H189" s="4">
        <v>0</v>
      </c>
      <c r="I189" s="7">
        <v>0</v>
      </c>
    </row>
    <row r="190" spans="1:9">
      <c r="A190" s="4" t="s">
        <v>9</v>
      </c>
      <c r="B190" s="4" t="s">
        <v>9</v>
      </c>
      <c r="C190" s="4" t="s">
        <v>344</v>
      </c>
      <c r="D190" s="4" t="s">
        <v>335</v>
      </c>
      <c r="E190" s="4" t="s">
        <v>345</v>
      </c>
      <c r="F190" s="4"/>
      <c r="G190" s="7"/>
      <c r="H190" s="4">
        <v>0</v>
      </c>
      <c r="I190" s="7">
        <v>0</v>
      </c>
    </row>
    <row r="191" spans="1:9">
      <c r="A191" s="4" t="s">
        <v>9</v>
      </c>
      <c r="B191" s="4" t="s">
        <v>9</v>
      </c>
      <c r="C191" s="4" t="s">
        <v>346</v>
      </c>
      <c r="D191" s="4" t="s">
        <v>335</v>
      </c>
      <c r="E191" s="4" t="s">
        <v>338</v>
      </c>
      <c r="F191" s="4"/>
      <c r="G191" s="7"/>
      <c r="H191" s="4">
        <v>0</v>
      </c>
      <c r="I191" s="7">
        <v>0</v>
      </c>
    </row>
    <row r="192" spans="1:9">
      <c r="A192" s="4" t="s">
        <v>9</v>
      </c>
      <c r="B192" s="4" t="s">
        <v>9</v>
      </c>
      <c r="C192" s="4" t="s">
        <v>347</v>
      </c>
      <c r="D192" s="4" t="s">
        <v>335</v>
      </c>
      <c r="E192" s="4" t="s">
        <v>338</v>
      </c>
      <c r="F192" s="4"/>
      <c r="G192" s="7"/>
      <c r="H192" s="4">
        <v>0</v>
      </c>
      <c r="I192" s="7">
        <v>0</v>
      </c>
    </row>
    <row r="193" spans="1:9">
      <c r="A193" s="4" t="s">
        <v>9</v>
      </c>
      <c r="B193" s="4" t="s">
        <v>9</v>
      </c>
      <c r="C193" s="4" t="s">
        <v>348</v>
      </c>
      <c r="D193" s="4" t="s">
        <v>335</v>
      </c>
      <c r="E193" s="4" t="s">
        <v>338</v>
      </c>
      <c r="F193" s="4"/>
      <c r="G193" s="7"/>
      <c r="H193" s="4">
        <v>0</v>
      </c>
      <c r="I193" s="7">
        <v>0</v>
      </c>
    </row>
    <row r="194" spans="1:9">
      <c r="A194" s="4" t="s">
        <v>9</v>
      </c>
      <c r="B194" s="4" t="s">
        <v>9</v>
      </c>
      <c r="C194" s="4" t="s">
        <v>349</v>
      </c>
      <c r="D194" s="4" t="s">
        <v>335</v>
      </c>
      <c r="E194" s="4" t="s">
        <v>338</v>
      </c>
      <c r="F194" s="4"/>
      <c r="G194" s="7"/>
      <c r="H194" s="4">
        <v>0</v>
      </c>
      <c r="I194" s="7">
        <v>0</v>
      </c>
    </row>
    <row r="195" spans="1:9">
      <c r="A195" s="4" t="s">
        <v>9</v>
      </c>
      <c r="B195" s="4" t="s">
        <v>9</v>
      </c>
      <c r="C195" s="4" t="s">
        <v>350</v>
      </c>
      <c r="D195" s="4" t="s">
        <v>335</v>
      </c>
      <c r="E195" s="4" t="s">
        <v>338</v>
      </c>
      <c r="F195" s="4"/>
      <c r="G195" s="7"/>
      <c r="H195" s="4">
        <v>0</v>
      </c>
      <c r="I195" s="7">
        <v>0</v>
      </c>
    </row>
    <row r="196" spans="1:9">
      <c r="A196" s="4" t="s">
        <v>9</v>
      </c>
      <c r="B196" s="4"/>
      <c r="C196" s="4" t="s">
        <v>351</v>
      </c>
      <c r="D196" s="4" t="s">
        <v>335</v>
      </c>
      <c r="E196" s="4" t="s">
        <v>352</v>
      </c>
      <c r="F196" s="4"/>
      <c r="G196" s="7"/>
      <c r="H196" s="4">
        <v>0</v>
      </c>
      <c r="I196" s="7">
        <v>0</v>
      </c>
    </row>
    <row r="197" spans="1:9">
      <c r="A197" s="4" t="s">
        <v>9</v>
      </c>
      <c r="B197" s="4"/>
      <c r="C197" s="4" t="s">
        <v>353</v>
      </c>
      <c r="D197" s="4" t="s">
        <v>335</v>
      </c>
      <c r="E197" s="4" t="s">
        <v>354</v>
      </c>
      <c r="F197" s="4"/>
      <c r="G197" s="7"/>
      <c r="H197" s="4">
        <v>0</v>
      </c>
      <c r="I197" s="7">
        <v>0</v>
      </c>
    </row>
    <row r="198" spans="1:9">
      <c r="A198" s="4" t="s">
        <v>9</v>
      </c>
      <c r="B198" s="4" t="s">
        <v>9</v>
      </c>
      <c r="C198" s="4" t="s">
        <v>355</v>
      </c>
      <c r="D198" s="4" t="s">
        <v>335</v>
      </c>
      <c r="E198" s="4" t="s">
        <v>356</v>
      </c>
      <c r="F198" s="4"/>
      <c r="G198" s="7"/>
      <c r="H198" s="4">
        <v>0</v>
      </c>
      <c r="I198" s="7">
        <v>0</v>
      </c>
    </row>
    <row r="199" spans="1:9">
      <c r="A199" s="4" t="s">
        <v>9</v>
      </c>
      <c r="B199" s="4" t="s">
        <v>9</v>
      </c>
      <c r="C199" s="4" t="s">
        <v>357</v>
      </c>
      <c r="D199" s="4" t="s">
        <v>335</v>
      </c>
      <c r="E199" s="4" t="s">
        <v>356</v>
      </c>
      <c r="F199" s="4"/>
      <c r="G199" s="7"/>
      <c r="H199" s="4">
        <v>0</v>
      </c>
      <c r="I199" s="7">
        <v>0</v>
      </c>
    </row>
    <row r="200" spans="1:9">
      <c r="A200" s="4" t="s">
        <v>9</v>
      </c>
      <c r="B200" s="4"/>
      <c r="C200" s="4" t="s">
        <v>358</v>
      </c>
      <c r="D200" s="4" t="s">
        <v>335</v>
      </c>
      <c r="E200" s="4" t="s">
        <v>356</v>
      </c>
      <c r="F200" s="4"/>
      <c r="G200" s="7"/>
      <c r="H200" s="4">
        <v>0</v>
      </c>
      <c r="I200" s="7">
        <v>0</v>
      </c>
    </row>
    <row r="201" spans="1:9">
      <c r="A201" s="4" t="s">
        <v>9</v>
      </c>
      <c r="B201" s="4" t="s">
        <v>9</v>
      </c>
      <c r="C201" s="4" t="s">
        <v>359</v>
      </c>
      <c r="D201" s="4" t="s">
        <v>335</v>
      </c>
      <c r="E201" s="4" t="s">
        <v>360</v>
      </c>
      <c r="F201" s="4"/>
      <c r="G201" s="7"/>
      <c r="H201" s="4">
        <v>0</v>
      </c>
      <c r="I201" s="7">
        <v>0</v>
      </c>
    </row>
    <row r="202" spans="1:9">
      <c r="A202" s="4" t="s">
        <v>9</v>
      </c>
      <c r="B202" s="4" t="s">
        <v>9</v>
      </c>
      <c r="C202" s="4" t="s">
        <v>361</v>
      </c>
      <c r="D202" s="4" t="s">
        <v>335</v>
      </c>
      <c r="E202" s="4" t="s">
        <v>356</v>
      </c>
      <c r="F202" s="4"/>
      <c r="G202" s="7"/>
      <c r="H202" s="4">
        <v>0</v>
      </c>
      <c r="I202" s="7">
        <v>0</v>
      </c>
    </row>
    <row r="203" spans="1:9">
      <c r="A203" s="4" t="s">
        <v>9</v>
      </c>
      <c r="B203" s="4" t="s">
        <v>9</v>
      </c>
      <c r="C203" s="4" t="s">
        <v>362</v>
      </c>
      <c r="D203" s="4" t="s">
        <v>335</v>
      </c>
      <c r="E203" s="4" t="s">
        <v>356</v>
      </c>
      <c r="F203" s="4"/>
      <c r="G203" s="7"/>
      <c r="H203" s="4">
        <v>0</v>
      </c>
      <c r="I203" s="7">
        <v>0</v>
      </c>
    </row>
    <row r="204" spans="1:9">
      <c r="A204" s="4" t="s">
        <v>9</v>
      </c>
      <c r="B204" s="4"/>
      <c r="C204" s="4" t="s">
        <v>40</v>
      </c>
      <c r="D204" s="4" t="s">
        <v>335</v>
      </c>
      <c r="E204" s="4" t="s">
        <v>41</v>
      </c>
      <c r="F204" s="4"/>
      <c r="G204" s="7"/>
      <c r="H204" s="4">
        <v>0</v>
      </c>
      <c r="I204" s="7">
        <v>0</v>
      </c>
    </row>
    <row r="205" spans="1:9">
      <c r="A205" s="4" t="s">
        <v>9</v>
      </c>
      <c r="B205" s="4"/>
      <c r="C205" s="4" t="s">
        <v>363</v>
      </c>
      <c r="D205" s="4" t="s">
        <v>335</v>
      </c>
      <c r="E205" s="4" t="s">
        <v>356</v>
      </c>
      <c r="F205" s="4"/>
      <c r="G205" s="7"/>
      <c r="H205" s="4">
        <v>0</v>
      </c>
      <c r="I205" s="7">
        <v>0</v>
      </c>
    </row>
    <row r="206" spans="1:9">
      <c r="A206" s="4" t="s">
        <v>9</v>
      </c>
      <c r="B206" s="4" t="s">
        <v>9</v>
      </c>
      <c r="C206" s="4" t="s">
        <v>364</v>
      </c>
      <c r="D206" s="4" t="s">
        <v>335</v>
      </c>
      <c r="E206" s="4" t="s">
        <v>365</v>
      </c>
      <c r="F206" s="4"/>
      <c r="G206" s="7"/>
      <c r="H206" s="4">
        <v>0</v>
      </c>
      <c r="I206" s="7">
        <v>0</v>
      </c>
    </row>
    <row r="207" spans="1:9">
      <c r="A207" s="4" t="s">
        <v>9</v>
      </c>
      <c r="B207" s="4" t="s">
        <v>9</v>
      </c>
      <c r="C207" s="4" t="s">
        <v>366</v>
      </c>
      <c r="D207" s="4" t="s">
        <v>335</v>
      </c>
      <c r="E207" s="4" t="s">
        <v>367</v>
      </c>
      <c r="F207" s="4"/>
      <c r="G207" s="7"/>
      <c r="H207" s="4">
        <v>0</v>
      </c>
      <c r="I207" s="7">
        <v>0</v>
      </c>
    </row>
    <row r="208" spans="1:9">
      <c r="A208" s="4" t="s">
        <v>9</v>
      </c>
      <c r="B208" s="4"/>
      <c r="C208" s="4" t="s">
        <v>368</v>
      </c>
      <c r="D208" s="4" t="s">
        <v>369</v>
      </c>
      <c r="E208" s="4" t="s">
        <v>370</v>
      </c>
      <c r="F208" s="4"/>
      <c r="G208" s="7"/>
      <c r="H208" s="4">
        <v>1</v>
      </c>
      <c r="I208" s="7">
        <v>8.99</v>
      </c>
    </row>
    <row r="209" spans="1:9">
      <c r="A209" s="4" t="s">
        <v>9</v>
      </c>
      <c r="B209" s="4"/>
      <c r="C209" s="4" t="s">
        <v>371</v>
      </c>
      <c r="D209" s="4" t="s">
        <v>369</v>
      </c>
      <c r="E209" s="4" t="s">
        <v>372</v>
      </c>
      <c r="F209" s="4"/>
      <c r="G209" s="7"/>
      <c r="H209" s="4">
        <v>0</v>
      </c>
      <c r="I209" s="7">
        <v>0</v>
      </c>
    </row>
    <row r="210" spans="1:9">
      <c r="A210" s="4" t="s">
        <v>9</v>
      </c>
      <c r="B210" s="4"/>
      <c r="C210" s="4" t="s">
        <v>373</v>
      </c>
      <c r="D210" s="4" t="s">
        <v>369</v>
      </c>
      <c r="E210" s="4" t="s">
        <v>374</v>
      </c>
      <c r="F210" s="4"/>
      <c r="G210" s="7"/>
      <c r="H210" s="4">
        <v>0</v>
      </c>
      <c r="I210" s="7">
        <v>0</v>
      </c>
    </row>
    <row r="211" spans="1:9">
      <c r="A211" s="4" t="s">
        <v>9</v>
      </c>
      <c r="B211" s="4"/>
      <c r="C211" s="4" t="s">
        <v>375</v>
      </c>
      <c r="D211" s="4" t="s">
        <v>369</v>
      </c>
      <c r="E211" s="4" t="s">
        <v>376</v>
      </c>
      <c r="F211" s="4"/>
      <c r="G211" s="7"/>
      <c r="H211" s="4">
        <v>0</v>
      </c>
      <c r="I211" s="7">
        <v>0</v>
      </c>
    </row>
    <row r="212" spans="1:9">
      <c r="A212" s="4" t="s">
        <v>9</v>
      </c>
      <c r="B212" s="4"/>
      <c r="C212" s="4" t="s">
        <v>377</v>
      </c>
      <c r="D212" s="4" t="s">
        <v>369</v>
      </c>
      <c r="E212" s="4" t="s">
        <v>378</v>
      </c>
      <c r="F212" s="4"/>
      <c r="G212" s="7"/>
      <c r="H212" s="4">
        <v>0</v>
      </c>
      <c r="I212" s="7">
        <v>0</v>
      </c>
    </row>
    <row r="213" spans="1:9">
      <c r="A213" s="4" t="s">
        <v>9</v>
      </c>
      <c r="B213" s="4"/>
      <c r="C213" s="4" t="s">
        <v>379</v>
      </c>
      <c r="D213" s="4" t="s">
        <v>369</v>
      </c>
      <c r="E213" s="4" t="s">
        <v>380</v>
      </c>
      <c r="F213" s="4"/>
      <c r="G213" s="7"/>
      <c r="H213" s="4">
        <v>0</v>
      </c>
      <c r="I213" s="7">
        <v>0</v>
      </c>
    </row>
    <row r="214" spans="1:9">
      <c r="A214" s="4" t="s">
        <v>9</v>
      </c>
      <c r="B214" s="4"/>
      <c r="C214" s="4" t="s">
        <v>381</v>
      </c>
      <c r="D214" s="4" t="s">
        <v>369</v>
      </c>
      <c r="E214" s="4"/>
      <c r="F214" s="4"/>
      <c r="G214" s="7"/>
      <c r="H214" s="4">
        <v>0</v>
      </c>
      <c r="I214" s="7">
        <v>0</v>
      </c>
    </row>
    <row r="215" spans="1:9">
      <c r="A215" s="4" t="s">
        <v>9</v>
      </c>
      <c r="B215" s="4"/>
      <c r="C215" s="4" t="s">
        <v>382</v>
      </c>
      <c r="D215" s="4" t="s">
        <v>369</v>
      </c>
      <c r="E215" s="4"/>
      <c r="F215" s="4"/>
      <c r="G215" s="7"/>
      <c r="H215" s="4">
        <v>0</v>
      </c>
      <c r="I215" s="7">
        <v>0</v>
      </c>
    </row>
    <row r="216" spans="1:9">
      <c r="A216" s="4" t="s">
        <v>9</v>
      </c>
      <c r="B216" s="4"/>
      <c r="C216" s="4" t="s">
        <v>383</v>
      </c>
      <c r="D216" s="4" t="s">
        <v>369</v>
      </c>
      <c r="E216" s="4" t="s">
        <v>384</v>
      </c>
      <c r="F216" s="4"/>
      <c r="G216" s="7"/>
      <c r="H216" s="4">
        <v>0</v>
      </c>
      <c r="I216" s="7">
        <v>0</v>
      </c>
    </row>
    <row r="217" spans="1:9">
      <c r="A217" s="4" t="s">
        <v>9</v>
      </c>
      <c r="B217" s="4"/>
      <c r="C217" s="4" t="s">
        <v>385</v>
      </c>
      <c r="D217" s="4" t="s">
        <v>369</v>
      </c>
      <c r="E217" s="4" t="s">
        <v>386</v>
      </c>
      <c r="F217" s="4"/>
      <c r="G217" s="7"/>
      <c r="H217" s="4">
        <v>0</v>
      </c>
      <c r="I217" s="7">
        <v>0</v>
      </c>
    </row>
    <row r="218" spans="1:9">
      <c r="A218" s="4" t="s">
        <v>9</v>
      </c>
      <c r="B218" s="4"/>
      <c r="C218" s="4" t="s">
        <v>387</v>
      </c>
      <c r="D218" s="4" t="s">
        <v>369</v>
      </c>
      <c r="E218" s="4" t="s">
        <v>388</v>
      </c>
      <c r="F218" s="4"/>
      <c r="G218" s="7"/>
      <c r="H218" s="4">
        <v>0</v>
      </c>
      <c r="I218" s="7">
        <v>0</v>
      </c>
    </row>
    <row r="219" spans="1:9">
      <c r="A219" s="4" t="s">
        <v>9</v>
      </c>
      <c r="B219" s="4"/>
      <c r="C219" s="4" t="s">
        <v>389</v>
      </c>
      <c r="D219" s="4" t="s">
        <v>369</v>
      </c>
      <c r="E219" s="4" t="s">
        <v>390</v>
      </c>
      <c r="F219" s="4"/>
      <c r="G219" s="7"/>
      <c r="H219" s="4">
        <v>0</v>
      </c>
      <c r="I219" s="7">
        <v>0</v>
      </c>
    </row>
    <row r="220" spans="1:9">
      <c r="A220" s="4" t="s">
        <v>9</v>
      </c>
      <c r="B220" s="4"/>
      <c r="C220" s="4" t="s">
        <v>391</v>
      </c>
      <c r="D220" s="4" t="s">
        <v>369</v>
      </c>
      <c r="E220" s="4" t="s">
        <v>392</v>
      </c>
      <c r="F220" s="4"/>
      <c r="G220" s="7"/>
      <c r="H220" s="4">
        <v>0</v>
      </c>
      <c r="I220" s="7">
        <v>0</v>
      </c>
    </row>
    <row r="221" spans="1:9">
      <c r="A221" s="4" t="s">
        <v>9</v>
      </c>
      <c r="B221" s="4"/>
      <c r="C221" s="4" t="s">
        <v>393</v>
      </c>
      <c r="D221" s="4" t="s">
        <v>394</v>
      </c>
      <c r="E221" s="4" t="s">
        <v>395</v>
      </c>
      <c r="F221" s="4"/>
      <c r="G221" s="7"/>
      <c r="H221" s="4">
        <v>1</v>
      </c>
      <c r="I221" s="7">
        <v>8.99</v>
      </c>
    </row>
    <row r="222" spans="1:9">
      <c r="A222" s="4" t="s">
        <v>9</v>
      </c>
      <c r="B222" s="4"/>
      <c r="C222" s="4" t="s">
        <v>396</v>
      </c>
      <c r="D222" s="4" t="s">
        <v>394</v>
      </c>
      <c r="E222" s="4" t="s">
        <v>397</v>
      </c>
      <c r="F222" s="4"/>
      <c r="G222" s="7"/>
      <c r="H222" s="4">
        <v>0</v>
      </c>
      <c r="I222" s="7">
        <v>0</v>
      </c>
    </row>
    <row r="223" spans="1:9">
      <c r="A223" s="4" t="s">
        <v>9</v>
      </c>
      <c r="B223" s="4"/>
      <c r="C223" s="4" t="s">
        <v>398</v>
      </c>
      <c r="D223" s="4" t="s">
        <v>394</v>
      </c>
      <c r="E223" s="4" t="s">
        <v>398</v>
      </c>
      <c r="F223" s="4"/>
      <c r="G223" s="7"/>
      <c r="H223" s="4">
        <v>0</v>
      </c>
      <c r="I223" s="7">
        <v>0</v>
      </c>
    </row>
    <row r="224" spans="1:9">
      <c r="A224" s="4" t="s">
        <v>9</v>
      </c>
      <c r="B224" s="4"/>
      <c r="C224" s="4" t="s">
        <v>399</v>
      </c>
      <c r="D224" s="4" t="s">
        <v>394</v>
      </c>
      <c r="E224" s="4" t="s">
        <v>399</v>
      </c>
      <c r="F224" s="4"/>
      <c r="G224" s="7"/>
      <c r="H224" s="4">
        <v>0</v>
      </c>
      <c r="I224" s="7">
        <v>0</v>
      </c>
    </row>
    <row r="225" spans="1:9">
      <c r="A225" s="4" t="s">
        <v>9</v>
      </c>
      <c r="B225" s="4"/>
      <c r="C225" s="4" t="s">
        <v>400</v>
      </c>
      <c r="D225" s="4" t="s">
        <v>394</v>
      </c>
      <c r="E225" s="4" t="s">
        <v>401</v>
      </c>
      <c r="F225" s="4"/>
      <c r="G225" s="7"/>
      <c r="H225" s="4">
        <v>0</v>
      </c>
      <c r="I225" s="7">
        <v>0</v>
      </c>
    </row>
    <row r="226" spans="1:9">
      <c r="A226" s="4" t="s">
        <v>9</v>
      </c>
      <c r="B226" s="4"/>
      <c r="C226" s="4" t="s">
        <v>402</v>
      </c>
      <c r="D226" s="4" t="s">
        <v>394</v>
      </c>
      <c r="E226" s="4" t="s">
        <v>403</v>
      </c>
      <c r="F226" s="4"/>
      <c r="G226" s="7"/>
      <c r="H226" s="4">
        <v>0</v>
      </c>
      <c r="I226" s="7">
        <v>0</v>
      </c>
    </row>
    <row r="227" spans="1:9">
      <c r="A227" s="4" t="s">
        <v>9</v>
      </c>
      <c r="B227" s="4"/>
      <c r="C227" s="4" t="s">
        <v>404</v>
      </c>
      <c r="D227" s="4" t="s">
        <v>405</v>
      </c>
      <c r="E227" s="4" t="s">
        <v>406</v>
      </c>
      <c r="F227" s="4"/>
      <c r="G227" s="7"/>
      <c r="H227" s="4">
        <v>1</v>
      </c>
      <c r="I227" s="7">
        <v>8.99</v>
      </c>
    </row>
    <row r="228" spans="1:9">
      <c r="A228" s="4" t="s">
        <v>9</v>
      </c>
      <c r="B228" s="4"/>
      <c r="C228" s="4" t="s">
        <v>407</v>
      </c>
      <c r="D228" s="4" t="s">
        <v>405</v>
      </c>
      <c r="E228" s="4" t="s">
        <v>408</v>
      </c>
      <c r="F228" s="4"/>
      <c r="G228" s="7"/>
      <c r="H228" s="4">
        <v>0</v>
      </c>
      <c r="I228" s="7">
        <v>0</v>
      </c>
    </row>
    <row r="229" spans="1:9">
      <c r="A229" s="4" t="s">
        <v>9</v>
      </c>
      <c r="B229" s="4"/>
      <c r="C229" s="4" t="s">
        <v>409</v>
      </c>
      <c r="D229" s="4" t="s">
        <v>405</v>
      </c>
      <c r="E229" s="4" t="s">
        <v>410</v>
      </c>
      <c r="F229" s="4"/>
      <c r="G229" s="7"/>
      <c r="H229" s="4">
        <v>0</v>
      </c>
      <c r="I229" s="7">
        <v>0</v>
      </c>
    </row>
    <row r="230" spans="1:9">
      <c r="A230" s="4" t="s">
        <v>9</v>
      </c>
      <c r="B230" s="4"/>
      <c r="C230" s="4" t="s">
        <v>411</v>
      </c>
      <c r="D230" s="4" t="s">
        <v>405</v>
      </c>
      <c r="E230" s="4"/>
      <c r="F230" s="4"/>
      <c r="G230" s="7"/>
      <c r="H230" s="4">
        <v>0</v>
      </c>
      <c r="I230" s="7">
        <v>0</v>
      </c>
    </row>
    <row r="231" spans="1:9">
      <c r="A231" s="4" t="s">
        <v>9</v>
      </c>
      <c r="B231" s="4"/>
      <c r="C231" s="4" t="s">
        <v>34</v>
      </c>
      <c r="D231" s="4" t="s">
        <v>405</v>
      </c>
      <c r="E231" s="4" t="s">
        <v>35</v>
      </c>
      <c r="F231" s="4"/>
      <c r="G231" s="7"/>
      <c r="H231" s="4">
        <v>0</v>
      </c>
      <c r="I231" s="7">
        <v>0</v>
      </c>
    </row>
    <row r="232" spans="1:9">
      <c r="A232" s="4" t="s">
        <v>9</v>
      </c>
      <c r="B232" s="4"/>
      <c r="C232" s="4" t="s">
        <v>412</v>
      </c>
      <c r="D232" s="4" t="s">
        <v>405</v>
      </c>
      <c r="E232" s="4" t="s">
        <v>413</v>
      </c>
      <c r="F232" s="4"/>
      <c r="G232" s="7"/>
      <c r="H232" s="4">
        <v>0</v>
      </c>
      <c r="I232" s="7">
        <v>0</v>
      </c>
    </row>
    <row r="233" spans="1:9">
      <c r="A233" s="4" t="s">
        <v>9</v>
      </c>
      <c r="B233" s="4"/>
      <c r="C233" s="4" t="s">
        <v>414</v>
      </c>
      <c r="D233" s="4" t="s">
        <v>405</v>
      </c>
      <c r="E233" s="4" t="s">
        <v>415</v>
      </c>
      <c r="F233" s="4"/>
      <c r="G233" s="7"/>
      <c r="H233" s="4">
        <v>0</v>
      </c>
      <c r="I233" s="7">
        <v>0</v>
      </c>
    </row>
    <row r="234" spans="1:9">
      <c r="A234" s="4" t="s">
        <v>9</v>
      </c>
      <c r="B234" s="4"/>
      <c r="C234" s="4" t="s">
        <v>416</v>
      </c>
      <c r="D234" s="4" t="s">
        <v>405</v>
      </c>
      <c r="E234" s="4" t="s">
        <v>417</v>
      </c>
      <c r="F234" s="4"/>
      <c r="G234" s="7"/>
      <c r="H234" s="4">
        <v>0</v>
      </c>
      <c r="I234" s="7">
        <v>0</v>
      </c>
    </row>
    <row r="235" spans="1:9">
      <c r="A235" s="4" t="s">
        <v>9</v>
      </c>
      <c r="B235" s="4"/>
      <c r="C235" s="4" t="s">
        <v>418</v>
      </c>
      <c r="D235" s="4" t="s">
        <v>405</v>
      </c>
      <c r="E235" s="4" t="s">
        <v>419</v>
      </c>
      <c r="F235" s="4"/>
      <c r="G235" s="7"/>
      <c r="H235" s="4">
        <v>0</v>
      </c>
      <c r="I235" s="7">
        <v>0</v>
      </c>
    </row>
    <row r="236" spans="1:9">
      <c r="A236" s="4" t="s">
        <v>9</v>
      </c>
      <c r="B236" s="4"/>
      <c r="C236" s="4" t="s">
        <v>420</v>
      </c>
      <c r="D236" s="4" t="s">
        <v>405</v>
      </c>
      <c r="E236" s="4" t="s">
        <v>419</v>
      </c>
      <c r="F236" s="4"/>
      <c r="G236" s="7"/>
      <c r="H236" s="4">
        <v>0</v>
      </c>
      <c r="I236" s="7">
        <v>0</v>
      </c>
    </row>
    <row r="237" spans="1:9">
      <c r="A237" s="4" t="s">
        <v>9</v>
      </c>
      <c r="B237" s="4"/>
      <c r="C237" s="4" t="s">
        <v>421</v>
      </c>
      <c r="D237" s="4" t="s">
        <v>405</v>
      </c>
      <c r="E237" s="4" t="s">
        <v>422</v>
      </c>
      <c r="F237" s="4"/>
      <c r="G237" s="7"/>
      <c r="H237" s="4">
        <v>0</v>
      </c>
      <c r="I237" s="7">
        <v>0</v>
      </c>
    </row>
    <row r="238" spans="1:9">
      <c r="A238" s="4" t="s">
        <v>9</v>
      </c>
      <c r="B238" s="4"/>
      <c r="C238" s="4" t="s">
        <v>188</v>
      </c>
      <c r="D238" s="4" t="s">
        <v>405</v>
      </c>
      <c r="E238" s="4" t="s">
        <v>189</v>
      </c>
      <c r="F238" s="4"/>
      <c r="G238" s="7"/>
      <c r="H238" s="4">
        <v>0</v>
      </c>
      <c r="I238" s="7">
        <v>0</v>
      </c>
    </row>
    <row r="239" spans="1:9">
      <c r="A239" s="4" t="s">
        <v>9</v>
      </c>
      <c r="B239" s="4"/>
      <c r="C239" s="4" t="s">
        <v>423</v>
      </c>
      <c r="D239" s="4" t="s">
        <v>405</v>
      </c>
      <c r="E239" s="4" t="s">
        <v>37</v>
      </c>
      <c r="F239" s="4"/>
      <c r="G239" s="7"/>
      <c r="H239" s="4">
        <v>0</v>
      </c>
      <c r="I239" s="7">
        <v>0</v>
      </c>
    </row>
    <row r="240" spans="1:9">
      <c r="A240" s="4" t="s">
        <v>9</v>
      </c>
      <c r="B240" s="4"/>
      <c r="C240" s="4" t="s">
        <v>36</v>
      </c>
      <c r="D240" s="4" t="s">
        <v>405</v>
      </c>
      <c r="E240" s="4" t="s">
        <v>37</v>
      </c>
      <c r="F240" s="4"/>
      <c r="G240" s="7"/>
      <c r="H240" s="4">
        <v>0</v>
      </c>
      <c r="I240" s="7">
        <v>0</v>
      </c>
    </row>
    <row r="241" spans="1:9">
      <c r="A241" s="4" t="s">
        <v>9</v>
      </c>
      <c r="B241" s="4"/>
      <c r="C241" s="4" t="s">
        <v>424</v>
      </c>
      <c r="D241" s="4" t="s">
        <v>405</v>
      </c>
      <c r="E241" s="4" t="s">
        <v>425</v>
      </c>
      <c r="F241" s="4"/>
      <c r="G241" s="7"/>
      <c r="H241" s="4">
        <v>0</v>
      </c>
      <c r="I241" s="7">
        <v>0</v>
      </c>
    </row>
    <row r="242" spans="1:9">
      <c r="A242" s="4" t="s">
        <v>9</v>
      </c>
      <c r="B242" s="4"/>
      <c r="C242" s="4" t="s">
        <v>426</v>
      </c>
      <c r="D242" s="4" t="s">
        <v>427</v>
      </c>
      <c r="E242" s="4" t="s">
        <v>428</v>
      </c>
      <c r="F242" s="4"/>
      <c r="G242" s="7"/>
      <c r="H242" s="4">
        <v>1</v>
      </c>
      <c r="I242" s="7">
        <v>8.99</v>
      </c>
    </row>
    <row r="243" spans="1:9">
      <c r="A243" s="4" t="s">
        <v>9</v>
      </c>
      <c r="B243" s="4"/>
      <c r="C243" s="4" t="s">
        <v>263</v>
      </c>
      <c r="D243" s="4" t="s">
        <v>427</v>
      </c>
      <c r="E243" s="4" t="s">
        <v>264</v>
      </c>
      <c r="F243" s="4"/>
      <c r="G243" s="7"/>
      <c r="H243" s="4">
        <v>0</v>
      </c>
      <c r="I243" s="7">
        <v>0</v>
      </c>
    </row>
    <row r="244" spans="1:9">
      <c r="A244" s="4" t="s">
        <v>9</v>
      </c>
      <c r="B244" s="4"/>
      <c r="C244" s="4" t="s">
        <v>429</v>
      </c>
      <c r="D244" s="4" t="s">
        <v>427</v>
      </c>
      <c r="E244" s="4" t="s">
        <v>430</v>
      </c>
      <c r="F244" s="4"/>
      <c r="G244" s="7"/>
      <c r="H244" s="4">
        <v>0</v>
      </c>
      <c r="I244" s="7">
        <v>0</v>
      </c>
    </row>
    <row r="245" spans="1:9">
      <c r="A245" s="4" t="s">
        <v>9</v>
      </c>
      <c r="B245" s="4"/>
      <c r="C245" s="4" t="s">
        <v>431</v>
      </c>
      <c r="D245" s="4" t="s">
        <v>427</v>
      </c>
      <c r="E245" s="4" t="s">
        <v>431</v>
      </c>
      <c r="F245" s="4"/>
      <c r="G245" s="7"/>
      <c r="H245" s="4">
        <v>0</v>
      </c>
      <c r="I245" s="7">
        <v>0</v>
      </c>
    </row>
    <row r="246" spans="1:9">
      <c r="A246" s="4" t="s">
        <v>9</v>
      </c>
      <c r="B246" s="4"/>
      <c r="C246" s="4" t="s">
        <v>432</v>
      </c>
      <c r="D246" s="4" t="s">
        <v>427</v>
      </c>
      <c r="E246" s="4" t="s">
        <v>433</v>
      </c>
      <c r="F246" s="4"/>
      <c r="G246" s="7"/>
      <c r="H246" s="4">
        <v>0</v>
      </c>
      <c r="I246" s="7">
        <v>0</v>
      </c>
    </row>
    <row r="247" spans="1:9">
      <c r="A247" s="4" t="s">
        <v>9</v>
      </c>
      <c r="B247" s="4"/>
      <c r="C247" s="4" t="s">
        <v>434</v>
      </c>
      <c r="D247" s="4" t="s">
        <v>427</v>
      </c>
      <c r="E247" s="4" t="s">
        <v>434</v>
      </c>
      <c r="F247" s="4"/>
      <c r="G247" s="7"/>
      <c r="H247" s="4">
        <v>0</v>
      </c>
      <c r="I247" s="7">
        <v>0</v>
      </c>
    </row>
    <row r="248" spans="1:9">
      <c r="A248" s="4" t="s">
        <v>9</v>
      </c>
      <c r="B248" s="4"/>
      <c r="C248" s="4" t="s">
        <v>435</v>
      </c>
      <c r="D248" s="4" t="s">
        <v>427</v>
      </c>
      <c r="E248" s="4" t="s">
        <v>435</v>
      </c>
      <c r="F248" s="4"/>
      <c r="G248" s="7"/>
      <c r="H248" s="4">
        <v>0</v>
      </c>
      <c r="I248" s="7">
        <v>0</v>
      </c>
    </row>
    <row r="249" spans="1:9">
      <c r="A249" s="4" t="s">
        <v>9</v>
      </c>
      <c r="B249" s="4"/>
      <c r="C249" s="4" t="s">
        <v>436</v>
      </c>
      <c r="D249" s="4" t="s">
        <v>427</v>
      </c>
      <c r="E249" s="4" t="s">
        <v>437</v>
      </c>
      <c r="F249" s="4"/>
      <c r="G249" s="7"/>
      <c r="H249" s="4">
        <v>0</v>
      </c>
      <c r="I249" s="7">
        <v>0</v>
      </c>
    </row>
    <row r="250" spans="1:9">
      <c r="A250" s="4" t="s">
        <v>9</v>
      </c>
      <c r="B250" s="4"/>
      <c r="C250" s="4" t="s">
        <v>438</v>
      </c>
      <c r="D250" s="4" t="s">
        <v>427</v>
      </c>
      <c r="E250" s="4" t="s">
        <v>439</v>
      </c>
      <c r="F250" s="4"/>
      <c r="G250" s="7"/>
      <c r="H250" s="4">
        <v>0</v>
      </c>
      <c r="I250" s="7">
        <v>0</v>
      </c>
    </row>
    <row r="251" spans="1:9">
      <c r="A251" s="4" t="s">
        <v>9</v>
      </c>
      <c r="B251" s="4"/>
      <c r="C251" s="4" t="s">
        <v>440</v>
      </c>
      <c r="D251" s="4" t="s">
        <v>427</v>
      </c>
      <c r="E251" s="4" t="s">
        <v>440</v>
      </c>
      <c r="F251" s="4"/>
      <c r="G251" s="7"/>
      <c r="H251" s="4">
        <v>0</v>
      </c>
      <c r="I251" s="7">
        <v>0</v>
      </c>
    </row>
    <row r="252" spans="1:9">
      <c r="A252" s="4" t="s">
        <v>9</v>
      </c>
      <c r="B252" s="4"/>
      <c r="C252" s="4" t="s">
        <v>441</v>
      </c>
      <c r="D252" s="4" t="s">
        <v>427</v>
      </c>
      <c r="E252" s="4" t="s">
        <v>441</v>
      </c>
      <c r="F252" s="4"/>
      <c r="G252" s="7"/>
      <c r="H252" s="4">
        <v>0</v>
      </c>
      <c r="I252" s="7">
        <v>0</v>
      </c>
    </row>
    <row r="253" spans="1:9">
      <c r="A253" s="4" t="s">
        <v>9</v>
      </c>
      <c r="B253" s="4"/>
      <c r="C253" s="4" t="s">
        <v>442</v>
      </c>
      <c r="D253" s="4" t="s">
        <v>427</v>
      </c>
      <c r="E253" s="4" t="s">
        <v>442</v>
      </c>
      <c r="F253" s="4"/>
      <c r="G253" s="7"/>
      <c r="H253" s="4">
        <v>0</v>
      </c>
      <c r="I253" s="7">
        <v>0</v>
      </c>
    </row>
    <row r="254" spans="1:9">
      <c r="A254" s="4" t="s">
        <v>9</v>
      </c>
      <c r="B254" s="4"/>
      <c r="C254" s="4" t="s">
        <v>443</v>
      </c>
      <c r="D254" s="4" t="s">
        <v>444</v>
      </c>
      <c r="E254" s="4" t="s">
        <v>445</v>
      </c>
      <c r="F254" s="4"/>
      <c r="G254" s="7"/>
      <c r="H254" s="4">
        <v>1</v>
      </c>
      <c r="I254" s="7">
        <v>8.99</v>
      </c>
    </row>
    <row r="255" spans="1:9">
      <c r="A255" s="4" t="s">
        <v>9</v>
      </c>
      <c r="B255" s="4"/>
      <c r="C255" s="4" t="s">
        <v>109</v>
      </c>
      <c r="D255" s="4" t="s">
        <v>444</v>
      </c>
      <c r="E255" s="4" t="s">
        <v>110</v>
      </c>
      <c r="F255" s="4"/>
      <c r="G255" s="7"/>
      <c r="H255" s="4">
        <v>0</v>
      </c>
      <c r="I255" s="7">
        <v>0</v>
      </c>
    </row>
    <row r="256" spans="1:9">
      <c r="A256" s="4" t="s">
        <v>9</v>
      </c>
      <c r="B256" s="4"/>
      <c r="C256" s="4" t="s">
        <v>446</v>
      </c>
      <c r="D256" s="4" t="s">
        <v>444</v>
      </c>
      <c r="E256" s="4" t="s">
        <v>447</v>
      </c>
      <c r="F256" s="4"/>
      <c r="G256" s="7"/>
      <c r="H256" s="4">
        <v>0</v>
      </c>
      <c r="I256" s="7">
        <v>0</v>
      </c>
    </row>
    <row r="257" spans="1:9">
      <c r="A257" s="4" t="s">
        <v>9</v>
      </c>
      <c r="B257" s="4"/>
      <c r="C257" s="4" t="s">
        <v>448</v>
      </c>
      <c r="D257" s="4" t="s">
        <v>444</v>
      </c>
      <c r="E257" s="4" t="s">
        <v>449</v>
      </c>
      <c r="F257" s="4"/>
      <c r="G257" s="7"/>
      <c r="H257" s="4">
        <v>0</v>
      </c>
      <c r="I257" s="7">
        <v>0</v>
      </c>
    </row>
    <row r="258" spans="1:9">
      <c r="A258" s="4" t="s">
        <v>9</v>
      </c>
      <c r="B258" s="4"/>
      <c r="C258" s="4" t="s">
        <v>129</v>
      </c>
      <c r="D258" s="4" t="s">
        <v>444</v>
      </c>
      <c r="E258" s="4" t="s">
        <v>130</v>
      </c>
      <c r="F258" s="4"/>
      <c r="G258" s="7"/>
      <c r="H258" s="4">
        <v>0</v>
      </c>
      <c r="I258" s="7">
        <v>0</v>
      </c>
    </row>
    <row r="259" spans="1:9">
      <c r="A259" s="4" t="s">
        <v>9</v>
      </c>
      <c r="B259" s="4"/>
      <c r="C259" s="4" t="s">
        <v>450</v>
      </c>
      <c r="D259" s="4" t="s">
        <v>444</v>
      </c>
      <c r="E259" s="4" t="s">
        <v>451</v>
      </c>
      <c r="F259" s="4"/>
      <c r="G259" s="7"/>
      <c r="H259" s="4">
        <v>0</v>
      </c>
      <c r="I259" s="7">
        <v>0</v>
      </c>
    </row>
    <row r="260" spans="1:9">
      <c r="A260" s="4" t="s">
        <v>9</v>
      </c>
      <c r="B260" s="4"/>
      <c r="C260" s="4" t="s">
        <v>452</v>
      </c>
      <c r="D260" s="4" t="s">
        <v>444</v>
      </c>
      <c r="E260" s="4" t="s">
        <v>453</v>
      </c>
      <c r="F260" s="4"/>
      <c r="G260" s="7"/>
      <c r="H260" s="4">
        <v>0</v>
      </c>
      <c r="I260" s="7">
        <v>0</v>
      </c>
    </row>
    <row r="261" spans="1:9">
      <c r="A261" s="4" t="s">
        <v>9</v>
      </c>
      <c r="B261" s="4"/>
      <c r="C261" s="4" t="s">
        <v>454</v>
      </c>
      <c r="D261" s="4" t="s">
        <v>444</v>
      </c>
      <c r="E261" s="4" t="s">
        <v>455</v>
      </c>
      <c r="F261" s="4"/>
      <c r="G261" s="7"/>
      <c r="H261" s="4">
        <v>0</v>
      </c>
      <c r="I261" s="7">
        <v>0</v>
      </c>
    </row>
    <row r="262" spans="1:9">
      <c r="A262" s="4" t="s">
        <v>9</v>
      </c>
      <c r="B262" s="4"/>
      <c r="C262" s="4" t="s">
        <v>456</v>
      </c>
      <c r="D262" s="4" t="s">
        <v>444</v>
      </c>
      <c r="E262" s="4" t="s">
        <v>457</v>
      </c>
      <c r="F262" s="4"/>
      <c r="G262" s="7"/>
      <c r="H262" s="4">
        <v>0</v>
      </c>
      <c r="I262" s="7">
        <v>0</v>
      </c>
    </row>
    <row r="263" spans="1:9">
      <c r="A263" s="4" t="s">
        <v>9</v>
      </c>
      <c r="B263" s="4"/>
      <c r="C263" s="4" t="s">
        <v>458</v>
      </c>
      <c r="D263" s="4" t="s">
        <v>444</v>
      </c>
      <c r="E263" s="4" t="s">
        <v>459</v>
      </c>
      <c r="F263" s="4"/>
      <c r="G263" s="7"/>
      <c r="H263" s="4">
        <v>0</v>
      </c>
      <c r="I263" s="7">
        <v>0</v>
      </c>
    </row>
    <row r="264" spans="1:9">
      <c r="A264" s="4" t="s">
        <v>9</v>
      </c>
      <c r="B264" s="4"/>
      <c r="C264" s="4" t="s">
        <v>460</v>
      </c>
      <c r="D264" s="4" t="s">
        <v>444</v>
      </c>
      <c r="E264" s="4" t="s">
        <v>461</v>
      </c>
      <c r="F264" s="4"/>
      <c r="G264" s="7"/>
      <c r="H264" s="4">
        <v>0</v>
      </c>
      <c r="I264" s="7">
        <v>0</v>
      </c>
    </row>
    <row r="265" spans="1:9">
      <c r="A265" s="4" t="s">
        <v>9</v>
      </c>
      <c r="B265" s="4"/>
      <c r="C265" s="4" t="s">
        <v>462</v>
      </c>
      <c r="D265" s="4" t="s">
        <v>444</v>
      </c>
      <c r="E265" s="4" t="s">
        <v>463</v>
      </c>
      <c r="F265" s="4"/>
      <c r="G265" s="7"/>
      <c r="H265" s="4">
        <v>0</v>
      </c>
      <c r="I265" s="7">
        <v>0</v>
      </c>
    </row>
    <row r="266" spans="1:9">
      <c r="A266" s="4" t="s">
        <v>9</v>
      </c>
      <c r="B266" s="4" t="s">
        <v>9</v>
      </c>
      <c r="C266" s="4" t="s">
        <v>464</v>
      </c>
      <c r="D266" s="4" t="s">
        <v>444</v>
      </c>
      <c r="E266" s="4" t="s">
        <v>356</v>
      </c>
      <c r="F266" s="4"/>
      <c r="G266" s="7"/>
      <c r="H266" s="4">
        <v>0</v>
      </c>
      <c r="I266" s="7">
        <v>0</v>
      </c>
    </row>
    <row r="267" spans="1:9">
      <c r="A267" s="4" t="s">
        <v>9</v>
      </c>
      <c r="B267" s="4" t="s">
        <v>9</v>
      </c>
      <c r="C267" s="4" t="s">
        <v>465</v>
      </c>
      <c r="D267" s="4" t="s">
        <v>444</v>
      </c>
      <c r="E267" s="4" t="s">
        <v>356</v>
      </c>
      <c r="F267" s="4"/>
      <c r="G267" s="7"/>
      <c r="H267" s="4">
        <v>0</v>
      </c>
      <c r="I267" s="7">
        <v>0</v>
      </c>
    </row>
    <row r="268" spans="1:9">
      <c r="A268" s="4" t="s">
        <v>9</v>
      </c>
      <c r="B268" s="4"/>
      <c r="C268" s="4" t="s">
        <v>466</v>
      </c>
      <c r="D268" s="4" t="s">
        <v>444</v>
      </c>
      <c r="E268" s="4" t="s">
        <v>467</v>
      </c>
      <c r="F268" s="4"/>
      <c r="G268" s="7"/>
      <c r="H268" s="4">
        <v>0</v>
      </c>
      <c r="I268" s="7">
        <v>0</v>
      </c>
    </row>
    <row r="269" spans="1:9">
      <c r="A269" s="4" t="s">
        <v>9</v>
      </c>
      <c r="B269" s="4"/>
      <c r="C269" s="4" t="s">
        <v>468</v>
      </c>
      <c r="D269" s="4" t="s">
        <v>444</v>
      </c>
      <c r="E269" s="4" t="s">
        <v>469</v>
      </c>
      <c r="F269" s="4"/>
      <c r="G269" s="7"/>
      <c r="H269" s="4">
        <v>0</v>
      </c>
      <c r="I269" s="7">
        <v>0</v>
      </c>
    </row>
    <row r="270" spans="1:9">
      <c r="A270" s="4" t="s">
        <v>9</v>
      </c>
      <c r="B270" s="4"/>
      <c r="C270" s="4" t="s">
        <v>470</v>
      </c>
      <c r="D270" s="4" t="s">
        <v>444</v>
      </c>
      <c r="E270" s="4" t="s">
        <v>471</v>
      </c>
      <c r="F270" s="4"/>
      <c r="G270" s="7"/>
      <c r="H270" s="4">
        <v>0</v>
      </c>
      <c r="I270" s="7">
        <v>0</v>
      </c>
    </row>
    <row r="271" spans="1:9">
      <c r="A271" s="4" t="s">
        <v>9</v>
      </c>
      <c r="B271" s="4"/>
      <c r="C271" s="4" t="s">
        <v>472</v>
      </c>
      <c r="D271" s="4" t="s">
        <v>444</v>
      </c>
      <c r="E271" s="4" t="s">
        <v>473</v>
      </c>
      <c r="F271" s="4"/>
      <c r="G271" s="7"/>
      <c r="H271" s="4">
        <v>0</v>
      </c>
      <c r="I271" s="7">
        <v>0</v>
      </c>
    </row>
    <row r="272" spans="1:9">
      <c r="A272" s="4" t="s">
        <v>9</v>
      </c>
      <c r="B272" s="4"/>
      <c r="C272" s="4" t="s">
        <v>474</v>
      </c>
      <c r="D272" s="4" t="s">
        <v>444</v>
      </c>
      <c r="E272" s="4" t="s">
        <v>475</v>
      </c>
      <c r="F272" s="4"/>
      <c r="G272" s="7"/>
      <c r="H272" s="4">
        <v>0</v>
      </c>
      <c r="I272" s="7">
        <v>0</v>
      </c>
    </row>
    <row r="273" spans="1:9">
      <c r="A273" s="4" t="s">
        <v>9</v>
      </c>
      <c r="B273" s="4"/>
      <c r="C273" s="4" t="s">
        <v>476</v>
      </c>
      <c r="D273" s="4" t="s">
        <v>444</v>
      </c>
      <c r="E273" s="4" t="s">
        <v>476</v>
      </c>
      <c r="F273" s="4"/>
      <c r="G273" s="7"/>
      <c r="H273" s="4">
        <v>0</v>
      </c>
      <c r="I273" s="7">
        <v>0</v>
      </c>
    </row>
    <row r="274" spans="1:9">
      <c r="A274" s="4" t="s">
        <v>9</v>
      </c>
      <c r="B274" s="4"/>
      <c r="C274" s="4" t="s">
        <v>477</v>
      </c>
      <c r="D274" s="4" t="s">
        <v>444</v>
      </c>
      <c r="E274" s="4" t="s">
        <v>477</v>
      </c>
      <c r="F274" s="4"/>
      <c r="G274" s="7"/>
      <c r="H274" s="4">
        <v>0</v>
      </c>
      <c r="I274" s="7">
        <v>0</v>
      </c>
    </row>
    <row r="275" spans="1:9">
      <c r="A275" s="4" t="s">
        <v>9</v>
      </c>
      <c r="B275" s="4"/>
      <c r="C275" s="4" t="s">
        <v>478</v>
      </c>
      <c r="D275" s="4" t="s">
        <v>444</v>
      </c>
      <c r="E275" s="4" t="s">
        <v>478</v>
      </c>
      <c r="F275" s="4"/>
      <c r="G275" s="7"/>
      <c r="H275" s="4">
        <v>0</v>
      </c>
      <c r="I275" s="7">
        <v>0</v>
      </c>
    </row>
    <row r="276" spans="1:9">
      <c r="A276" s="4" t="s">
        <v>9</v>
      </c>
      <c r="B276" s="4"/>
      <c r="C276" s="4" t="s">
        <v>479</v>
      </c>
      <c r="D276" s="4" t="s">
        <v>444</v>
      </c>
      <c r="E276" s="4" t="s">
        <v>479</v>
      </c>
      <c r="F276" s="4"/>
      <c r="G276" s="7"/>
      <c r="H276" s="4">
        <v>0</v>
      </c>
      <c r="I276" s="7">
        <v>0</v>
      </c>
    </row>
    <row r="277" spans="1:9">
      <c r="A277" s="4" t="s">
        <v>9</v>
      </c>
      <c r="B277" s="4"/>
      <c r="C277" s="4" t="s">
        <v>480</v>
      </c>
      <c r="D277" s="4" t="s">
        <v>444</v>
      </c>
      <c r="E277" s="4" t="s">
        <v>480</v>
      </c>
      <c r="F277" s="4"/>
      <c r="G277" s="7"/>
      <c r="H277" s="4">
        <v>0</v>
      </c>
      <c r="I277" s="7">
        <v>0</v>
      </c>
    </row>
    <row r="278" spans="1:9">
      <c r="A278" s="4" t="s">
        <v>9</v>
      </c>
      <c r="B278" s="4"/>
      <c r="C278" s="4" t="s">
        <v>481</v>
      </c>
      <c r="D278" s="4" t="s">
        <v>444</v>
      </c>
      <c r="E278" s="4" t="s">
        <v>482</v>
      </c>
      <c r="F278" s="4"/>
      <c r="G278" s="7"/>
      <c r="H278" s="4">
        <v>0</v>
      </c>
      <c r="I278" s="7">
        <v>0</v>
      </c>
    </row>
    <row r="279" spans="1:9">
      <c r="A279" s="4" t="s">
        <v>9</v>
      </c>
      <c r="B279" s="4"/>
      <c r="C279" s="4" t="s">
        <v>483</v>
      </c>
      <c r="D279" s="4" t="s">
        <v>444</v>
      </c>
      <c r="E279" s="4" t="s">
        <v>483</v>
      </c>
      <c r="F279" s="4"/>
      <c r="G279" s="7"/>
      <c r="H279" s="4">
        <v>0</v>
      </c>
      <c r="I279" s="7">
        <v>0</v>
      </c>
    </row>
    <row r="280" spans="1:9">
      <c r="A280" s="4" t="s">
        <v>9</v>
      </c>
      <c r="B280" s="4"/>
      <c r="C280" s="4" t="s">
        <v>385</v>
      </c>
      <c r="D280" s="4" t="s">
        <v>484</v>
      </c>
      <c r="E280" s="4" t="s">
        <v>386</v>
      </c>
      <c r="F280" s="4"/>
      <c r="G280" s="7"/>
      <c r="H280" s="4">
        <v>1</v>
      </c>
      <c r="I280" s="7">
        <v>8.99</v>
      </c>
    </row>
    <row r="281" spans="1:9">
      <c r="A281" s="4" t="s">
        <v>9</v>
      </c>
      <c r="B281" s="4"/>
      <c r="C281" s="4" t="s">
        <v>334</v>
      </c>
      <c r="D281" s="4" t="s">
        <v>485</v>
      </c>
      <c r="E281" s="4" t="s">
        <v>336</v>
      </c>
      <c r="F281" s="4"/>
      <c r="G281" s="7"/>
      <c r="H281" s="4">
        <v>1</v>
      </c>
      <c r="I281" s="7">
        <v>8.99</v>
      </c>
    </row>
    <row r="282" spans="1:9">
      <c r="A282" s="4" t="s">
        <v>9</v>
      </c>
      <c r="B282" s="4"/>
      <c r="C282" s="4" t="s">
        <v>486</v>
      </c>
      <c r="D282" s="4" t="s">
        <v>485</v>
      </c>
      <c r="E282" s="4" t="s">
        <v>487</v>
      </c>
      <c r="F282" s="4"/>
      <c r="G282" s="7"/>
      <c r="H282" s="4">
        <v>0</v>
      </c>
      <c r="I282" s="7">
        <v>0</v>
      </c>
    </row>
    <row r="283" spans="1:9">
      <c r="A283" s="4" t="s">
        <v>9</v>
      </c>
      <c r="B283" s="4"/>
      <c r="C283" s="4" t="s">
        <v>488</v>
      </c>
      <c r="D283" s="4" t="s">
        <v>485</v>
      </c>
      <c r="E283" s="4" t="s">
        <v>489</v>
      </c>
      <c r="F283" s="4"/>
      <c r="G283" s="7"/>
      <c r="H283" s="4">
        <v>0</v>
      </c>
      <c r="I283" s="7">
        <v>0</v>
      </c>
    </row>
    <row r="284" spans="1:9">
      <c r="A284" s="4" t="s">
        <v>9</v>
      </c>
      <c r="B284" s="4"/>
      <c r="C284" s="4" t="s">
        <v>490</v>
      </c>
      <c r="D284" s="4" t="s">
        <v>485</v>
      </c>
      <c r="E284" s="4" t="s">
        <v>491</v>
      </c>
      <c r="F284" s="4"/>
      <c r="G284" s="7"/>
      <c r="H284" s="4">
        <v>0</v>
      </c>
      <c r="I284" s="7">
        <v>0</v>
      </c>
    </row>
    <row r="285" spans="1:9">
      <c r="A285" s="4" t="s">
        <v>9</v>
      </c>
      <c r="B285" s="4"/>
      <c r="C285" s="4" t="s">
        <v>492</v>
      </c>
      <c r="D285" s="4" t="s">
        <v>485</v>
      </c>
      <c r="E285" s="4" t="s">
        <v>493</v>
      </c>
      <c r="F285" s="4"/>
      <c r="G285" s="7"/>
      <c r="H285" s="4">
        <v>0</v>
      </c>
      <c r="I285" s="7">
        <v>0</v>
      </c>
    </row>
    <row r="286" spans="1:9">
      <c r="A286" s="4" t="s">
        <v>9</v>
      </c>
      <c r="B286" s="4"/>
      <c r="C286" s="4" t="s">
        <v>494</v>
      </c>
      <c r="D286" s="4" t="s">
        <v>485</v>
      </c>
      <c r="E286" s="4" t="s">
        <v>495</v>
      </c>
      <c r="F286" s="4"/>
      <c r="G286" s="7"/>
      <c r="H286" s="4">
        <v>0</v>
      </c>
      <c r="I286" s="7">
        <v>0</v>
      </c>
    </row>
    <row r="287" spans="1:9">
      <c r="A287" s="4" t="s">
        <v>9</v>
      </c>
      <c r="B287" s="4"/>
      <c r="C287" s="4" t="s">
        <v>496</v>
      </c>
      <c r="D287" s="4" t="s">
        <v>485</v>
      </c>
      <c r="E287" s="4" t="s">
        <v>497</v>
      </c>
      <c r="F287" s="4"/>
      <c r="G287" s="7"/>
      <c r="H287" s="4">
        <v>0</v>
      </c>
      <c r="I287" s="7">
        <v>0</v>
      </c>
    </row>
    <row r="288" spans="1:9">
      <c r="A288" s="4" t="s">
        <v>9</v>
      </c>
      <c r="B288" s="4"/>
      <c r="C288" s="4" t="s">
        <v>498</v>
      </c>
      <c r="D288" s="4" t="s">
        <v>485</v>
      </c>
      <c r="E288" s="4" t="s">
        <v>499</v>
      </c>
      <c r="F288" s="4"/>
      <c r="G288" s="7"/>
      <c r="H288" s="4">
        <v>0</v>
      </c>
      <c r="I288" s="7">
        <v>0</v>
      </c>
    </row>
    <row r="289" spans="1:9">
      <c r="A289" s="4" t="s">
        <v>9</v>
      </c>
      <c r="B289" s="4"/>
      <c r="C289" s="4" t="s">
        <v>500</v>
      </c>
      <c r="D289" s="4" t="s">
        <v>501</v>
      </c>
      <c r="E289" s="4" t="s">
        <v>502</v>
      </c>
      <c r="F289" s="4"/>
      <c r="G289" s="7"/>
      <c r="H289" s="4">
        <v>1</v>
      </c>
      <c r="I289" s="7">
        <v>8.99</v>
      </c>
    </row>
    <row r="290" spans="1:9">
      <c r="A290" s="4" t="s">
        <v>9</v>
      </c>
      <c r="B290" s="4"/>
      <c r="C290" s="4" t="s">
        <v>503</v>
      </c>
      <c r="D290" s="4" t="s">
        <v>501</v>
      </c>
      <c r="E290" s="4" t="s">
        <v>504</v>
      </c>
      <c r="F290" s="4"/>
      <c r="G290" s="7"/>
      <c r="H290" s="4">
        <v>0</v>
      </c>
      <c r="I290" s="7">
        <v>0</v>
      </c>
    </row>
    <row r="291" spans="1:9">
      <c r="A291" s="4" t="s">
        <v>9</v>
      </c>
      <c r="B291" s="4"/>
      <c r="C291" s="4" t="s">
        <v>505</v>
      </c>
      <c r="D291" s="4" t="s">
        <v>501</v>
      </c>
      <c r="E291" s="4" t="s">
        <v>506</v>
      </c>
      <c r="F291" s="4"/>
      <c r="G291" s="7"/>
      <c r="H291" s="4">
        <v>0</v>
      </c>
      <c r="I291" s="7">
        <v>0</v>
      </c>
    </row>
    <row r="292" spans="1:9">
      <c r="A292" s="4" t="s">
        <v>9</v>
      </c>
      <c r="B292" s="4"/>
      <c r="C292" s="4" t="s">
        <v>507</v>
      </c>
      <c r="D292" s="4" t="s">
        <v>501</v>
      </c>
      <c r="E292" s="4" t="s">
        <v>508</v>
      </c>
      <c r="F292" s="4"/>
      <c r="G292" s="7"/>
      <c r="H292" s="4">
        <v>0</v>
      </c>
      <c r="I292" s="7">
        <v>0</v>
      </c>
    </row>
    <row r="293" spans="1:9">
      <c r="A293" s="4" t="s">
        <v>9</v>
      </c>
      <c r="B293" s="4"/>
      <c r="C293" s="4" t="s">
        <v>500</v>
      </c>
      <c r="D293" s="4" t="s">
        <v>509</v>
      </c>
      <c r="E293" s="4" t="s">
        <v>502</v>
      </c>
      <c r="F293" s="4"/>
      <c r="G293" s="7"/>
      <c r="H293" s="4">
        <v>1</v>
      </c>
      <c r="I293" s="7">
        <v>8.99</v>
      </c>
    </row>
    <row r="294" spans="1:9">
      <c r="A294" s="4" t="s">
        <v>9</v>
      </c>
      <c r="B294" s="4"/>
      <c r="C294" s="4" t="s">
        <v>486</v>
      </c>
      <c r="D294" s="4" t="s">
        <v>509</v>
      </c>
      <c r="E294" s="4" t="s">
        <v>487</v>
      </c>
      <c r="F294" s="4"/>
      <c r="G294" s="7"/>
      <c r="H294" s="4">
        <v>0</v>
      </c>
      <c r="I294" s="7">
        <v>0</v>
      </c>
    </row>
    <row r="295" spans="1:9">
      <c r="A295" s="4" t="s">
        <v>9</v>
      </c>
      <c r="B295" s="4"/>
      <c r="C295" s="4" t="s">
        <v>488</v>
      </c>
      <c r="D295" s="4" t="s">
        <v>509</v>
      </c>
      <c r="E295" s="4" t="s">
        <v>489</v>
      </c>
      <c r="F295" s="4"/>
      <c r="G295" s="7"/>
      <c r="H295" s="4">
        <v>0</v>
      </c>
      <c r="I295" s="7">
        <v>0</v>
      </c>
    </row>
    <row r="296" spans="1:9">
      <c r="A296" s="4" t="s">
        <v>9</v>
      </c>
      <c r="B296" s="4"/>
      <c r="C296" s="4" t="s">
        <v>510</v>
      </c>
      <c r="D296" s="4" t="s">
        <v>509</v>
      </c>
      <c r="E296" s="4" t="s">
        <v>511</v>
      </c>
      <c r="F296" s="4"/>
      <c r="G296" s="7"/>
      <c r="H296" s="4">
        <v>0</v>
      </c>
      <c r="I296" s="7">
        <v>0</v>
      </c>
    </row>
    <row r="297" spans="1:9">
      <c r="A297" s="4" t="s">
        <v>9</v>
      </c>
      <c r="B297" s="4"/>
      <c r="C297" s="4" t="s">
        <v>512</v>
      </c>
      <c r="D297" s="4" t="s">
        <v>509</v>
      </c>
      <c r="E297" s="4" t="s">
        <v>513</v>
      </c>
      <c r="F297" s="4"/>
      <c r="G297" s="7"/>
      <c r="H297" s="4">
        <v>0</v>
      </c>
      <c r="I297" s="7">
        <v>0</v>
      </c>
    </row>
    <row r="298" spans="1:9">
      <c r="A298" s="4" t="s">
        <v>9</v>
      </c>
      <c r="B298" s="4"/>
      <c r="C298" s="4" t="s">
        <v>514</v>
      </c>
      <c r="D298" s="4" t="s">
        <v>509</v>
      </c>
      <c r="E298" s="4" t="s">
        <v>515</v>
      </c>
      <c r="F298" s="4"/>
      <c r="G298" s="7"/>
      <c r="H298" s="4">
        <v>0</v>
      </c>
      <c r="I298" s="7">
        <v>0</v>
      </c>
    </row>
    <row r="299" spans="1:9">
      <c r="A299" s="4" t="s">
        <v>9</v>
      </c>
      <c r="B299" s="4"/>
      <c r="C299" s="4" t="s">
        <v>516</v>
      </c>
      <c r="D299" s="4" t="s">
        <v>509</v>
      </c>
      <c r="E299" s="4" t="s">
        <v>517</v>
      </c>
      <c r="F299" s="4"/>
      <c r="G299" s="7"/>
      <c r="H299" s="4">
        <v>0</v>
      </c>
      <c r="I299" s="7">
        <v>0</v>
      </c>
    </row>
    <row r="300" spans="1:9">
      <c r="A300" s="4" t="s">
        <v>9</v>
      </c>
      <c r="B300" s="4"/>
      <c r="C300" s="4" t="s">
        <v>518</v>
      </c>
      <c r="D300" s="4" t="s">
        <v>509</v>
      </c>
      <c r="E300" s="4" t="s">
        <v>519</v>
      </c>
      <c r="F300" s="4"/>
      <c r="G300" s="7"/>
      <c r="H300" s="4">
        <v>0</v>
      </c>
      <c r="I300" s="7">
        <v>0</v>
      </c>
    </row>
    <row r="301" spans="1:9">
      <c r="A301" s="4" t="s">
        <v>9</v>
      </c>
      <c r="B301" s="4"/>
      <c r="C301" s="4" t="s">
        <v>385</v>
      </c>
      <c r="D301" s="4" t="s">
        <v>509</v>
      </c>
      <c r="E301" s="4" t="s">
        <v>386</v>
      </c>
      <c r="F301" s="4"/>
      <c r="G301" s="7"/>
      <c r="H301" s="4">
        <v>0</v>
      </c>
      <c r="I301" s="7">
        <v>0</v>
      </c>
    </row>
    <row r="302" spans="1:9">
      <c r="A302" s="4" t="s">
        <v>9</v>
      </c>
      <c r="B302" s="4"/>
      <c r="C302" s="4" t="s">
        <v>520</v>
      </c>
      <c r="D302" s="4" t="s">
        <v>509</v>
      </c>
      <c r="E302" s="4" t="s">
        <v>521</v>
      </c>
      <c r="F302" s="4"/>
      <c r="G302" s="7"/>
      <c r="H302" s="4">
        <v>0</v>
      </c>
      <c r="I302" s="7">
        <v>0</v>
      </c>
    </row>
    <row r="303" spans="1:9">
      <c r="A303" s="4" t="s">
        <v>9</v>
      </c>
      <c r="B303" s="4"/>
      <c r="C303" s="4" t="s">
        <v>522</v>
      </c>
      <c r="D303" s="4" t="s">
        <v>509</v>
      </c>
      <c r="E303" s="4" t="s">
        <v>523</v>
      </c>
      <c r="F303" s="4"/>
      <c r="G303" s="7"/>
      <c r="H303" s="4">
        <v>0</v>
      </c>
      <c r="I303" s="7">
        <v>0</v>
      </c>
    </row>
    <row r="304" spans="1:9">
      <c r="A304" s="4" t="s">
        <v>9</v>
      </c>
      <c r="B304" s="4"/>
      <c r="C304" s="4" t="s">
        <v>524</v>
      </c>
      <c r="D304" s="4" t="s">
        <v>509</v>
      </c>
      <c r="E304" s="4" t="s">
        <v>525</v>
      </c>
      <c r="F304" s="4"/>
      <c r="G304" s="7"/>
      <c r="H304" s="4">
        <v>0</v>
      </c>
      <c r="I304" s="7">
        <v>0</v>
      </c>
    </row>
    <row r="305" spans="1:9">
      <c r="A305" s="4" t="s">
        <v>9</v>
      </c>
      <c r="B305" s="4"/>
      <c r="C305" s="4" t="s">
        <v>526</v>
      </c>
      <c r="D305" s="4" t="s">
        <v>509</v>
      </c>
      <c r="E305" s="4" t="s">
        <v>527</v>
      </c>
      <c r="F305" s="4"/>
      <c r="G305" s="7"/>
      <c r="H305" s="4">
        <v>0</v>
      </c>
      <c r="I305" s="7">
        <v>0</v>
      </c>
    </row>
    <row r="306" spans="1:9">
      <c r="A306" s="4" t="s">
        <v>9</v>
      </c>
      <c r="B306" s="4"/>
      <c r="C306" s="4" t="s">
        <v>528</v>
      </c>
      <c r="D306" s="4" t="s">
        <v>509</v>
      </c>
      <c r="E306" s="4" t="s">
        <v>529</v>
      </c>
      <c r="F306" s="4"/>
      <c r="G306" s="7"/>
      <c r="H306" s="4">
        <v>0</v>
      </c>
      <c r="I306" s="7">
        <v>0</v>
      </c>
    </row>
    <row r="307" spans="1:9">
      <c r="A307" s="4" t="s">
        <v>9</v>
      </c>
      <c r="B307" s="4"/>
      <c r="C307" s="4" t="s">
        <v>530</v>
      </c>
      <c r="D307" s="4" t="s">
        <v>509</v>
      </c>
      <c r="E307" s="4" t="s">
        <v>531</v>
      </c>
      <c r="F307" s="4"/>
      <c r="G307" s="7"/>
      <c r="H307" s="4">
        <v>0</v>
      </c>
      <c r="I307" s="7">
        <v>0</v>
      </c>
    </row>
    <row r="308" spans="1:9">
      <c r="A308" s="4" t="s">
        <v>9</v>
      </c>
      <c r="B308" s="4"/>
      <c r="C308" s="4" t="s">
        <v>339</v>
      </c>
      <c r="D308" s="4" t="s">
        <v>509</v>
      </c>
      <c r="E308" s="4" t="s">
        <v>340</v>
      </c>
      <c r="F308" s="4"/>
      <c r="G308" s="7"/>
      <c r="H308" s="4">
        <v>0</v>
      </c>
      <c r="I308" s="7">
        <v>0</v>
      </c>
    </row>
    <row r="309" spans="1:9">
      <c r="A309" s="4" t="s">
        <v>9</v>
      </c>
      <c r="B309" s="4"/>
      <c r="C309" s="4" t="s">
        <v>127</v>
      </c>
      <c r="D309" s="4" t="s">
        <v>509</v>
      </c>
      <c r="E309" s="4" t="s">
        <v>128</v>
      </c>
      <c r="F309" s="4"/>
      <c r="G309" s="7"/>
      <c r="H309" s="4">
        <v>0</v>
      </c>
      <c r="I309" s="7">
        <v>0</v>
      </c>
    </row>
    <row r="310" spans="1:9">
      <c r="A310" s="4" t="s">
        <v>9</v>
      </c>
      <c r="B310" s="4" t="s">
        <v>9</v>
      </c>
      <c r="C310" s="4" t="s">
        <v>532</v>
      </c>
      <c r="D310" s="4" t="s">
        <v>509</v>
      </c>
      <c r="E310" s="4" t="s">
        <v>533</v>
      </c>
      <c r="F310" s="4"/>
      <c r="G310" s="7"/>
      <c r="H310" s="4">
        <v>0</v>
      </c>
      <c r="I310" s="7">
        <v>0</v>
      </c>
    </row>
    <row r="311" spans="1:9">
      <c r="A311" s="4" t="s">
        <v>9</v>
      </c>
      <c r="B311" s="4"/>
      <c r="C311" s="4" t="s">
        <v>534</v>
      </c>
      <c r="D311" s="4" t="s">
        <v>509</v>
      </c>
      <c r="E311" s="4" t="s">
        <v>535</v>
      </c>
      <c r="F311" s="4"/>
      <c r="G311" s="7"/>
      <c r="H311" s="4">
        <v>0</v>
      </c>
      <c r="I311" s="7">
        <v>0</v>
      </c>
    </row>
    <row r="312" spans="1:9">
      <c r="A312" s="4" t="s">
        <v>9</v>
      </c>
      <c r="B312" s="4"/>
      <c r="C312" s="4" t="s">
        <v>490</v>
      </c>
      <c r="D312" s="4" t="s">
        <v>509</v>
      </c>
      <c r="E312" s="4" t="s">
        <v>491</v>
      </c>
      <c r="F312" s="4"/>
      <c r="G312" s="7"/>
      <c r="H312" s="4">
        <v>0</v>
      </c>
      <c r="I312" s="7">
        <v>0</v>
      </c>
    </row>
    <row r="313" spans="1:9">
      <c r="A313" s="4" t="s">
        <v>9</v>
      </c>
      <c r="B313" s="4"/>
      <c r="C313" s="4" t="s">
        <v>536</v>
      </c>
      <c r="D313" s="4" t="s">
        <v>509</v>
      </c>
      <c r="E313" s="4" t="s">
        <v>537</v>
      </c>
      <c r="F313" s="4"/>
      <c r="G313" s="7"/>
      <c r="H313" s="4">
        <v>0</v>
      </c>
      <c r="I313" s="7">
        <v>0</v>
      </c>
    </row>
    <row r="314" spans="1:9">
      <c r="A314" s="4" t="s">
        <v>9</v>
      </c>
      <c r="B314" s="4"/>
      <c r="C314" s="4" t="s">
        <v>492</v>
      </c>
      <c r="D314" s="4" t="s">
        <v>509</v>
      </c>
      <c r="E314" s="4" t="s">
        <v>493</v>
      </c>
      <c r="F314" s="4"/>
      <c r="G314" s="7"/>
      <c r="H314" s="4">
        <v>0</v>
      </c>
      <c r="I314" s="7">
        <v>0</v>
      </c>
    </row>
    <row r="315" spans="1:9">
      <c r="A315" s="4" t="s">
        <v>9</v>
      </c>
      <c r="B315" s="4"/>
      <c r="C315" s="4" t="s">
        <v>494</v>
      </c>
      <c r="D315" s="4" t="s">
        <v>509</v>
      </c>
      <c r="E315" s="4" t="s">
        <v>495</v>
      </c>
      <c r="F315" s="4"/>
      <c r="G315" s="7"/>
      <c r="H315" s="4">
        <v>0</v>
      </c>
      <c r="I315" s="7">
        <v>0</v>
      </c>
    </row>
    <row r="316" spans="1:9">
      <c r="A316" s="4" t="s">
        <v>9</v>
      </c>
      <c r="B316" s="4"/>
      <c r="C316" s="4" t="s">
        <v>538</v>
      </c>
      <c r="D316" s="4" t="s">
        <v>509</v>
      </c>
      <c r="E316" s="4" t="s">
        <v>539</v>
      </c>
      <c r="F316" s="4"/>
      <c r="G316" s="7"/>
      <c r="H316" s="4">
        <v>0</v>
      </c>
      <c r="I316" s="7">
        <v>0</v>
      </c>
    </row>
    <row r="317" spans="1:9">
      <c r="A317" s="4" t="s">
        <v>9</v>
      </c>
      <c r="B317" s="4"/>
      <c r="C317" s="4" t="s">
        <v>496</v>
      </c>
      <c r="D317" s="4" t="s">
        <v>509</v>
      </c>
      <c r="E317" s="4" t="s">
        <v>497</v>
      </c>
      <c r="F317" s="4"/>
      <c r="G317" s="7"/>
      <c r="H317" s="4">
        <v>0</v>
      </c>
      <c r="I317" s="7">
        <v>0</v>
      </c>
    </row>
    <row r="318" spans="1:9">
      <c r="A318" s="4" t="s">
        <v>9</v>
      </c>
      <c r="B318" s="4"/>
      <c r="C318" s="4" t="s">
        <v>498</v>
      </c>
      <c r="D318" s="4" t="s">
        <v>509</v>
      </c>
      <c r="E318" s="4" t="s">
        <v>499</v>
      </c>
      <c r="F318" s="4"/>
      <c r="G318" s="7"/>
      <c r="H318" s="4">
        <v>0</v>
      </c>
      <c r="I318" s="7">
        <v>0</v>
      </c>
    </row>
    <row r="319" spans="1:9">
      <c r="A319" s="4" t="s">
        <v>9</v>
      </c>
      <c r="B319" s="4"/>
      <c r="C319" s="4" t="s">
        <v>44</v>
      </c>
      <c r="D319" s="4" t="s">
        <v>509</v>
      </c>
      <c r="E319" s="4" t="s">
        <v>45</v>
      </c>
      <c r="F319" s="4"/>
      <c r="G319" s="7"/>
      <c r="H319" s="4">
        <v>0</v>
      </c>
      <c r="I319" s="7">
        <v>0</v>
      </c>
    </row>
    <row r="320" spans="1:9">
      <c r="A320" s="4" t="s">
        <v>9</v>
      </c>
      <c r="B320" s="4"/>
      <c r="C320" s="4" t="s">
        <v>540</v>
      </c>
      <c r="D320" s="4" t="s">
        <v>541</v>
      </c>
      <c r="E320" s="4" t="s">
        <v>540</v>
      </c>
      <c r="F320" s="4"/>
      <c r="G320" s="7"/>
      <c r="H320" s="4">
        <v>1</v>
      </c>
      <c r="I320" s="7">
        <v>8.99</v>
      </c>
    </row>
    <row r="321" spans="1:9">
      <c r="A321" s="4" t="s">
        <v>9</v>
      </c>
      <c r="B321" s="4"/>
      <c r="C321" s="4" t="s">
        <v>542</v>
      </c>
      <c r="D321" s="4" t="s">
        <v>541</v>
      </c>
      <c r="E321" s="4" t="s">
        <v>543</v>
      </c>
      <c r="F321" s="4"/>
      <c r="G321" s="7"/>
      <c r="H321" s="4">
        <v>0</v>
      </c>
      <c r="I321" s="7">
        <v>0</v>
      </c>
    </row>
    <row r="322" spans="1:9">
      <c r="A322" s="4" t="s">
        <v>9</v>
      </c>
      <c r="B322" s="4"/>
      <c r="C322" s="4" t="s">
        <v>544</v>
      </c>
      <c r="D322" s="4" t="s">
        <v>545</v>
      </c>
      <c r="E322" s="4" t="s">
        <v>546</v>
      </c>
      <c r="F322" s="4"/>
      <c r="G322" s="7"/>
      <c r="H322" s="4">
        <v>1</v>
      </c>
      <c r="I322" s="7">
        <v>8.99</v>
      </c>
    </row>
    <row r="323" spans="1:9">
      <c r="A323" s="4" t="s">
        <v>9</v>
      </c>
      <c r="B323" s="4"/>
      <c r="C323" s="4" t="s">
        <v>373</v>
      </c>
      <c r="D323" s="4" t="s">
        <v>547</v>
      </c>
      <c r="E323" s="4" t="s">
        <v>374</v>
      </c>
      <c r="F323" s="4"/>
      <c r="G323" s="7"/>
      <c r="H323" s="4">
        <v>1</v>
      </c>
      <c r="I323" s="7">
        <v>8.99</v>
      </c>
    </row>
    <row r="324" spans="1:9">
      <c r="A324" s="4" t="s">
        <v>9</v>
      </c>
      <c r="B324" s="4"/>
      <c r="C324" s="4" t="s">
        <v>103</v>
      </c>
      <c r="D324" s="4" t="s">
        <v>547</v>
      </c>
      <c r="E324" s="4" t="s">
        <v>104</v>
      </c>
      <c r="F324" s="4"/>
      <c r="G324" s="7"/>
      <c r="H324" s="4">
        <v>0</v>
      </c>
      <c r="I324" s="7">
        <v>0</v>
      </c>
    </row>
    <row r="325" spans="1:9">
      <c r="A325" s="4" t="s">
        <v>9</v>
      </c>
      <c r="B325" s="4"/>
      <c r="C325" s="4" t="s">
        <v>548</v>
      </c>
      <c r="D325" s="4" t="s">
        <v>547</v>
      </c>
      <c r="E325" s="4" t="s">
        <v>549</v>
      </c>
      <c r="F325" s="4"/>
      <c r="G325" s="7"/>
      <c r="H325" s="4">
        <v>0</v>
      </c>
      <c r="I325" s="7">
        <v>0</v>
      </c>
    </row>
    <row r="326" spans="1:9">
      <c r="A326" s="4" t="s">
        <v>9</v>
      </c>
      <c r="B326" s="4"/>
      <c r="C326" s="4" t="s">
        <v>383</v>
      </c>
      <c r="D326" s="4" t="s">
        <v>547</v>
      </c>
      <c r="E326" s="4" t="s">
        <v>384</v>
      </c>
      <c r="F326" s="4"/>
      <c r="G326" s="7"/>
      <c r="H326" s="4">
        <v>0</v>
      </c>
      <c r="I326" s="7">
        <v>0</v>
      </c>
    </row>
    <row r="327" spans="1:9">
      <c r="A327" s="4" t="s">
        <v>9</v>
      </c>
      <c r="B327" s="4"/>
      <c r="C327" s="4" t="s">
        <v>550</v>
      </c>
      <c r="D327" s="4" t="s">
        <v>547</v>
      </c>
      <c r="E327" s="4" t="s">
        <v>551</v>
      </c>
      <c r="F327" s="4"/>
      <c r="G327" s="7"/>
      <c r="H327" s="4">
        <v>0</v>
      </c>
      <c r="I327" s="7">
        <v>0</v>
      </c>
    </row>
    <row r="328" spans="1:9">
      <c r="A328" s="4" t="s">
        <v>9</v>
      </c>
      <c r="B328" s="4"/>
      <c r="C328" s="4" t="s">
        <v>552</v>
      </c>
      <c r="D328" s="4" t="s">
        <v>547</v>
      </c>
      <c r="E328" s="4" t="s">
        <v>553</v>
      </c>
      <c r="F328" s="4"/>
      <c r="G328" s="7"/>
      <c r="H328" s="4">
        <v>0</v>
      </c>
      <c r="I328" s="7">
        <v>0</v>
      </c>
    </row>
    <row r="329" spans="1:9">
      <c r="A329" s="4" t="s">
        <v>9</v>
      </c>
      <c r="B329" s="4"/>
      <c r="C329" s="4" t="s">
        <v>554</v>
      </c>
      <c r="D329" s="4" t="s">
        <v>555</v>
      </c>
      <c r="E329" s="4" t="s">
        <v>556</v>
      </c>
      <c r="F329" s="4"/>
      <c r="G329" s="7"/>
      <c r="H329" s="4">
        <v>1</v>
      </c>
      <c r="I329" s="7">
        <v>8.99</v>
      </c>
    </row>
    <row r="330" spans="1:9">
      <c r="A330" s="4" t="s">
        <v>9</v>
      </c>
      <c r="B330" s="4"/>
      <c r="C330" s="4" t="s">
        <v>557</v>
      </c>
      <c r="D330" s="4" t="s">
        <v>555</v>
      </c>
      <c r="E330" s="4" t="s">
        <v>558</v>
      </c>
      <c r="F330" s="4"/>
      <c r="G330" s="7"/>
      <c r="H330" s="4">
        <v>0</v>
      </c>
      <c r="I330" s="7">
        <v>0</v>
      </c>
    </row>
    <row r="331" spans="1:9">
      <c r="A331" s="4" t="s">
        <v>9</v>
      </c>
      <c r="B331" s="4"/>
      <c r="C331" s="4" t="s">
        <v>559</v>
      </c>
      <c r="D331" s="4" t="s">
        <v>555</v>
      </c>
      <c r="E331" s="4" t="s">
        <v>27</v>
      </c>
      <c r="F331" s="4"/>
      <c r="G331" s="7"/>
      <c r="H331" s="4">
        <v>0</v>
      </c>
      <c r="I331" s="7">
        <v>0</v>
      </c>
    </row>
    <row r="332" spans="1:9">
      <c r="A332" s="4" t="s">
        <v>9</v>
      </c>
      <c r="B332" s="4"/>
      <c r="C332" s="4" t="s">
        <v>560</v>
      </c>
      <c r="D332" s="4" t="s">
        <v>555</v>
      </c>
      <c r="E332" s="4" t="s">
        <v>561</v>
      </c>
      <c r="F332" s="4"/>
      <c r="G332" s="7"/>
      <c r="H332" s="4">
        <v>0</v>
      </c>
      <c r="I332" s="7">
        <v>0</v>
      </c>
    </row>
    <row r="333" spans="1:9">
      <c r="A333" s="4" t="s">
        <v>9</v>
      </c>
      <c r="B333" s="4"/>
      <c r="C333" s="4" t="s">
        <v>536</v>
      </c>
      <c r="D333" s="4" t="s">
        <v>555</v>
      </c>
      <c r="E333" s="4" t="s">
        <v>537</v>
      </c>
      <c r="F333" s="4"/>
      <c r="G333" s="7"/>
      <c r="H333" s="4">
        <v>0</v>
      </c>
      <c r="I333" s="7">
        <v>0</v>
      </c>
    </row>
    <row r="334" spans="1:9">
      <c r="A334" s="4" t="s">
        <v>9</v>
      </c>
      <c r="B334" s="4"/>
      <c r="C334" s="4" t="s">
        <v>562</v>
      </c>
      <c r="D334" s="4" t="s">
        <v>555</v>
      </c>
      <c r="E334" s="4" t="s">
        <v>563</v>
      </c>
      <c r="F334" s="4"/>
      <c r="G334" s="7"/>
      <c r="H334" s="4">
        <v>0</v>
      </c>
      <c r="I334" s="7">
        <v>0</v>
      </c>
    </row>
    <row r="335" spans="1:9">
      <c r="A335" s="4" t="s">
        <v>9</v>
      </c>
      <c r="B335" s="4"/>
      <c r="C335" s="4" t="s">
        <v>564</v>
      </c>
      <c r="D335" s="4" t="s">
        <v>555</v>
      </c>
      <c r="E335" s="4" t="s">
        <v>565</v>
      </c>
      <c r="F335" s="4"/>
      <c r="G335" s="7"/>
      <c r="H335" s="4">
        <v>0</v>
      </c>
      <c r="I335" s="7">
        <v>0</v>
      </c>
    </row>
    <row r="336" spans="1:9">
      <c r="A336" s="4" t="s">
        <v>9</v>
      </c>
      <c r="B336" s="4"/>
      <c r="C336" s="4" t="s">
        <v>566</v>
      </c>
      <c r="D336" s="4" t="s">
        <v>555</v>
      </c>
      <c r="E336" s="4"/>
      <c r="F336" s="4"/>
      <c r="G336" s="7"/>
      <c r="H336" s="4">
        <v>0</v>
      </c>
      <c r="I336" s="7">
        <v>0</v>
      </c>
    </row>
    <row r="337" spans="1:9">
      <c r="A337" s="4" t="s">
        <v>9</v>
      </c>
      <c r="B337" s="4"/>
      <c r="C337" s="4" t="s">
        <v>567</v>
      </c>
      <c r="D337" s="4" t="s">
        <v>555</v>
      </c>
      <c r="E337" s="4" t="s">
        <v>568</v>
      </c>
      <c r="F337" s="4"/>
      <c r="G337" s="7"/>
      <c r="H337" s="4">
        <v>0</v>
      </c>
      <c r="I337" s="7">
        <v>0</v>
      </c>
    </row>
    <row r="338" spans="1:9">
      <c r="A338" s="4" t="s">
        <v>9</v>
      </c>
      <c r="B338" s="4"/>
      <c r="C338" s="4" t="s">
        <v>569</v>
      </c>
      <c r="D338" s="4" t="s">
        <v>555</v>
      </c>
      <c r="E338" s="4" t="s">
        <v>570</v>
      </c>
      <c r="F338" s="4"/>
      <c r="G338" s="7"/>
      <c r="H338" s="4">
        <v>0</v>
      </c>
      <c r="I338" s="7">
        <v>0</v>
      </c>
    </row>
    <row r="339" spans="1:9">
      <c r="A339" s="4" t="s">
        <v>9</v>
      </c>
      <c r="B339" s="4"/>
      <c r="C339" s="4" t="s">
        <v>571</v>
      </c>
      <c r="D339" s="4" t="s">
        <v>555</v>
      </c>
      <c r="E339" s="4" t="s">
        <v>572</v>
      </c>
      <c r="F339" s="4"/>
      <c r="G339" s="7"/>
      <c r="H339" s="4">
        <v>0</v>
      </c>
      <c r="I339" s="7">
        <v>0</v>
      </c>
    </row>
    <row r="340" spans="1:9">
      <c r="A340" s="4" t="s">
        <v>9</v>
      </c>
      <c r="B340" s="4"/>
      <c r="C340" s="4" t="s">
        <v>573</v>
      </c>
      <c r="D340" s="4" t="s">
        <v>555</v>
      </c>
      <c r="E340" s="4" t="s">
        <v>573</v>
      </c>
      <c r="F340" s="4"/>
      <c r="G340" s="7"/>
      <c r="H340" s="4">
        <v>0</v>
      </c>
      <c r="I340" s="7">
        <v>0</v>
      </c>
    </row>
    <row r="341" spans="1:9">
      <c r="A341" s="4" t="s">
        <v>9</v>
      </c>
      <c r="B341" s="4"/>
      <c r="C341" s="4" t="s">
        <v>574</v>
      </c>
      <c r="D341" s="4" t="s">
        <v>555</v>
      </c>
      <c r="E341" s="4"/>
      <c r="F341" s="4"/>
      <c r="G341" s="7"/>
      <c r="H341" s="4">
        <v>0</v>
      </c>
      <c r="I341" s="7">
        <v>0</v>
      </c>
    </row>
    <row r="342" spans="1:9">
      <c r="A342" s="4" t="s">
        <v>9</v>
      </c>
      <c r="B342" s="4"/>
      <c r="C342" s="4" t="s">
        <v>575</v>
      </c>
      <c r="D342" s="4" t="s">
        <v>555</v>
      </c>
      <c r="E342" s="4" t="s">
        <v>576</v>
      </c>
      <c r="F342" s="4"/>
      <c r="G342" s="7"/>
      <c r="H342" s="4">
        <v>0</v>
      </c>
      <c r="I342" s="7">
        <v>0</v>
      </c>
    </row>
    <row r="343" spans="1:9">
      <c r="A343" s="4" t="s">
        <v>9</v>
      </c>
      <c r="B343" s="4"/>
      <c r="C343" s="4" t="s">
        <v>577</v>
      </c>
      <c r="D343" s="4" t="s">
        <v>555</v>
      </c>
      <c r="E343" s="4" t="s">
        <v>578</v>
      </c>
      <c r="F343" s="4"/>
      <c r="G343" s="7"/>
      <c r="H343" s="4">
        <v>0</v>
      </c>
      <c r="I343" s="7">
        <v>0</v>
      </c>
    </row>
    <row r="344" spans="1:9">
      <c r="A344" s="4" t="s">
        <v>9</v>
      </c>
      <c r="B344" s="4"/>
      <c r="C344" s="4" t="s">
        <v>579</v>
      </c>
      <c r="D344" s="4" t="s">
        <v>555</v>
      </c>
      <c r="E344" s="4" t="s">
        <v>580</v>
      </c>
      <c r="F344" s="4"/>
      <c r="G344" s="7"/>
      <c r="H344" s="4">
        <v>0</v>
      </c>
      <c r="I344" s="7">
        <v>0</v>
      </c>
    </row>
    <row r="345" spans="1:9">
      <c r="A345" s="4" t="s">
        <v>9</v>
      </c>
      <c r="B345" s="4"/>
      <c r="C345" s="4" t="s">
        <v>581</v>
      </c>
      <c r="D345" s="4" t="s">
        <v>555</v>
      </c>
      <c r="E345" s="4" t="s">
        <v>582</v>
      </c>
      <c r="F345" s="4"/>
      <c r="G345" s="7"/>
      <c r="H345" s="4">
        <v>0</v>
      </c>
      <c r="I345" s="7">
        <v>0</v>
      </c>
    </row>
    <row r="346" spans="1:9">
      <c r="A346" s="4" t="s">
        <v>9</v>
      </c>
      <c r="B346" s="4"/>
      <c r="C346" s="4" t="s">
        <v>583</v>
      </c>
      <c r="D346" s="4" t="s">
        <v>584</v>
      </c>
      <c r="E346" s="4" t="s">
        <v>585</v>
      </c>
      <c r="F346" s="4"/>
      <c r="G346" s="7"/>
      <c r="H346" s="4">
        <v>1</v>
      </c>
      <c r="I346" s="7">
        <v>8.99</v>
      </c>
    </row>
    <row r="347" spans="1:9">
      <c r="A347" s="4" t="s">
        <v>9</v>
      </c>
      <c r="B347" s="4"/>
      <c r="C347" s="4">
        <v>73123</v>
      </c>
      <c r="D347" s="4" t="s">
        <v>584</v>
      </c>
      <c r="E347" s="4" t="s">
        <v>33</v>
      </c>
      <c r="F347" s="4"/>
      <c r="G347" s="7"/>
      <c r="H347" s="4">
        <v>0</v>
      </c>
      <c r="I347" s="7">
        <v>0</v>
      </c>
    </row>
    <row r="348" spans="1:9">
      <c r="A348" s="4" t="s">
        <v>9</v>
      </c>
      <c r="B348" s="4"/>
      <c r="C348" s="4" t="s">
        <v>586</v>
      </c>
      <c r="D348" s="4" t="s">
        <v>584</v>
      </c>
      <c r="E348" s="4" t="s">
        <v>587</v>
      </c>
      <c r="F348" s="4"/>
      <c r="G348" s="7"/>
      <c r="H348" s="4">
        <v>0</v>
      </c>
      <c r="I348" s="7">
        <v>0</v>
      </c>
    </row>
    <row r="349" spans="1:9">
      <c r="A349" s="4" t="s">
        <v>9</v>
      </c>
      <c r="B349" s="4"/>
      <c r="C349" s="4" t="s">
        <v>588</v>
      </c>
      <c r="D349" s="4" t="s">
        <v>584</v>
      </c>
      <c r="E349" s="4" t="s">
        <v>589</v>
      </c>
      <c r="F349" s="4"/>
      <c r="G349" s="7"/>
      <c r="H349" s="4">
        <v>0</v>
      </c>
      <c r="I349" s="7">
        <v>0</v>
      </c>
    </row>
    <row r="350" spans="1:9">
      <c r="A350" s="4" t="s">
        <v>9</v>
      </c>
      <c r="B350" s="4"/>
      <c r="C350" s="4" t="s">
        <v>590</v>
      </c>
      <c r="D350" s="4" t="s">
        <v>584</v>
      </c>
      <c r="E350" s="4" t="s">
        <v>591</v>
      </c>
      <c r="F350" s="4"/>
      <c r="G350" s="7"/>
      <c r="H350" s="4">
        <v>0</v>
      </c>
      <c r="I350" s="7">
        <v>0</v>
      </c>
    </row>
    <row r="351" spans="1:9">
      <c r="A351" s="4" t="s">
        <v>9</v>
      </c>
      <c r="B351" s="4"/>
      <c r="C351" s="4" t="s">
        <v>592</v>
      </c>
      <c r="D351" s="4" t="s">
        <v>584</v>
      </c>
      <c r="E351" s="4" t="s">
        <v>593</v>
      </c>
      <c r="F351" s="4"/>
      <c r="G351" s="7"/>
      <c r="H351" s="4">
        <v>0</v>
      </c>
      <c r="I351" s="7">
        <v>0</v>
      </c>
    </row>
    <row r="352" spans="1:9">
      <c r="A352" s="4" t="s">
        <v>9</v>
      </c>
      <c r="B352" s="4"/>
      <c r="C352" s="4" t="s">
        <v>274</v>
      </c>
      <c r="D352" s="4" t="s">
        <v>584</v>
      </c>
      <c r="E352" s="4" t="s">
        <v>275</v>
      </c>
      <c r="F352" s="4"/>
      <c r="G352" s="7"/>
      <c r="H352" s="4">
        <v>0</v>
      </c>
      <c r="I352" s="7">
        <v>0</v>
      </c>
    </row>
    <row r="353" spans="1:9">
      <c r="A353" s="4" t="s">
        <v>9</v>
      </c>
      <c r="B353" s="4"/>
      <c r="C353" s="4" t="s">
        <v>423</v>
      </c>
      <c r="D353" s="4" t="s">
        <v>584</v>
      </c>
      <c r="E353" s="4" t="s">
        <v>37</v>
      </c>
      <c r="F353" s="4"/>
      <c r="G353" s="7"/>
      <c r="H353" s="4">
        <v>0</v>
      </c>
      <c r="I353" s="7">
        <v>0</v>
      </c>
    </row>
    <row r="354" spans="1:9">
      <c r="A354" s="4" t="s">
        <v>9</v>
      </c>
      <c r="B354" s="4"/>
      <c r="C354" s="4" t="s">
        <v>36</v>
      </c>
      <c r="D354" s="4" t="s">
        <v>584</v>
      </c>
      <c r="E354" s="4" t="s">
        <v>37</v>
      </c>
      <c r="F354" s="4"/>
      <c r="G354" s="7"/>
      <c r="H354" s="4">
        <v>0</v>
      </c>
      <c r="I354" s="7">
        <v>0</v>
      </c>
    </row>
    <row r="355" spans="1:9">
      <c r="A355" s="4" t="s">
        <v>9</v>
      </c>
      <c r="B355" s="4"/>
      <c r="C355" s="4" t="s">
        <v>594</v>
      </c>
      <c r="D355" s="4" t="s">
        <v>584</v>
      </c>
      <c r="E355" s="4" t="s">
        <v>580</v>
      </c>
      <c r="F355" s="4"/>
      <c r="G355" s="7"/>
      <c r="H355" s="4">
        <v>0</v>
      </c>
      <c r="I355" s="7">
        <v>0</v>
      </c>
    </row>
    <row r="356" spans="1:9">
      <c r="A356" s="4" t="s">
        <v>9</v>
      </c>
      <c r="B356" s="4"/>
      <c r="C356" s="4" t="s">
        <v>595</v>
      </c>
      <c r="D356" s="4" t="s">
        <v>584</v>
      </c>
      <c r="E356" s="4" t="s">
        <v>596</v>
      </c>
      <c r="F356" s="4"/>
      <c r="G356" s="7"/>
      <c r="H356" s="4">
        <v>0</v>
      </c>
      <c r="I356" s="7">
        <v>0</v>
      </c>
    </row>
    <row r="357" spans="1:9">
      <c r="A357" s="4" t="s">
        <v>9</v>
      </c>
      <c r="B357" s="4"/>
      <c r="C357" s="4" t="s">
        <v>597</v>
      </c>
      <c r="D357" s="4" t="s">
        <v>584</v>
      </c>
      <c r="E357" s="4" t="s">
        <v>598</v>
      </c>
      <c r="F357" s="4"/>
      <c r="G357" s="7"/>
      <c r="H357" s="4">
        <v>0</v>
      </c>
      <c r="I357" s="7">
        <v>0</v>
      </c>
    </row>
    <row r="358" spans="1:9">
      <c r="A358" s="4" t="s">
        <v>9</v>
      </c>
      <c r="B358" s="4"/>
      <c r="C358" s="4">
        <v>71124610</v>
      </c>
      <c r="D358" s="4" t="s">
        <v>599</v>
      </c>
      <c r="E358" s="4" t="s">
        <v>600</v>
      </c>
      <c r="F358" s="4"/>
      <c r="G358" s="7"/>
      <c r="H358" s="4">
        <v>1</v>
      </c>
      <c r="I358" s="7">
        <v>8.99</v>
      </c>
    </row>
    <row r="359" spans="1:9">
      <c r="A359" s="4" t="s">
        <v>9</v>
      </c>
      <c r="B359" s="4"/>
      <c r="C359" s="4" t="s">
        <v>601</v>
      </c>
      <c r="D359" s="4" t="s">
        <v>599</v>
      </c>
      <c r="E359" s="4" t="s">
        <v>602</v>
      </c>
      <c r="F359" s="4"/>
      <c r="G359" s="7"/>
      <c r="H359" s="4">
        <v>0</v>
      </c>
      <c r="I359" s="7">
        <v>0</v>
      </c>
    </row>
    <row r="360" spans="1:9">
      <c r="A360" s="4" t="s">
        <v>9</v>
      </c>
      <c r="B360" s="4"/>
      <c r="C360" s="4" t="s">
        <v>603</v>
      </c>
      <c r="D360" s="4" t="s">
        <v>599</v>
      </c>
      <c r="E360" s="4" t="s">
        <v>603</v>
      </c>
      <c r="F360" s="4"/>
      <c r="G360" s="7"/>
      <c r="H360" s="4">
        <v>0</v>
      </c>
      <c r="I360" s="7">
        <v>0</v>
      </c>
    </row>
    <row r="361" spans="1:9">
      <c r="A361" s="4" t="s">
        <v>9</v>
      </c>
      <c r="B361" s="4"/>
      <c r="C361" s="4" t="s">
        <v>604</v>
      </c>
      <c r="D361" s="4" t="s">
        <v>599</v>
      </c>
      <c r="E361" s="4" t="s">
        <v>605</v>
      </c>
      <c r="F361" s="4"/>
      <c r="G361" s="7"/>
      <c r="H361" s="4">
        <v>0</v>
      </c>
      <c r="I361" s="7">
        <v>0</v>
      </c>
    </row>
    <row r="362" spans="1:9">
      <c r="A362" s="4" t="s">
        <v>9</v>
      </c>
      <c r="B362" s="4"/>
      <c r="C362" s="4" t="s">
        <v>247</v>
      </c>
      <c r="D362" s="4" t="s">
        <v>599</v>
      </c>
      <c r="E362" s="4" t="s">
        <v>247</v>
      </c>
      <c r="F362" s="4"/>
      <c r="G362" s="7"/>
      <c r="H362" s="4">
        <v>0</v>
      </c>
      <c r="I362" s="7">
        <v>0</v>
      </c>
    </row>
    <row r="363" spans="1:9">
      <c r="A363" s="4" t="s">
        <v>9</v>
      </c>
      <c r="B363" s="4"/>
      <c r="C363" s="4" t="s">
        <v>248</v>
      </c>
      <c r="D363" s="4" t="s">
        <v>599</v>
      </c>
      <c r="E363" s="4" t="s">
        <v>248</v>
      </c>
      <c r="F363" s="4"/>
      <c r="G363" s="7"/>
      <c r="H363" s="4">
        <v>0</v>
      </c>
      <c r="I363" s="7">
        <v>0</v>
      </c>
    </row>
    <row r="364" spans="1:9">
      <c r="A364" s="4" t="s">
        <v>9</v>
      </c>
      <c r="B364" s="4"/>
      <c r="C364" s="4" t="s">
        <v>606</v>
      </c>
      <c r="D364" s="4" t="s">
        <v>599</v>
      </c>
      <c r="E364" s="4" t="s">
        <v>580</v>
      </c>
      <c r="F364" s="4"/>
      <c r="G364" s="7"/>
      <c r="H364" s="4">
        <v>0</v>
      </c>
      <c r="I364" s="7">
        <v>0</v>
      </c>
    </row>
    <row r="365" spans="1:9">
      <c r="A365" s="4" t="s">
        <v>9</v>
      </c>
      <c r="B365" s="4"/>
      <c r="C365" s="4" t="s">
        <v>607</v>
      </c>
      <c r="D365" s="4" t="s">
        <v>599</v>
      </c>
      <c r="E365" s="4" t="s">
        <v>607</v>
      </c>
      <c r="F365" s="4"/>
      <c r="G365" s="7"/>
      <c r="H365" s="4">
        <v>0</v>
      </c>
      <c r="I365" s="7">
        <v>0</v>
      </c>
    </row>
    <row r="366" spans="1:9">
      <c r="A366" s="4" t="s">
        <v>9</v>
      </c>
      <c r="B366" s="4"/>
      <c r="C366" s="4" t="s">
        <v>608</v>
      </c>
      <c r="D366" s="4" t="s">
        <v>609</v>
      </c>
      <c r="E366" s="4" t="s">
        <v>610</v>
      </c>
      <c r="F366" s="4"/>
      <c r="G366" s="7"/>
      <c r="H366" s="4">
        <v>1</v>
      </c>
      <c r="I366" s="7">
        <v>8.99</v>
      </c>
    </row>
    <row r="367" spans="1:9">
      <c r="A367" s="4" t="s">
        <v>9</v>
      </c>
      <c r="B367" s="4"/>
      <c r="C367" s="4" t="s">
        <v>611</v>
      </c>
      <c r="D367" s="4" t="s">
        <v>609</v>
      </c>
      <c r="E367" s="4" t="s">
        <v>612</v>
      </c>
      <c r="F367" s="4"/>
      <c r="G367" s="7"/>
      <c r="H367" s="4">
        <v>0</v>
      </c>
      <c r="I367" s="7">
        <v>0</v>
      </c>
    </row>
    <row r="368" spans="1:9">
      <c r="A368" s="4" t="s">
        <v>9</v>
      </c>
      <c r="B368" s="4"/>
      <c r="C368" s="4" t="s">
        <v>613</v>
      </c>
      <c r="D368" s="4" t="s">
        <v>609</v>
      </c>
      <c r="E368" s="4" t="s">
        <v>614</v>
      </c>
      <c r="F368" s="4"/>
      <c r="G368" s="7"/>
      <c r="H368" s="4">
        <v>0</v>
      </c>
      <c r="I368" s="7">
        <v>0</v>
      </c>
    </row>
    <row r="369" spans="1:9">
      <c r="A369" s="4" t="s">
        <v>9</v>
      </c>
      <c r="B369" s="4"/>
      <c r="C369" s="4" t="s">
        <v>615</v>
      </c>
      <c r="D369" s="4" t="s">
        <v>609</v>
      </c>
      <c r="E369" s="4" t="s">
        <v>616</v>
      </c>
      <c r="F369" s="4"/>
      <c r="G369" s="7"/>
      <c r="H369" s="4">
        <v>0</v>
      </c>
      <c r="I369" s="7">
        <v>0</v>
      </c>
    </row>
    <row r="370" spans="1:9">
      <c r="A370" s="4" t="s">
        <v>9</v>
      </c>
      <c r="B370" s="4"/>
      <c r="C370" s="4" t="s">
        <v>617</v>
      </c>
      <c r="D370" s="4" t="s">
        <v>609</v>
      </c>
      <c r="E370" s="4" t="s">
        <v>618</v>
      </c>
      <c r="F370" s="4"/>
      <c r="G370" s="7"/>
      <c r="H370" s="4">
        <v>0</v>
      </c>
      <c r="I370" s="7">
        <v>0</v>
      </c>
    </row>
    <row r="371" spans="1:9">
      <c r="A371" s="4" t="s">
        <v>9</v>
      </c>
      <c r="B371" s="4"/>
      <c r="C371" s="4" t="s">
        <v>619</v>
      </c>
      <c r="D371" s="4" t="s">
        <v>609</v>
      </c>
      <c r="E371" s="4" t="s">
        <v>580</v>
      </c>
      <c r="F371" s="4"/>
      <c r="G371" s="7"/>
      <c r="H371" s="4">
        <v>0</v>
      </c>
      <c r="I371" s="7">
        <v>0</v>
      </c>
    </row>
    <row r="372" spans="1:9">
      <c r="A372" s="4" t="s">
        <v>9</v>
      </c>
      <c r="B372" s="4"/>
      <c r="C372" s="4" t="s">
        <v>620</v>
      </c>
      <c r="D372" s="4" t="s">
        <v>621</v>
      </c>
      <c r="E372" s="4" t="s">
        <v>622</v>
      </c>
      <c r="F372" s="4"/>
      <c r="G372" s="7"/>
      <c r="H372" s="4">
        <v>1</v>
      </c>
      <c r="I372" s="7">
        <v>8.99</v>
      </c>
    </row>
    <row r="373" spans="1:9">
      <c r="A373" s="4" t="s">
        <v>9</v>
      </c>
      <c r="B373" s="4"/>
      <c r="C373" s="4" t="s">
        <v>623</v>
      </c>
      <c r="D373" s="4" t="s">
        <v>621</v>
      </c>
      <c r="E373" s="4" t="s">
        <v>624</v>
      </c>
      <c r="F373" s="4"/>
      <c r="G373" s="7"/>
      <c r="H373" s="4">
        <v>0</v>
      </c>
      <c r="I373" s="7">
        <v>0</v>
      </c>
    </row>
    <row r="374" spans="1:9">
      <c r="A374" s="4" t="s">
        <v>9</v>
      </c>
      <c r="B374" s="4"/>
      <c r="C374" s="4" t="s">
        <v>625</v>
      </c>
      <c r="D374" s="4" t="s">
        <v>621</v>
      </c>
      <c r="E374" s="4" t="s">
        <v>625</v>
      </c>
      <c r="F374" s="4"/>
      <c r="G374" s="7"/>
      <c r="H374" s="4">
        <v>0</v>
      </c>
      <c r="I374" s="7">
        <v>0</v>
      </c>
    </row>
    <row r="375" spans="1:9">
      <c r="A375" s="4" t="s">
        <v>9</v>
      </c>
      <c r="B375" s="4"/>
      <c r="C375" s="4" t="s">
        <v>626</v>
      </c>
      <c r="D375" s="4" t="s">
        <v>621</v>
      </c>
      <c r="E375" s="4" t="s">
        <v>626</v>
      </c>
      <c r="F375" s="4"/>
      <c r="G375" s="7"/>
      <c r="H375" s="4">
        <v>0</v>
      </c>
      <c r="I375" s="7">
        <v>0</v>
      </c>
    </row>
    <row r="376" spans="1:9">
      <c r="A376" s="4" t="s">
        <v>9</v>
      </c>
      <c r="B376" s="4"/>
      <c r="C376" s="4" t="s">
        <v>627</v>
      </c>
      <c r="D376" s="4" t="s">
        <v>621</v>
      </c>
      <c r="E376" s="4" t="s">
        <v>627</v>
      </c>
      <c r="F376" s="4"/>
      <c r="G376" s="7"/>
      <c r="H376" s="4">
        <v>0</v>
      </c>
      <c r="I376" s="7">
        <v>0</v>
      </c>
    </row>
    <row r="377" spans="1:9">
      <c r="A377" s="4" t="s">
        <v>9</v>
      </c>
      <c r="B377" s="4"/>
      <c r="C377" s="4" t="s">
        <v>628</v>
      </c>
      <c r="D377" s="4" t="s">
        <v>621</v>
      </c>
      <c r="E377" s="4" t="s">
        <v>629</v>
      </c>
      <c r="F377" s="4"/>
      <c r="G377" s="7"/>
      <c r="H377" s="4">
        <v>0</v>
      </c>
      <c r="I377" s="7">
        <v>0</v>
      </c>
    </row>
    <row r="378" spans="1:9">
      <c r="A378" s="4" t="s">
        <v>9</v>
      </c>
      <c r="B378" s="4"/>
      <c r="C378" s="4" t="s">
        <v>630</v>
      </c>
      <c r="D378" s="4" t="s">
        <v>621</v>
      </c>
      <c r="E378" s="4" t="s">
        <v>580</v>
      </c>
      <c r="F378" s="4"/>
      <c r="G378" s="7"/>
      <c r="H378" s="4">
        <v>0</v>
      </c>
      <c r="I378" s="7">
        <v>0</v>
      </c>
    </row>
    <row r="379" spans="1:9">
      <c r="A379" s="4" t="s">
        <v>9</v>
      </c>
      <c r="B379" s="4"/>
      <c r="C379" s="4" t="s">
        <v>402</v>
      </c>
      <c r="D379" s="4" t="s">
        <v>621</v>
      </c>
      <c r="E379" s="4" t="s">
        <v>403</v>
      </c>
      <c r="F379" s="4"/>
      <c r="G379" s="7"/>
      <c r="H379" s="4">
        <v>0</v>
      </c>
      <c r="I379" s="7">
        <v>0</v>
      </c>
    </row>
    <row r="380" spans="1:9">
      <c r="A380" s="4" t="s">
        <v>9</v>
      </c>
      <c r="B380" s="4"/>
      <c r="C380" s="4" t="s">
        <v>396</v>
      </c>
      <c r="D380" s="4" t="s">
        <v>631</v>
      </c>
      <c r="E380" s="4" t="s">
        <v>397</v>
      </c>
      <c r="F380" s="4"/>
      <c r="G380" s="7"/>
      <c r="H380" s="4">
        <v>1</v>
      </c>
      <c r="I380" s="7">
        <v>8.99</v>
      </c>
    </row>
    <row r="381" spans="1:9">
      <c r="A381" s="4" t="s">
        <v>9</v>
      </c>
      <c r="B381" s="4"/>
      <c r="C381" s="4" t="s">
        <v>500</v>
      </c>
      <c r="D381" s="4" t="s">
        <v>632</v>
      </c>
      <c r="E381" s="4" t="s">
        <v>502</v>
      </c>
      <c r="F381" s="4"/>
      <c r="G381" s="7"/>
      <c r="H381" s="4">
        <v>1</v>
      </c>
      <c r="I381" s="7">
        <v>8.99</v>
      </c>
    </row>
    <row r="382" spans="1:9">
      <c r="A382" s="4" t="s">
        <v>9</v>
      </c>
      <c r="B382" s="4"/>
      <c r="C382" s="4" t="s">
        <v>633</v>
      </c>
      <c r="D382" s="4" t="s">
        <v>632</v>
      </c>
      <c r="E382" s="4" t="s">
        <v>634</v>
      </c>
      <c r="F382" s="4"/>
      <c r="G382" s="7"/>
      <c r="H382" s="4">
        <v>0</v>
      </c>
      <c r="I382" s="7">
        <v>0</v>
      </c>
    </row>
    <row r="383" spans="1:9">
      <c r="A383" s="4" t="s">
        <v>9</v>
      </c>
      <c r="B383" s="4"/>
      <c r="C383" s="4" t="s">
        <v>396</v>
      </c>
      <c r="D383" s="4" t="s">
        <v>635</v>
      </c>
      <c r="E383" s="4" t="s">
        <v>397</v>
      </c>
      <c r="F383" s="4"/>
      <c r="G383" s="7"/>
      <c r="H383" s="4">
        <v>1</v>
      </c>
      <c r="I383" s="7">
        <v>8.99</v>
      </c>
    </row>
    <row r="384" spans="1:9">
      <c r="A384" s="4" t="s">
        <v>9</v>
      </c>
      <c r="B384" s="4"/>
      <c r="C384" s="4" t="s">
        <v>636</v>
      </c>
      <c r="D384" s="4" t="s">
        <v>637</v>
      </c>
      <c r="E384" s="4" t="s">
        <v>638</v>
      </c>
      <c r="F384" s="4"/>
      <c r="G384" s="7"/>
      <c r="H384" s="4">
        <v>1</v>
      </c>
      <c r="I384" s="7">
        <v>8.99</v>
      </c>
    </row>
    <row r="385" spans="1:9">
      <c r="A385" s="4" t="s">
        <v>9</v>
      </c>
      <c r="B385" s="4"/>
      <c r="C385" s="4" t="s">
        <v>133</v>
      </c>
      <c r="D385" s="4" t="s">
        <v>637</v>
      </c>
      <c r="E385" s="4" t="s">
        <v>134</v>
      </c>
      <c r="F385" s="4"/>
      <c r="G385" s="7"/>
      <c r="H385" s="4">
        <v>0</v>
      </c>
      <c r="I385" s="7">
        <v>0</v>
      </c>
    </row>
    <row r="386" spans="1:9">
      <c r="A386" s="4" t="s">
        <v>9</v>
      </c>
      <c r="B386" s="4"/>
      <c r="C386" s="4" t="s">
        <v>639</v>
      </c>
      <c r="D386" s="4" t="s">
        <v>640</v>
      </c>
      <c r="E386" s="4" t="s">
        <v>641</v>
      </c>
      <c r="F386" s="4"/>
      <c r="G386" s="7"/>
      <c r="H386" s="4">
        <v>1</v>
      </c>
      <c r="I386" s="7">
        <v>8.99</v>
      </c>
    </row>
    <row r="387" spans="1:9">
      <c r="A387" s="4" t="s">
        <v>9</v>
      </c>
      <c r="B387" s="4"/>
      <c r="C387" s="4" t="s">
        <v>642</v>
      </c>
      <c r="D387" s="4" t="s">
        <v>643</v>
      </c>
      <c r="E387" s="4" t="s">
        <v>397</v>
      </c>
      <c r="F387" s="4"/>
      <c r="G387" s="7"/>
      <c r="H387" s="4">
        <v>1</v>
      </c>
      <c r="I387" s="7">
        <v>8.99</v>
      </c>
    </row>
    <row r="388" spans="1:9">
      <c r="A388" s="4" t="s">
        <v>9</v>
      </c>
      <c r="B388" s="4"/>
      <c r="C388" s="4" t="s">
        <v>396</v>
      </c>
      <c r="D388" s="4" t="s">
        <v>643</v>
      </c>
      <c r="E388" s="4" t="s">
        <v>397</v>
      </c>
      <c r="F388" s="4"/>
      <c r="G388" s="7"/>
      <c r="H388" s="4">
        <v>0</v>
      </c>
      <c r="I388" s="7">
        <v>0</v>
      </c>
    </row>
    <row r="389" spans="1:9">
      <c r="A389" s="4" t="s">
        <v>9</v>
      </c>
      <c r="B389" s="4"/>
      <c r="C389" s="4" t="s">
        <v>644</v>
      </c>
      <c r="D389" s="4" t="s">
        <v>645</v>
      </c>
      <c r="E389" s="4" t="s">
        <v>646</v>
      </c>
      <c r="F389" s="4"/>
      <c r="G389" s="7"/>
      <c r="H389" s="4">
        <v>1</v>
      </c>
      <c r="I389" s="7">
        <v>8.99</v>
      </c>
    </row>
    <row r="390" spans="1:9">
      <c r="A390" s="4" t="s">
        <v>9</v>
      </c>
      <c r="B390" s="4"/>
      <c r="C390" s="4" t="s">
        <v>617</v>
      </c>
      <c r="D390" s="4" t="s">
        <v>647</v>
      </c>
      <c r="E390" s="4" t="s">
        <v>618</v>
      </c>
      <c r="F390" s="4"/>
      <c r="G390" s="7"/>
      <c r="H390" s="4">
        <v>1</v>
      </c>
      <c r="I390" s="7">
        <v>8.99</v>
      </c>
    </row>
    <row r="391" spans="1:9">
      <c r="A391" s="4" t="s">
        <v>9</v>
      </c>
      <c r="B391" s="4"/>
      <c r="C391" s="4" t="s">
        <v>648</v>
      </c>
      <c r="D391" s="4" t="s">
        <v>649</v>
      </c>
      <c r="E391" s="4" t="s">
        <v>650</v>
      </c>
      <c r="F391" s="4"/>
      <c r="G391" s="7"/>
      <c r="H391" s="4">
        <v>0</v>
      </c>
      <c r="I391" s="7">
        <v>0</v>
      </c>
    </row>
    <row r="392" spans="1:9">
      <c r="A392" s="4" t="s">
        <v>9</v>
      </c>
      <c r="B392" s="4" t="s">
        <v>9</v>
      </c>
      <c r="C392" s="4" t="s">
        <v>651</v>
      </c>
      <c r="D392" s="4" t="s">
        <v>652</v>
      </c>
      <c r="E392" s="4" t="s">
        <v>338</v>
      </c>
      <c r="F392" s="4"/>
      <c r="G392" s="7"/>
      <c r="H392" s="4">
        <v>1</v>
      </c>
      <c r="I392" s="7">
        <v>8.99</v>
      </c>
    </row>
    <row r="393" spans="1:9">
      <c r="A393" s="4" t="s">
        <v>9</v>
      </c>
      <c r="B393" s="4" t="s">
        <v>9</v>
      </c>
      <c r="C393" s="4" t="s">
        <v>653</v>
      </c>
      <c r="D393" s="4" t="s">
        <v>652</v>
      </c>
      <c r="E393" s="4" t="s">
        <v>338</v>
      </c>
      <c r="F393" s="4"/>
      <c r="G393" s="7"/>
      <c r="H393" s="4">
        <v>0</v>
      </c>
      <c r="I393" s="7">
        <v>0</v>
      </c>
    </row>
    <row r="394" spans="1:9">
      <c r="A394" s="4" t="s">
        <v>9</v>
      </c>
      <c r="B394" s="4" t="s">
        <v>9</v>
      </c>
      <c r="C394" s="4" t="s">
        <v>654</v>
      </c>
      <c r="D394" s="4" t="s">
        <v>652</v>
      </c>
      <c r="E394" s="4" t="s">
        <v>338</v>
      </c>
      <c r="F394" s="4"/>
      <c r="G394" s="7"/>
      <c r="H394" s="4">
        <v>0</v>
      </c>
      <c r="I394" s="7">
        <v>0</v>
      </c>
    </row>
    <row r="395" spans="1:9">
      <c r="A395" s="4" t="s">
        <v>9</v>
      </c>
      <c r="B395" s="4" t="s">
        <v>9</v>
      </c>
      <c r="C395" s="4" t="s">
        <v>655</v>
      </c>
      <c r="D395" s="4" t="s">
        <v>652</v>
      </c>
      <c r="E395" s="4" t="s">
        <v>656</v>
      </c>
      <c r="F395" s="4"/>
      <c r="G395" s="7"/>
      <c r="H395" s="4">
        <v>0</v>
      </c>
      <c r="I395" s="7">
        <v>0</v>
      </c>
    </row>
    <row r="396" spans="1:9">
      <c r="A396" s="4" t="s">
        <v>9</v>
      </c>
      <c r="B396" s="4" t="s">
        <v>9</v>
      </c>
      <c r="C396" s="4" t="s">
        <v>657</v>
      </c>
      <c r="D396" s="4" t="s">
        <v>652</v>
      </c>
      <c r="E396" s="4" t="s">
        <v>656</v>
      </c>
      <c r="F396" s="4"/>
      <c r="G396" s="7"/>
      <c r="H396" s="4">
        <v>0</v>
      </c>
      <c r="I396" s="7">
        <v>0</v>
      </c>
    </row>
    <row r="397" spans="1:9">
      <c r="A397" s="4" t="s">
        <v>9</v>
      </c>
      <c r="B397" s="4" t="s">
        <v>9</v>
      </c>
      <c r="C397" s="4" t="s">
        <v>658</v>
      </c>
      <c r="D397" s="4" t="s">
        <v>652</v>
      </c>
      <c r="E397" s="4" t="s">
        <v>656</v>
      </c>
      <c r="F397" s="4"/>
      <c r="G397" s="7"/>
      <c r="H397" s="4">
        <v>0</v>
      </c>
      <c r="I397" s="7">
        <v>0</v>
      </c>
    </row>
    <row r="398" spans="1:9">
      <c r="A398" s="4" t="s">
        <v>9</v>
      </c>
      <c r="B398" s="4" t="s">
        <v>9</v>
      </c>
      <c r="C398" s="4" t="s">
        <v>659</v>
      </c>
      <c r="D398" s="4" t="s">
        <v>652</v>
      </c>
      <c r="E398" s="4" t="s">
        <v>656</v>
      </c>
      <c r="F398" s="4"/>
      <c r="G398" s="7"/>
      <c r="H398" s="4">
        <v>0</v>
      </c>
      <c r="I398" s="7">
        <v>0</v>
      </c>
    </row>
    <row r="399" spans="1:9">
      <c r="A399" s="4" t="s">
        <v>9</v>
      </c>
      <c r="B399" s="4" t="s">
        <v>9</v>
      </c>
      <c r="C399" s="4" t="s">
        <v>660</v>
      </c>
      <c r="D399" s="4" t="s">
        <v>652</v>
      </c>
      <c r="E399" s="4" t="s">
        <v>656</v>
      </c>
      <c r="F399" s="4"/>
      <c r="G399" s="7"/>
      <c r="H399" s="4">
        <v>0</v>
      </c>
      <c r="I399" s="7">
        <v>0</v>
      </c>
    </row>
    <row r="400" spans="1:9">
      <c r="A400" s="4" t="s">
        <v>9</v>
      </c>
      <c r="B400" s="4" t="s">
        <v>9</v>
      </c>
      <c r="C400" s="4" t="s">
        <v>661</v>
      </c>
      <c r="D400" s="4" t="s">
        <v>652</v>
      </c>
      <c r="E400" s="4" t="s">
        <v>656</v>
      </c>
      <c r="F400" s="4"/>
      <c r="G400" s="7"/>
      <c r="H400" s="4">
        <v>0</v>
      </c>
      <c r="I400" s="7">
        <v>0</v>
      </c>
    </row>
    <row r="401" spans="1:9">
      <c r="A401" s="4" t="s">
        <v>9</v>
      </c>
      <c r="B401" s="4" t="s">
        <v>9</v>
      </c>
      <c r="C401" s="4" t="s">
        <v>662</v>
      </c>
      <c r="D401" s="4" t="s">
        <v>652</v>
      </c>
      <c r="E401" s="4" t="s">
        <v>656</v>
      </c>
      <c r="F401" s="4"/>
      <c r="G401" s="7"/>
      <c r="H401" s="4">
        <v>0</v>
      </c>
      <c r="I401" s="7">
        <v>0</v>
      </c>
    </row>
    <row r="402" spans="1:9">
      <c r="A402" s="4" t="s">
        <v>9</v>
      </c>
      <c r="B402" s="4" t="s">
        <v>9</v>
      </c>
      <c r="C402" s="4" t="s">
        <v>663</v>
      </c>
      <c r="D402" s="4" t="s">
        <v>652</v>
      </c>
      <c r="E402" s="4" t="s">
        <v>656</v>
      </c>
      <c r="F402" s="4"/>
      <c r="G402" s="7"/>
      <c r="H402" s="4">
        <v>0</v>
      </c>
      <c r="I402" s="7">
        <v>0</v>
      </c>
    </row>
    <row r="403" spans="1:9">
      <c r="A403" s="4" t="s">
        <v>9</v>
      </c>
      <c r="B403" s="4" t="s">
        <v>9</v>
      </c>
      <c r="C403" s="4" t="s">
        <v>664</v>
      </c>
      <c r="D403" s="4" t="s">
        <v>652</v>
      </c>
      <c r="E403" s="4" t="s">
        <v>656</v>
      </c>
      <c r="F403" s="4"/>
      <c r="G403" s="7"/>
      <c r="H403" s="4">
        <v>0</v>
      </c>
      <c r="I403" s="7">
        <v>0</v>
      </c>
    </row>
    <row r="404" spans="1:9">
      <c r="A404" s="4" t="s">
        <v>9</v>
      </c>
      <c r="B404" s="4" t="s">
        <v>9</v>
      </c>
      <c r="C404" s="4" t="s">
        <v>665</v>
      </c>
      <c r="D404" s="4" t="s">
        <v>652</v>
      </c>
      <c r="E404" s="4" t="s">
        <v>656</v>
      </c>
      <c r="F404" s="4"/>
      <c r="G404" s="7"/>
      <c r="H404" s="4">
        <v>0</v>
      </c>
      <c r="I404" s="7">
        <v>0</v>
      </c>
    </row>
    <row r="405" spans="1:9">
      <c r="A405" s="4" t="s">
        <v>9</v>
      </c>
      <c r="B405" s="4" t="s">
        <v>9</v>
      </c>
      <c r="C405" s="4" t="s">
        <v>666</v>
      </c>
      <c r="D405" s="4" t="s">
        <v>652</v>
      </c>
      <c r="E405" s="4" t="s">
        <v>656</v>
      </c>
      <c r="F405" s="4"/>
      <c r="G405" s="7"/>
      <c r="H405" s="4">
        <v>0</v>
      </c>
      <c r="I405" s="7">
        <v>0</v>
      </c>
    </row>
    <row r="406" spans="1:9">
      <c r="A406" s="4" t="s">
        <v>9</v>
      </c>
      <c r="B406" s="4" t="s">
        <v>9</v>
      </c>
      <c r="C406" s="4" t="s">
        <v>667</v>
      </c>
      <c r="D406" s="4" t="s">
        <v>652</v>
      </c>
      <c r="E406" s="4" t="s">
        <v>656</v>
      </c>
      <c r="F406" s="4"/>
      <c r="G406" s="7"/>
      <c r="H406" s="4">
        <v>0</v>
      </c>
      <c r="I406" s="7">
        <v>0</v>
      </c>
    </row>
    <row r="407" spans="1:9">
      <c r="A407" s="4" t="s">
        <v>9</v>
      </c>
      <c r="B407" s="4" t="s">
        <v>9</v>
      </c>
      <c r="C407" s="4" t="s">
        <v>668</v>
      </c>
      <c r="D407" s="4" t="s">
        <v>652</v>
      </c>
      <c r="E407" s="4" t="s">
        <v>656</v>
      </c>
      <c r="F407" s="4"/>
      <c r="G407" s="7"/>
      <c r="H407" s="4">
        <v>0</v>
      </c>
      <c r="I407" s="7">
        <v>0</v>
      </c>
    </row>
    <row r="408" spans="1:9">
      <c r="A408" s="4" t="s">
        <v>9</v>
      </c>
      <c r="B408" s="4" t="s">
        <v>9</v>
      </c>
      <c r="C408" s="4" t="s">
        <v>669</v>
      </c>
      <c r="D408" s="4" t="s">
        <v>652</v>
      </c>
      <c r="E408" s="4" t="s">
        <v>656</v>
      </c>
      <c r="F408" s="4"/>
      <c r="G408" s="7"/>
      <c r="H408" s="4">
        <v>0</v>
      </c>
      <c r="I408" s="7">
        <v>0</v>
      </c>
    </row>
    <row r="409" spans="1:9">
      <c r="A409" s="4" t="s">
        <v>9</v>
      </c>
      <c r="B409" s="4" t="s">
        <v>9</v>
      </c>
      <c r="C409" s="4" t="s">
        <v>670</v>
      </c>
      <c r="D409" s="4" t="s">
        <v>652</v>
      </c>
      <c r="E409" s="4" t="s">
        <v>656</v>
      </c>
      <c r="F409" s="4"/>
      <c r="G409" s="7"/>
      <c r="H409" s="4">
        <v>0</v>
      </c>
      <c r="I409" s="7">
        <v>0</v>
      </c>
    </row>
    <row r="410" spans="1:9">
      <c r="A410" s="4" t="s">
        <v>9</v>
      </c>
      <c r="B410" s="4" t="s">
        <v>9</v>
      </c>
      <c r="C410" s="4" t="s">
        <v>671</v>
      </c>
      <c r="D410" s="4" t="s">
        <v>652</v>
      </c>
      <c r="E410" s="4" t="s">
        <v>656</v>
      </c>
      <c r="F410" s="4"/>
      <c r="G410" s="7"/>
      <c r="H410" s="4">
        <v>0</v>
      </c>
      <c r="I410" s="7">
        <v>0</v>
      </c>
    </row>
    <row r="411" spans="1:9">
      <c r="A411" s="4" t="s">
        <v>9</v>
      </c>
      <c r="B411" s="4" t="s">
        <v>9</v>
      </c>
      <c r="C411" s="4" t="s">
        <v>672</v>
      </c>
      <c r="D411" s="4" t="s">
        <v>652</v>
      </c>
      <c r="E411" s="4" t="s">
        <v>656</v>
      </c>
      <c r="F411" s="4"/>
      <c r="G411" s="7"/>
      <c r="H411" s="4">
        <v>0</v>
      </c>
      <c r="I411" s="7">
        <v>0</v>
      </c>
    </row>
    <row r="412" spans="1:9">
      <c r="A412" s="4" t="s">
        <v>9</v>
      </c>
      <c r="B412" s="4" t="s">
        <v>9</v>
      </c>
      <c r="C412" s="4" t="s">
        <v>673</v>
      </c>
      <c r="D412" s="4" t="s">
        <v>652</v>
      </c>
      <c r="E412" s="4" t="s">
        <v>656</v>
      </c>
      <c r="F412" s="4"/>
      <c r="G412" s="7"/>
      <c r="H412" s="4">
        <v>0</v>
      </c>
      <c r="I412" s="7">
        <v>0</v>
      </c>
    </row>
    <row r="413" spans="1:9">
      <c r="A413" s="4" t="s">
        <v>9</v>
      </c>
      <c r="B413" s="4" t="s">
        <v>9</v>
      </c>
      <c r="C413" s="4" t="s">
        <v>674</v>
      </c>
      <c r="D413" s="4" t="s">
        <v>652</v>
      </c>
      <c r="E413" s="4" t="s">
        <v>656</v>
      </c>
      <c r="F413" s="4"/>
      <c r="G413" s="7"/>
      <c r="H413" s="4">
        <v>0</v>
      </c>
      <c r="I413" s="7">
        <v>0</v>
      </c>
    </row>
    <row r="414" spans="1:9">
      <c r="A414" s="4" t="s">
        <v>9</v>
      </c>
      <c r="B414" s="4" t="s">
        <v>9</v>
      </c>
      <c r="C414" s="4" t="s">
        <v>675</v>
      </c>
      <c r="D414" s="4" t="s">
        <v>652</v>
      </c>
      <c r="E414" s="4" t="s">
        <v>656</v>
      </c>
      <c r="F414" s="4"/>
      <c r="G414" s="7"/>
      <c r="H414" s="4">
        <v>0</v>
      </c>
      <c r="I414" s="7">
        <v>0</v>
      </c>
    </row>
    <row r="415" spans="1:9">
      <c r="A415" s="4" t="s">
        <v>9</v>
      </c>
      <c r="B415" s="4" t="s">
        <v>9</v>
      </c>
      <c r="C415" s="4" t="s">
        <v>676</v>
      </c>
      <c r="D415" s="4" t="s">
        <v>652</v>
      </c>
      <c r="E415" s="4" t="s">
        <v>656</v>
      </c>
      <c r="F415" s="4"/>
      <c r="G415" s="7"/>
      <c r="H415" s="4">
        <v>0</v>
      </c>
      <c r="I415" s="7">
        <v>0</v>
      </c>
    </row>
    <row r="416" spans="1:9">
      <c r="A416" s="4" t="s">
        <v>9</v>
      </c>
      <c r="B416" s="4" t="s">
        <v>9</v>
      </c>
      <c r="C416" s="4" t="s">
        <v>677</v>
      </c>
      <c r="D416" s="4" t="s">
        <v>652</v>
      </c>
      <c r="E416" s="4" t="s">
        <v>656</v>
      </c>
      <c r="F416" s="4"/>
      <c r="G416" s="7"/>
      <c r="H416" s="4">
        <v>0</v>
      </c>
      <c r="I416" s="7">
        <v>0</v>
      </c>
    </row>
    <row r="417" spans="1:9">
      <c r="A417" s="4" t="s">
        <v>9</v>
      </c>
      <c r="B417" s="4" t="s">
        <v>9</v>
      </c>
      <c r="C417" s="4" t="s">
        <v>678</v>
      </c>
      <c r="D417" s="4" t="s">
        <v>652</v>
      </c>
      <c r="E417" s="4" t="s">
        <v>679</v>
      </c>
      <c r="F417" s="4"/>
      <c r="G417" s="7"/>
      <c r="H417" s="4">
        <v>0</v>
      </c>
      <c r="I417" s="7">
        <v>0</v>
      </c>
    </row>
    <row r="418" spans="1:9">
      <c r="A418" s="4" t="s">
        <v>9</v>
      </c>
      <c r="B418" s="4" t="s">
        <v>9</v>
      </c>
      <c r="C418" s="4" t="s">
        <v>680</v>
      </c>
      <c r="D418" s="4" t="s">
        <v>652</v>
      </c>
      <c r="E418" s="4" t="s">
        <v>679</v>
      </c>
      <c r="F418" s="4"/>
      <c r="G418" s="7"/>
      <c r="H418" s="4">
        <v>0</v>
      </c>
      <c r="I418" s="7">
        <v>0</v>
      </c>
    </row>
    <row r="419" spans="1:9">
      <c r="A419" s="4" t="s">
        <v>9</v>
      </c>
      <c r="B419" s="4"/>
      <c r="C419" s="4" t="s">
        <v>681</v>
      </c>
      <c r="D419" s="4" t="s">
        <v>652</v>
      </c>
      <c r="E419" s="4" t="s">
        <v>682</v>
      </c>
      <c r="F419" s="4"/>
      <c r="G419" s="7"/>
      <c r="H419" s="4">
        <v>0</v>
      </c>
      <c r="I419" s="7">
        <v>0</v>
      </c>
    </row>
    <row r="420" spans="1:9">
      <c r="A420" s="4" t="s">
        <v>9</v>
      </c>
      <c r="B420" s="4"/>
      <c r="C420" s="4" t="s">
        <v>683</v>
      </c>
      <c r="D420" s="4" t="s">
        <v>652</v>
      </c>
      <c r="E420" s="4" t="s">
        <v>682</v>
      </c>
      <c r="F420" s="4"/>
      <c r="G420" s="7"/>
      <c r="H420" s="4">
        <v>0</v>
      </c>
      <c r="I420" s="7">
        <v>0</v>
      </c>
    </row>
    <row r="421" spans="1:9">
      <c r="A421" s="4" t="s">
        <v>9</v>
      </c>
      <c r="B421" s="4"/>
      <c r="C421" s="4" t="s">
        <v>684</v>
      </c>
      <c r="D421" s="4" t="s">
        <v>652</v>
      </c>
      <c r="E421" s="4" t="s">
        <v>682</v>
      </c>
      <c r="F421" s="4"/>
      <c r="G421" s="7"/>
      <c r="H421" s="4">
        <v>0</v>
      </c>
      <c r="I421" s="7">
        <v>0</v>
      </c>
    </row>
    <row r="422" spans="1:9">
      <c r="A422" s="4" t="s">
        <v>9</v>
      </c>
      <c r="B422" s="4"/>
      <c r="C422" s="4" t="s">
        <v>685</v>
      </c>
      <c r="D422" s="4" t="s">
        <v>652</v>
      </c>
      <c r="E422" s="4" t="s">
        <v>682</v>
      </c>
      <c r="F422" s="4"/>
      <c r="G422" s="7"/>
      <c r="H422" s="4">
        <v>0</v>
      </c>
      <c r="I422" s="7">
        <v>0</v>
      </c>
    </row>
    <row r="423" spans="1:9">
      <c r="A423" s="4" t="s">
        <v>9</v>
      </c>
      <c r="B423" s="4"/>
      <c r="C423" s="4" t="s">
        <v>686</v>
      </c>
      <c r="D423" s="4" t="s">
        <v>652</v>
      </c>
      <c r="E423" s="4" t="s">
        <v>682</v>
      </c>
      <c r="F423" s="4"/>
      <c r="G423" s="7"/>
      <c r="H423" s="4">
        <v>0</v>
      </c>
      <c r="I423" s="7">
        <v>0</v>
      </c>
    </row>
    <row r="424" spans="1:9">
      <c r="A424" s="4" t="s">
        <v>9</v>
      </c>
      <c r="B424" s="4"/>
      <c r="C424" s="4" t="s">
        <v>687</v>
      </c>
      <c r="D424" s="4" t="s">
        <v>652</v>
      </c>
      <c r="E424" s="4" t="s">
        <v>682</v>
      </c>
      <c r="F424" s="4"/>
      <c r="G424" s="7"/>
      <c r="H424" s="4">
        <v>0</v>
      </c>
      <c r="I424" s="7">
        <v>0</v>
      </c>
    </row>
    <row r="425" spans="1:9">
      <c r="A425" s="4" t="s">
        <v>9</v>
      </c>
      <c r="B425" s="4"/>
      <c r="C425" s="4" t="s">
        <v>688</v>
      </c>
      <c r="D425" s="4" t="s">
        <v>652</v>
      </c>
      <c r="E425" s="4" t="s">
        <v>682</v>
      </c>
      <c r="F425" s="4"/>
      <c r="G425" s="7"/>
      <c r="H425" s="4">
        <v>0</v>
      </c>
      <c r="I425" s="7">
        <v>0</v>
      </c>
    </row>
    <row r="426" spans="1:9">
      <c r="A426" s="4" t="s">
        <v>9</v>
      </c>
      <c r="B426" s="4"/>
      <c r="C426" s="4" t="s">
        <v>689</v>
      </c>
      <c r="D426" s="4" t="s">
        <v>652</v>
      </c>
      <c r="E426" s="4" t="s">
        <v>682</v>
      </c>
      <c r="F426" s="4"/>
      <c r="G426" s="7"/>
      <c r="H426" s="4">
        <v>0</v>
      </c>
      <c r="I426" s="7">
        <v>0</v>
      </c>
    </row>
    <row r="427" spans="1:9">
      <c r="A427" s="4" t="s">
        <v>9</v>
      </c>
      <c r="B427" s="4"/>
      <c r="C427" s="4" t="s">
        <v>690</v>
      </c>
      <c r="D427" s="4" t="s">
        <v>652</v>
      </c>
      <c r="E427" s="4" t="s">
        <v>682</v>
      </c>
      <c r="F427" s="4"/>
      <c r="G427" s="7"/>
      <c r="H427" s="4">
        <v>0</v>
      </c>
      <c r="I427" s="7">
        <v>0</v>
      </c>
    </row>
    <row r="428" spans="1:9">
      <c r="A428" s="4" t="s">
        <v>9</v>
      </c>
      <c r="B428" s="4"/>
      <c r="C428" s="4" t="s">
        <v>691</v>
      </c>
      <c r="D428" s="4" t="s">
        <v>652</v>
      </c>
      <c r="E428" s="4" t="s">
        <v>682</v>
      </c>
      <c r="F428" s="4"/>
      <c r="G428" s="7"/>
      <c r="H428" s="4">
        <v>0</v>
      </c>
      <c r="I428" s="7">
        <v>0</v>
      </c>
    </row>
    <row r="429" spans="1:9">
      <c r="A429" s="4" t="s">
        <v>9</v>
      </c>
      <c r="B429" s="4"/>
      <c r="C429" s="4" t="s">
        <v>692</v>
      </c>
      <c r="D429" s="4" t="s">
        <v>652</v>
      </c>
      <c r="E429" s="4" t="s">
        <v>682</v>
      </c>
      <c r="F429" s="4"/>
      <c r="G429" s="7"/>
      <c r="H429" s="4">
        <v>0</v>
      </c>
      <c r="I429" s="7">
        <v>0</v>
      </c>
    </row>
    <row r="430" spans="1:9">
      <c r="A430" s="4" t="s">
        <v>9</v>
      </c>
      <c r="B430" s="4"/>
      <c r="C430" s="4" t="s">
        <v>693</v>
      </c>
      <c r="D430" s="4" t="s">
        <v>652</v>
      </c>
      <c r="E430" s="4" t="s">
        <v>682</v>
      </c>
      <c r="F430" s="4"/>
      <c r="G430" s="7"/>
      <c r="H430" s="4">
        <v>0</v>
      </c>
      <c r="I430" s="7">
        <v>0</v>
      </c>
    </row>
    <row r="431" spans="1:9">
      <c r="A431" s="4" t="s">
        <v>9</v>
      </c>
      <c r="B431" s="4"/>
      <c r="C431" s="4" t="s">
        <v>334</v>
      </c>
      <c r="D431" s="4" t="s">
        <v>694</v>
      </c>
      <c r="E431" s="4" t="s">
        <v>336</v>
      </c>
      <c r="F431" s="4"/>
      <c r="G431" s="7"/>
      <c r="H431" s="4">
        <v>1</v>
      </c>
      <c r="I431" s="7">
        <v>8.99</v>
      </c>
    </row>
    <row r="432" spans="1:9">
      <c r="A432" s="4" t="s">
        <v>9</v>
      </c>
      <c r="B432" s="4"/>
      <c r="C432" s="4" t="s">
        <v>695</v>
      </c>
      <c r="D432" s="4" t="s">
        <v>694</v>
      </c>
      <c r="E432" s="4" t="s">
        <v>696</v>
      </c>
      <c r="F432" s="4"/>
      <c r="G432" s="7"/>
      <c r="H432" s="4">
        <v>0</v>
      </c>
      <c r="I432" s="7">
        <v>0</v>
      </c>
    </row>
    <row r="433" spans="1:9">
      <c r="A433" s="4" t="s">
        <v>9</v>
      </c>
      <c r="B433" s="4"/>
      <c r="C433" s="4" t="s">
        <v>99</v>
      </c>
      <c r="D433" s="4" t="s">
        <v>694</v>
      </c>
      <c r="E433" s="4" t="s">
        <v>100</v>
      </c>
      <c r="F433" s="4"/>
      <c r="G433" s="7"/>
      <c r="H433" s="4">
        <v>0</v>
      </c>
      <c r="I433" s="7">
        <v>0</v>
      </c>
    </row>
    <row r="434" spans="1:9">
      <c r="A434" s="4" t="s">
        <v>9</v>
      </c>
      <c r="B434" s="4"/>
      <c r="C434" s="4" t="s">
        <v>407</v>
      </c>
      <c r="D434" s="4" t="s">
        <v>694</v>
      </c>
      <c r="E434" s="4" t="s">
        <v>408</v>
      </c>
      <c r="F434" s="4"/>
      <c r="G434" s="7"/>
      <c r="H434" s="4">
        <v>0</v>
      </c>
      <c r="I434" s="7">
        <v>0</v>
      </c>
    </row>
    <row r="435" spans="1:9">
      <c r="A435" s="4" t="s">
        <v>9</v>
      </c>
      <c r="B435" s="4"/>
      <c r="C435" s="4" t="s">
        <v>697</v>
      </c>
      <c r="D435" s="4" t="s">
        <v>694</v>
      </c>
      <c r="E435" s="4" t="s">
        <v>698</v>
      </c>
      <c r="F435" s="4"/>
      <c r="G435" s="7"/>
      <c r="H435" s="4">
        <v>0</v>
      </c>
      <c r="I435" s="7">
        <v>0</v>
      </c>
    </row>
    <row r="436" spans="1:9">
      <c r="A436" s="4" t="s">
        <v>9</v>
      </c>
      <c r="B436" s="4"/>
      <c r="C436" s="4" t="s">
        <v>699</v>
      </c>
      <c r="D436" s="4" t="s">
        <v>694</v>
      </c>
      <c r="E436" s="4" t="s">
        <v>700</v>
      </c>
      <c r="F436" s="4"/>
      <c r="G436" s="7"/>
      <c r="H436" s="4">
        <v>0</v>
      </c>
      <c r="I436" s="7">
        <v>0</v>
      </c>
    </row>
    <row r="437" spans="1:9">
      <c r="A437" s="4" t="s">
        <v>9</v>
      </c>
      <c r="B437" s="4"/>
      <c r="C437" s="4" t="s">
        <v>30</v>
      </c>
      <c r="D437" s="4" t="s">
        <v>694</v>
      </c>
      <c r="E437" s="4" t="s">
        <v>32</v>
      </c>
      <c r="F437" s="4"/>
      <c r="G437" s="7"/>
      <c r="H437" s="4">
        <v>0</v>
      </c>
      <c r="I437" s="7">
        <v>0</v>
      </c>
    </row>
    <row r="438" spans="1:9">
      <c r="A438" s="4" t="s">
        <v>9</v>
      </c>
      <c r="B438" s="4"/>
      <c r="C438" s="4" t="s">
        <v>103</v>
      </c>
      <c r="D438" s="4" t="s">
        <v>694</v>
      </c>
      <c r="E438" s="4" t="s">
        <v>104</v>
      </c>
      <c r="F438" s="4"/>
      <c r="G438" s="7"/>
      <c r="H438" s="4">
        <v>0</v>
      </c>
      <c r="I438" s="7">
        <v>0</v>
      </c>
    </row>
    <row r="439" spans="1:9">
      <c r="A439" s="4" t="s">
        <v>9</v>
      </c>
      <c r="B439" s="4"/>
      <c r="C439" s="4" t="s">
        <v>105</v>
      </c>
      <c r="D439" s="4" t="s">
        <v>694</v>
      </c>
      <c r="E439" s="4" t="s">
        <v>106</v>
      </c>
      <c r="F439" s="4"/>
      <c r="G439" s="7"/>
      <c r="H439" s="4">
        <v>0</v>
      </c>
      <c r="I439" s="7">
        <v>0</v>
      </c>
    </row>
    <row r="440" spans="1:9">
      <c r="A440" s="4" t="s">
        <v>9</v>
      </c>
      <c r="B440" s="4"/>
      <c r="C440" s="4" t="s">
        <v>127</v>
      </c>
      <c r="D440" s="4" t="s">
        <v>694</v>
      </c>
      <c r="E440" s="4" t="s">
        <v>128</v>
      </c>
      <c r="F440" s="4"/>
      <c r="G440" s="7"/>
      <c r="H440" s="4">
        <v>0</v>
      </c>
      <c r="I440" s="7">
        <v>0</v>
      </c>
    </row>
    <row r="441" spans="1:9">
      <c r="A441" s="4" t="s">
        <v>9</v>
      </c>
      <c r="B441" s="4" t="s">
        <v>9</v>
      </c>
      <c r="C441" s="4" t="s">
        <v>701</v>
      </c>
      <c r="D441" s="4" t="s">
        <v>694</v>
      </c>
      <c r="E441" s="4" t="s">
        <v>702</v>
      </c>
      <c r="F441" s="4"/>
      <c r="G441" s="7"/>
      <c r="H441" s="4">
        <v>0</v>
      </c>
      <c r="I441" s="7">
        <v>0</v>
      </c>
    </row>
    <row r="442" spans="1:9">
      <c r="A442" s="4" t="s">
        <v>9</v>
      </c>
      <c r="B442" s="4"/>
      <c r="C442" s="4" t="s">
        <v>133</v>
      </c>
      <c r="D442" s="4" t="s">
        <v>694</v>
      </c>
      <c r="E442" s="4" t="s">
        <v>134</v>
      </c>
      <c r="F442" s="4"/>
      <c r="G442" s="7"/>
      <c r="H442" s="4">
        <v>0</v>
      </c>
      <c r="I442" s="7">
        <v>0</v>
      </c>
    </row>
    <row r="443" spans="1:9">
      <c r="A443" s="4" t="s">
        <v>9</v>
      </c>
      <c r="B443" s="4" t="s">
        <v>9</v>
      </c>
      <c r="C443" s="4" t="s">
        <v>350</v>
      </c>
      <c r="D443" s="4" t="s">
        <v>694</v>
      </c>
      <c r="E443" s="4" t="s">
        <v>338</v>
      </c>
      <c r="F443" s="4"/>
      <c r="G443" s="7"/>
      <c r="H443" s="4">
        <v>0</v>
      </c>
      <c r="I443" s="7">
        <v>0</v>
      </c>
    </row>
    <row r="444" spans="1:9">
      <c r="A444" s="4" t="s">
        <v>9</v>
      </c>
      <c r="B444" s="4" t="s">
        <v>9</v>
      </c>
      <c r="C444" s="4" t="s">
        <v>703</v>
      </c>
      <c r="D444" s="4" t="s">
        <v>694</v>
      </c>
      <c r="E444" s="4" t="s">
        <v>704</v>
      </c>
      <c r="F444" s="4"/>
      <c r="G444" s="7"/>
      <c r="H444" s="4">
        <v>0</v>
      </c>
      <c r="I444" s="7">
        <v>0</v>
      </c>
    </row>
    <row r="445" spans="1:9">
      <c r="A445" s="4" t="s">
        <v>9</v>
      </c>
      <c r="B445" s="4"/>
      <c r="C445" s="4" t="s">
        <v>705</v>
      </c>
      <c r="D445" s="4" t="s">
        <v>694</v>
      </c>
      <c r="E445" s="4" t="s">
        <v>706</v>
      </c>
      <c r="F445" s="4"/>
      <c r="G445" s="7"/>
      <c r="H445" s="4">
        <v>0</v>
      </c>
      <c r="I445" s="7">
        <v>0</v>
      </c>
    </row>
    <row r="446" spans="1:9">
      <c r="A446" s="4" t="s">
        <v>9</v>
      </c>
      <c r="B446" s="4"/>
      <c r="C446" s="4" t="s">
        <v>534</v>
      </c>
      <c r="D446" s="4" t="s">
        <v>694</v>
      </c>
      <c r="E446" s="4" t="s">
        <v>535</v>
      </c>
      <c r="F446" s="4"/>
      <c r="G446" s="7"/>
      <c r="H446" s="4">
        <v>0</v>
      </c>
      <c r="I446" s="7">
        <v>0</v>
      </c>
    </row>
    <row r="447" spans="1:9">
      <c r="A447" s="4" t="s">
        <v>9</v>
      </c>
      <c r="B447" s="4"/>
      <c r="C447" s="4" t="s">
        <v>559</v>
      </c>
      <c r="D447" s="4" t="s">
        <v>694</v>
      </c>
      <c r="E447" s="4" t="s">
        <v>27</v>
      </c>
      <c r="F447" s="4"/>
      <c r="G447" s="7"/>
      <c r="H447" s="4">
        <v>0</v>
      </c>
      <c r="I447" s="7">
        <v>0</v>
      </c>
    </row>
    <row r="448" spans="1:9">
      <c r="A448" s="4" t="s">
        <v>9</v>
      </c>
      <c r="B448" s="4" t="s">
        <v>9</v>
      </c>
      <c r="C448" s="4" t="s">
        <v>707</v>
      </c>
      <c r="D448" s="4" t="s">
        <v>694</v>
      </c>
      <c r="E448" s="4" t="s">
        <v>356</v>
      </c>
      <c r="F448" s="4"/>
      <c r="G448" s="7"/>
      <c r="H448" s="4">
        <v>0</v>
      </c>
      <c r="I448" s="7">
        <v>0</v>
      </c>
    </row>
    <row r="449" spans="1:9">
      <c r="A449" s="4" t="s">
        <v>9</v>
      </c>
      <c r="B449" s="4" t="s">
        <v>9</v>
      </c>
      <c r="C449" s="4" t="s">
        <v>708</v>
      </c>
      <c r="D449" s="4" t="s">
        <v>694</v>
      </c>
      <c r="E449" s="4" t="s">
        <v>709</v>
      </c>
      <c r="F449" s="4"/>
      <c r="G449" s="7"/>
      <c r="H449" s="4">
        <v>0</v>
      </c>
      <c r="I449" s="7">
        <v>0</v>
      </c>
    </row>
    <row r="450" spans="1:9">
      <c r="A450" s="4" t="s">
        <v>9</v>
      </c>
      <c r="B450" s="4"/>
      <c r="C450" s="4" t="s">
        <v>710</v>
      </c>
      <c r="D450" s="4" t="s">
        <v>694</v>
      </c>
      <c r="E450" s="4" t="s">
        <v>711</v>
      </c>
      <c r="F450" s="4"/>
      <c r="G450" s="7"/>
      <c r="H450" s="4">
        <v>0</v>
      </c>
      <c r="I450" s="7">
        <v>0</v>
      </c>
    </row>
    <row r="451" spans="1:9">
      <c r="A451" s="4" t="s">
        <v>9</v>
      </c>
      <c r="B451" s="4"/>
      <c r="C451" s="4" t="s">
        <v>712</v>
      </c>
      <c r="D451" s="4" t="s">
        <v>694</v>
      </c>
      <c r="E451" s="4" t="s">
        <v>712</v>
      </c>
      <c r="F451" s="4"/>
      <c r="G451" s="7"/>
      <c r="H451" s="4">
        <v>0</v>
      </c>
      <c r="I451" s="7">
        <v>0</v>
      </c>
    </row>
    <row r="452" spans="1:9">
      <c r="A452" s="4" t="s">
        <v>9</v>
      </c>
      <c r="B452" s="4"/>
      <c r="C452" s="4" t="s">
        <v>713</v>
      </c>
      <c r="D452" s="4" t="s">
        <v>694</v>
      </c>
      <c r="E452" s="4" t="s">
        <v>713</v>
      </c>
      <c r="F452" s="4"/>
      <c r="G452" s="7"/>
      <c r="H452" s="4">
        <v>0</v>
      </c>
      <c r="I452" s="7">
        <v>0</v>
      </c>
    </row>
    <row r="453" spans="1:9">
      <c r="A453" s="4" t="s">
        <v>9</v>
      </c>
      <c r="B453" s="4"/>
      <c r="C453" s="4" t="s">
        <v>714</v>
      </c>
      <c r="D453" s="4" t="s">
        <v>694</v>
      </c>
      <c r="E453" s="4" t="s">
        <v>715</v>
      </c>
      <c r="F453" s="4"/>
      <c r="G453" s="7"/>
      <c r="H453" s="4">
        <v>0</v>
      </c>
      <c r="I453" s="7">
        <v>0</v>
      </c>
    </row>
    <row r="454" spans="1:9">
      <c r="A454" s="4" t="s">
        <v>9</v>
      </c>
      <c r="B454" s="4"/>
      <c r="C454" s="4" t="s">
        <v>716</v>
      </c>
      <c r="D454" s="4" t="s">
        <v>694</v>
      </c>
      <c r="E454" s="4" t="s">
        <v>716</v>
      </c>
      <c r="F454" s="4"/>
      <c r="G454" s="7"/>
      <c r="H454" s="4">
        <v>0</v>
      </c>
      <c r="I454" s="7">
        <v>0</v>
      </c>
    </row>
    <row r="455" spans="1:9">
      <c r="A455" s="4" t="s">
        <v>9</v>
      </c>
      <c r="B455" s="4"/>
      <c r="C455" s="4" t="s">
        <v>717</v>
      </c>
      <c r="D455" s="4" t="s">
        <v>694</v>
      </c>
      <c r="E455" s="4" t="s">
        <v>717</v>
      </c>
      <c r="F455" s="4"/>
      <c r="G455" s="7"/>
      <c r="H455" s="4">
        <v>0</v>
      </c>
      <c r="I455" s="7">
        <v>0</v>
      </c>
    </row>
    <row r="456" spans="1:9">
      <c r="A456" s="4" t="s">
        <v>9</v>
      </c>
      <c r="B456" s="4"/>
      <c r="C456" s="4" t="s">
        <v>718</v>
      </c>
      <c r="D456" s="4" t="s">
        <v>694</v>
      </c>
      <c r="E456" s="4" t="s">
        <v>718</v>
      </c>
      <c r="F456" s="4"/>
      <c r="G456" s="7"/>
      <c r="H456" s="4">
        <v>0</v>
      </c>
      <c r="I456" s="7">
        <v>0</v>
      </c>
    </row>
    <row r="457" spans="1:9">
      <c r="A457" s="4" t="s">
        <v>9</v>
      </c>
      <c r="B457" s="4"/>
      <c r="C457" s="4" t="s">
        <v>719</v>
      </c>
      <c r="D457" s="4" t="s">
        <v>694</v>
      </c>
      <c r="E457" s="4" t="s">
        <v>719</v>
      </c>
      <c r="F457" s="4"/>
      <c r="G457" s="7"/>
      <c r="H457" s="4">
        <v>0</v>
      </c>
      <c r="I457" s="7">
        <v>0</v>
      </c>
    </row>
    <row r="458" spans="1:9">
      <c r="A458" s="4" t="s">
        <v>9</v>
      </c>
      <c r="B458" s="4"/>
      <c r="C458" s="4" t="s">
        <v>720</v>
      </c>
      <c r="D458" s="4" t="s">
        <v>694</v>
      </c>
      <c r="E458" s="4" t="s">
        <v>720</v>
      </c>
      <c r="F458" s="4"/>
      <c r="G458" s="7"/>
      <c r="H458" s="4">
        <v>0</v>
      </c>
      <c r="I458" s="7">
        <v>0</v>
      </c>
    </row>
    <row r="459" spans="1:9">
      <c r="A459" s="4" t="s">
        <v>9</v>
      </c>
      <c r="B459" s="4"/>
      <c r="C459" s="4" t="s">
        <v>721</v>
      </c>
      <c r="D459" s="4" t="s">
        <v>694</v>
      </c>
      <c r="E459" s="4" t="s">
        <v>722</v>
      </c>
      <c r="F459" s="4"/>
      <c r="G459" s="7"/>
      <c r="H459" s="4">
        <v>0</v>
      </c>
      <c r="I459" s="7">
        <v>0</v>
      </c>
    </row>
    <row r="460" spans="1:9">
      <c r="A460" s="4" t="s">
        <v>9</v>
      </c>
      <c r="B460" s="4"/>
      <c r="C460" s="4" t="s">
        <v>723</v>
      </c>
      <c r="D460" s="4" t="s">
        <v>694</v>
      </c>
      <c r="E460" s="4" t="s">
        <v>723</v>
      </c>
      <c r="F460" s="4"/>
      <c r="G460" s="7"/>
      <c r="H460" s="4">
        <v>0</v>
      </c>
      <c r="I460" s="7">
        <v>0</v>
      </c>
    </row>
    <row r="461" spans="1:9">
      <c r="A461" s="4" t="s">
        <v>9</v>
      </c>
      <c r="B461" s="4"/>
      <c r="C461" s="4" t="s">
        <v>724</v>
      </c>
      <c r="D461" s="4" t="s">
        <v>694</v>
      </c>
      <c r="E461" s="4" t="s">
        <v>724</v>
      </c>
      <c r="F461" s="4"/>
      <c r="G461" s="7"/>
      <c r="H461" s="4">
        <v>0</v>
      </c>
      <c r="I461" s="7">
        <v>0</v>
      </c>
    </row>
    <row r="462" spans="1:9">
      <c r="A462" s="4" t="s">
        <v>9</v>
      </c>
      <c r="B462" s="4" t="s">
        <v>9</v>
      </c>
      <c r="C462" s="4" t="s">
        <v>725</v>
      </c>
      <c r="D462" s="4" t="s">
        <v>694</v>
      </c>
      <c r="E462" s="4" t="s">
        <v>725</v>
      </c>
      <c r="F462" s="4"/>
      <c r="G462" s="7"/>
      <c r="H462" s="4">
        <v>0</v>
      </c>
      <c r="I462" s="7">
        <v>0</v>
      </c>
    </row>
    <row r="463" spans="1:9">
      <c r="A463" s="4" t="s">
        <v>9</v>
      </c>
      <c r="B463" s="4" t="s">
        <v>9</v>
      </c>
      <c r="C463" s="4" t="s">
        <v>726</v>
      </c>
      <c r="D463" s="4" t="s">
        <v>694</v>
      </c>
      <c r="E463" s="4" t="s">
        <v>726</v>
      </c>
      <c r="F463" s="4"/>
      <c r="G463" s="7"/>
      <c r="H463" s="4">
        <v>0</v>
      </c>
      <c r="I463" s="7">
        <v>0</v>
      </c>
    </row>
    <row r="464" spans="1:9">
      <c r="A464" s="4" t="s">
        <v>9</v>
      </c>
      <c r="B464" s="4" t="s">
        <v>9</v>
      </c>
      <c r="C464" s="4" t="s">
        <v>727</v>
      </c>
      <c r="D464" s="4" t="s">
        <v>694</v>
      </c>
      <c r="E464" s="4" t="s">
        <v>727</v>
      </c>
      <c r="F464" s="4"/>
      <c r="G464" s="7"/>
      <c r="H464" s="4">
        <v>0</v>
      </c>
      <c r="I464" s="7">
        <v>0</v>
      </c>
    </row>
    <row r="465" spans="1:9">
      <c r="A465" s="4" t="s">
        <v>9</v>
      </c>
      <c r="B465" s="4" t="s">
        <v>9</v>
      </c>
      <c r="C465" s="4" t="s">
        <v>728</v>
      </c>
      <c r="D465" s="4" t="s">
        <v>694</v>
      </c>
      <c r="E465" s="4" t="s">
        <v>728</v>
      </c>
      <c r="F465" s="4"/>
      <c r="G465" s="7"/>
      <c r="H465" s="4">
        <v>0</v>
      </c>
      <c r="I465" s="7">
        <v>0</v>
      </c>
    </row>
    <row r="466" spans="1:9">
      <c r="A466" s="4" t="s">
        <v>9</v>
      </c>
      <c r="B466" s="4" t="s">
        <v>9</v>
      </c>
      <c r="C466" s="4" t="s">
        <v>729</v>
      </c>
      <c r="D466" s="4" t="s">
        <v>694</v>
      </c>
      <c r="E466" s="4" t="s">
        <v>729</v>
      </c>
      <c r="F466" s="4"/>
      <c r="G466" s="7"/>
      <c r="H466" s="4">
        <v>0</v>
      </c>
      <c r="I466" s="7">
        <v>0</v>
      </c>
    </row>
    <row r="467" spans="1:9">
      <c r="A467" s="4" t="s">
        <v>9</v>
      </c>
      <c r="B467" s="4" t="s">
        <v>9</v>
      </c>
      <c r="C467" s="4" t="s">
        <v>730</v>
      </c>
      <c r="D467" s="4" t="s">
        <v>694</v>
      </c>
      <c r="E467" s="4" t="s">
        <v>730</v>
      </c>
      <c r="F467" s="4"/>
      <c r="G467" s="7"/>
      <c r="H467" s="4">
        <v>0</v>
      </c>
      <c r="I467" s="7">
        <v>0</v>
      </c>
    </row>
    <row r="468" spans="1:9">
      <c r="A468" s="4" t="s">
        <v>9</v>
      </c>
      <c r="B468" s="4" t="s">
        <v>9</v>
      </c>
      <c r="C468" s="4" t="s">
        <v>731</v>
      </c>
      <c r="D468" s="4" t="s">
        <v>694</v>
      </c>
      <c r="E468" s="4" t="s">
        <v>731</v>
      </c>
      <c r="F468" s="4"/>
      <c r="G468" s="7"/>
      <c r="H468" s="4">
        <v>0</v>
      </c>
      <c r="I468" s="7">
        <v>0</v>
      </c>
    </row>
    <row r="469" spans="1:9">
      <c r="A469" s="4" t="s">
        <v>9</v>
      </c>
      <c r="B469" s="4" t="s">
        <v>9</v>
      </c>
      <c r="C469" s="4" t="s">
        <v>732</v>
      </c>
      <c r="D469" s="4" t="s">
        <v>694</v>
      </c>
      <c r="E469" s="4" t="s">
        <v>732</v>
      </c>
      <c r="F469" s="4"/>
      <c r="G469" s="7"/>
      <c r="H469" s="4">
        <v>0</v>
      </c>
      <c r="I469" s="7">
        <v>0</v>
      </c>
    </row>
    <row r="470" spans="1:9">
      <c r="A470" s="4" t="s">
        <v>9</v>
      </c>
      <c r="B470" s="4"/>
      <c r="C470" s="4" t="s">
        <v>190</v>
      </c>
      <c r="D470" s="4" t="s">
        <v>694</v>
      </c>
      <c r="E470" s="4" t="s">
        <v>191</v>
      </c>
      <c r="F470" s="4"/>
      <c r="G470" s="7"/>
      <c r="H470" s="4">
        <v>0</v>
      </c>
      <c r="I470" s="7">
        <v>0</v>
      </c>
    </row>
    <row r="471" spans="1:9">
      <c r="A471" s="4" t="s">
        <v>9</v>
      </c>
      <c r="B471" s="4"/>
      <c r="C471" s="4" t="s">
        <v>733</v>
      </c>
      <c r="D471" s="4" t="s">
        <v>694</v>
      </c>
      <c r="E471" s="4" t="s">
        <v>734</v>
      </c>
      <c r="F471" s="4"/>
      <c r="G471" s="7"/>
      <c r="H471" s="4">
        <v>0</v>
      </c>
      <c r="I471" s="7">
        <v>0</v>
      </c>
    </row>
    <row r="472" spans="1:9">
      <c r="A472" s="4" t="s">
        <v>9</v>
      </c>
      <c r="B472" s="4"/>
      <c r="C472" s="4" t="s">
        <v>735</v>
      </c>
      <c r="D472" s="4" t="s">
        <v>694</v>
      </c>
      <c r="E472" s="4" t="s">
        <v>735</v>
      </c>
      <c r="F472" s="4"/>
      <c r="G472" s="7"/>
      <c r="H472" s="4">
        <v>0</v>
      </c>
      <c r="I472" s="7">
        <v>0</v>
      </c>
    </row>
    <row r="473" spans="1:9">
      <c r="A473" s="4" t="s">
        <v>9</v>
      </c>
      <c r="B473" s="4"/>
      <c r="C473" s="4" t="s">
        <v>736</v>
      </c>
      <c r="D473" s="4" t="s">
        <v>694</v>
      </c>
      <c r="E473" s="4" t="s">
        <v>737</v>
      </c>
      <c r="F473" s="4"/>
      <c r="G473" s="7"/>
      <c r="H473" s="4">
        <v>0</v>
      </c>
      <c r="I473" s="7">
        <v>0</v>
      </c>
    </row>
    <row r="474" spans="1:9">
      <c r="A474" s="4" t="s">
        <v>9</v>
      </c>
      <c r="B474" s="4"/>
      <c r="C474" s="4" t="s">
        <v>538</v>
      </c>
      <c r="D474" s="4" t="s">
        <v>694</v>
      </c>
      <c r="E474" s="4" t="s">
        <v>539</v>
      </c>
      <c r="F474" s="4"/>
      <c r="G474" s="7"/>
      <c r="H474" s="4">
        <v>0</v>
      </c>
      <c r="I474" s="7">
        <v>0</v>
      </c>
    </row>
    <row r="475" spans="1:9">
      <c r="A475" s="4" t="s">
        <v>9</v>
      </c>
      <c r="B475" s="4"/>
      <c r="C475" s="4" t="s">
        <v>738</v>
      </c>
      <c r="D475" s="4" t="s">
        <v>694</v>
      </c>
      <c r="E475" s="4" t="s">
        <v>739</v>
      </c>
      <c r="F475" s="4"/>
      <c r="G475" s="7"/>
      <c r="H475" s="4">
        <v>0</v>
      </c>
      <c r="I475" s="7">
        <v>0</v>
      </c>
    </row>
    <row r="476" spans="1:9">
      <c r="A476" s="4" t="s">
        <v>9</v>
      </c>
      <c r="B476" s="4" t="s">
        <v>9</v>
      </c>
      <c r="C476" s="4" t="s">
        <v>740</v>
      </c>
      <c r="D476" s="4" t="s">
        <v>694</v>
      </c>
      <c r="E476" s="4" t="s">
        <v>741</v>
      </c>
      <c r="F476" s="4"/>
      <c r="G476" s="7"/>
      <c r="H476" s="4">
        <v>0</v>
      </c>
      <c r="I476" s="7">
        <v>0</v>
      </c>
    </row>
    <row r="477" spans="1:9">
      <c r="A477" s="4" t="s">
        <v>9</v>
      </c>
      <c r="B477" s="4" t="s">
        <v>9</v>
      </c>
      <c r="C477" s="4" t="s">
        <v>742</v>
      </c>
      <c r="D477" s="4" t="s">
        <v>694</v>
      </c>
      <c r="E477" s="4" t="s">
        <v>743</v>
      </c>
      <c r="F477" s="4"/>
      <c r="G477" s="7"/>
      <c r="H477" s="4">
        <v>0</v>
      </c>
      <c r="I477" s="7">
        <v>0</v>
      </c>
    </row>
    <row r="478" spans="1:9">
      <c r="A478" s="4" t="s">
        <v>9</v>
      </c>
      <c r="B478" s="4"/>
      <c r="C478" s="4" t="s">
        <v>744</v>
      </c>
      <c r="D478" s="4" t="s">
        <v>694</v>
      </c>
      <c r="E478" s="4" t="s">
        <v>744</v>
      </c>
      <c r="F478" s="4"/>
      <c r="G478" s="7"/>
      <c r="H478" s="4">
        <v>0</v>
      </c>
      <c r="I478" s="7">
        <v>0</v>
      </c>
    </row>
    <row r="479" spans="1:9">
      <c r="A479" s="4" t="s">
        <v>9</v>
      </c>
      <c r="B479" s="4"/>
      <c r="C479" s="4" t="s">
        <v>219</v>
      </c>
      <c r="D479" s="4" t="s">
        <v>694</v>
      </c>
      <c r="E479" s="4" t="s">
        <v>220</v>
      </c>
      <c r="F479" s="4"/>
      <c r="G479" s="7"/>
      <c r="H479" s="4">
        <v>0</v>
      </c>
      <c r="I479" s="7">
        <v>0</v>
      </c>
    </row>
    <row r="480" spans="1:9">
      <c r="A480" s="4" t="s">
        <v>9</v>
      </c>
      <c r="B480" s="4"/>
      <c r="C480" s="4" t="s">
        <v>221</v>
      </c>
      <c r="D480" s="4" t="s">
        <v>694</v>
      </c>
      <c r="E480" s="4" t="s">
        <v>222</v>
      </c>
      <c r="F480" s="4"/>
      <c r="G480" s="7"/>
      <c r="H480" s="4">
        <v>0</v>
      </c>
      <c r="I480" s="7">
        <v>0</v>
      </c>
    </row>
    <row r="481" spans="1:9">
      <c r="A481" s="4" t="s">
        <v>9</v>
      </c>
      <c r="B481" s="4"/>
      <c r="C481" s="4" t="s">
        <v>223</v>
      </c>
      <c r="D481" s="4" t="s">
        <v>694</v>
      </c>
      <c r="E481" s="4" t="s">
        <v>224</v>
      </c>
      <c r="F481" s="4"/>
      <c r="G481" s="7"/>
      <c r="H481" s="4">
        <v>0</v>
      </c>
      <c r="I481" s="7">
        <v>0</v>
      </c>
    </row>
    <row r="482" spans="1:9">
      <c r="A482" s="4" t="s">
        <v>9</v>
      </c>
      <c r="B482" s="4"/>
      <c r="C482" s="4" t="s">
        <v>225</v>
      </c>
      <c r="D482" s="4" t="s">
        <v>694</v>
      </c>
      <c r="E482" s="4" t="s">
        <v>226</v>
      </c>
      <c r="F482" s="4"/>
      <c r="G482" s="7"/>
      <c r="H482" s="4">
        <v>0</v>
      </c>
      <c r="I482" s="7">
        <v>0</v>
      </c>
    </row>
    <row r="483" spans="1:9">
      <c r="A483" s="4" t="s">
        <v>9</v>
      </c>
      <c r="B483" s="4"/>
      <c r="C483" s="4" t="s">
        <v>320</v>
      </c>
      <c r="D483" s="4" t="s">
        <v>694</v>
      </c>
      <c r="E483" s="4" t="s">
        <v>321</v>
      </c>
      <c r="F483" s="4"/>
      <c r="G483" s="7"/>
      <c r="H483" s="4">
        <v>0</v>
      </c>
      <c r="I483" s="7">
        <v>0</v>
      </c>
    </row>
    <row r="484" spans="1:9">
      <c r="A484" s="4" t="s">
        <v>9</v>
      </c>
      <c r="B484" s="4"/>
      <c r="C484" s="4" t="s">
        <v>231</v>
      </c>
      <c r="D484" s="4" t="s">
        <v>694</v>
      </c>
      <c r="E484" s="4" t="s">
        <v>232</v>
      </c>
      <c r="F484" s="4"/>
      <c r="G484" s="7"/>
      <c r="H484" s="4">
        <v>0</v>
      </c>
      <c r="I484" s="7">
        <v>0</v>
      </c>
    </row>
    <row r="485" spans="1:9">
      <c r="A485" s="4" t="s">
        <v>9</v>
      </c>
      <c r="B485" s="4"/>
      <c r="C485" s="4" t="s">
        <v>233</v>
      </c>
      <c r="D485" s="4" t="s">
        <v>694</v>
      </c>
      <c r="E485" s="4" t="s">
        <v>234</v>
      </c>
      <c r="F485" s="4"/>
      <c r="G485" s="7"/>
      <c r="H485" s="4">
        <v>0</v>
      </c>
      <c r="I485" s="7">
        <v>0</v>
      </c>
    </row>
    <row r="486" spans="1:9">
      <c r="A486" s="4" t="s">
        <v>9</v>
      </c>
      <c r="B486" s="4"/>
      <c r="C486" s="4" t="s">
        <v>235</v>
      </c>
      <c r="D486" s="4" t="s">
        <v>694</v>
      </c>
      <c r="E486" s="4" t="s">
        <v>236</v>
      </c>
      <c r="F486" s="4"/>
      <c r="G486" s="7"/>
      <c r="H486" s="4">
        <v>0</v>
      </c>
      <c r="I486" s="7">
        <v>0</v>
      </c>
    </row>
    <row r="487" spans="1:9">
      <c r="A487" s="4" t="s">
        <v>9</v>
      </c>
      <c r="B487" s="4"/>
      <c r="C487" s="4" t="s">
        <v>745</v>
      </c>
      <c r="D487" s="4" t="s">
        <v>694</v>
      </c>
      <c r="E487" s="4" t="s">
        <v>746</v>
      </c>
      <c r="F487" s="4"/>
      <c r="G487" s="7"/>
      <c r="H487" s="4">
        <v>0</v>
      </c>
      <c r="I487" s="7">
        <v>0</v>
      </c>
    </row>
    <row r="488" spans="1:9">
      <c r="A488" s="4" t="s">
        <v>9</v>
      </c>
      <c r="B488" s="4" t="s">
        <v>9</v>
      </c>
      <c r="C488" s="4" t="s">
        <v>747</v>
      </c>
      <c r="D488" s="4" t="s">
        <v>694</v>
      </c>
      <c r="E488" s="4" t="s">
        <v>748</v>
      </c>
      <c r="F488" s="4"/>
      <c r="G488" s="7"/>
      <c r="H488" s="4">
        <v>0</v>
      </c>
      <c r="I488" s="7">
        <v>0</v>
      </c>
    </row>
    <row r="489" spans="1:9">
      <c r="A489" s="4" t="s">
        <v>9</v>
      </c>
      <c r="B489" s="4" t="s">
        <v>9</v>
      </c>
      <c r="C489" s="4" t="s">
        <v>749</v>
      </c>
      <c r="D489" s="4" t="s">
        <v>694</v>
      </c>
      <c r="E489" s="4" t="s">
        <v>750</v>
      </c>
      <c r="F489" s="4"/>
      <c r="G489" s="7"/>
      <c r="H489" s="4">
        <v>0</v>
      </c>
      <c r="I489" s="7">
        <v>0</v>
      </c>
    </row>
    <row r="490" spans="1:9">
      <c r="A490" s="4" t="s">
        <v>9</v>
      </c>
      <c r="B490" s="4"/>
      <c r="C490" s="4" t="s">
        <v>751</v>
      </c>
      <c r="D490" s="4" t="s">
        <v>694</v>
      </c>
      <c r="E490" s="4" t="s">
        <v>752</v>
      </c>
      <c r="F490" s="4"/>
      <c r="G490" s="7"/>
      <c r="H490" s="4">
        <v>0</v>
      </c>
      <c r="I490" s="7">
        <v>0</v>
      </c>
    </row>
    <row r="491" spans="1:9">
      <c r="A491" s="4" t="s">
        <v>9</v>
      </c>
      <c r="B491" s="4"/>
      <c r="C491" s="4" t="s">
        <v>753</v>
      </c>
      <c r="D491" s="4" t="s">
        <v>694</v>
      </c>
      <c r="E491" s="4" t="s">
        <v>754</v>
      </c>
      <c r="F491" s="4"/>
      <c r="G491" s="7"/>
      <c r="H491" s="4">
        <v>0</v>
      </c>
      <c r="I491" s="7">
        <v>0</v>
      </c>
    </row>
    <row r="492" spans="1:9">
      <c r="A492" s="4" t="s">
        <v>9</v>
      </c>
      <c r="B492" s="4"/>
      <c r="C492" s="4" t="s">
        <v>40</v>
      </c>
      <c r="D492" s="4" t="s">
        <v>694</v>
      </c>
      <c r="E492" s="4" t="s">
        <v>41</v>
      </c>
      <c r="F492" s="4"/>
      <c r="G492" s="7"/>
      <c r="H492" s="4">
        <v>0</v>
      </c>
      <c r="I492" s="7">
        <v>0</v>
      </c>
    </row>
    <row r="493" spans="1:9">
      <c r="A493" s="4" t="s">
        <v>9</v>
      </c>
      <c r="B493" s="4"/>
      <c r="C493" s="4" t="s">
        <v>755</v>
      </c>
      <c r="D493" s="4" t="s">
        <v>694</v>
      </c>
      <c r="E493" s="4" t="s">
        <v>755</v>
      </c>
      <c r="F493" s="4"/>
      <c r="G493" s="7"/>
      <c r="H493" s="4">
        <v>0</v>
      </c>
      <c r="I493" s="7">
        <v>0</v>
      </c>
    </row>
    <row r="494" spans="1:9">
      <c r="A494" s="4" t="s">
        <v>9</v>
      </c>
      <c r="B494" s="4"/>
      <c r="C494" s="4" t="s">
        <v>756</v>
      </c>
      <c r="D494" s="4" t="s">
        <v>694</v>
      </c>
      <c r="E494" s="4" t="s">
        <v>756</v>
      </c>
      <c r="F494" s="4"/>
      <c r="G494" s="7"/>
      <c r="H494" s="4">
        <v>0</v>
      </c>
      <c r="I494" s="7">
        <v>0</v>
      </c>
    </row>
    <row r="495" spans="1:9">
      <c r="A495" s="4" t="s">
        <v>9</v>
      </c>
      <c r="B495" s="4" t="s">
        <v>9</v>
      </c>
      <c r="C495" s="4" t="s">
        <v>757</v>
      </c>
      <c r="D495" s="4" t="s">
        <v>694</v>
      </c>
      <c r="E495" s="4" t="s">
        <v>260</v>
      </c>
      <c r="F495" s="4"/>
      <c r="G495" s="7"/>
      <c r="H495" s="4">
        <v>0</v>
      </c>
      <c r="I495" s="7">
        <v>0</v>
      </c>
    </row>
    <row r="496" spans="1:9">
      <c r="A496" s="4" t="s">
        <v>9</v>
      </c>
      <c r="B496" s="4"/>
      <c r="C496" s="4" t="s">
        <v>758</v>
      </c>
      <c r="D496" s="4" t="s">
        <v>694</v>
      </c>
      <c r="E496" s="4" t="s">
        <v>260</v>
      </c>
      <c r="F496" s="4"/>
      <c r="G496" s="7"/>
      <c r="H496" s="4">
        <v>0</v>
      </c>
      <c r="I496" s="7">
        <v>0</v>
      </c>
    </row>
    <row r="497" spans="7:10" s="10" customFormat="1">
      <c r="G497" s="9"/>
      <c r="I497" s="9"/>
      <c r="J497" s="9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77C4-861F-4D21-8323-E3C7268E831A}">
  <dimension ref="A1:J6"/>
  <sheetViews>
    <sheetView workbookViewId="0">
      <selection sqref="A1:I1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1.42578125" style="5"/>
  </cols>
  <sheetData>
    <row r="1" spans="1:10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10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</row>
    <row r="5" spans="1:10">
      <c r="A5" s="4" t="s">
        <v>759</v>
      </c>
      <c r="B5" s="4"/>
      <c r="C5" s="4" t="s">
        <v>760</v>
      </c>
      <c r="D5" s="4" t="s">
        <v>761</v>
      </c>
      <c r="E5" s="4" t="s">
        <v>762</v>
      </c>
      <c r="F5" s="4"/>
      <c r="G5" s="7"/>
      <c r="H5" s="4">
        <v>1</v>
      </c>
      <c r="I5" s="7">
        <v>8.99</v>
      </c>
    </row>
    <row r="6" spans="1:10" s="10" customFormat="1">
      <c r="G6" s="9">
        <v>0</v>
      </c>
      <c r="I6" s="9">
        <v>8.99</v>
      </c>
      <c r="J6" s="9">
        <v>8.99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4990-74D5-4D28-9E5B-B5E4DF333D0F}">
  <dimension ref="A1:J21"/>
  <sheetViews>
    <sheetView workbookViewId="0">
      <selection sqref="A1:I1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1.42578125" style="5"/>
  </cols>
  <sheetData>
    <row r="1" spans="1:9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9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</row>
    <row r="5" spans="1:9">
      <c r="A5" s="4" t="s">
        <v>763</v>
      </c>
      <c r="B5" s="4"/>
      <c r="C5" s="4" t="s">
        <v>764</v>
      </c>
      <c r="D5" s="4" t="s">
        <v>765</v>
      </c>
      <c r="E5" s="4" t="s">
        <v>766</v>
      </c>
      <c r="F5" s="4">
        <v>1</v>
      </c>
      <c r="G5" s="7">
        <v>11.64</v>
      </c>
      <c r="H5" s="4"/>
      <c r="I5" s="7"/>
    </row>
    <row r="6" spans="1:9">
      <c r="A6" s="4" t="s">
        <v>763</v>
      </c>
      <c r="B6" s="4"/>
      <c r="C6" s="4" t="s">
        <v>767</v>
      </c>
      <c r="D6" s="4" t="s">
        <v>768</v>
      </c>
      <c r="E6" s="4" t="s">
        <v>769</v>
      </c>
      <c r="F6" s="4"/>
      <c r="G6" s="7"/>
      <c r="H6" s="4">
        <v>1</v>
      </c>
      <c r="I6" s="7">
        <v>8.99</v>
      </c>
    </row>
    <row r="7" spans="1:9">
      <c r="A7" s="4" t="s">
        <v>763</v>
      </c>
      <c r="B7" s="4"/>
      <c r="C7" s="4" t="s">
        <v>770</v>
      </c>
      <c r="D7" s="4" t="s">
        <v>768</v>
      </c>
      <c r="E7" s="4" t="s">
        <v>771</v>
      </c>
      <c r="F7" s="4"/>
      <c r="G7" s="7"/>
      <c r="H7" s="4">
        <v>0</v>
      </c>
      <c r="I7" s="7">
        <v>0</v>
      </c>
    </row>
    <row r="8" spans="1:9">
      <c r="A8" s="4" t="s">
        <v>763</v>
      </c>
      <c r="B8" s="4"/>
      <c r="C8" s="4" t="s">
        <v>772</v>
      </c>
      <c r="D8" s="4" t="s">
        <v>768</v>
      </c>
      <c r="E8" s="4" t="s">
        <v>773</v>
      </c>
      <c r="F8" s="4"/>
      <c r="G8" s="7"/>
      <c r="H8" s="4">
        <v>0</v>
      </c>
      <c r="I8" s="7">
        <v>0</v>
      </c>
    </row>
    <row r="9" spans="1:9">
      <c r="A9" s="4" t="s">
        <v>763</v>
      </c>
      <c r="B9" s="4"/>
      <c r="C9" s="4" t="s">
        <v>774</v>
      </c>
      <c r="D9" s="4" t="s">
        <v>768</v>
      </c>
      <c r="E9" s="4" t="s">
        <v>775</v>
      </c>
      <c r="F9" s="4"/>
      <c r="G9" s="7"/>
      <c r="H9" s="4">
        <v>0</v>
      </c>
      <c r="I9" s="7">
        <v>0</v>
      </c>
    </row>
    <row r="10" spans="1:9">
      <c r="A10" s="4" t="s">
        <v>763</v>
      </c>
      <c r="B10" s="4"/>
      <c r="C10" s="4" t="s">
        <v>776</v>
      </c>
      <c r="D10" s="4" t="s">
        <v>768</v>
      </c>
      <c r="E10" s="4" t="s">
        <v>777</v>
      </c>
      <c r="F10" s="4"/>
      <c r="G10" s="7"/>
      <c r="H10" s="4">
        <v>0</v>
      </c>
      <c r="I10" s="7">
        <v>0</v>
      </c>
    </row>
    <row r="11" spans="1:9">
      <c r="A11" s="4" t="s">
        <v>763</v>
      </c>
      <c r="B11" s="4"/>
      <c r="C11" s="4" t="s">
        <v>778</v>
      </c>
      <c r="D11" s="4" t="s">
        <v>768</v>
      </c>
      <c r="E11" s="4" t="s">
        <v>779</v>
      </c>
      <c r="F11" s="4"/>
      <c r="G11" s="7"/>
      <c r="H11" s="4">
        <v>0</v>
      </c>
      <c r="I11" s="7">
        <v>0</v>
      </c>
    </row>
    <row r="12" spans="1:9">
      <c r="A12" s="4" t="s">
        <v>763</v>
      </c>
      <c r="B12" s="4"/>
      <c r="C12" s="4" t="s">
        <v>780</v>
      </c>
      <c r="D12" s="4" t="s">
        <v>768</v>
      </c>
      <c r="E12" s="4" t="s">
        <v>781</v>
      </c>
      <c r="F12" s="4"/>
      <c r="G12" s="7"/>
      <c r="H12" s="4">
        <v>0</v>
      </c>
      <c r="I12" s="7">
        <v>0</v>
      </c>
    </row>
    <row r="13" spans="1:9">
      <c r="A13" s="4" t="s">
        <v>763</v>
      </c>
      <c r="B13" s="4"/>
      <c r="C13" s="4" t="s">
        <v>782</v>
      </c>
      <c r="D13" s="4" t="s">
        <v>768</v>
      </c>
      <c r="E13" s="4" t="s">
        <v>783</v>
      </c>
      <c r="F13" s="4"/>
      <c r="G13" s="7"/>
      <c r="H13" s="4">
        <v>0</v>
      </c>
      <c r="I13" s="7">
        <v>0</v>
      </c>
    </row>
    <row r="14" spans="1:9">
      <c r="A14" s="4" t="s">
        <v>763</v>
      </c>
      <c r="B14" s="4"/>
      <c r="C14" s="4" t="s">
        <v>784</v>
      </c>
      <c r="D14" s="4" t="s">
        <v>768</v>
      </c>
      <c r="E14" s="4" t="s">
        <v>785</v>
      </c>
      <c r="F14" s="4"/>
      <c r="G14" s="7"/>
      <c r="H14" s="4">
        <v>0</v>
      </c>
      <c r="I14" s="7">
        <v>0</v>
      </c>
    </row>
    <row r="15" spans="1:9">
      <c r="A15" s="4" t="s">
        <v>763</v>
      </c>
      <c r="B15" s="4"/>
      <c r="C15" s="4" t="s">
        <v>786</v>
      </c>
      <c r="D15" s="4" t="s">
        <v>768</v>
      </c>
      <c r="E15" s="4" t="s">
        <v>787</v>
      </c>
      <c r="F15" s="4"/>
      <c r="G15" s="7"/>
      <c r="H15" s="4">
        <v>0</v>
      </c>
      <c r="I15" s="7">
        <v>0</v>
      </c>
    </row>
    <row r="16" spans="1:9">
      <c r="A16" s="4" t="s">
        <v>763</v>
      </c>
      <c r="B16" s="4"/>
      <c r="C16" s="4" t="s">
        <v>788</v>
      </c>
      <c r="D16" s="4" t="s">
        <v>768</v>
      </c>
      <c r="E16" s="4" t="s">
        <v>789</v>
      </c>
      <c r="F16" s="4"/>
      <c r="G16" s="7"/>
      <c r="H16" s="4">
        <v>0</v>
      </c>
      <c r="I16" s="7">
        <v>0</v>
      </c>
    </row>
    <row r="17" spans="1:10">
      <c r="A17" s="4" t="s">
        <v>763</v>
      </c>
      <c r="B17" s="4"/>
      <c r="C17" s="4" t="s">
        <v>790</v>
      </c>
      <c r="D17" s="4" t="s">
        <v>768</v>
      </c>
      <c r="E17" s="4" t="s">
        <v>791</v>
      </c>
      <c r="F17" s="4"/>
      <c r="G17" s="7"/>
      <c r="H17" s="4">
        <v>0</v>
      </c>
      <c r="I17" s="7">
        <v>0</v>
      </c>
    </row>
    <row r="18" spans="1:10">
      <c r="A18" s="4" t="s">
        <v>763</v>
      </c>
      <c r="B18" s="4"/>
      <c r="C18" s="4" t="s">
        <v>792</v>
      </c>
      <c r="D18" s="4" t="s">
        <v>768</v>
      </c>
      <c r="E18" s="4" t="s">
        <v>793</v>
      </c>
      <c r="F18" s="4"/>
      <c r="G18" s="7"/>
      <c r="H18" s="4">
        <v>0</v>
      </c>
      <c r="I18" s="7">
        <v>0</v>
      </c>
    </row>
    <row r="19" spans="1:10">
      <c r="A19" s="4" t="s">
        <v>763</v>
      </c>
      <c r="B19" s="4"/>
      <c r="C19" s="4" t="s">
        <v>794</v>
      </c>
      <c r="D19" s="4" t="s">
        <v>768</v>
      </c>
      <c r="E19" s="4" t="s">
        <v>795</v>
      </c>
      <c r="F19" s="4"/>
      <c r="G19" s="7"/>
      <c r="H19" s="4">
        <v>0</v>
      </c>
      <c r="I19" s="7">
        <v>0</v>
      </c>
    </row>
    <row r="20" spans="1:10">
      <c r="A20" s="4" t="s">
        <v>763</v>
      </c>
      <c r="B20" s="4"/>
      <c r="C20" s="4" t="s">
        <v>796</v>
      </c>
      <c r="D20" s="4" t="s">
        <v>768</v>
      </c>
      <c r="E20" s="4" t="s">
        <v>797</v>
      </c>
      <c r="F20" s="4"/>
      <c r="G20" s="7"/>
      <c r="H20" s="4">
        <v>0</v>
      </c>
      <c r="I20" s="7">
        <v>0</v>
      </c>
    </row>
    <row r="21" spans="1:10" s="10" customFormat="1">
      <c r="G21" s="9">
        <v>11.64</v>
      </c>
      <c r="I21" s="9">
        <v>8.99</v>
      </c>
      <c r="J21" s="9">
        <v>20.630000000000003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DE1C-854D-478F-BC6D-8B85D8AA3E40}">
  <dimension ref="A1:J7"/>
  <sheetViews>
    <sheetView workbookViewId="0">
      <selection activeCell="E22" sqref="E22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4.7109375" style="5" customWidth="1"/>
  </cols>
  <sheetData>
    <row r="1" spans="1:10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10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  <c r="J4" s="11" t="s">
        <v>798</v>
      </c>
    </row>
    <row r="5" spans="1:10">
      <c r="A5" s="4" t="s">
        <v>799</v>
      </c>
      <c r="B5" s="4" t="s">
        <v>800</v>
      </c>
      <c r="C5" s="4" t="s">
        <v>801</v>
      </c>
      <c r="D5" s="4" t="s">
        <v>802</v>
      </c>
      <c r="E5" s="4" t="s">
        <v>803</v>
      </c>
      <c r="F5" s="4">
        <v>1</v>
      </c>
      <c r="G5" s="7">
        <v>11.64</v>
      </c>
      <c r="H5" s="4"/>
      <c r="I5" s="7"/>
      <c r="J5" s="7"/>
    </row>
    <row r="6" spans="1:10">
      <c r="A6" s="4" t="s">
        <v>799</v>
      </c>
      <c r="B6" s="4" t="s">
        <v>800</v>
      </c>
      <c r="C6" s="4" t="s">
        <v>804</v>
      </c>
      <c r="D6" s="4" t="s">
        <v>805</v>
      </c>
      <c r="E6" s="4" t="s">
        <v>806</v>
      </c>
      <c r="F6" s="4">
        <v>1</v>
      </c>
      <c r="G6" s="7">
        <v>11.64</v>
      </c>
      <c r="H6" s="4"/>
      <c r="I6" s="7"/>
      <c r="J6" s="7"/>
    </row>
    <row r="7" spans="1:10">
      <c r="G7" s="9">
        <f>SUM(G5:G6)</f>
        <v>23.28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0B91-6B35-49DE-B8A2-7CEE41FD7BCA}">
  <sheetPr filterMode="1"/>
  <dimension ref="A1:N1026"/>
  <sheetViews>
    <sheetView tabSelected="1" workbookViewId="0">
      <pane ySplit="4" topLeftCell="A410" activePane="bottomLeft" state="frozen"/>
      <selection pane="bottomLeft" activeCell="A4" sqref="A4:XFD4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4.7109375" style="5" customWidth="1"/>
  </cols>
  <sheetData>
    <row r="1" spans="1:10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10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  <c r="J4" s="11" t="s">
        <v>798</v>
      </c>
    </row>
    <row r="5" spans="1:10" hidden="1">
      <c r="A5" s="15"/>
      <c r="B5" s="15"/>
      <c r="C5" s="15"/>
      <c r="D5" s="15"/>
      <c r="E5" s="15"/>
      <c r="F5" s="15"/>
      <c r="G5" s="16">
        <v>7775.5200000000104</v>
      </c>
      <c r="H5" s="15"/>
      <c r="I5" s="16">
        <v>3245.3899999999726</v>
      </c>
      <c r="J5" s="16">
        <v>288.12</v>
      </c>
    </row>
    <row r="6" spans="1:10" hidden="1">
      <c r="A6" s="4" t="s">
        <v>807</v>
      </c>
      <c r="B6" s="4" t="s">
        <v>808</v>
      </c>
      <c r="C6" s="4" t="s">
        <v>809</v>
      </c>
      <c r="D6" s="4" t="s">
        <v>649</v>
      </c>
      <c r="E6" s="4" t="s">
        <v>810</v>
      </c>
      <c r="F6" s="4"/>
      <c r="G6" s="7"/>
      <c r="H6" s="4">
        <v>1</v>
      </c>
      <c r="I6" s="7">
        <v>8.99</v>
      </c>
      <c r="J6" s="7"/>
    </row>
    <row r="7" spans="1:10" hidden="1">
      <c r="A7" s="4" t="s">
        <v>807</v>
      </c>
      <c r="B7" s="4" t="s">
        <v>811</v>
      </c>
      <c r="C7" s="4" t="s">
        <v>812</v>
      </c>
      <c r="D7" s="4" t="s">
        <v>813</v>
      </c>
      <c r="E7" s="4" t="s">
        <v>814</v>
      </c>
      <c r="F7" s="4"/>
      <c r="G7" s="7"/>
      <c r="H7" s="4">
        <v>1</v>
      </c>
      <c r="I7" s="7">
        <v>8.99</v>
      </c>
      <c r="J7" s="7"/>
    </row>
    <row r="8" spans="1:10" hidden="1">
      <c r="A8" s="4" t="s">
        <v>815</v>
      </c>
      <c r="B8" s="4" t="s">
        <v>816</v>
      </c>
      <c r="C8" s="4" t="s">
        <v>817</v>
      </c>
      <c r="D8" s="4" t="s">
        <v>818</v>
      </c>
      <c r="E8" s="4" t="s">
        <v>819</v>
      </c>
      <c r="F8" s="4"/>
      <c r="G8" s="7"/>
      <c r="H8" s="4">
        <v>1</v>
      </c>
      <c r="I8" s="7">
        <v>8.99</v>
      </c>
      <c r="J8" s="7"/>
    </row>
    <row r="9" spans="1:10" hidden="1">
      <c r="A9" s="4" t="s">
        <v>807</v>
      </c>
      <c r="B9" s="4" t="s">
        <v>811</v>
      </c>
      <c r="C9" s="4">
        <v>20525.099999999999</v>
      </c>
      <c r="D9" s="4" t="s">
        <v>820</v>
      </c>
      <c r="E9" s="4" t="s">
        <v>821</v>
      </c>
      <c r="F9" s="4"/>
      <c r="G9" s="7"/>
      <c r="H9" s="4">
        <v>1</v>
      </c>
      <c r="I9" s="7">
        <v>8.99</v>
      </c>
      <c r="J9" s="7"/>
    </row>
    <row r="10" spans="1:10" hidden="1">
      <c r="A10" s="4" t="s">
        <v>807</v>
      </c>
      <c r="B10" s="4" t="s">
        <v>811</v>
      </c>
      <c r="C10" s="4" t="s">
        <v>822</v>
      </c>
      <c r="D10" s="4" t="s">
        <v>823</v>
      </c>
      <c r="E10" s="4" t="s">
        <v>824</v>
      </c>
      <c r="F10" s="4"/>
      <c r="G10" s="7"/>
      <c r="H10" s="4">
        <v>1</v>
      </c>
      <c r="I10" s="7">
        <v>8.99</v>
      </c>
      <c r="J10" s="7"/>
    </row>
    <row r="11" spans="1:10" hidden="1">
      <c r="A11" s="4" t="s">
        <v>807</v>
      </c>
      <c r="B11" s="4" t="s">
        <v>825</v>
      </c>
      <c r="C11" s="4" t="s">
        <v>826</v>
      </c>
      <c r="D11" s="4" t="s">
        <v>827</v>
      </c>
      <c r="E11" s="4" t="s">
        <v>828</v>
      </c>
      <c r="F11" s="4"/>
      <c r="G11" s="7"/>
      <c r="H11" s="4">
        <v>1</v>
      </c>
      <c r="I11" s="7">
        <v>8.99</v>
      </c>
      <c r="J11" s="7"/>
    </row>
    <row r="12" spans="1:10" hidden="1">
      <c r="A12" s="4" t="s">
        <v>807</v>
      </c>
      <c r="B12" s="4" t="s">
        <v>825</v>
      </c>
      <c r="C12" s="4" t="s">
        <v>829</v>
      </c>
      <c r="D12" s="4" t="s">
        <v>830</v>
      </c>
      <c r="E12" s="4" t="s">
        <v>831</v>
      </c>
      <c r="F12" s="4"/>
      <c r="G12" s="7"/>
      <c r="H12" s="4">
        <v>1</v>
      </c>
      <c r="I12" s="7">
        <v>8.99</v>
      </c>
      <c r="J12" s="7"/>
    </row>
    <row r="13" spans="1:10" hidden="1">
      <c r="A13" s="4" t="s">
        <v>807</v>
      </c>
      <c r="B13" s="4" t="s">
        <v>825</v>
      </c>
      <c r="C13" s="4" t="s">
        <v>826</v>
      </c>
      <c r="D13" s="4" t="s">
        <v>832</v>
      </c>
      <c r="E13" s="4" t="s">
        <v>828</v>
      </c>
      <c r="F13" s="4"/>
      <c r="G13" s="7"/>
      <c r="H13" s="4">
        <v>1</v>
      </c>
      <c r="I13" s="7">
        <v>8.99</v>
      </c>
      <c r="J13" s="7"/>
    </row>
    <row r="14" spans="1:10" hidden="1">
      <c r="A14" s="4" t="s">
        <v>807</v>
      </c>
      <c r="B14" s="4" t="s">
        <v>825</v>
      </c>
      <c r="C14" s="4" t="s">
        <v>829</v>
      </c>
      <c r="D14" s="4" t="s">
        <v>833</v>
      </c>
      <c r="E14" s="4" t="s">
        <v>831</v>
      </c>
      <c r="F14" s="4"/>
      <c r="G14" s="7"/>
      <c r="H14" s="4">
        <v>1</v>
      </c>
      <c r="I14" s="7">
        <v>8.99</v>
      </c>
      <c r="J14" s="7"/>
    </row>
    <row r="15" spans="1:10" hidden="1">
      <c r="A15" s="4" t="s">
        <v>807</v>
      </c>
      <c r="B15" s="4" t="s">
        <v>825</v>
      </c>
      <c r="C15" s="4" t="s">
        <v>826</v>
      </c>
      <c r="D15" s="4" t="s">
        <v>834</v>
      </c>
      <c r="E15" s="4" t="s">
        <v>828</v>
      </c>
      <c r="F15" s="4"/>
      <c r="G15" s="7"/>
      <c r="H15" s="4">
        <v>1</v>
      </c>
      <c r="I15" s="7">
        <v>8.99</v>
      </c>
      <c r="J15" s="7"/>
    </row>
    <row r="16" spans="1:10" hidden="1">
      <c r="A16" s="4" t="s">
        <v>807</v>
      </c>
      <c r="B16" s="4" t="s">
        <v>825</v>
      </c>
      <c r="C16" s="4" t="s">
        <v>829</v>
      </c>
      <c r="D16" s="4" t="s">
        <v>835</v>
      </c>
      <c r="E16" s="4" t="s">
        <v>831</v>
      </c>
      <c r="F16" s="4"/>
      <c r="G16" s="7"/>
      <c r="H16" s="4">
        <v>1</v>
      </c>
      <c r="I16" s="7">
        <v>8.99</v>
      </c>
      <c r="J16" s="7"/>
    </row>
    <row r="17" spans="1:10" hidden="1">
      <c r="A17" s="4" t="s">
        <v>807</v>
      </c>
      <c r="B17" s="4" t="s">
        <v>825</v>
      </c>
      <c r="C17" s="4" t="s">
        <v>826</v>
      </c>
      <c r="D17" s="4" t="s">
        <v>836</v>
      </c>
      <c r="E17" s="4" t="s">
        <v>828</v>
      </c>
      <c r="F17" s="4"/>
      <c r="G17" s="7"/>
      <c r="H17" s="4">
        <v>1</v>
      </c>
      <c r="I17" s="7">
        <v>8.99</v>
      </c>
      <c r="J17" s="7"/>
    </row>
    <row r="18" spans="1:10" hidden="1">
      <c r="A18" s="4" t="s">
        <v>807</v>
      </c>
      <c r="B18" s="4" t="s">
        <v>825</v>
      </c>
      <c r="C18" s="4" t="s">
        <v>829</v>
      </c>
      <c r="D18" s="4" t="s">
        <v>837</v>
      </c>
      <c r="E18" s="4" t="s">
        <v>831</v>
      </c>
      <c r="F18" s="4"/>
      <c r="G18" s="7"/>
      <c r="H18" s="4">
        <v>1</v>
      </c>
      <c r="I18" s="7">
        <v>8.99</v>
      </c>
      <c r="J18" s="7"/>
    </row>
    <row r="19" spans="1:10" hidden="1">
      <c r="A19" s="4" t="s">
        <v>807</v>
      </c>
      <c r="B19" s="4" t="s">
        <v>811</v>
      </c>
      <c r="C19" s="4" t="s">
        <v>838</v>
      </c>
      <c r="D19" s="4" t="s">
        <v>839</v>
      </c>
      <c r="E19" s="4" t="s">
        <v>840</v>
      </c>
      <c r="F19" s="4"/>
      <c r="G19" s="7"/>
      <c r="H19" s="4">
        <v>1</v>
      </c>
      <c r="I19" s="7">
        <v>8.99</v>
      </c>
      <c r="J19" s="7"/>
    </row>
    <row r="20" spans="1:10" hidden="1">
      <c r="A20" s="4" t="s">
        <v>807</v>
      </c>
      <c r="B20" s="4" t="s">
        <v>825</v>
      </c>
      <c r="C20" s="4" t="s">
        <v>829</v>
      </c>
      <c r="D20" s="4" t="s">
        <v>841</v>
      </c>
      <c r="E20" s="4" t="s">
        <v>831</v>
      </c>
      <c r="F20" s="4"/>
      <c r="G20" s="7"/>
      <c r="H20" s="4">
        <v>1</v>
      </c>
      <c r="I20" s="7">
        <v>8.99</v>
      </c>
      <c r="J20" s="7"/>
    </row>
    <row r="21" spans="1:10" hidden="1">
      <c r="A21" s="4" t="s">
        <v>807</v>
      </c>
      <c r="B21" s="4" t="s">
        <v>825</v>
      </c>
      <c r="C21" s="4" t="s">
        <v>829</v>
      </c>
      <c r="D21" s="4" t="s">
        <v>842</v>
      </c>
      <c r="E21" s="4" t="s">
        <v>831</v>
      </c>
      <c r="F21" s="4"/>
      <c r="G21" s="7"/>
      <c r="H21" s="4">
        <v>1</v>
      </c>
      <c r="I21" s="7">
        <v>8.99</v>
      </c>
      <c r="J21" s="7"/>
    </row>
    <row r="22" spans="1:10" hidden="1">
      <c r="A22" s="4" t="s">
        <v>807</v>
      </c>
      <c r="B22" s="4" t="s">
        <v>811</v>
      </c>
      <c r="C22" s="4" t="s">
        <v>843</v>
      </c>
      <c r="D22" s="4" t="s">
        <v>844</v>
      </c>
      <c r="E22" s="4" t="s">
        <v>845</v>
      </c>
      <c r="F22" s="4"/>
      <c r="G22" s="7"/>
      <c r="H22" s="4">
        <v>1</v>
      </c>
      <c r="I22" s="7">
        <v>8.99</v>
      </c>
      <c r="J22" s="7"/>
    </row>
    <row r="23" spans="1:10" hidden="1">
      <c r="A23" s="4" t="s">
        <v>807</v>
      </c>
      <c r="B23" s="4" t="s">
        <v>811</v>
      </c>
      <c r="C23" s="4" t="s">
        <v>843</v>
      </c>
      <c r="D23" s="4" t="s">
        <v>846</v>
      </c>
      <c r="E23" s="4" t="s">
        <v>845</v>
      </c>
      <c r="F23" s="4"/>
      <c r="G23" s="7"/>
      <c r="H23" s="4">
        <v>1</v>
      </c>
      <c r="I23" s="7">
        <v>8.99</v>
      </c>
      <c r="J23" s="7"/>
    </row>
    <row r="24" spans="1:10" hidden="1">
      <c r="A24" s="4" t="s">
        <v>807</v>
      </c>
      <c r="B24" s="4" t="s">
        <v>811</v>
      </c>
      <c r="C24" s="4" t="s">
        <v>847</v>
      </c>
      <c r="D24" s="4" t="s">
        <v>848</v>
      </c>
      <c r="E24" s="4" t="s">
        <v>849</v>
      </c>
      <c r="F24" s="4"/>
      <c r="G24" s="7"/>
      <c r="H24" s="4">
        <v>1</v>
      </c>
      <c r="I24" s="7">
        <v>8.99</v>
      </c>
      <c r="J24" s="7"/>
    </row>
    <row r="25" spans="1:10" hidden="1">
      <c r="A25" s="4" t="s">
        <v>807</v>
      </c>
      <c r="B25" s="4" t="s">
        <v>811</v>
      </c>
      <c r="C25" s="4" t="s">
        <v>847</v>
      </c>
      <c r="D25" s="4" t="s">
        <v>850</v>
      </c>
      <c r="E25" s="4" t="s">
        <v>849</v>
      </c>
      <c r="F25" s="4"/>
      <c r="G25" s="7"/>
      <c r="H25" s="4">
        <v>1</v>
      </c>
      <c r="I25" s="7">
        <v>8.99</v>
      </c>
      <c r="J25" s="7"/>
    </row>
    <row r="26" spans="1:10" hidden="1">
      <c r="A26" s="4" t="s">
        <v>807</v>
      </c>
      <c r="B26" s="4" t="s">
        <v>811</v>
      </c>
      <c r="C26" s="4" t="s">
        <v>847</v>
      </c>
      <c r="D26" s="4" t="s">
        <v>851</v>
      </c>
      <c r="E26" s="4" t="s">
        <v>849</v>
      </c>
      <c r="F26" s="4"/>
      <c r="G26" s="7"/>
      <c r="H26" s="4">
        <v>1</v>
      </c>
      <c r="I26" s="7">
        <v>8.99</v>
      </c>
      <c r="J26" s="7"/>
    </row>
    <row r="27" spans="1:10" hidden="1">
      <c r="A27" s="4" t="s">
        <v>807</v>
      </c>
      <c r="B27" s="4" t="s">
        <v>808</v>
      </c>
      <c r="C27" s="4" t="s">
        <v>852</v>
      </c>
      <c r="D27" s="4" t="s">
        <v>853</v>
      </c>
      <c r="E27" s="4" t="s">
        <v>854</v>
      </c>
      <c r="F27" s="4"/>
      <c r="G27" s="7"/>
      <c r="H27" s="4">
        <v>1</v>
      </c>
      <c r="I27" s="7">
        <v>8.99</v>
      </c>
      <c r="J27" s="7"/>
    </row>
    <row r="28" spans="1:10" hidden="1">
      <c r="A28" s="4" t="s">
        <v>807</v>
      </c>
      <c r="B28" s="4" t="s">
        <v>811</v>
      </c>
      <c r="C28" s="4" t="s">
        <v>855</v>
      </c>
      <c r="D28" s="4" t="s">
        <v>856</v>
      </c>
      <c r="E28" s="4" t="s">
        <v>857</v>
      </c>
      <c r="F28" s="4"/>
      <c r="G28" s="7"/>
      <c r="H28" s="4">
        <v>1</v>
      </c>
      <c r="I28" s="7">
        <v>8.99</v>
      </c>
      <c r="J28" s="7"/>
    </row>
    <row r="29" spans="1:10" hidden="1">
      <c r="A29" s="4" t="s">
        <v>807</v>
      </c>
      <c r="B29" s="4" t="s">
        <v>808</v>
      </c>
      <c r="C29" s="4" t="s">
        <v>852</v>
      </c>
      <c r="D29" s="4" t="s">
        <v>858</v>
      </c>
      <c r="E29" s="4" t="s">
        <v>854</v>
      </c>
      <c r="F29" s="4"/>
      <c r="G29" s="7"/>
      <c r="H29" s="4">
        <v>1</v>
      </c>
      <c r="I29" s="7">
        <v>8.99</v>
      </c>
      <c r="J29" s="7"/>
    </row>
    <row r="30" spans="1:10" hidden="1">
      <c r="A30" s="4" t="s">
        <v>807</v>
      </c>
      <c r="B30" s="4" t="s">
        <v>811</v>
      </c>
      <c r="C30" s="4" t="s">
        <v>855</v>
      </c>
      <c r="D30" s="4" t="s">
        <v>859</v>
      </c>
      <c r="E30" s="4" t="s">
        <v>857</v>
      </c>
      <c r="F30" s="4"/>
      <c r="G30" s="7"/>
      <c r="H30" s="4">
        <v>1</v>
      </c>
      <c r="I30" s="7">
        <v>8.99</v>
      </c>
      <c r="J30" s="7"/>
    </row>
    <row r="31" spans="1:10" hidden="1">
      <c r="A31" s="4" t="s">
        <v>807</v>
      </c>
      <c r="B31" s="4" t="s">
        <v>808</v>
      </c>
      <c r="C31" s="4" t="s">
        <v>852</v>
      </c>
      <c r="D31" s="4" t="s">
        <v>860</v>
      </c>
      <c r="E31" s="4" t="s">
        <v>854</v>
      </c>
      <c r="F31" s="4"/>
      <c r="G31" s="7"/>
      <c r="H31" s="4">
        <v>1</v>
      </c>
      <c r="I31" s="7">
        <v>8.99</v>
      </c>
      <c r="J31" s="7"/>
    </row>
    <row r="32" spans="1:10" hidden="1">
      <c r="A32" s="4" t="s">
        <v>807</v>
      </c>
      <c r="B32" s="4" t="s">
        <v>811</v>
      </c>
      <c r="C32" s="4" t="s">
        <v>855</v>
      </c>
      <c r="D32" s="4" t="s">
        <v>861</v>
      </c>
      <c r="E32" s="4" t="s">
        <v>857</v>
      </c>
      <c r="F32" s="4"/>
      <c r="G32" s="7"/>
      <c r="H32" s="4">
        <v>1</v>
      </c>
      <c r="I32" s="7">
        <v>8.99</v>
      </c>
      <c r="J32" s="7"/>
    </row>
    <row r="33" spans="1:10" hidden="1">
      <c r="A33" s="4" t="s">
        <v>807</v>
      </c>
      <c r="B33" s="4" t="s">
        <v>808</v>
      </c>
      <c r="C33" s="4" t="s">
        <v>852</v>
      </c>
      <c r="D33" s="4" t="s">
        <v>862</v>
      </c>
      <c r="E33" s="4" t="s">
        <v>854</v>
      </c>
      <c r="F33" s="4"/>
      <c r="G33" s="7"/>
      <c r="H33" s="4">
        <v>1</v>
      </c>
      <c r="I33" s="7">
        <v>8.99</v>
      </c>
      <c r="J33" s="7"/>
    </row>
    <row r="34" spans="1:10" hidden="1">
      <c r="A34" s="4" t="s">
        <v>807</v>
      </c>
      <c r="B34" s="4" t="s">
        <v>808</v>
      </c>
      <c r="C34" s="4" t="s">
        <v>863</v>
      </c>
      <c r="D34" s="4" t="s">
        <v>864</v>
      </c>
      <c r="E34" s="4" t="s">
        <v>865</v>
      </c>
      <c r="F34" s="4"/>
      <c r="G34" s="7"/>
      <c r="H34" s="4">
        <v>1</v>
      </c>
      <c r="I34" s="7">
        <v>8.99</v>
      </c>
      <c r="J34" s="7"/>
    </row>
    <row r="35" spans="1:10" hidden="1">
      <c r="A35" s="4" t="s">
        <v>807</v>
      </c>
      <c r="B35" s="4" t="s">
        <v>808</v>
      </c>
      <c r="C35" s="4" t="s">
        <v>852</v>
      </c>
      <c r="D35" s="4" t="s">
        <v>866</v>
      </c>
      <c r="E35" s="4" t="s">
        <v>854</v>
      </c>
      <c r="F35" s="4"/>
      <c r="G35" s="7"/>
      <c r="H35" s="4">
        <v>1</v>
      </c>
      <c r="I35" s="7">
        <v>8.99</v>
      </c>
      <c r="J35" s="7"/>
    </row>
    <row r="36" spans="1:10" hidden="1">
      <c r="A36" s="4" t="s">
        <v>807</v>
      </c>
      <c r="B36" s="4" t="s">
        <v>808</v>
      </c>
      <c r="C36" s="4" t="s">
        <v>863</v>
      </c>
      <c r="D36" s="4" t="s">
        <v>867</v>
      </c>
      <c r="E36" s="4" t="s">
        <v>865</v>
      </c>
      <c r="F36" s="4"/>
      <c r="G36" s="7"/>
      <c r="H36" s="4">
        <v>1</v>
      </c>
      <c r="I36" s="7">
        <v>8.99</v>
      </c>
      <c r="J36" s="7"/>
    </row>
    <row r="37" spans="1:10" hidden="1">
      <c r="A37" s="4" t="s">
        <v>807</v>
      </c>
      <c r="B37" s="4" t="s">
        <v>808</v>
      </c>
      <c r="C37" s="4" t="s">
        <v>852</v>
      </c>
      <c r="D37" s="4" t="s">
        <v>868</v>
      </c>
      <c r="E37" s="4" t="s">
        <v>854</v>
      </c>
      <c r="F37" s="4"/>
      <c r="G37" s="7"/>
      <c r="H37" s="4">
        <v>1</v>
      </c>
      <c r="I37" s="7">
        <v>8.99</v>
      </c>
      <c r="J37" s="7"/>
    </row>
    <row r="38" spans="1:10" hidden="1">
      <c r="A38" s="4" t="s">
        <v>807</v>
      </c>
      <c r="B38" s="4" t="s">
        <v>811</v>
      </c>
      <c r="C38" s="4" t="s">
        <v>869</v>
      </c>
      <c r="D38" s="4" t="s">
        <v>870</v>
      </c>
      <c r="E38" s="4" t="s">
        <v>865</v>
      </c>
      <c r="F38" s="4"/>
      <c r="G38" s="7"/>
      <c r="H38" s="4">
        <v>1</v>
      </c>
      <c r="I38" s="7">
        <v>8.99</v>
      </c>
      <c r="J38" s="7"/>
    </row>
    <row r="39" spans="1:10" hidden="1">
      <c r="A39" s="4" t="s">
        <v>807</v>
      </c>
      <c r="B39" s="4" t="s">
        <v>808</v>
      </c>
      <c r="C39" s="4" t="s">
        <v>852</v>
      </c>
      <c r="D39" s="4" t="s">
        <v>871</v>
      </c>
      <c r="E39" s="4" t="s">
        <v>854</v>
      </c>
      <c r="F39" s="4"/>
      <c r="G39" s="7"/>
      <c r="H39" s="4">
        <v>1</v>
      </c>
      <c r="I39" s="7">
        <v>8.99</v>
      </c>
      <c r="J39" s="7"/>
    </row>
    <row r="40" spans="1:10" hidden="1">
      <c r="A40" s="4" t="s">
        <v>807</v>
      </c>
      <c r="B40" s="4" t="s">
        <v>811</v>
      </c>
      <c r="C40" s="4" t="s">
        <v>869</v>
      </c>
      <c r="D40" s="4" t="s">
        <v>872</v>
      </c>
      <c r="E40" s="4" t="s">
        <v>865</v>
      </c>
      <c r="F40" s="4"/>
      <c r="G40" s="7"/>
      <c r="H40" s="4">
        <v>1</v>
      </c>
      <c r="I40" s="7">
        <v>8.99</v>
      </c>
      <c r="J40" s="7"/>
    </row>
    <row r="41" spans="1:10" hidden="1">
      <c r="A41" s="4" t="s">
        <v>807</v>
      </c>
      <c r="B41" s="4" t="s">
        <v>808</v>
      </c>
      <c r="C41" s="4" t="s">
        <v>852</v>
      </c>
      <c r="D41" s="4" t="s">
        <v>873</v>
      </c>
      <c r="E41" s="4" t="s">
        <v>854</v>
      </c>
      <c r="F41" s="4"/>
      <c r="G41" s="7"/>
      <c r="H41" s="4">
        <v>1</v>
      </c>
      <c r="I41" s="7">
        <v>8.99</v>
      </c>
      <c r="J41" s="7"/>
    </row>
    <row r="42" spans="1:10" hidden="1">
      <c r="A42" s="4" t="s">
        <v>807</v>
      </c>
      <c r="B42" s="4" t="s">
        <v>811</v>
      </c>
      <c r="C42" s="4" t="s">
        <v>874</v>
      </c>
      <c r="D42" s="4" t="s">
        <v>875</v>
      </c>
      <c r="E42" s="4" t="s">
        <v>876</v>
      </c>
      <c r="F42" s="4"/>
      <c r="G42" s="7"/>
      <c r="H42" s="4">
        <v>1</v>
      </c>
      <c r="I42" s="7">
        <v>8.99</v>
      </c>
      <c r="J42" s="7"/>
    </row>
    <row r="43" spans="1:10" hidden="1">
      <c r="A43" s="4" t="s">
        <v>807</v>
      </c>
      <c r="B43" s="4" t="s">
        <v>811</v>
      </c>
      <c r="C43" s="4" t="s">
        <v>877</v>
      </c>
      <c r="D43" s="4" t="s">
        <v>878</v>
      </c>
      <c r="E43" s="4" t="s">
        <v>879</v>
      </c>
      <c r="F43" s="4"/>
      <c r="G43" s="7"/>
      <c r="H43" s="4">
        <v>1</v>
      </c>
      <c r="I43" s="7">
        <v>8.99</v>
      </c>
      <c r="J43" s="7"/>
    </row>
    <row r="44" spans="1:10" hidden="1">
      <c r="A44" s="4" t="s">
        <v>807</v>
      </c>
      <c r="B44" s="4" t="s">
        <v>811</v>
      </c>
      <c r="C44" s="4" t="s">
        <v>880</v>
      </c>
      <c r="D44" s="4" t="s">
        <v>881</v>
      </c>
      <c r="E44" s="4" t="s">
        <v>882</v>
      </c>
      <c r="F44" s="4"/>
      <c r="G44" s="7"/>
      <c r="H44" s="4">
        <v>1</v>
      </c>
      <c r="I44" s="7">
        <v>8.99</v>
      </c>
      <c r="J44" s="7"/>
    </row>
    <row r="45" spans="1:10" hidden="1">
      <c r="A45" s="4" t="s">
        <v>807</v>
      </c>
      <c r="B45" s="4" t="s">
        <v>811</v>
      </c>
      <c r="C45" s="4" t="s">
        <v>883</v>
      </c>
      <c r="D45" s="4" t="s">
        <v>884</v>
      </c>
      <c r="E45" s="4" t="s">
        <v>885</v>
      </c>
      <c r="F45" s="4"/>
      <c r="G45" s="7"/>
      <c r="H45" s="4">
        <v>1</v>
      </c>
      <c r="I45" s="7">
        <v>8.99</v>
      </c>
      <c r="J45" s="7"/>
    </row>
    <row r="46" spans="1:10" hidden="1">
      <c r="A46" s="4" t="s">
        <v>807</v>
      </c>
      <c r="B46" s="4" t="s">
        <v>811</v>
      </c>
      <c r="C46" s="4" t="s">
        <v>883</v>
      </c>
      <c r="D46" s="4" t="s">
        <v>886</v>
      </c>
      <c r="E46" s="4" t="s">
        <v>885</v>
      </c>
      <c r="F46" s="4"/>
      <c r="G46" s="7"/>
      <c r="H46" s="4">
        <v>1</v>
      </c>
      <c r="I46" s="7">
        <v>8.99</v>
      </c>
      <c r="J46" s="7"/>
    </row>
    <row r="47" spans="1:10" hidden="1">
      <c r="A47" s="4" t="s">
        <v>887</v>
      </c>
      <c r="B47" s="4" t="s">
        <v>808</v>
      </c>
      <c r="C47" s="4" t="s">
        <v>888</v>
      </c>
      <c r="D47" s="4" t="s">
        <v>889</v>
      </c>
      <c r="E47" s="4" t="s">
        <v>890</v>
      </c>
      <c r="F47" s="4"/>
      <c r="G47" s="7"/>
      <c r="H47" s="4">
        <v>1</v>
      </c>
      <c r="I47" s="7">
        <v>8.99</v>
      </c>
      <c r="J47" s="7"/>
    </row>
    <row r="48" spans="1:10" hidden="1">
      <c r="A48" s="4" t="s">
        <v>807</v>
      </c>
      <c r="B48" s="4" t="s">
        <v>811</v>
      </c>
      <c r="C48" s="4" t="s">
        <v>883</v>
      </c>
      <c r="D48" s="4" t="s">
        <v>891</v>
      </c>
      <c r="E48" s="4" t="s">
        <v>885</v>
      </c>
      <c r="F48" s="4"/>
      <c r="G48" s="7"/>
      <c r="H48" s="4">
        <v>1</v>
      </c>
      <c r="I48" s="7">
        <v>8.99</v>
      </c>
      <c r="J48" s="7"/>
    </row>
    <row r="49" spans="1:10" hidden="1">
      <c r="A49" s="4" t="s">
        <v>887</v>
      </c>
      <c r="B49" s="4" t="s">
        <v>808</v>
      </c>
      <c r="C49" s="4" t="s">
        <v>892</v>
      </c>
      <c r="D49" s="4" t="s">
        <v>893</v>
      </c>
      <c r="E49" s="4" t="s">
        <v>894</v>
      </c>
      <c r="F49" s="4"/>
      <c r="G49" s="7"/>
      <c r="H49" s="4">
        <v>1</v>
      </c>
      <c r="I49" s="7">
        <v>8.99</v>
      </c>
      <c r="J49" s="7"/>
    </row>
    <row r="50" spans="1:10" hidden="1">
      <c r="A50" s="4" t="s">
        <v>887</v>
      </c>
      <c r="B50" s="4" t="s">
        <v>808</v>
      </c>
      <c r="C50" s="4" t="s">
        <v>895</v>
      </c>
      <c r="D50" s="4" t="s">
        <v>896</v>
      </c>
      <c r="E50" s="4" t="s">
        <v>897</v>
      </c>
      <c r="F50" s="4"/>
      <c r="G50" s="7"/>
      <c r="H50" s="4">
        <v>1</v>
      </c>
      <c r="I50" s="7">
        <v>8.99</v>
      </c>
      <c r="J50" s="7"/>
    </row>
    <row r="51" spans="1:10" hidden="1">
      <c r="A51" s="4" t="s">
        <v>887</v>
      </c>
      <c r="B51" s="4" t="s">
        <v>811</v>
      </c>
      <c r="C51" s="4" t="s">
        <v>898</v>
      </c>
      <c r="D51" s="4" t="s">
        <v>899</v>
      </c>
      <c r="E51" s="4" t="s">
        <v>900</v>
      </c>
      <c r="F51" s="4"/>
      <c r="G51" s="7"/>
      <c r="H51" s="4">
        <v>1</v>
      </c>
      <c r="I51" s="7">
        <v>8.99</v>
      </c>
      <c r="J51" s="7"/>
    </row>
    <row r="52" spans="1:10" hidden="1">
      <c r="A52" s="4" t="s">
        <v>887</v>
      </c>
      <c r="B52" s="4" t="s">
        <v>811</v>
      </c>
      <c r="C52" s="4" t="s">
        <v>901</v>
      </c>
      <c r="D52" s="4" t="s">
        <v>902</v>
      </c>
      <c r="E52" s="4" t="s">
        <v>900</v>
      </c>
      <c r="F52" s="4"/>
      <c r="G52" s="7"/>
      <c r="H52" s="4">
        <v>1</v>
      </c>
      <c r="I52" s="7">
        <v>8.99</v>
      </c>
      <c r="J52" s="7"/>
    </row>
    <row r="53" spans="1:10" hidden="1">
      <c r="A53" s="4" t="s">
        <v>887</v>
      </c>
      <c r="B53" s="4" t="s">
        <v>811</v>
      </c>
      <c r="C53" s="4" t="s">
        <v>903</v>
      </c>
      <c r="D53" s="4" t="s">
        <v>904</v>
      </c>
      <c r="E53" s="4" t="s">
        <v>905</v>
      </c>
      <c r="F53" s="4"/>
      <c r="G53" s="7"/>
      <c r="H53" s="4">
        <v>1</v>
      </c>
      <c r="I53" s="7">
        <v>8.99</v>
      </c>
      <c r="J53" s="7"/>
    </row>
    <row r="54" spans="1:10" hidden="1">
      <c r="A54" s="4" t="s">
        <v>807</v>
      </c>
      <c r="B54" s="4" t="s">
        <v>811</v>
      </c>
      <c r="C54" s="4" t="s">
        <v>883</v>
      </c>
      <c r="D54" s="4" t="s">
        <v>906</v>
      </c>
      <c r="E54" s="4" t="s">
        <v>885</v>
      </c>
      <c r="F54" s="4"/>
      <c r="G54" s="7"/>
      <c r="H54" s="4">
        <v>1</v>
      </c>
      <c r="I54" s="7">
        <v>8.99</v>
      </c>
      <c r="J54" s="7"/>
    </row>
    <row r="55" spans="1:10" hidden="1">
      <c r="A55" s="4" t="s">
        <v>807</v>
      </c>
      <c r="B55" s="4" t="s">
        <v>808</v>
      </c>
      <c r="C55" s="4" t="s">
        <v>852</v>
      </c>
      <c r="D55" s="4" t="s">
        <v>907</v>
      </c>
      <c r="E55" s="4" t="s">
        <v>854</v>
      </c>
      <c r="F55" s="4"/>
      <c r="G55" s="7"/>
      <c r="H55" s="4">
        <v>1</v>
      </c>
      <c r="I55" s="7">
        <v>8.99</v>
      </c>
      <c r="J55" s="7"/>
    </row>
    <row r="56" spans="1:10" hidden="1">
      <c r="A56" s="4" t="s">
        <v>887</v>
      </c>
      <c r="B56" s="4" t="s">
        <v>808</v>
      </c>
      <c r="C56" s="4" t="s">
        <v>888</v>
      </c>
      <c r="D56" s="4" t="s">
        <v>908</v>
      </c>
      <c r="E56" s="4" t="s">
        <v>890</v>
      </c>
      <c r="F56" s="4"/>
      <c r="G56" s="7"/>
      <c r="H56" s="4">
        <v>1</v>
      </c>
      <c r="I56" s="7">
        <v>8.99</v>
      </c>
      <c r="J56" s="7"/>
    </row>
    <row r="57" spans="1:10" hidden="1">
      <c r="A57" s="4" t="s">
        <v>807</v>
      </c>
      <c r="B57" s="4" t="s">
        <v>811</v>
      </c>
      <c r="C57" s="4" t="s">
        <v>883</v>
      </c>
      <c r="D57" s="4" t="s">
        <v>909</v>
      </c>
      <c r="E57" s="4" t="s">
        <v>885</v>
      </c>
      <c r="F57" s="4"/>
      <c r="G57" s="7"/>
      <c r="H57" s="4">
        <v>1</v>
      </c>
      <c r="I57" s="7">
        <v>8.99</v>
      </c>
      <c r="J57" s="7"/>
    </row>
    <row r="58" spans="1:10" hidden="1">
      <c r="A58" s="4" t="s">
        <v>807</v>
      </c>
      <c r="B58" s="4" t="s">
        <v>808</v>
      </c>
      <c r="C58" s="4" t="s">
        <v>852</v>
      </c>
      <c r="D58" s="4" t="s">
        <v>910</v>
      </c>
      <c r="E58" s="4" t="s">
        <v>854</v>
      </c>
      <c r="F58" s="4"/>
      <c r="G58" s="7"/>
      <c r="H58" s="4">
        <v>1</v>
      </c>
      <c r="I58" s="7">
        <v>8.99</v>
      </c>
      <c r="J58" s="7"/>
    </row>
    <row r="59" spans="1:10" hidden="1">
      <c r="A59" s="4" t="s">
        <v>807</v>
      </c>
      <c r="B59" s="4" t="s">
        <v>825</v>
      </c>
      <c r="C59" s="4" t="s">
        <v>826</v>
      </c>
      <c r="D59" s="4" t="s">
        <v>911</v>
      </c>
      <c r="E59" s="4" t="s">
        <v>828</v>
      </c>
      <c r="F59" s="4"/>
      <c r="G59" s="7"/>
      <c r="H59" s="4">
        <v>1</v>
      </c>
      <c r="I59" s="7">
        <v>8.99</v>
      </c>
      <c r="J59" s="7"/>
    </row>
    <row r="60" spans="1:10" hidden="1">
      <c r="A60" s="4" t="s">
        <v>807</v>
      </c>
      <c r="B60" s="4" t="s">
        <v>808</v>
      </c>
      <c r="C60" s="4" t="s">
        <v>852</v>
      </c>
      <c r="D60" s="4" t="s">
        <v>912</v>
      </c>
      <c r="E60" s="4" t="s">
        <v>854</v>
      </c>
      <c r="F60" s="4"/>
      <c r="G60" s="7"/>
      <c r="H60" s="4">
        <v>1</v>
      </c>
      <c r="I60" s="7">
        <v>8.99</v>
      </c>
      <c r="J60" s="7"/>
    </row>
    <row r="61" spans="1:10" hidden="1">
      <c r="A61" s="4" t="s">
        <v>807</v>
      </c>
      <c r="B61" s="4" t="s">
        <v>825</v>
      </c>
      <c r="C61" s="4" t="s">
        <v>826</v>
      </c>
      <c r="D61" s="4" t="s">
        <v>913</v>
      </c>
      <c r="E61" s="4" t="s">
        <v>828</v>
      </c>
      <c r="F61" s="4"/>
      <c r="G61" s="7"/>
      <c r="H61" s="4">
        <v>1</v>
      </c>
      <c r="I61" s="7">
        <v>8.99</v>
      </c>
      <c r="J61" s="7"/>
    </row>
    <row r="62" spans="1:10" hidden="1">
      <c r="A62" s="4" t="s">
        <v>807</v>
      </c>
      <c r="B62" s="4" t="s">
        <v>825</v>
      </c>
      <c r="C62" s="4" t="s">
        <v>826</v>
      </c>
      <c r="D62" s="4" t="s">
        <v>914</v>
      </c>
      <c r="E62" s="4" t="s">
        <v>828</v>
      </c>
      <c r="F62" s="4"/>
      <c r="G62" s="7"/>
      <c r="H62" s="4">
        <v>1</v>
      </c>
      <c r="I62" s="7">
        <v>8.99</v>
      </c>
      <c r="J62" s="7"/>
    </row>
    <row r="63" spans="1:10" hidden="1">
      <c r="A63" s="4" t="s">
        <v>915</v>
      </c>
      <c r="B63" s="4"/>
      <c r="C63" s="4">
        <v>54005814</v>
      </c>
      <c r="D63" s="4" t="s">
        <v>916</v>
      </c>
      <c r="E63" s="4" t="s">
        <v>917</v>
      </c>
      <c r="F63" s="4"/>
      <c r="G63" s="7"/>
      <c r="H63" s="4">
        <v>1</v>
      </c>
      <c r="I63" s="7">
        <v>8.99</v>
      </c>
      <c r="J63" s="7"/>
    </row>
    <row r="64" spans="1:10" hidden="1">
      <c r="A64" s="4" t="s">
        <v>915</v>
      </c>
      <c r="B64" s="4"/>
      <c r="C64" s="4">
        <v>54004449</v>
      </c>
      <c r="D64" s="4" t="s">
        <v>918</v>
      </c>
      <c r="E64" s="4" t="s">
        <v>919</v>
      </c>
      <c r="F64" s="4"/>
      <c r="G64" s="7"/>
      <c r="H64" s="4">
        <v>1</v>
      </c>
      <c r="I64" s="7">
        <v>8.99</v>
      </c>
      <c r="J64" s="7"/>
    </row>
    <row r="65" spans="1:10" hidden="1">
      <c r="A65" s="4" t="s">
        <v>807</v>
      </c>
      <c r="B65" s="4" t="s">
        <v>825</v>
      </c>
      <c r="C65" s="4" t="s">
        <v>920</v>
      </c>
      <c r="D65" s="4" t="s">
        <v>921</v>
      </c>
      <c r="E65" s="4" t="s">
        <v>922</v>
      </c>
      <c r="F65" s="4"/>
      <c r="G65" s="7"/>
      <c r="H65" s="4">
        <v>1</v>
      </c>
      <c r="I65" s="7">
        <v>8.99</v>
      </c>
      <c r="J65" s="7"/>
    </row>
    <row r="66" spans="1:10" hidden="1">
      <c r="A66" s="4" t="s">
        <v>807</v>
      </c>
      <c r="B66" s="4" t="s">
        <v>825</v>
      </c>
      <c r="C66" s="4" t="s">
        <v>920</v>
      </c>
      <c r="D66" s="4" t="s">
        <v>923</v>
      </c>
      <c r="E66" s="4" t="s">
        <v>922</v>
      </c>
      <c r="F66" s="4"/>
      <c r="G66" s="7"/>
      <c r="H66" s="4">
        <v>1</v>
      </c>
      <c r="I66" s="7">
        <v>8.99</v>
      </c>
      <c r="J66" s="7"/>
    </row>
    <row r="67" spans="1:10" hidden="1">
      <c r="A67" s="4" t="s">
        <v>807</v>
      </c>
      <c r="B67" s="4" t="s">
        <v>811</v>
      </c>
      <c r="C67" s="4" t="s">
        <v>924</v>
      </c>
      <c r="D67" s="4" t="s">
        <v>925</v>
      </c>
      <c r="E67" s="4" t="s">
        <v>926</v>
      </c>
      <c r="F67" s="4"/>
      <c r="G67" s="7"/>
      <c r="H67" s="4">
        <v>1</v>
      </c>
      <c r="I67" s="7">
        <v>8.99</v>
      </c>
      <c r="J67" s="7"/>
    </row>
    <row r="68" spans="1:10" hidden="1">
      <c r="A68" s="4" t="s">
        <v>807</v>
      </c>
      <c r="B68" s="4" t="s">
        <v>811</v>
      </c>
      <c r="C68" s="4" t="s">
        <v>924</v>
      </c>
      <c r="D68" s="4" t="s">
        <v>927</v>
      </c>
      <c r="E68" s="4" t="s">
        <v>926</v>
      </c>
      <c r="F68" s="4"/>
      <c r="G68" s="7"/>
      <c r="H68" s="4">
        <v>1</v>
      </c>
      <c r="I68" s="7">
        <v>8.99</v>
      </c>
      <c r="J68" s="7"/>
    </row>
    <row r="69" spans="1:10" hidden="1">
      <c r="A69" s="4" t="s">
        <v>807</v>
      </c>
      <c r="B69" s="4" t="s">
        <v>825</v>
      </c>
      <c r="C69" s="4" t="s">
        <v>826</v>
      </c>
      <c r="D69" s="4" t="s">
        <v>928</v>
      </c>
      <c r="E69" s="4" t="s">
        <v>828</v>
      </c>
      <c r="F69" s="4"/>
      <c r="G69" s="7"/>
      <c r="H69" s="4">
        <v>1</v>
      </c>
      <c r="I69" s="7">
        <v>8.99</v>
      </c>
      <c r="J69" s="7"/>
    </row>
    <row r="70" spans="1:10" hidden="1">
      <c r="A70" s="4" t="s">
        <v>807</v>
      </c>
      <c r="B70" s="4" t="s">
        <v>825</v>
      </c>
      <c r="C70" s="4" t="s">
        <v>826</v>
      </c>
      <c r="D70" s="4" t="s">
        <v>929</v>
      </c>
      <c r="E70" s="4" t="s">
        <v>828</v>
      </c>
      <c r="F70" s="4"/>
      <c r="G70" s="7"/>
      <c r="H70" s="4">
        <v>1</v>
      </c>
      <c r="I70" s="7">
        <v>8.99</v>
      </c>
      <c r="J70" s="7"/>
    </row>
    <row r="71" spans="1:10" hidden="1">
      <c r="A71" s="4" t="s">
        <v>807</v>
      </c>
      <c r="B71" s="4" t="s">
        <v>825</v>
      </c>
      <c r="C71" s="4" t="s">
        <v>826</v>
      </c>
      <c r="D71" s="4" t="s">
        <v>930</v>
      </c>
      <c r="E71" s="4" t="s">
        <v>828</v>
      </c>
      <c r="F71" s="4"/>
      <c r="G71" s="7"/>
      <c r="H71" s="4">
        <v>1</v>
      </c>
      <c r="I71" s="7">
        <v>8.99</v>
      </c>
      <c r="J71" s="7"/>
    </row>
    <row r="72" spans="1:10" hidden="1">
      <c r="A72" s="4" t="s">
        <v>807</v>
      </c>
      <c r="B72" s="4" t="s">
        <v>811</v>
      </c>
      <c r="C72" s="4" t="s">
        <v>931</v>
      </c>
      <c r="D72" s="4" t="s">
        <v>932</v>
      </c>
      <c r="E72" s="4" t="s">
        <v>933</v>
      </c>
      <c r="F72" s="4"/>
      <c r="G72" s="7"/>
      <c r="H72" s="4">
        <v>1</v>
      </c>
      <c r="I72" s="7">
        <v>8.99</v>
      </c>
      <c r="J72" s="7"/>
    </row>
    <row r="73" spans="1:10" hidden="1">
      <c r="A73" s="4" t="s">
        <v>807</v>
      </c>
      <c r="B73" s="4" t="s">
        <v>811</v>
      </c>
      <c r="C73" s="4" t="s">
        <v>934</v>
      </c>
      <c r="D73" s="4" t="s">
        <v>935</v>
      </c>
      <c r="E73" s="4" t="s">
        <v>936</v>
      </c>
      <c r="F73" s="4"/>
      <c r="G73" s="7"/>
      <c r="H73" s="4">
        <v>1</v>
      </c>
      <c r="I73" s="7">
        <v>8.99</v>
      </c>
      <c r="J73" s="7"/>
    </row>
    <row r="74" spans="1:10" hidden="1">
      <c r="A74" s="4" t="s">
        <v>807</v>
      </c>
      <c r="B74" s="4" t="s">
        <v>937</v>
      </c>
      <c r="C74" s="4" t="s">
        <v>938</v>
      </c>
      <c r="D74" s="4" t="s">
        <v>939</v>
      </c>
      <c r="E74" s="4" t="s">
        <v>940</v>
      </c>
      <c r="F74" s="4"/>
      <c r="G74" s="7"/>
      <c r="H74" s="4">
        <v>1</v>
      </c>
      <c r="I74" s="7">
        <v>8.99</v>
      </c>
      <c r="J74" s="7"/>
    </row>
    <row r="75" spans="1:10" hidden="1">
      <c r="A75" s="4" t="s">
        <v>807</v>
      </c>
      <c r="B75" s="4" t="s">
        <v>937</v>
      </c>
      <c r="C75" s="4" t="s">
        <v>938</v>
      </c>
      <c r="D75" s="4" t="s">
        <v>941</v>
      </c>
      <c r="E75" s="4" t="s">
        <v>940</v>
      </c>
      <c r="F75" s="4"/>
      <c r="G75" s="7"/>
      <c r="H75" s="4">
        <v>1</v>
      </c>
      <c r="I75" s="7">
        <v>8.99</v>
      </c>
      <c r="J75" s="7"/>
    </row>
    <row r="76" spans="1:10" hidden="1">
      <c r="A76" s="4" t="s">
        <v>807</v>
      </c>
      <c r="B76" s="4" t="s">
        <v>811</v>
      </c>
      <c r="C76" s="4" t="s">
        <v>942</v>
      </c>
      <c r="D76" s="4" t="s">
        <v>943</v>
      </c>
      <c r="E76" s="4" t="s">
        <v>944</v>
      </c>
      <c r="F76" s="4"/>
      <c r="G76" s="7"/>
      <c r="H76" s="4">
        <v>1</v>
      </c>
      <c r="I76" s="7">
        <v>8.99</v>
      </c>
      <c r="J76" s="7"/>
    </row>
    <row r="77" spans="1:10" hidden="1">
      <c r="A77" s="4" t="s">
        <v>807</v>
      </c>
      <c r="B77" s="4" t="s">
        <v>945</v>
      </c>
      <c r="C77" s="4" t="s">
        <v>946</v>
      </c>
      <c r="D77" s="4" t="s">
        <v>947</v>
      </c>
      <c r="E77" s="4" t="s">
        <v>948</v>
      </c>
      <c r="F77" s="4"/>
      <c r="G77" s="7"/>
      <c r="H77" s="4">
        <v>1</v>
      </c>
      <c r="I77" s="7">
        <v>8.99</v>
      </c>
      <c r="J77" s="7"/>
    </row>
    <row r="78" spans="1:10" hidden="1">
      <c r="A78" s="4" t="s">
        <v>807</v>
      </c>
      <c r="B78" s="4" t="s">
        <v>945</v>
      </c>
      <c r="C78" s="4">
        <v>1449</v>
      </c>
      <c r="D78" s="4" t="s">
        <v>949</v>
      </c>
      <c r="E78" s="4" t="s">
        <v>950</v>
      </c>
      <c r="F78" s="4"/>
      <c r="G78" s="7"/>
      <c r="H78" s="4">
        <v>1</v>
      </c>
      <c r="I78" s="7">
        <v>8.99</v>
      </c>
      <c r="J78" s="7"/>
    </row>
    <row r="79" spans="1:10" hidden="1">
      <c r="A79" s="4" t="s">
        <v>807</v>
      </c>
      <c r="B79" s="4" t="s">
        <v>825</v>
      </c>
      <c r="C79" s="4">
        <v>260225.2</v>
      </c>
      <c r="D79" s="4" t="s">
        <v>951</v>
      </c>
      <c r="E79" s="4" t="s">
        <v>952</v>
      </c>
      <c r="F79" s="4"/>
      <c r="G79" s="7"/>
      <c r="H79" s="4">
        <v>1</v>
      </c>
      <c r="I79" s="7">
        <v>8.99</v>
      </c>
      <c r="J79" s="7"/>
    </row>
    <row r="80" spans="1:10" hidden="1">
      <c r="A80" s="4" t="s">
        <v>807</v>
      </c>
      <c r="B80" s="4" t="s">
        <v>825</v>
      </c>
      <c r="C80" s="4">
        <v>260225.2</v>
      </c>
      <c r="D80" s="4" t="s">
        <v>953</v>
      </c>
      <c r="E80" s="4" t="s">
        <v>952</v>
      </c>
      <c r="F80" s="4"/>
      <c r="G80" s="7"/>
      <c r="H80" s="4">
        <v>1</v>
      </c>
      <c r="I80" s="7">
        <v>8.99</v>
      </c>
      <c r="J80" s="7"/>
    </row>
    <row r="81" spans="1:10" hidden="1">
      <c r="A81" s="4" t="s">
        <v>807</v>
      </c>
      <c r="B81" s="4" t="s">
        <v>811</v>
      </c>
      <c r="C81" s="4" t="s">
        <v>954</v>
      </c>
      <c r="D81" s="4" t="s">
        <v>955</v>
      </c>
      <c r="E81" s="4" t="s">
        <v>956</v>
      </c>
      <c r="F81" s="4"/>
      <c r="G81" s="7"/>
      <c r="H81" s="4">
        <v>1</v>
      </c>
      <c r="I81" s="7">
        <v>8.99</v>
      </c>
      <c r="J81" s="7"/>
    </row>
    <row r="82" spans="1:10" hidden="1">
      <c r="A82" s="4" t="s">
        <v>807</v>
      </c>
      <c r="B82" s="4"/>
      <c r="C82" s="4">
        <v>27072022</v>
      </c>
      <c r="D82" s="4" t="s">
        <v>957</v>
      </c>
      <c r="E82" s="4" t="s">
        <v>958</v>
      </c>
      <c r="F82" s="4"/>
      <c r="G82" s="7"/>
      <c r="H82" s="4">
        <v>1</v>
      </c>
      <c r="I82" s="7">
        <v>8.99</v>
      </c>
      <c r="J82" s="7"/>
    </row>
    <row r="83" spans="1:10" hidden="1">
      <c r="A83" s="4" t="s">
        <v>807</v>
      </c>
      <c r="B83" s="4" t="s">
        <v>937</v>
      </c>
      <c r="C83" s="4" t="s">
        <v>959</v>
      </c>
      <c r="D83" s="4" t="s">
        <v>960</v>
      </c>
      <c r="E83" s="4" t="s">
        <v>961</v>
      </c>
      <c r="F83" s="4"/>
      <c r="G83" s="7"/>
      <c r="H83" s="4">
        <v>1</v>
      </c>
      <c r="I83" s="7">
        <v>8.99</v>
      </c>
      <c r="J83" s="7"/>
    </row>
    <row r="84" spans="1:10" hidden="1">
      <c r="A84" s="4" t="s">
        <v>807</v>
      </c>
      <c r="B84" s="4" t="s">
        <v>962</v>
      </c>
      <c r="C84" s="4" t="s">
        <v>963</v>
      </c>
      <c r="D84" s="4" t="s">
        <v>964</v>
      </c>
      <c r="E84" s="4" t="s">
        <v>965</v>
      </c>
      <c r="F84" s="4"/>
      <c r="G84" s="7"/>
      <c r="H84" s="4">
        <v>1</v>
      </c>
      <c r="I84" s="7">
        <v>8.99</v>
      </c>
      <c r="J84" s="7"/>
    </row>
    <row r="85" spans="1:10" hidden="1">
      <c r="A85" s="4" t="s">
        <v>807</v>
      </c>
      <c r="B85" s="4" t="s">
        <v>808</v>
      </c>
      <c r="C85" s="4" t="s">
        <v>966</v>
      </c>
      <c r="D85" s="4" t="s">
        <v>967</v>
      </c>
      <c r="E85" s="4" t="s">
        <v>968</v>
      </c>
      <c r="F85" s="4"/>
      <c r="G85" s="7"/>
      <c r="H85" s="4">
        <v>1</v>
      </c>
      <c r="I85" s="7">
        <v>8.99</v>
      </c>
      <c r="J85" s="7"/>
    </row>
    <row r="86" spans="1:10" hidden="1">
      <c r="A86" s="4" t="s">
        <v>807</v>
      </c>
      <c r="B86" s="4" t="s">
        <v>811</v>
      </c>
      <c r="C86" s="4" t="s">
        <v>969</v>
      </c>
      <c r="D86" s="4" t="s">
        <v>970</v>
      </c>
      <c r="E86" s="4" t="s">
        <v>971</v>
      </c>
      <c r="F86" s="4"/>
      <c r="G86" s="7"/>
      <c r="H86" s="4">
        <v>1</v>
      </c>
      <c r="I86" s="7">
        <v>8.99</v>
      </c>
      <c r="J86" s="7"/>
    </row>
    <row r="87" spans="1:10" hidden="1">
      <c r="A87" s="4" t="s">
        <v>807</v>
      </c>
      <c r="B87" s="4" t="s">
        <v>811</v>
      </c>
      <c r="C87" s="4" t="s">
        <v>969</v>
      </c>
      <c r="D87" s="4" t="s">
        <v>972</v>
      </c>
      <c r="E87" s="4" t="s">
        <v>971</v>
      </c>
      <c r="F87" s="4"/>
      <c r="G87" s="7"/>
      <c r="H87" s="4">
        <v>1</v>
      </c>
      <c r="I87" s="7">
        <v>8.99</v>
      </c>
      <c r="J87" s="7"/>
    </row>
    <row r="88" spans="1:10" hidden="1">
      <c r="A88" s="4" t="s">
        <v>915</v>
      </c>
      <c r="B88" s="4" t="s">
        <v>915</v>
      </c>
      <c r="C88" s="4">
        <v>54005262</v>
      </c>
      <c r="D88" s="4" t="s">
        <v>973</v>
      </c>
      <c r="E88" s="4" t="s">
        <v>974</v>
      </c>
      <c r="F88" s="4"/>
      <c r="G88" s="7"/>
      <c r="H88" s="4">
        <v>1</v>
      </c>
      <c r="I88" s="7">
        <v>8.99</v>
      </c>
      <c r="J88" s="7"/>
    </row>
    <row r="89" spans="1:10" hidden="1">
      <c r="A89" s="4" t="s">
        <v>807</v>
      </c>
      <c r="B89" s="4" t="s">
        <v>825</v>
      </c>
      <c r="C89" s="4" t="s">
        <v>975</v>
      </c>
      <c r="D89" s="4" t="s">
        <v>976</v>
      </c>
      <c r="E89" s="4" t="s">
        <v>977</v>
      </c>
      <c r="F89" s="4"/>
      <c r="G89" s="7"/>
      <c r="H89" s="4">
        <v>1</v>
      </c>
      <c r="I89" s="7">
        <v>8.99</v>
      </c>
      <c r="J89" s="7"/>
    </row>
    <row r="90" spans="1:10" hidden="1">
      <c r="A90" s="4" t="s">
        <v>807</v>
      </c>
      <c r="B90" s="4" t="s">
        <v>825</v>
      </c>
      <c r="C90" s="4" t="s">
        <v>975</v>
      </c>
      <c r="D90" s="4" t="s">
        <v>978</v>
      </c>
      <c r="E90" s="4" t="s">
        <v>977</v>
      </c>
      <c r="F90" s="4"/>
      <c r="G90" s="7"/>
      <c r="H90" s="4">
        <v>1</v>
      </c>
      <c r="I90" s="7">
        <v>8.99</v>
      </c>
      <c r="J90" s="7"/>
    </row>
    <row r="91" spans="1:10" hidden="1">
      <c r="A91" s="4" t="s">
        <v>807</v>
      </c>
      <c r="B91" s="4" t="s">
        <v>811</v>
      </c>
      <c r="C91" s="4" t="s">
        <v>979</v>
      </c>
      <c r="D91" s="4" t="s">
        <v>980</v>
      </c>
      <c r="E91" s="4" t="s">
        <v>981</v>
      </c>
      <c r="F91" s="4"/>
      <c r="G91" s="7"/>
      <c r="H91" s="4">
        <v>1</v>
      </c>
      <c r="I91" s="7">
        <v>8.99</v>
      </c>
      <c r="J91" s="7"/>
    </row>
    <row r="92" spans="1:10" hidden="1">
      <c r="A92" s="4" t="s">
        <v>807</v>
      </c>
      <c r="B92" s="4" t="s">
        <v>811</v>
      </c>
      <c r="C92" s="4" t="s">
        <v>979</v>
      </c>
      <c r="D92" s="4" t="s">
        <v>982</v>
      </c>
      <c r="E92" s="4" t="s">
        <v>981</v>
      </c>
      <c r="F92" s="4"/>
      <c r="G92" s="7"/>
      <c r="H92" s="4">
        <v>1</v>
      </c>
      <c r="I92" s="7">
        <v>8.99</v>
      </c>
      <c r="J92" s="7"/>
    </row>
    <row r="93" spans="1:10" hidden="1">
      <c r="A93" s="4" t="s">
        <v>807</v>
      </c>
      <c r="B93" s="4" t="s">
        <v>962</v>
      </c>
      <c r="C93" s="4" t="s">
        <v>983</v>
      </c>
      <c r="D93" s="4" t="s">
        <v>984</v>
      </c>
      <c r="E93" s="4" t="s">
        <v>985</v>
      </c>
      <c r="F93" s="4"/>
      <c r="G93" s="7"/>
      <c r="H93" s="4">
        <v>1</v>
      </c>
      <c r="I93" s="7">
        <v>8.99</v>
      </c>
      <c r="J93" s="7"/>
    </row>
    <row r="94" spans="1:10" hidden="1">
      <c r="A94" s="4" t="s">
        <v>807</v>
      </c>
      <c r="B94" s="4" t="s">
        <v>962</v>
      </c>
      <c r="C94" s="4" t="s">
        <v>983</v>
      </c>
      <c r="D94" s="4" t="s">
        <v>986</v>
      </c>
      <c r="E94" s="4" t="s">
        <v>985</v>
      </c>
      <c r="F94" s="4"/>
      <c r="G94" s="7"/>
      <c r="H94" s="4">
        <v>1</v>
      </c>
      <c r="I94" s="7">
        <v>8.99</v>
      </c>
      <c r="J94" s="7"/>
    </row>
    <row r="95" spans="1:10" hidden="1">
      <c r="A95" s="4" t="s">
        <v>807</v>
      </c>
      <c r="B95" s="4" t="s">
        <v>962</v>
      </c>
      <c r="C95" s="4" t="s">
        <v>983</v>
      </c>
      <c r="D95" s="4" t="s">
        <v>987</v>
      </c>
      <c r="E95" s="4" t="s">
        <v>985</v>
      </c>
      <c r="F95" s="4"/>
      <c r="G95" s="7"/>
      <c r="H95" s="4">
        <v>1</v>
      </c>
      <c r="I95" s="7">
        <v>8.99</v>
      </c>
      <c r="J95" s="7"/>
    </row>
    <row r="96" spans="1:10" hidden="1">
      <c r="A96" s="4" t="s">
        <v>807</v>
      </c>
      <c r="B96" s="4" t="s">
        <v>962</v>
      </c>
      <c r="C96" s="4" t="s">
        <v>988</v>
      </c>
      <c r="D96" s="4" t="s">
        <v>989</v>
      </c>
      <c r="E96" s="4" t="s">
        <v>990</v>
      </c>
      <c r="F96" s="4"/>
      <c r="G96" s="7"/>
      <c r="H96" s="4">
        <v>1</v>
      </c>
      <c r="I96" s="7">
        <v>8.99</v>
      </c>
      <c r="J96" s="7"/>
    </row>
    <row r="97" spans="1:10" hidden="1">
      <c r="A97" s="4" t="s">
        <v>807</v>
      </c>
      <c r="B97" s="4" t="s">
        <v>962</v>
      </c>
      <c r="C97" s="4" t="s">
        <v>983</v>
      </c>
      <c r="D97" s="4" t="s">
        <v>991</v>
      </c>
      <c r="E97" s="4" t="s">
        <v>985</v>
      </c>
      <c r="F97" s="4"/>
      <c r="G97" s="7"/>
      <c r="H97" s="4">
        <v>1</v>
      </c>
      <c r="I97" s="7">
        <v>8.99</v>
      </c>
      <c r="J97" s="7"/>
    </row>
    <row r="98" spans="1:10" hidden="1">
      <c r="A98" s="4" t="s">
        <v>807</v>
      </c>
      <c r="B98" s="4" t="s">
        <v>962</v>
      </c>
      <c r="C98" s="4" t="s">
        <v>992</v>
      </c>
      <c r="D98" s="4" t="s">
        <v>993</v>
      </c>
      <c r="E98" s="4" t="s">
        <v>994</v>
      </c>
      <c r="F98" s="4"/>
      <c r="G98" s="7"/>
      <c r="H98" s="4">
        <v>1</v>
      </c>
      <c r="I98" s="7">
        <v>8.99</v>
      </c>
      <c r="J98" s="7"/>
    </row>
    <row r="99" spans="1:10" hidden="1">
      <c r="A99" s="4" t="s">
        <v>807</v>
      </c>
      <c r="B99" s="4" t="s">
        <v>962</v>
      </c>
      <c r="C99" s="4" t="s">
        <v>983</v>
      </c>
      <c r="D99" s="4" t="s">
        <v>995</v>
      </c>
      <c r="E99" s="4" t="s">
        <v>985</v>
      </c>
      <c r="F99" s="4"/>
      <c r="G99" s="7"/>
      <c r="H99" s="4">
        <v>1</v>
      </c>
      <c r="I99" s="7">
        <v>8.99</v>
      </c>
      <c r="J99" s="7"/>
    </row>
    <row r="100" spans="1:10" hidden="1">
      <c r="A100" s="4" t="s">
        <v>807</v>
      </c>
      <c r="B100" s="4" t="s">
        <v>962</v>
      </c>
      <c r="C100" s="4" t="s">
        <v>988</v>
      </c>
      <c r="D100" s="4" t="s">
        <v>996</v>
      </c>
      <c r="E100" s="4" t="s">
        <v>990</v>
      </c>
      <c r="F100" s="4"/>
      <c r="G100" s="7"/>
      <c r="H100" s="4">
        <v>1</v>
      </c>
      <c r="I100" s="7">
        <v>8.99</v>
      </c>
      <c r="J100" s="7"/>
    </row>
    <row r="101" spans="1:10" hidden="1">
      <c r="A101" s="4" t="s">
        <v>807</v>
      </c>
      <c r="B101" s="4" t="s">
        <v>962</v>
      </c>
      <c r="C101" s="4" t="s">
        <v>988</v>
      </c>
      <c r="D101" s="4" t="s">
        <v>997</v>
      </c>
      <c r="E101" s="4" t="s">
        <v>990</v>
      </c>
      <c r="F101" s="4"/>
      <c r="G101" s="7"/>
      <c r="H101" s="4">
        <v>1</v>
      </c>
      <c r="I101" s="7">
        <v>8.99</v>
      </c>
      <c r="J101" s="7"/>
    </row>
    <row r="102" spans="1:10" hidden="1">
      <c r="A102" s="4" t="s">
        <v>807</v>
      </c>
      <c r="B102" s="4" t="s">
        <v>962</v>
      </c>
      <c r="C102" s="4" t="s">
        <v>988</v>
      </c>
      <c r="D102" s="4" t="s">
        <v>998</v>
      </c>
      <c r="E102" s="4" t="s">
        <v>990</v>
      </c>
      <c r="F102" s="4"/>
      <c r="G102" s="7"/>
      <c r="H102" s="4">
        <v>1</v>
      </c>
      <c r="I102" s="7">
        <v>8.99</v>
      </c>
      <c r="J102" s="7"/>
    </row>
    <row r="103" spans="1:10" hidden="1">
      <c r="A103" s="4" t="s">
        <v>807</v>
      </c>
      <c r="B103" s="4" t="s">
        <v>962</v>
      </c>
      <c r="C103" s="4" t="s">
        <v>988</v>
      </c>
      <c r="D103" s="4" t="s">
        <v>999</v>
      </c>
      <c r="E103" s="4" t="s">
        <v>990</v>
      </c>
      <c r="F103" s="4"/>
      <c r="G103" s="7"/>
      <c r="H103" s="4">
        <v>1</v>
      </c>
      <c r="I103" s="7">
        <v>8.99</v>
      </c>
      <c r="J103" s="7"/>
    </row>
    <row r="104" spans="1:10" hidden="1">
      <c r="A104" s="4" t="s">
        <v>807</v>
      </c>
      <c r="B104" s="4" t="s">
        <v>962</v>
      </c>
      <c r="C104" s="4" t="s">
        <v>992</v>
      </c>
      <c r="D104" s="4" t="s">
        <v>1000</v>
      </c>
      <c r="E104" s="4" t="s">
        <v>994</v>
      </c>
      <c r="F104" s="4"/>
      <c r="G104" s="7"/>
      <c r="H104" s="4">
        <v>1</v>
      </c>
      <c r="I104" s="7">
        <v>8.99</v>
      </c>
      <c r="J104" s="7"/>
    </row>
    <row r="105" spans="1:10" hidden="1">
      <c r="A105" s="4" t="s">
        <v>807</v>
      </c>
      <c r="B105" s="4" t="s">
        <v>962</v>
      </c>
      <c r="C105" s="4" t="s">
        <v>992</v>
      </c>
      <c r="D105" s="4" t="s">
        <v>1001</v>
      </c>
      <c r="E105" s="4" t="s">
        <v>994</v>
      </c>
      <c r="F105" s="4"/>
      <c r="G105" s="7"/>
      <c r="H105" s="4">
        <v>1</v>
      </c>
      <c r="I105" s="7">
        <v>8.99</v>
      </c>
      <c r="J105" s="7"/>
    </row>
    <row r="106" spans="1:10" hidden="1">
      <c r="A106" s="4" t="s">
        <v>807</v>
      </c>
      <c r="B106" s="4" t="s">
        <v>962</v>
      </c>
      <c r="C106" s="4" t="s">
        <v>992</v>
      </c>
      <c r="D106" s="4" t="s">
        <v>1002</v>
      </c>
      <c r="E106" s="4" t="s">
        <v>994</v>
      </c>
      <c r="F106" s="4"/>
      <c r="G106" s="7"/>
      <c r="H106" s="4">
        <v>1</v>
      </c>
      <c r="I106" s="7">
        <v>8.99</v>
      </c>
      <c r="J106" s="7"/>
    </row>
    <row r="107" spans="1:10" hidden="1">
      <c r="A107" s="4" t="s">
        <v>807</v>
      </c>
      <c r="B107" s="4" t="s">
        <v>962</v>
      </c>
      <c r="C107" s="4" t="s">
        <v>992</v>
      </c>
      <c r="D107" s="4" t="s">
        <v>1003</v>
      </c>
      <c r="E107" s="4" t="s">
        <v>994</v>
      </c>
      <c r="F107" s="4"/>
      <c r="G107" s="7"/>
      <c r="H107" s="4">
        <v>1</v>
      </c>
      <c r="I107" s="7">
        <v>8.99</v>
      </c>
      <c r="J107" s="7"/>
    </row>
    <row r="108" spans="1:10" hidden="1">
      <c r="A108" s="4" t="s">
        <v>815</v>
      </c>
      <c r="B108" s="4" t="s">
        <v>816</v>
      </c>
      <c r="C108" s="4" t="s">
        <v>1004</v>
      </c>
      <c r="D108" s="4" t="s">
        <v>1005</v>
      </c>
      <c r="E108" s="4" t="s">
        <v>1006</v>
      </c>
      <c r="F108" s="4"/>
      <c r="G108" s="7"/>
      <c r="H108" s="4">
        <v>1</v>
      </c>
      <c r="I108" s="7">
        <v>8.99</v>
      </c>
      <c r="J108" s="7"/>
    </row>
    <row r="109" spans="1:10" hidden="1">
      <c r="A109" s="4" t="s">
        <v>807</v>
      </c>
      <c r="B109" s="4" t="s">
        <v>962</v>
      </c>
      <c r="C109" s="4" t="s">
        <v>1007</v>
      </c>
      <c r="D109" s="4" t="s">
        <v>1008</v>
      </c>
      <c r="E109" s="4" t="s">
        <v>1009</v>
      </c>
      <c r="F109" s="4"/>
      <c r="G109" s="7"/>
      <c r="H109" s="4">
        <v>1</v>
      </c>
      <c r="I109" s="7">
        <v>8.99</v>
      </c>
      <c r="J109" s="7"/>
    </row>
    <row r="110" spans="1:10" hidden="1">
      <c r="A110" s="4" t="s">
        <v>915</v>
      </c>
      <c r="B110" s="4"/>
      <c r="C110" s="4">
        <v>54006459</v>
      </c>
      <c r="D110" s="4" t="s">
        <v>1010</v>
      </c>
      <c r="E110" s="4" t="s">
        <v>1011</v>
      </c>
      <c r="F110" s="4"/>
      <c r="G110" s="7"/>
      <c r="H110" s="4">
        <v>1</v>
      </c>
      <c r="I110" s="7">
        <v>8.99</v>
      </c>
      <c r="J110" s="7"/>
    </row>
    <row r="111" spans="1:10" hidden="1">
      <c r="A111" s="4" t="s">
        <v>807</v>
      </c>
      <c r="B111" s="4" t="s">
        <v>808</v>
      </c>
      <c r="C111" s="4" t="s">
        <v>1012</v>
      </c>
      <c r="D111" s="4" t="s">
        <v>1013</v>
      </c>
      <c r="E111" s="4" t="s">
        <v>1014</v>
      </c>
      <c r="F111" s="4"/>
      <c r="G111" s="7"/>
      <c r="H111" s="4">
        <v>1</v>
      </c>
      <c r="I111" s="7">
        <v>8.99</v>
      </c>
      <c r="J111" s="7"/>
    </row>
    <row r="112" spans="1:10" hidden="1">
      <c r="A112" s="4" t="s">
        <v>807</v>
      </c>
      <c r="B112" s="4" t="s">
        <v>962</v>
      </c>
      <c r="C112" s="4" t="s">
        <v>1007</v>
      </c>
      <c r="D112" s="4" t="s">
        <v>1015</v>
      </c>
      <c r="E112" s="4" t="s">
        <v>1009</v>
      </c>
      <c r="F112" s="4"/>
      <c r="G112" s="7"/>
      <c r="H112" s="4">
        <v>1</v>
      </c>
      <c r="I112" s="7">
        <v>8.99</v>
      </c>
      <c r="J112" s="7"/>
    </row>
    <row r="113" spans="1:10" hidden="1">
      <c r="A113" s="4" t="s">
        <v>807</v>
      </c>
      <c r="B113" s="4" t="s">
        <v>1016</v>
      </c>
      <c r="C113" s="4" t="s">
        <v>1017</v>
      </c>
      <c r="D113" s="4" t="s">
        <v>1018</v>
      </c>
      <c r="E113" s="4" t="s">
        <v>1019</v>
      </c>
      <c r="F113" s="4"/>
      <c r="G113" s="7"/>
      <c r="H113" s="4">
        <v>1</v>
      </c>
      <c r="I113" s="7">
        <v>8.99</v>
      </c>
      <c r="J113" s="7"/>
    </row>
    <row r="114" spans="1:10" hidden="1">
      <c r="A114" s="4" t="s">
        <v>815</v>
      </c>
      <c r="B114" s="4" t="s">
        <v>1020</v>
      </c>
      <c r="C114" s="4" t="s">
        <v>1021</v>
      </c>
      <c r="D114" s="4" t="s">
        <v>1022</v>
      </c>
      <c r="E114" s="4" t="s">
        <v>1023</v>
      </c>
      <c r="F114" s="4"/>
      <c r="G114" s="7"/>
      <c r="H114" s="4">
        <v>1</v>
      </c>
      <c r="I114" s="7">
        <v>8.99</v>
      </c>
      <c r="J114" s="7"/>
    </row>
    <row r="115" spans="1:10" hidden="1">
      <c r="A115" s="4" t="s">
        <v>807</v>
      </c>
      <c r="B115" s="4" t="s">
        <v>825</v>
      </c>
      <c r="C115" s="4">
        <v>260225.2</v>
      </c>
      <c r="D115" s="4" t="s">
        <v>1024</v>
      </c>
      <c r="E115" s="4" t="s">
        <v>952</v>
      </c>
      <c r="F115" s="4"/>
      <c r="G115" s="7"/>
      <c r="H115" s="4">
        <v>1</v>
      </c>
      <c r="I115" s="7">
        <v>8.99</v>
      </c>
      <c r="J115" s="7"/>
    </row>
    <row r="116" spans="1:10" hidden="1">
      <c r="A116" s="4" t="s">
        <v>807</v>
      </c>
      <c r="B116" s="4" t="s">
        <v>808</v>
      </c>
      <c r="C116" s="4" t="s">
        <v>1025</v>
      </c>
      <c r="D116" s="4" t="s">
        <v>1026</v>
      </c>
      <c r="E116" s="4" t="s">
        <v>1027</v>
      </c>
      <c r="F116" s="4"/>
      <c r="G116" s="7"/>
      <c r="H116" s="4">
        <v>1</v>
      </c>
      <c r="I116" s="7">
        <v>8.99</v>
      </c>
      <c r="J116" s="7"/>
    </row>
    <row r="117" spans="1:10" hidden="1">
      <c r="A117" s="4" t="s">
        <v>807</v>
      </c>
      <c r="B117" s="4" t="s">
        <v>808</v>
      </c>
      <c r="C117" s="4" t="s">
        <v>1012</v>
      </c>
      <c r="D117" s="4" t="s">
        <v>1028</v>
      </c>
      <c r="E117" s="4" t="s">
        <v>1014</v>
      </c>
      <c r="F117" s="4"/>
      <c r="G117" s="7"/>
      <c r="H117" s="4">
        <v>1</v>
      </c>
      <c r="I117" s="7">
        <v>8.99</v>
      </c>
      <c r="J117" s="7"/>
    </row>
    <row r="118" spans="1:10" hidden="1">
      <c r="A118" s="4" t="s">
        <v>807</v>
      </c>
      <c r="B118" s="4" t="s">
        <v>808</v>
      </c>
      <c r="C118" s="4" t="s">
        <v>1029</v>
      </c>
      <c r="D118" s="4" t="s">
        <v>1030</v>
      </c>
      <c r="E118" s="4" t="s">
        <v>840</v>
      </c>
      <c r="F118" s="4"/>
      <c r="G118" s="7"/>
      <c r="H118" s="4">
        <v>1</v>
      </c>
      <c r="I118" s="7">
        <v>8.99</v>
      </c>
      <c r="J118" s="7"/>
    </row>
    <row r="119" spans="1:10" hidden="1">
      <c r="A119" s="4" t="s">
        <v>807</v>
      </c>
      <c r="B119" s="4" t="s">
        <v>808</v>
      </c>
      <c r="C119" s="4" t="s">
        <v>1031</v>
      </c>
      <c r="D119" s="4" t="s">
        <v>1032</v>
      </c>
      <c r="E119" s="4" t="s">
        <v>1033</v>
      </c>
      <c r="F119" s="4"/>
      <c r="G119" s="7"/>
      <c r="H119" s="4">
        <v>1</v>
      </c>
      <c r="I119" s="7">
        <v>8.99</v>
      </c>
      <c r="J119" s="7"/>
    </row>
    <row r="120" spans="1:10" hidden="1">
      <c r="A120" s="4" t="s">
        <v>915</v>
      </c>
      <c r="B120" s="4"/>
      <c r="C120" s="4">
        <v>54006462</v>
      </c>
      <c r="D120" s="4" t="s">
        <v>1034</v>
      </c>
      <c r="E120" s="4" t="s">
        <v>1035</v>
      </c>
      <c r="F120" s="4"/>
      <c r="G120" s="7"/>
      <c r="H120" s="4">
        <v>1</v>
      </c>
      <c r="I120" s="7">
        <v>8.99</v>
      </c>
      <c r="J120" s="7"/>
    </row>
    <row r="121" spans="1:10" hidden="1">
      <c r="A121" s="4" t="s">
        <v>807</v>
      </c>
      <c r="B121" s="4" t="s">
        <v>945</v>
      </c>
      <c r="C121" s="4">
        <v>1788</v>
      </c>
      <c r="D121" s="4" t="s">
        <v>1036</v>
      </c>
      <c r="E121" s="4" t="s">
        <v>1037</v>
      </c>
      <c r="F121" s="4"/>
      <c r="G121" s="7"/>
      <c r="H121" s="4">
        <v>1</v>
      </c>
      <c r="I121" s="7">
        <v>8.99</v>
      </c>
      <c r="J121" s="7"/>
    </row>
    <row r="122" spans="1:10" hidden="1">
      <c r="A122" s="4" t="s">
        <v>915</v>
      </c>
      <c r="B122" s="4" t="s">
        <v>915</v>
      </c>
      <c r="C122" s="4">
        <v>54005258</v>
      </c>
      <c r="D122" s="4" t="s">
        <v>1038</v>
      </c>
      <c r="E122" s="4" t="s">
        <v>1039</v>
      </c>
      <c r="F122" s="4"/>
      <c r="G122" s="7"/>
      <c r="H122" s="4">
        <v>1</v>
      </c>
      <c r="I122" s="7">
        <v>8.99</v>
      </c>
      <c r="J122" s="7"/>
    </row>
    <row r="123" spans="1:10" hidden="1">
      <c r="A123" s="4" t="s">
        <v>807</v>
      </c>
      <c r="B123" s="4" t="s">
        <v>811</v>
      </c>
      <c r="C123" s="4" t="s">
        <v>1040</v>
      </c>
      <c r="D123" s="4" t="s">
        <v>1041</v>
      </c>
      <c r="E123" s="4" t="s">
        <v>1042</v>
      </c>
      <c r="F123" s="4"/>
      <c r="G123" s="7"/>
      <c r="H123" s="4">
        <v>1</v>
      </c>
      <c r="I123" s="7">
        <v>8.99</v>
      </c>
      <c r="J123" s="7"/>
    </row>
    <row r="124" spans="1:10" hidden="1">
      <c r="A124" s="4" t="s">
        <v>807</v>
      </c>
      <c r="B124" s="4" t="s">
        <v>825</v>
      </c>
      <c r="C124" s="4">
        <v>150525.20000000001</v>
      </c>
      <c r="D124" s="4" t="s">
        <v>1043</v>
      </c>
      <c r="E124" s="4" t="s">
        <v>1044</v>
      </c>
      <c r="F124" s="4"/>
      <c r="G124" s="7"/>
      <c r="H124" s="4">
        <v>1</v>
      </c>
      <c r="I124" s="7">
        <v>8.99</v>
      </c>
      <c r="J124" s="7"/>
    </row>
    <row r="125" spans="1:10" hidden="1">
      <c r="A125" s="4" t="s">
        <v>807</v>
      </c>
      <c r="B125" s="4" t="s">
        <v>808</v>
      </c>
      <c r="C125" s="4" t="s">
        <v>1045</v>
      </c>
      <c r="D125" s="4" t="s">
        <v>1046</v>
      </c>
      <c r="E125" s="4" t="s">
        <v>1047</v>
      </c>
      <c r="F125" s="4"/>
      <c r="G125" s="7"/>
      <c r="H125" s="4">
        <v>1</v>
      </c>
      <c r="I125" s="7">
        <v>8.99</v>
      </c>
      <c r="J125" s="7"/>
    </row>
    <row r="126" spans="1:10" hidden="1">
      <c r="A126" s="4" t="s">
        <v>815</v>
      </c>
      <c r="B126" s="4" t="s">
        <v>816</v>
      </c>
      <c r="C126" s="4" t="s">
        <v>1048</v>
      </c>
      <c r="D126" s="4" t="s">
        <v>1049</v>
      </c>
      <c r="E126" s="4" t="s">
        <v>1050</v>
      </c>
      <c r="F126" s="4"/>
      <c r="G126" s="7"/>
      <c r="H126" s="4">
        <v>1</v>
      </c>
      <c r="I126" s="7">
        <v>8.99</v>
      </c>
      <c r="J126" s="7"/>
    </row>
    <row r="127" spans="1:10">
      <c r="A127" s="4" t="s">
        <v>1051</v>
      </c>
      <c r="B127" s="4" t="s">
        <v>1051</v>
      </c>
      <c r="C127" s="4" t="s">
        <v>1052</v>
      </c>
      <c r="D127" s="4" t="s">
        <v>1053</v>
      </c>
      <c r="E127" s="4" t="s">
        <v>1054</v>
      </c>
      <c r="F127" s="4"/>
      <c r="G127" s="7"/>
      <c r="H127" s="4">
        <v>1</v>
      </c>
      <c r="I127" s="7">
        <v>8.99</v>
      </c>
      <c r="J127" s="7"/>
    </row>
    <row r="128" spans="1:10" hidden="1">
      <c r="A128" s="4" t="s">
        <v>807</v>
      </c>
      <c r="B128" s="4" t="s">
        <v>825</v>
      </c>
      <c r="C128" s="4">
        <v>29101798000</v>
      </c>
      <c r="D128" s="4" t="s">
        <v>1055</v>
      </c>
      <c r="E128" s="4" t="s">
        <v>1056</v>
      </c>
      <c r="F128" s="4"/>
      <c r="G128" s="7"/>
      <c r="H128" s="4">
        <v>1</v>
      </c>
      <c r="I128" s="7">
        <v>8.99</v>
      </c>
      <c r="J128" s="7"/>
    </row>
    <row r="129" spans="1:10" hidden="1">
      <c r="A129" s="4" t="s">
        <v>807</v>
      </c>
      <c r="B129" s="4" t="s">
        <v>808</v>
      </c>
      <c r="C129" s="4" t="s">
        <v>1057</v>
      </c>
      <c r="D129" s="4" t="s">
        <v>1058</v>
      </c>
      <c r="E129" s="4" t="s">
        <v>1059</v>
      </c>
      <c r="F129" s="4"/>
      <c r="G129" s="7"/>
      <c r="H129" s="4">
        <v>1</v>
      </c>
      <c r="I129" s="7">
        <v>8.99</v>
      </c>
      <c r="J129" s="7"/>
    </row>
    <row r="130" spans="1:10" hidden="1">
      <c r="A130" s="4" t="s">
        <v>807</v>
      </c>
      <c r="B130" s="4" t="s">
        <v>825</v>
      </c>
      <c r="C130" s="4">
        <v>29101798000</v>
      </c>
      <c r="D130" s="4" t="s">
        <v>1060</v>
      </c>
      <c r="E130" s="4" t="s">
        <v>1056</v>
      </c>
      <c r="F130" s="4"/>
      <c r="G130" s="7"/>
      <c r="H130" s="4">
        <v>1</v>
      </c>
      <c r="I130" s="7">
        <v>8.99</v>
      </c>
      <c r="J130" s="7"/>
    </row>
    <row r="131" spans="1:10" hidden="1">
      <c r="A131" s="4" t="s">
        <v>815</v>
      </c>
      <c r="B131" s="4" t="s">
        <v>1020</v>
      </c>
      <c r="C131" s="4" t="s">
        <v>1061</v>
      </c>
      <c r="D131" s="4" t="s">
        <v>1062</v>
      </c>
      <c r="E131" s="4" t="s">
        <v>1063</v>
      </c>
      <c r="F131" s="4"/>
      <c r="G131" s="7"/>
      <c r="H131" s="4">
        <v>1</v>
      </c>
      <c r="I131" s="7">
        <v>8.99</v>
      </c>
      <c r="J131" s="7"/>
    </row>
    <row r="132" spans="1:10" hidden="1">
      <c r="A132" s="4" t="s">
        <v>807</v>
      </c>
      <c r="B132" s="4" t="s">
        <v>825</v>
      </c>
      <c r="C132" s="4">
        <v>29101774000</v>
      </c>
      <c r="D132" s="4" t="s">
        <v>1064</v>
      </c>
      <c r="E132" s="4" t="s">
        <v>1065</v>
      </c>
      <c r="F132" s="4"/>
      <c r="G132" s="7"/>
      <c r="H132" s="4">
        <v>1</v>
      </c>
      <c r="I132" s="7">
        <v>8.99</v>
      </c>
      <c r="J132" s="7"/>
    </row>
    <row r="133" spans="1:10" hidden="1">
      <c r="A133" s="4" t="s">
        <v>807</v>
      </c>
      <c r="B133" s="4" t="s">
        <v>808</v>
      </c>
      <c r="C133" s="4" t="s">
        <v>1057</v>
      </c>
      <c r="D133" s="4" t="s">
        <v>1066</v>
      </c>
      <c r="E133" s="4" t="s">
        <v>1059</v>
      </c>
      <c r="F133" s="4"/>
      <c r="G133" s="7"/>
      <c r="H133" s="4">
        <v>1</v>
      </c>
      <c r="I133" s="7">
        <v>8.99</v>
      </c>
      <c r="J133" s="7"/>
    </row>
    <row r="134" spans="1:10" hidden="1">
      <c r="A134" s="4" t="s">
        <v>807</v>
      </c>
      <c r="B134" s="4" t="s">
        <v>811</v>
      </c>
      <c r="C134" s="4">
        <v>17058508</v>
      </c>
      <c r="D134" s="4" t="s">
        <v>1067</v>
      </c>
      <c r="E134" s="4" t="s">
        <v>1068</v>
      </c>
      <c r="F134" s="4"/>
      <c r="G134" s="7"/>
      <c r="H134" s="4">
        <v>1</v>
      </c>
      <c r="I134" s="7">
        <v>8.99</v>
      </c>
      <c r="J134" s="7"/>
    </row>
    <row r="135" spans="1:10" hidden="1">
      <c r="A135" s="4" t="s">
        <v>807</v>
      </c>
      <c r="B135" s="4" t="s">
        <v>808</v>
      </c>
      <c r="C135" s="4">
        <v>99240116681</v>
      </c>
      <c r="D135" s="4" t="s">
        <v>1069</v>
      </c>
      <c r="E135" s="4" t="s">
        <v>1070</v>
      </c>
      <c r="F135" s="4"/>
      <c r="G135" s="7"/>
      <c r="H135" s="4">
        <v>1</v>
      </c>
      <c r="I135" s="7">
        <v>8.99</v>
      </c>
      <c r="J135" s="7"/>
    </row>
    <row r="136" spans="1:10" hidden="1">
      <c r="A136" s="4" t="s">
        <v>807</v>
      </c>
      <c r="B136" s="4" t="s">
        <v>811</v>
      </c>
      <c r="C136" s="4" t="s">
        <v>1071</v>
      </c>
      <c r="D136" s="4" t="s">
        <v>1072</v>
      </c>
      <c r="E136" s="4" t="s">
        <v>1073</v>
      </c>
      <c r="F136" s="4"/>
      <c r="G136" s="7"/>
      <c r="H136" s="4">
        <v>1</v>
      </c>
      <c r="I136" s="7">
        <v>8.99</v>
      </c>
      <c r="J136" s="7"/>
    </row>
    <row r="137" spans="1:10" hidden="1">
      <c r="A137" s="4" t="s">
        <v>815</v>
      </c>
      <c r="B137" s="4" t="s">
        <v>816</v>
      </c>
      <c r="C137" s="4" t="s">
        <v>1048</v>
      </c>
      <c r="D137" s="4" t="s">
        <v>1074</v>
      </c>
      <c r="E137" s="4" t="s">
        <v>1050</v>
      </c>
      <c r="F137" s="4"/>
      <c r="G137" s="7"/>
      <c r="H137" s="4">
        <v>1</v>
      </c>
      <c r="I137" s="7">
        <v>8.99</v>
      </c>
      <c r="J137" s="7"/>
    </row>
    <row r="138" spans="1:10" hidden="1">
      <c r="A138" s="4" t="s">
        <v>807</v>
      </c>
      <c r="B138" s="4" t="s">
        <v>825</v>
      </c>
      <c r="C138" s="4">
        <v>29101803000</v>
      </c>
      <c r="D138" s="4" t="s">
        <v>1075</v>
      </c>
      <c r="E138" s="4" t="s">
        <v>1076</v>
      </c>
      <c r="F138" s="4"/>
      <c r="G138" s="7"/>
      <c r="H138" s="4">
        <v>1</v>
      </c>
      <c r="I138" s="7">
        <v>8.99</v>
      </c>
      <c r="J138" s="7"/>
    </row>
    <row r="139" spans="1:10" hidden="1">
      <c r="A139" s="4" t="s">
        <v>807</v>
      </c>
      <c r="B139" s="4" t="s">
        <v>808</v>
      </c>
      <c r="C139" s="4" t="s">
        <v>1077</v>
      </c>
      <c r="D139" s="4" t="s">
        <v>1078</v>
      </c>
      <c r="E139" s="4" t="s">
        <v>1079</v>
      </c>
      <c r="F139" s="4"/>
      <c r="G139" s="7"/>
      <c r="H139" s="4">
        <v>1</v>
      </c>
      <c r="I139" s="7">
        <v>8.99</v>
      </c>
      <c r="J139" s="7"/>
    </row>
    <row r="140" spans="1:10" hidden="1">
      <c r="A140" s="4" t="s">
        <v>807</v>
      </c>
      <c r="B140" s="4" t="s">
        <v>808</v>
      </c>
      <c r="C140" s="4" t="s">
        <v>1080</v>
      </c>
      <c r="D140" s="4" t="s">
        <v>1081</v>
      </c>
      <c r="E140" s="4" t="s">
        <v>1082</v>
      </c>
      <c r="F140" s="4"/>
      <c r="G140" s="7"/>
      <c r="H140" s="4">
        <v>1</v>
      </c>
      <c r="I140" s="7">
        <v>8.99</v>
      </c>
      <c r="J140" s="7"/>
    </row>
    <row r="141" spans="1:10" hidden="1">
      <c r="A141" s="4" t="s">
        <v>807</v>
      </c>
      <c r="B141" s="4" t="s">
        <v>808</v>
      </c>
      <c r="C141" s="4" t="s">
        <v>1083</v>
      </c>
      <c r="D141" s="4" t="s">
        <v>1084</v>
      </c>
      <c r="E141" s="4" t="s">
        <v>1085</v>
      </c>
      <c r="F141" s="4"/>
      <c r="G141" s="7"/>
      <c r="H141" s="4">
        <v>1</v>
      </c>
      <c r="I141" s="7">
        <v>8.99</v>
      </c>
      <c r="J141" s="7"/>
    </row>
    <row r="142" spans="1:10" hidden="1">
      <c r="A142" s="4" t="s">
        <v>807</v>
      </c>
      <c r="B142" s="4" t="s">
        <v>1086</v>
      </c>
      <c r="C142" s="4" t="s">
        <v>1087</v>
      </c>
      <c r="D142" s="4" t="s">
        <v>1088</v>
      </c>
      <c r="E142" s="4" t="s">
        <v>1089</v>
      </c>
      <c r="F142" s="4"/>
      <c r="G142" s="7"/>
      <c r="H142" s="4">
        <v>1</v>
      </c>
      <c r="I142" s="7">
        <v>8.99</v>
      </c>
      <c r="J142" s="7"/>
    </row>
    <row r="143" spans="1:10" hidden="1">
      <c r="A143" s="4" t="s">
        <v>807</v>
      </c>
      <c r="B143" s="4" t="s">
        <v>808</v>
      </c>
      <c r="C143" s="4" t="s">
        <v>1090</v>
      </c>
      <c r="D143" s="4" t="s">
        <v>1091</v>
      </c>
      <c r="E143" s="4" t="s">
        <v>1092</v>
      </c>
      <c r="F143" s="4"/>
      <c r="G143" s="7"/>
      <c r="H143" s="4">
        <v>1</v>
      </c>
      <c r="I143" s="7">
        <v>8.99</v>
      </c>
      <c r="J143" s="7"/>
    </row>
    <row r="144" spans="1:10" hidden="1">
      <c r="A144" s="4" t="s">
        <v>807</v>
      </c>
      <c r="B144" s="4" t="s">
        <v>808</v>
      </c>
      <c r="C144" s="4" t="s">
        <v>1093</v>
      </c>
      <c r="D144" s="4" t="s">
        <v>1094</v>
      </c>
      <c r="E144" s="4" t="s">
        <v>1095</v>
      </c>
      <c r="F144" s="4"/>
      <c r="G144" s="7"/>
      <c r="H144" s="4">
        <v>1</v>
      </c>
      <c r="I144" s="7">
        <v>8.99</v>
      </c>
      <c r="J144" s="7"/>
    </row>
    <row r="145" spans="1:10" hidden="1">
      <c r="A145" s="4" t="s">
        <v>807</v>
      </c>
      <c r="B145" s="4" t="s">
        <v>1086</v>
      </c>
      <c r="C145" s="4" t="s">
        <v>1087</v>
      </c>
      <c r="D145" s="4" t="s">
        <v>1096</v>
      </c>
      <c r="E145" s="4" t="s">
        <v>1089</v>
      </c>
      <c r="F145" s="4"/>
      <c r="G145" s="7"/>
      <c r="H145" s="4">
        <v>1</v>
      </c>
      <c r="I145" s="7">
        <v>8.99</v>
      </c>
      <c r="J145" s="7"/>
    </row>
    <row r="146" spans="1:10" hidden="1">
      <c r="A146" s="4" t="s">
        <v>807</v>
      </c>
      <c r="B146" s="4" t="s">
        <v>808</v>
      </c>
      <c r="C146" s="4" t="s">
        <v>1097</v>
      </c>
      <c r="D146" s="4" t="s">
        <v>1098</v>
      </c>
      <c r="E146" s="4" t="s">
        <v>1099</v>
      </c>
      <c r="F146" s="4"/>
      <c r="G146" s="7"/>
      <c r="H146" s="4">
        <v>1</v>
      </c>
      <c r="I146" s="7">
        <v>8.99</v>
      </c>
      <c r="J146" s="7"/>
    </row>
    <row r="147" spans="1:10" hidden="1">
      <c r="A147" s="4" t="s">
        <v>807</v>
      </c>
      <c r="B147" s="4" t="s">
        <v>808</v>
      </c>
      <c r="C147" s="4" t="s">
        <v>1100</v>
      </c>
      <c r="D147" s="4" t="s">
        <v>1101</v>
      </c>
      <c r="E147" s="4" t="s">
        <v>1102</v>
      </c>
      <c r="F147" s="4"/>
      <c r="G147" s="7"/>
      <c r="H147" s="4">
        <v>1</v>
      </c>
      <c r="I147" s="7">
        <v>8.99</v>
      </c>
      <c r="J147" s="7"/>
    </row>
    <row r="148" spans="1:10" hidden="1">
      <c r="A148" s="4" t="s">
        <v>807</v>
      </c>
      <c r="B148" s="4" t="s">
        <v>808</v>
      </c>
      <c r="C148" s="4" t="s">
        <v>1103</v>
      </c>
      <c r="D148" s="4" t="s">
        <v>1104</v>
      </c>
      <c r="E148" s="4" t="s">
        <v>1105</v>
      </c>
      <c r="F148" s="4"/>
      <c r="G148" s="7"/>
      <c r="H148" s="4">
        <v>1</v>
      </c>
      <c r="I148" s="7">
        <v>8.99</v>
      </c>
      <c r="J148" s="7"/>
    </row>
    <row r="149" spans="1:10" hidden="1">
      <c r="A149" s="4" t="s">
        <v>807</v>
      </c>
      <c r="B149" s="4" t="s">
        <v>808</v>
      </c>
      <c r="C149" s="4" t="s">
        <v>1106</v>
      </c>
      <c r="D149" s="4" t="s">
        <v>1107</v>
      </c>
      <c r="E149" s="4" t="s">
        <v>1108</v>
      </c>
      <c r="F149" s="4"/>
      <c r="G149" s="7"/>
      <c r="H149" s="4">
        <v>1</v>
      </c>
      <c r="I149" s="7">
        <v>8.99</v>
      </c>
      <c r="J149" s="7"/>
    </row>
    <row r="150" spans="1:10" hidden="1">
      <c r="A150" s="4" t="s">
        <v>807</v>
      </c>
      <c r="B150" s="4" t="s">
        <v>808</v>
      </c>
      <c r="C150" s="4" t="s">
        <v>1109</v>
      </c>
      <c r="D150" s="4" t="s">
        <v>1110</v>
      </c>
      <c r="E150" s="4" t="s">
        <v>1111</v>
      </c>
      <c r="F150" s="4"/>
      <c r="G150" s="7"/>
      <c r="H150" s="4">
        <v>1</v>
      </c>
      <c r="I150" s="7">
        <v>8.99</v>
      </c>
      <c r="J150" s="7"/>
    </row>
    <row r="151" spans="1:10" hidden="1">
      <c r="A151" s="4" t="s">
        <v>807</v>
      </c>
      <c r="B151" s="4" t="s">
        <v>945</v>
      </c>
      <c r="C151" s="4">
        <v>11111</v>
      </c>
      <c r="D151" s="4" t="s">
        <v>1112</v>
      </c>
      <c r="E151" s="4" t="s">
        <v>1113</v>
      </c>
      <c r="F151" s="4"/>
      <c r="G151" s="7"/>
      <c r="H151" s="4">
        <v>1</v>
      </c>
      <c r="I151" s="7">
        <v>8.99</v>
      </c>
      <c r="J151" s="7"/>
    </row>
    <row r="152" spans="1:10" hidden="1">
      <c r="A152" s="4" t="s">
        <v>807</v>
      </c>
      <c r="B152" s="4" t="s">
        <v>825</v>
      </c>
      <c r="C152" s="4">
        <v>29110002000</v>
      </c>
      <c r="D152" s="4" t="s">
        <v>1114</v>
      </c>
      <c r="E152" s="4" t="s">
        <v>1115</v>
      </c>
      <c r="F152" s="4"/>
      <c r="G152" s="7"/>
      <c r="H152" s="4">
        <v>1</v>
      </c>
      <c r="I152" s="7">
        <v>8.99</v>
      </c>
      <c r="J152" s="7"/>
    </row>
    <row r="153" spans="1:10" hidden="1">
      <c r="A153" s="4" t="s">
        <v>807</v>
      </c>
      <c r="B153" s="4" t="s">
        <v>808</v>
      </c>
      <c r="C153" s="4" t="s">
        <v>1100</v>
      </c>
      <c r="D153" s="4" t="s">
        <v>1116</v>
      </c>
      <c r="E153" s="4" t="s">
        <v>1102</v>
      </c>
      <c r="F153" s="4"/>
      <c r="G153" s="7"/>
      <c r="H153" s="4">
        <v>1</v>
      </c>
      <c r="I153" s="7">
        <v>8.99</v>
      </c>
      <c r="J153" s="7"/>
    </row>
    <row r="154" spans="1:10" hidden="1">
      <c r="A154" s="4" t="s">
        <v>807</v>
      </c>
      <c r="B154" s="4" t="s">
        <v>808</v>
      </c>
      <c r="C154" s="4">
        <v>81624316</v>
      </c>
      <c r="D154" s="4" t="s">
        <v>1117</v>
      </c>
      <c r="E154" s="4" t="s">
        <v>1118</v>
      </c>
      <c r="F154" s="4"/>
      <c r="G154" s="7"/>
      <c r="H154" s="4">
        <v>1</v>
      </c>
      <c r="I154" s="7">
        <v>8.99</v>
      </c>
      <c r="J154" s="7"/>
    </row>
    <row r="155" spans="1:10" hidden="1">
      <c r="A155" s="4" t="s">
        <v>807</v>
      </c>
      <c r="B155" s="4" t="s">
        <v>825</v>
      </c>
      <c r="C155" s="4">
        <v>29101801000</v>
      </c>
      <c r="D155" s="4" t="s">
        <v>1119</v>
      </c>
      <c r="E155" s="4" t="s">
        <v>1120</v>
      </c>
      <c r="F155" s="4"/>
      <c r="G155" s="7"/>
      <c r="H155" s="4">
        <v>1</v>
      </c>
      <c r="I155" s="7">
        <v>8.99</v>
      </c>
      <c r="J155" s="7"/>
    </row>
    <row r="156" spans="1:10" hidden="1">
      <c r="A156" s="4" t="s">
        <v>807</v>
      </c>
      <c r="B156" s="4" t="s">
        <v>808</v>
      </c>
      <c r="C156" s="4" t="s">
        <v>1121</v>
      </c>
      <c r="D156" s="4" t="s">
        <v>1122</v>
      </c>
      <c r="E156" s="4" t="s">
        <v>1123</v>
      </c>
      <c r="F156" s="4"/>
      <c r="G156" s="7"/>
      <c r="H156" s="4">
        <v>1</v>
      </c>
      <c r="I156" s="7">
        <v>8.99</v>
      </c>
      <c r="J156" s="7"/>
    </row>
    <row r="157" spans="1:10" hidden="1">
      <c r="A157" s="4" t="s">
        <v>807</v>
      </c>
      <c r="B157" s="4" t="s">
        <v>825</v>
      </c>
      <c r="C157" s="4">
        <v>1104</v>
      </c>
      <c r="D157" s="4" t="s">
        <v>1124</v>
      </c>
      <c r="E157" s="4" t="s">
        <v>1125</v>
      </c>
      <c r="F157" s="4"/>
      <c r="G157" s="7"/>
      <c r="H157" s="4">
        <v>1</v>
      </c>
      <c r="I157" s="7">
        <v>8.99</v>
      </c>
      <c r="J157" s="7"/>
    </row>
    <row r="158" spans="1:10" hidden="1">
      <c r="A158" s="4" t="s">
        <v>807</v>
      </c>
      <c r="B158" s="4"/>
      <c r="C158" s="4" t="s">
        <v>1126</v>
      </c>
      <c r="D158" s="4" t="s">
        <v>1127</v>
      </c>
      <c r="E158" s="4" t="s">
        <v>1128</v>
      </c>
      <c r="F158" s="4"/>
      <c r="G158" s="7"/>
      <c r="H158" s="4">
        <v>1</v>
      </c>
      <c r="I158" s="7">
        <v>8.99</v>
      </c>
      <c r="J158" s="7"/>
    </row>
    <row r="159" spans="1:10" hidden="1">
      <c r="A159" s="4" t="s">
        <v>807</v>
      </c>
      <c r="B159" s="4" t="s">
        <v>808</v>
      </c>
      <c r="C159" s="4" t="s">
        <v>1100</v>
      </c>
      <c r="D159" s="4" t="s">
        <v>1129</v>
      </c>
      <c r="E159" s="4" t="s">
        <v>1102</v>
      </c>
      <c r="F159" s="4"/>
      <c r="G159" s="7"/>
      <c r="H159" s="4">
        <v>1</v>
      </c>
      <c r="I159" s="7">
        <v>8.99</v>
      </c>
      <c r="J159" s="7"/>
    </row>
    <row r="160" spans="1:10" hidden="1">
      <c r="A160" s="4" t="s">
        <v>807</v>
      </c>
      <c r="B160" s="4" t="s">
        <v>825</v>
      </c>
      <c r="C160" s="4">
        <v>29101779000</v>
      </c>
      <c r="D160" s="4" t="s">
        <v>1130</v>
      </c>
      <c r="E160" s="4" t="s">
        <v>1131</v>
      </c>
      <c r="F160" s="4"/>
      <c r="G160" s="7"/>
      <c r="H160" s="4">
        <v>1</v>
      </c>
      <c r="I160" s="7">
        <v>8.99</v>
      </c>
      <c r="J160" s="7"/>
    </row>
    <row r="161" spans="1:10" hidden="1">
      <c r="A161" s="4" t="s">
        <v>807</v>
      </c>
      <c r="B161" s="4" t="s">
        <v>808</v>
      </c>
      <c r="C161" s="4" t="s">
        <v>1057</v>
      </c>
      <c r="D161" s="4" t="s">
        <v>1132</v>
      </c>
      <c r="E161" s="4" t="s">
        <v>1059</v>
      </c>
      <c r="F161" s="4"/>
      <c r="G161" s="7"/>
      <c r="H161" s="4">
        <v>1</v>
      </c>
      <c r="I161" s="7">
        <v>8.99</v>
      </c>
      <c r="J161" s="7"/>
    </row>
    <row r="162" spans="1:10" hidden="1">
      <c r="A162" s="4" t="s">
        <v>807</v>
      </c>
      <c r="B162" s="4" t="s">
        <v>808</v>
      </c>
      <c r="C162" s="4" t="s">
        <v>1133</v>
      </c>
      <c r="D162" s="4" t="s">
        <v>1134</v>
      </c>
      <c r="E162" s="4" t="s">
        <v>1135</v>
      </c>
      <c r="F162" s="4"/>
      <c r="G162" s="7"/>
      <c r="H162" s="4">
        <v>1</v>
      </c>
      <c r="I162" s="7">
        <v>8.99</v>
      </c>
      <c r="J162" s="7"/>
    </row>
    <row r="163" spans="1:10" hidden="1">
      <c r="A163" s="4" t="s">
        <v>807</v>
      </c>
      <c r="B163" s="4" t="s">
        <v>945</v>
      </c>
      <c r="C163" s="4" t="s">
        <v>1136</v>
      </c>
      <c r="D163" s="4" t="s">
        <v>1137</v>
      </c>
      <c r="E163" s="4" t="s">
        <v>1138</v>
      </c>
      <c r="F163" s="4"/>
      <c r="G163" s="7"/>
      <c r="H163" s="4">
        <v>1</v>
      </c>
      <c r="I163" s="7">
        <v>8.99</v>
      </c>
      <c r="J163" s="7"/>
    </row>
    <row r="164" spans="1:10" hidden="1">
      <c r="A164" s="4" t="s">
        <v>807</v>
      </c>
      <c r="B164" s="4" t="s">
        <v>808</v>
      </c>
      <c r="C164" s="4" t="s">
        <v>1139</v>
      </c>
      <c r="D164" s="4" t="s">
        <v>1140</v>
      </c>
      <c r="E164" s="4" t="s">
        <v>1141</v>
      </c>
      <c r="F164" s="4"/>
      <c r="G164" s="7"/>
      <c r="H164" s="4">
        <v>1</v>
      </c>
      <c r="I164" s="7">
        <v>8.99</v>
      </c>
      <c r="J164" s="7"/>
    </row>
    <row r="165" spans="1:10" hidden="1">
      <c r="A165" s="4" t="s">
        <v>807</v>
      </c>
      <c r="B165" s="4" t="s">
        <v>808</v>
      </c>
      <c r="C165" s="4" t="s">
        <v>1139</v>
      </c>
      <c r="D165" s="4" t="s">
        <v>1142</v>
      </c>
      <c r="E165" s="4" t="s">
        <v>1141</v>
      </c>
      <c r="F165" s="4"/>
      <c r="G165" s="7"/>
      <c r="H165" s="4">
        <v>1</v>
      </c>
      <c r="I165" s="7">
        <v>8.99</v>
      </c>
      <c r="J165" s="7"/>
    </row>
    <row r="166" spans="1:10" hidden="1">
      <c r="A166" s="4" t="s">
        <v>807</v>
      </c>
      <c r="B166" s="4" t="s">
        <v>811</v>
      </c>
      <c r="C166" s="4" t="s">
        <v>1143</v>
      </c>
      <c r="D166" s="4" t="s">
        <v>1144</v>
      </c>
      <c r="E166" s="4" t="s">
        <v>1145</v>
      </c>
      <c r="F166" s="4"/>
      <c r="G166" s="7"/>
      <c r="H166" s="4">
        <v>1</v>
      </c>
      <c r="I166" s="7">
        <v>8.99</v>
      </c>
      <c r="J166" s="7"/>
    </row>
    <row r="167" spans="1:10" hidden="1">
      <c r="A167" s="4" t="s">
        <v>807</v>
      </c>
      <c r="B167" s="4" t="s">
        <v>811</v>
      </c>
      <c r="C167" s="4" t="s">
        <v>1143</v>
      </c>
      <c r="D167" s="4" t="s">
        <v>1146</v>
      </c>
      <c r="E167" s="4" t="s">
        <v>1145</v>
      </c>
      <c r="F167" s="4"/>
      <c r="G167" s="7"/>
      <c r="H167" s="4">
        <v>1</v>
      </c>
      <c r="I167" s="7">
        <v>8.99</v>
      </c>
      <c r="J167" s="7"/>
    </row>
    <row r="168" spans="1:10" hidden="1">
      <c r="A168" s="4" t="s">
        <v>807</v>
      </c>
      <c r="B168" s="4" t="s">
        <v>962</v>
      </c>
      <c r="C168" s="4" t="s">
        <v>1147</v>
      </c>
      <c r="D168" s="4" t="s">
        <v>1148</v>
      </c>
      <c r="E168" s="4" t="s">
        <v>1149</v>
      </c>
      <c r="F168" s="4"/>
      <c r="G168" s="7"/>
      <c r="H168" s="4">
        <v>1</v>
      </c>
      <c r="I168" s="7">
        <v>8.99</v>
      </c>
      <c r="J168" s="7"/>
    </row>
    <row r="169" spans="1:10" hidden="1">
      <c r="A169" s="4" t="s">
        <v>807</v>
      </c>
      <c r="B169" s="4" t="s">
        <v>962</v>
      </c>
      <c r="C169" s="4" t="s">
        <v>1150</v>
      </c>
      <c r="D169" s="4" t="s">
        <v>1151</v>
      </c>
      <c r="E169" s="4" t="s">
        <v>1152</v>
      </c>
      <c r="F169" s="4"/>
      <c r="G169" s="7"/>
      <c r="H169" s="4">
        <v>1</v>
      </c>
      <c r="I169" s="7">
        <v>8.99</v>
      </c>
      <c r="J169" s="7"/>
    </row>
    <row r="170" spans="1:10" hidden="1">
      <c r="A170" s="4" t="s">
        <v>807</v>
      </c>
      <c r="B170" s="4" t="s">
        <v>962</v>
      </c>
      <c r="C170" s="4" t="s">
        <v>1153</v>
      </c>
      <c r="D170" s="4" t="s">
        <v>1154</v>
      </c>
      <c r="E170" s="4" t="s">
        <v>1155</v>
      </c>
      <c r="F170" s="4"/>
      <c r="G170" s="7"/>
      <c r="H170" s="4">
        <v>1</v>
      </c>
      <c r="I170" s="7">
        <v>8.99</v>
      </c>
      <c r="J170" s="7"/>
    </row>
    <row r="171" spans="1:10" hidden="1">
      <c r="A171" s="4" t="s">
        <v>807</v>
      </c>
      <c r="B171" s="4" t="s">
        <v>962</v>
      </c>
      <c r="C171" s="4" t="s">
        <v>1153</v>
      </c>
      <c r="D171" s="4" t="s">
        <v>1156</v>
      </c>
      <c r="E171" s="4" t="s">
        <v>1155</v>
      </c>
      <c r="F171" s="4"/>
      <c r="G171" s="7"/>
      <c r="H171" s="4">
        <v>1</v>
      </c>
      <c r="I171" s="7">
        <v>8.99</v>
      </c>
      <c r="J171" s="7"/>
    </row>
    <row r="172" spans="1:10" hidden="1">
      <c r="A172" s="4" t="s">
        <v>807</v>
      </c>
      <c r="B172" s="4" t="s">
        <v>962</v>
      </c>
      <c r="C172" s="4" t="s">
        <v>1153</v>
      </c>
      <c r="D172" s="4" t="s">
        <v>1157</v>
      </c>
      <c r="E172" s="4" t="s">
        <v>1155</v>
      </c>
      <c r="F172" s="4"/>
      <c r="G172" s="7"/>
      <c r="H172" s="4">
        <v>1</v>
      </c>
      <c r="I172" s="7">
        <v>8.99</v>
      </c>
      <c r="J172" s="7"/>
    </row>
    <row r="173" spans="1:10" hidden="1">
      <c r="A173" s="4" t="s">
        <v>807</v>
      </c>
      <c r="B173" s="4" t="s">
        <v>962</v>
      </c>
      <c r="C173" s="4" t="s">
        <v>1153</v>
      </c>
      <c r="D173" s="4" t="s">
        <v>1158</v>
      </c>
      <c r="E173" s="4" t="s">
        <v>1155</v>
      </c>
      <c r="F173" s="4"/>
      <c r="G173" s="7"/>
      <c r="H173" s="4">
        <v>1</v>
      </c>
      <c r="I173" s="7">
        <v>8.99</v>
      </c>
      <c r="J173" s="7"/>
    </row>
    <row r="174" spans="1:10" hidden="1">
      <c r="A174" s="4" t="s">
        <v>807</v>
      </c>
      <c r="B174" s="4" t="s">
        <v>962</v>
      </c>
      <c r="C174" s="4" t="s">
        <v>1150</v>
      </c>
      <c r="D174" s="4" t="s">
        <v>1159</v>
      </c>
      <c r="E174" s="4" t="s">
        <v>1152</v>
      </c>
      <c r="F174" s="4"/>
      <c r="G174" s="7"/>
      <c r="H174" s="4">
        <v>1</v>
      </c>
      <c r="I174" s="7">
        <v>8.99</v>
      </c>
      <c r="J174" s="7"/>
    </row>
    <row r="175" spans="1:10" hidden="1">
      <c r="A175" s="4" t="s">
        <v>807</v>
      </c>
      <c r="B175" s="4" t="s">
        <v>962</v>
      </c>
      <c r="C175" s="4" t="s">
        <v>1153</v>
      </c>
      <c r="D175" s="4" t="s">
        <v>1160</v>
      </c>
      <c r="E175" s="4" t="s">
        <v>1155</v>
      </c>
      <c r="F175" s="4"/>
      <c r="G175" s="7"/>
      <c r="H175" s="4">
        <v>1</v>
      </c>
      <c r="I175" s="7">
        <v>8.99</v>
      </c>
      <c r="J175" s="7"/>
    </row>
    <row r="176" spans="1:10" hidden="1">
      <c r="A176" s="4" t="s">
        <v>807</v>
      </c>
      <c r="B176" s="4" t="s">
        <v>962</v>
      </c>
      <c r="C176" s="4" t="s">
        <v>1153</v>
      </c>
      <c r="D176" s="4" t="s">
        <v>1161</v>
      </c>
      <c r="E176" s="4" t="s">
        <v>1155</v>
      </c>
      <c r="F176" s="4"/>
      <c r="G176" s="7"/>
      <c r="H176" s="4">
        <v>1</v>
      </c>
      <c r="I176" s="7">
        <v>8.99</v>
      </c>
      <c r="J176" s="7"/>
    </row>
    <row r="177" spans="1:10" hidden="1">
      <c r="A177" s="4" t="s">
        <v>807</v>
      </c>
      <c r="B177" s="4" t="s">
        <v>962</v>
      </c>
      <c r="C177" s="4" t="s">
        <v>1153</v>
      </c>
      <c r="D177" s="4" t="s">
        <v>1162</v>
      </c>
      <c r="E177" s="4" t="s">
        <v>1155</v>
      </c>
      <c r="F177" s="4"/>
      <c r="G177" s="7"/>
      <c r="H177" s="4">
        <v>1</v>
      </c>
      <c r="I177" s="7">
        <v>8.99</v>
      </c>
      <c r="J177" s="7"/>
    </row>
    <row r="178" spans="1:10" hidden="1">
      <c r="A178" s="4" t="s">
        <v>807</v>
      </c>
      <c r="B178" s="4" t="s">
        <v>962</v>
      </c>
      <c r="C178" s="4" t="s">
        <v>1153</v>
      </c>
      <c r="D178" s="4" t="s">
        <v>1163</v>
      </c>
      <c r="E178" s="4" t="s">
        <v>1155</v>
      </c>
      <c r="F178" s="4"/>
      <c r="G178" s="7"/>
      <c r="H178" s="4">
        <v>1</v>
      </c>
      <c r="I178" s="7">
        <v>8.99</v>
      </c>
      <c r="J178" s="7"/>
    </row>
    <row r="179" spans="1:10" hidden="1">
      <c r="A179" s="4" t="s">
        <v>807</v>
      </c>
      <c r="B179" s="4" t="s">
        <v>962</v>
      </c>
      <c r="C179" s="4" t="s">
        <v>1153</v>
      </c>
      <c r="D179" s="4" t="s">
        <v>1164</v>
      </c>
      <c r="E179" s="4" t="s">
        <v>1155</v>
      </c>
      <c r="F179" s="4"/>
      <c r="G179" s="7"/>
      <c r="H179" s="4">
        <v>1</v>
      </c>
      <c r="I179" s="7">
        <v>8.99</v>
      </c>
      <c r="J179" s="7"/>
    </row>
    <row r="180" spans="1:10" hidden="1">
      <c r="A180" s="4" t="s">
        <v>807</v>
      </c>
      <c r="B180" s="4" t="s">
        <v>811</v>
      </c>
      <c r="C180" s="4" t="s">
        <v>1165</v>
      </c>
      <c r="D180" s="4" t="s">
        <v>1166</v>
      </c>
      <c r="E180" s="4" t="s">
        <v>1167</v>
      </c>
      <c r="F180" s="4"/>
      <c r="G180" s="7"/>
      <c r="H180" s="4">
        <v>1</v>
      </c>
      <c r="I180" s="7">
        <v>8.99</v>
      </c>
      <c r="J180" s="7"/>
    </row>
    <row r="181" spans="1:10" hidden="1">
      <c r="A181" s="4" t="s">
        <v>807</v>
      </c>
      <c r="B181" s="4" t="s">
        <v>811</v>
      </c>
      <c r="C181" s="4" t="s">
        <v>1168</v>
      </c>
      <c r="D181" s="4" t="s">
        <v>1169</v>
      </c>
      <c r="E181" s="4" t="s">
        <v>1170</v>
      </c>
      <c r="F181" s="4"/>
      <c r="G181" s="7"/>
      <c r="H181" s="4">
        <v>1</v>
      </c>
      <c r="I181" s="7">
        <v>8.99</v>
      </c>
      <c r="J181" s="7"/>
    </row>
    <row r="182" spans="1:10" hidden="1">
      <c r="A182" s="4" t="s">
        <v>807</v>
      </c>
      <c r="B182" s="4" t="s">
        <v>808</v>
      </c>
      <c r="C182" s="4" t="s">
        <v>1171</v>
      </c>
      <c r="D182" s="4" t="s">
        <v>1172</v>
      </c>
      <c r="E182" s="4" t="s">
        <v>1173</v>
      </c>
      <c r="F182" s="4"/>
      <c r="G182" s="7"/>
      <c r="H182" s="4">
        <v>1</v>
      </c>
      <c r="I182" s="7">
        <v>8.99</v>
      </c>
      <c r="J182" s="7"/>
    </row>
    <row r="183" spans="1:10" hidden="1">
      <c r="A183" s="4" t="s">
        <v>807</v>
      </c>
      <c r="B183" s="4" t="s">
        <v>945</v>
      </c>
      <c r="C183" s="4">
        <v>17058504</v>
      </c>
      <c r="D183" s="4" t="s">
        <v>1174</v>
      </c>
      <c r="E183" s="4" t="s">
        <v>1175</v>
      </c>
      <c r="F183" s="4"/>
      <c r="G183" s="7"/>
      <c r="H183" s="4">
        <v>1</v>
      </c>
      <c r="I183" s="7">
        <v>8.99</v>
      </c>
      <c r="J183" s="7"/>
    </row>
    <row r="184" spans="1:10" hidden="1">
      <c r="A184" s="4" t="s">
        <v>807</v>
      </c>
      <c r="B184" s="4" t="s">
        <v>808</v>
      </c>
      <c r="C184" s="4" t="s">
        <v>1176</v>
      </c>
      <c r="D184" s="4" t="s">
        <v>1177</v>
      </c>
      <c r="E184" s="4" t="s">
        <v>840</v>
      </c>
      <c r="F184" s="4"/>
      <c r="G184" s="7"/>
      <c r="H184" s="4">
        <v>1</v>
      </c>
      <c r="I184" s="7">
        <v>8.99</v>
      </c>
      <c r="J184" s="7"/>
    </row>
    <row r="185" spans="1:10" hidden="1">
      <c r="A185" s="4" t="s">
        <v>807</v>
      </c>
      <c r="B185" s="4" t="s">
        <v>962</v>
      </c>
      <c r="C185" s="4" t="s">
        <v>1178</v>
      </c>
      <c r="D185" s="4" t="s">
        <v>1179</v>
      </c>
      <c r="E185" s="4" t="s">
        <v>1180</v>
      </c>
      <c r="F185" s="4"/>
      <c r="G185" s="7"/>
      <c r="H185" s="4">
        <v>1</v>
      </c>
      <c r="I185" s="7">
        <v>8.99</v>
      </c>
      <c r="J185" s="7"/>
    </row>
    <row r="186" spans="1:10" hidden="1">
      <c r="A186" s="4" t="s">
        <v>807</v>
      </c>
      <c r="B186" s="4" t="s">
        <v>937</v>
      </c>
      <c r="C186" s="4" t="s">
        <v>1181</v>
      </c>
      <c r="D186" s="4" t="s">
        <v>1182</v>
      </c>
      <c r="E186" s="4" t="s">
        <v>1183</v>
      </c>
      <c r="F186" s="4"/>
      <c r="G186" s="7"/>
      <c r="H186" s="4">
        <v>1</v>
      </c>
      <c r="I186" s="7">
        <v>8.99</v>
      </c>
      <c r="J186" s="7"/>
    </row>
    <row r="187" spans="1:10" hidden="1">
      <c r="A187" s="4" t="s">
        <v>807</v>
      </c>
      <c r="B187" s="4" t="s">
        <v>811</v>
      </c>
      <c r="C187" s="4" t="s">
        <v>1184</v>
      </c>
      <c r="D187" s="4" t="s">
        <v>1185</v>
      </c>
      <c r="E187" s="4" t="s">
        <v>840</v>
      </c>
      <c r="F187" s="4"/>
      <c r="G187" s="7"/>
      <c r="H187" s="4">
        <v>1</v>
      </c>
      <c r="I187" s="7">
        <v>8.99</v>
      </c>
      <c r="J187" s="7"/>
    </row>
    <row r="188" spans="1:10" hidden="1">
      <c r="A188" s="4" t="s">
        <v>807</v>
      </c>
      <c r="B188" s="4" t="s">
        <v>808</v>
      </c>
      <c r="C188" s="4" t="s">
        <v>1186</v>
      </c>
      <c r="D188" s="4" t="s">
        <v>1187</v>
      </c>
      <c r="E188" s="4" t="s">
        <v>1188</v>
      </c>
      <c r="F188" s="4"/>
      <c r="G188" s="7"/>
      <c r="H188" s="4">
        <v>1</v>
      </c>
      <c r="I188" s="7">
        <v>8.99</v>
      </c>
      <c r="J188" s="7"/>
    </row>
    <row r="189" spans="1:10" hidden="1">
      <c r="A189" s="4" t="s">
        <v>807</v>
      </c>
      <c r="B189" s="4" t="s">
        <v>811</v>
      </c>
      <c r="C189" s="4" t="s">
        <v>1189</v>
      </c>
      <c r="D189" s="4" t="s">
        <v>1190</v>
      </c>
      <c r="E189" s="4" t="s">
        <v>1191</v>
      </c>
      <c r="F189" s="4"/>
      <c r="G189" s="7"/>
      <c r="H189" s="4">
        <v>1</v>
      </c>
      <c r="I189" s="7">
        <v>8.99</v>
      </c>
      <c r="J189" s="7"/>
    </row>
    <row r="190" spans="1:10" hidden="1">
      <c r="A190" s="4" t="s">
        <v>807</v>
      </c>
      <c r="B190" s="4" t="s">
        <v>937</v>
      </c>
      <c r="C190" s="4" t="s">
        <v>1192</v>
      </c>
      <c r="D190" s="4" t="s">
        <v>1193</v>
      </c>
      <c r="E190" s="4" t="s">
        <v>1194</v>
      </c>
      <c r="F190" s="4"/>
      <c r="G190" s="7"/>
      <c r="H190" s="4">
        <v>1</v>
      </c>
      <c r="I190" s="7">
        <v>8.99</v>
      </c>
      <c r="J190" s="7"/>
    </row>
    <row r="191" spans="1:10" hidden="1">
      <c r="A191" s="4" t="s">
        <v>807</v>
      </c>
      <c r="B191" s="4" t="s">
        <v>808</v>
      </c>
      <c r="C191" s="4" t="s">
        <v>1195</v>
      </c>
      <c r="D191" s="4" t="s">
        <v>1196</v>
      </c>
      <c r="E191" s="4" t="s">
        <v>1197</v>
      </c>
      <c r="F191" s="4"/>
      <c r="G191" s="7"/>
      <c r="H191" s="4">
        <v>1</v>
      </c>
      <c r="I191" s="7">
        <v>8.99</v>
      </c>
      <c r="J191" s="7"/>
    </row>
    <row r="192" spans="1:10" hidden="1">
      <c r="A192" s="4" t="s">
        <v>807</v>
      </c>
      <c r="B192" s="4" t="s">
        <v>811</v>
      </c>
      <c r="C192" s="4" t="s">
        <v>1198</v>
      </c>
      <c r="D192" s="4" t="s">
        <v>1199</v>
      </c>
      <c r="E192" s="4" t="s">
        <v>1200</v>
      </c>
      <c r="F192" s="4"/>
      <c r="G192" s="7"/>
      <c r="H192" s="4">
        <v>1</v>
      </c>
      <c r="I192" s="7">
        <v>8.99</v>
      </c>
      <c r="J192" s="7"/>
    </row>
    <row r="193" spans="1:10" hidden="1">
      <c r="A193" s="4" t="s">
        <v>807</v>
      </c>
      <c r="B193" s="4" t="s">
        <v>937</v>
      </c>
      <c r="C193" s="4" t="s">
        <v>1192</v>
      </c>
      <c r="D193" s="4" t="s">
        <v>1201</v>
      </c>
      <c r="E193" s="4" t="s">
        <v>1194</v>
      </c>
      <c r="F193" s="4"/>
      <c r="G193" s="7"/>
      <c r="H193" s="4">
        <v>1</v>
      </c>
      <c r="I193" s="7">
        <v>8.99</v>
      </c>
      <c r="J193" s="7"/>
    </row>
    <row r="194" spans="1:10" hidden="1">
      <c r="A194" s="4" t="s">
        <v>807</v>
      </c>
      <c r="B194" s="4" t="s">
        <v>937</v>
      </c>
      <c r="C194" s="4" t="s">
        <v>1202</v>
      </c>
      <c r="D194" s="4" t="s">
        <v>1203</v>
      </c>
      <c r="E194" s="4" t="s">
        <v>1204</v>
      </c>
      <c r="F194" s="4"/>
      <c r="G194" s="7"/>
      <c r="H194" s="4">
        <v>1</v>
      </c>
      <c r="I194" s="7">
        <v>8.99</v>
      </c>
      <c r="J194" s="7"/>
    </row>
    <row r="195" spans="1:10" hidden="1">
      <c r="A195" s="4" t="s">
        <v>815</v>
      </c>
      <c r="B195" s="4" t="s">
        <v>816</v>
      </c>
      <c r="C195" s="4" t="s">
        <v>1205</v>
      </c>
      <c r="D195" s="4" t="s">
        <v>1206</v>
      </c>
      <c r="E195" s="4" t="s">
        <v>1207</v>
      </c>
      <c r="F195" s="4"/>
      <c r="G195" s="7"/>
      <c r="H195" s="4">
        <v>1</v>
      </c>
      <c r="I195" s="7">
        <v>8.99</v>
      </c>
      <c r="J195" s="7"/>
    </row>
    <row r="196" spans="1:10" hidden="1">
      <c r="A196" s="4" t="s">
        <v>807</v>
      </c>
      <c r="B196" s="4" t="s">
        <v>808</v>
      </c>
      <c r="C196" s="4" t="s">
        <v>1057</v>
      </c>
      <c r="D196" s="4" t="s">
        <v>1208</v>
      </c>
      <c r="E196" s="4" t="s">
        <v>1059</v>
      </c>
      <c r="F196" s="4"/>
      <c r="G196" s="7"/>
      <c r="H196" s="4">
        <v>1</v>
      </c>
      <c r="I196" s="7">
        <v>8.99</v>
      </c>
      <c r="J196" s="7"/>
    </row>
    <row r="197" spans="1:10" hidden="1">
      <c r="A197" s="4" t="s">
        <v>807</v>
      </c>
      <c r="B197" s="4" t="s">
        <v>811</v>
      </c>
      <c r="C197" s="4" t="s">
        <v>1143</v>
      </c>
      <c r="D197" s="4" t="s">
        <v>1209</v>
      </c>
      <c r="E197" s="4" t="s">
        <v>1145</v>
      </c>
      <c r="F197" s="4"/>
      <c r="G197" s="7"/>
      <c r="H197" s="4">
        <v>1</v>
      </c>
      <c r="I197" s="7">
        <v>8.99</v>
      </c>
      <c r="J197" s="7"/>
    </row>
    <row r="198" spans="1:10" hidden="1">
      <c r="A198" s="4" t="s">
        <v>807</v>
      </c>
      <c r="B198" s="4" t="s">
        <v>937</v>
      </c>
      <c r="C198" s="4" t="s">
        <v>1192</v>
      </c>
      <c r="D198" s="4" t="s">
        <v>1210</v>
      </c>
      <c r="E198" s="4" t="s">
        <v>1194</v>
      </c>
      <c r="F198" s="4"/>
      <c r="G198" s="7"/>
      <c r="H198" s="4">
        <v>1</v>
      </c>
      <c r="I198" s="7">
        <v>8.99</v>
      </c>
      <c r="J198" s="7"/>
    </row>
    <row r="199" spans="1:10" hidden="1">
      <c r="A199" s="4" t="s">
        <v>807</v>
      </c>
      <c r="B199" s="4" t="s">
        <v>937</v>
      </c>
      <c r="C199" s="4" t="s">
        <v>1211</v>
      </c>
      <c r="D199" s="4" t="s">
        <v>1212</v>
      </c>
      <c r="E199" s="4" t="s">
        <v>1213</v>
      </c>
      <c r="F199" s="4"/>
      <c r="G199" s="7"/>
      <c r="H199" s="4">
        <v>1</v>
      </c>
      <c r="I199" s="7">
        <v>8.99</v>
      </c>
      <c r="J199" s="7"/>
    </row>
    <row r="200" spans="1:10" hidden="1">
      <c r="A200" s="4" t="s">
        <v>807</v>
      </c>
      <c r="B200" s="4" t="s">
        <v>945</v>
      </c>
      <c r="C200" s="4" t="s">
        <v>1214</v>
      </c>
      <c r="D200" s="4" t="s">
        <v>1215</v>
      </c>
      <c r="E200" s="4" t="s">
        <v>1216</v>
      </c>
      <c r="F200" s="4"/>
      <c r="G200" s="7"/>
      <c r="H200" s="4">
        <v>1</v>
      </c>
      <c r="I200" s="7">
        <v>8.99</v>
      </c>
      <c r="J200" s="7"/>
    </row>
    <row r="201" spans="1:10" hidden="1">
      <c r="A201" s="4" t="s">
        <v>807</v>
      </c>
      <c r="B201" s="4" t="s">
        <v>962</v>
      </c>
      <c r="C201" s="4">
        <v>99350044319</v>
      </c>
      <c r="D201" s="4" t="s">
        <v>1217</v>
      </c>
      <c r="E201" s="4" t="s">
        <v>1218</v>
      </c>
      <c r="F201" s="4"/>
      <c r="G201" s="7"/>
      <c r="H201" s="4">
        <v>1</v>
      </c>
      <c r="I201" s="7">
        <v>8.99</v>
      </c>
      <c r="J201" s="7"/>
    </row>
    <row r="202" spans="1:10" hidden="1">
      <c r="A202" s="4" t="s">
        <v>807</v>
      </c>
      <c r="B202" s="4" t="s">
        <v>937</v>
      </c>
      <c r="C202" s="4" t="s">
        <v>1219</v>
      </c>
      <c r="D202" s="4" t="s">
        <v>1220</v>
      </c>
      <c r="E202" s="4" t="s">
        <v>1221</v>
      </c>
      <c r="F202" s="4"/>
      <c r="G202" s="7"/>
      <c r="H202" s="4">
        <v>1</v>
      </c>
      <c r="I202" s="7">
        <v>8.99</v>
      </c>
      <c r="J202" s="7"/>
    </row>
    <row r="203" spans="1:10" hidden="1">
      <c r="A203" s="4" t="s">
        <v>807</v>
      </c>
      <c r="B203" s="4" t="s">
        <v>808</v>
      </c>
      <c r="C203" s="4" t="s">
        <v>1222</v>
      </c>
      <c r="D203" s="4" t="s">
        <v>1223</v>
      </c>
      <c r="E203" s="4" t="s">
        <v>1224</v>
      </c>
      <c r="F203" s="4"/>
      <c r="G203" s="7"/>
      <c r="H203" s="4">
        <v>1</v>
      </c>
      <c r="I203" s="7">
        <v>8.99</v>
      </c>
      <c r="J203" s="7"/>
    </row>
    <row r="204" spans="1:10" hidden="1">
      <c r="A204" s="4" t="s">
        <v>807</v>
      </c>
      <c r="B204" s="4" t="s">
        <v>808</v>
      </c>
      <c r="C204" s="4" t="s">
        <v>1195</v>
      </c>
      <c r="D204" s="4" t="s">
        <v>1225</v>
      </c>
      <c r="E204" s="4" t="s">
        <v>1197</v>
      </c>
      <c r="F204" s="4"/>
      <c r="G204" s="7"/>
      <c r="H204" s="4">
        <v>1</v>
      </c>
      <c r="I204" s="7">
        <v>8.99</v>
      </c>
      <c r="J204" s="7"/>
    </row>
    <row r="205" spans="1:10" hidden="1">
      <c r="A205" s="4" t="s">
        <v>807</v>
      </c>
      <c r="B205" s="4" t="s">
        <v>808</v>
      </c>
      <c r="C205" s="4" t="s">
        <v>1226</v>
      </c>
      <c r="D205" s="4" t="s">
        <v>1227</v>
      </c>
      <c r="E205" s="4" t="s">
        <v>1228</v>
      </c>
      <c r="F205" s="4"/>
      <c r="G205" s="7"/>
      <c r="H205" s="4">
        <v>1</v>
      </c>
      <c r="I205" s="7">
        <v>8.99</v>
      </c>
      <c r="J205" s="7"/>
    </row>
    <row r="206" spans="1:10" hidden="1">
      <c r="A206" s="4" t="s">
        <v>807</v>
      </c>
      <c r="B206" s="4" t="s">
        <v>808</v>
      </c>
      <c r="C206" s="4" t="s">
        <v>1229</v>
      </c>
      <c r="D206" s="4" t="s">
        <v>1230</v>
      </c>
      <c r="E206" s="4" t="s">
        <v>840</v>
      </c>
      <c r="F206" s="4"/>
      <c r="G206" s="7"/>
      <c r="H206" s="4">
        <v>1</v>
      </c>
      <c r="I206" s="7">
        <v>8.99</v>
      </c>
      <c r="J206" s="7"/>
    </row>
    <row r="207" spans="1:10" hidden="1">
      <c r="A207" s="4" t="s">
        <v>807</v>
      </c>
      <c r="B207" s="4" t="s">
        <v>945</v>
      </c>
      <c r="C207" s="4">
        <v>11111</v>
      </c>
      <c r="D207" s="4" t="s">
        <v>1231</v>
      </c>
      <c r="E207" s="4" t="s">
        <v>1113</v>
      </c>
      <c r="F207" s="4"/>
      <c r="G207" s="7"/>
      <c r="H207" s="4">
        <v>1</v>
      </c>
      <c r="I207" s="7">
        <v>8.99</v>
      </c>
      <c r="J207" s="7"/>
    </row>
    <row r="208" spans="1:10" hidden="1">
      <c r="A208" s="4" t="s">
        <v>815</v>
      </c>
      <c r="B208" s="4" t="s">
        <v>1020</v>
      </c>
      <c r="C208" s="4" t="s">
        <v>1232</v>
      </c>
      <c r="D208" s="4" t="s">
        <v>1233</v>
      </c>
      <c r="E208" s="4" t="s">
        <v>1234</v>
      </c>
      <c r="F208" s="4"/>
      <c r="G208" s="7"/>
      <c r="H208" s="4">
        <v>1</v>
      </c>
      <c r="I208" s="7">
        <v>8.99</v>
      </c>
      <c r="J208" s="7"/>
    </row>
    <row r="209" spans="1:10" hidden="1">
      <c r="A209" s="4" t="s">
        <v>807</v>
      </c>
      <c r="B209" s="4" t="s">
        <v>811</v>
      </c>
      <c r="C209" s="4" t="s">
        <v>1235</v>
      </c>
      <c r="D209" s="4" t="s">
        <v>1236</v>
      </c>
      <c r="E209" s="4" t="s">
        <v>840</v>
      </c>
      <c r="F209" s="4"/>
      <c r="G209" s="7"/>
      <c r="H209" s="4">
        <v>1</v>
      </c>
      <c r="I209" s="7">
        <v>8.99</v>
      </c>
      <c r="J209" s="7"/>
    </row>
    <row r="210" spans="1:10" hidden="1">
      <c r="A210" s="4" t="s">
        <v>807</v>
      </c>
      <c r="B210" s="4" t="s">
        <v>808</v>
      </c>
      <c r="C210" s="4" t="s">
        <v>1237</v>
      </c>
      <c r="D210" s="4" t="s">
        <v>1238</v>
      </c>
      <c r="E210" s="4" t="s">
        <v>1239</v>
      </c>
      <c r="F210" s="4"/>
      <c r="G210" s="7"/>
      <c r="H210" s="4">
        <v>1</v>
      </c>
      <c r="I210" s="7">
        <v>8.99</v>
      </c>
      <c r="J210" s="7"/>
    </row>
    <row r="211" spans="1:10" hidden="1">
      <c r="A211" s="4" t="s">
        <v>807</v>
      </c>
      <c r="B211" s="4" t="s">
        <v>811</v>
      </c>
      <c r="C211" s="4">
        <v>99350139274</v>
      </c>
      <c r="D211" s="4" t="s">
        <v>1240</v>
      </c>
      <c r="E211" s="4" t="s">
        <v>1241</v>
      </c>
      <c r="F211" s="4"/>
      <c r="G211" s="7"/>
      <c r="H211" s="4">
        <v>1</v>
      </c>
      <c r="I211" s="7">
        <v>8.99</v>
      </c>
      <c r="J211" s="7"/>
    </row>
    <row r="212" spans="1:10" hidden="1">
      <c r="A212" s="4" t="s">
        <v>807</v>
      </c>
      <c r="B212" s="4" t="s">
        <v>945</v>
      </c>
      <c r="C212" s="4" t="s">
        <v>1242</v>
      </c>
      <c r="D212" s="4" t="s">
        <v>1243</v>
      </c>
      <c r="E212" s="4" t="s">
        <v>1244</v>
      </c>
      <c r="F212" s="4"/>
      <c r="G212" s="7"/>
      <c r="H212" s="4">
        <v>1</v>
      </c>
      <c r="I212" s="7">
        <v>8.99</v>
      </c>
      <c r="J212" s="7"/>
    </row>
    <row r="213" spans="1:10" hidden="1">
      <c r="A213" s="4" t="s">
        <v>915</v>
      </c>
      <c r="B213" s="4" t="s">
        <v>915</v>
      </c>
      <c r="C213" s="4" t="s">
        <v>1245</v>
      </c>
      <c r="D213" s="4" t="s">
        <v>1246</v>
      </c>
      <c r="E213" s="4" t="s">
        <v>1247</v>
      </c>
      <c r="F213" s="4"/>
      <c r="G213" s="7"/>
      <c r="H213" s="4">
        <v>1</v>
      </c>
      <c r="I213" s="7">
        <v>8.99</v>
      </c>
      <c r="J213" s="7"/>
    </row>
    <row r="214" spans="1:10" hidden="1">
      <c r="A214" s="4" t="s">
        <v>807</v>
      </c>
      <c r="B214" s="4" t="s">
        <v>825</v>
      </c>
      <c r="C214" s="4">
        <v>29101277000</v>
      </c>
      <c r="D214" s="4" t="s">
        <v>1248</v>
      </c>
      <c r="E214" s="4" t="s">
        <v>1249</v>
      </c>
      <c r="F214" s="4"/>
      <c r="G214" s="7"/>
      <c r="H214" s="4">
        <v>1</v>
      </c>
      <c r="I214" s="7">
        <v>8.99</v>
      </c>
      <c r="J214" s="7"/>
    </row>
    <row r="215" spans="1:10" hidden="1">
      <c r="A215" s="4" t="s">
        <v>915</v>
      </c>
      <c r="B215" s="4" t="s">
        <v>915</v>
      </c>
      <c r="C215" s="4" t="s">
        <v>1250</v>
      </c>
      <c r="D215" s="4" t="s">
        <v>1251</v>
      </c>
      <c r="E215" s="4" t="s">
        <v>1252</v>
      </c>
      <c r="F215" s="4"/>
      <c r="G215" s="7"/>
      <c r="H215" s="4">
        <v>1</v>
      </c>
      <c r="I215" s="7">
        <v>8.99</v>
      </c>
      <c r="J215" s="7"/>
    </row>
    <row r="216" spans="1:10" hidden="1">
      <c r="A216" s="4" t="s">
        <v>807</v>
      </c>
      <c r="B216" s="4" t="s">
        <v>825</v>
      </c>
      <c r="C216" s="4">
        <v>29100588000</v>
      </c>
      <c r="D216" s="4" t="s">
        <v>1253</v>
      </c>
      <c r="E216" s="4" t="s">
        <v>1254</v>
      </c>
      <c r="F216" s="4"/>
      <c r="G216" s="7"/>
      <c r="H216" s="4">
        <v>1</v>
      </c>
      <c r="I216" s="7">
        <v>8.99</v>
      </c>
      <c r="J216" s="7"/>
    </row>
    <row r="217" spans="1:10" hidden="1">
      <c r="A217" s="4" t="s">
        <v>807</v>
      </c>
      <c r="B217" s="4" t="s">
        <v>808</v>
      </c>
      <c r="C217" s="4" t="s">
        <v>1255</v>
      </c>
      <c r="D217" s="4" t="s">
        <v>1256</v>
      </c>
      <c r="E217" s="4" t="s">
        <v>1257</v>
      </c>
      <c r="F217" s="4"/>
      <c r="G217" s="7"/>
      <c r="H217" s="4">
        <v>1</v>
      </c>
      <c r="I217" s="7">
        <v>8.99</v>
      </c>
      <c r="J217" s="7"/>
    </row>
    <row r="218" spans="1:10" hidden="1">
      <c r="A218" s="4" t="s">
        <v>807</v>
      </c>
      <c r="B218" s="4" t="s">
        <v>962</v>
      </c>
      <c r="C218" s="4" t="s">
        <v>1258</v>
      </c>
      <c r="D218" s="4" t="s">
        <v>1259</v>
      </c>
      <c r="E218" s="4" t="s">
        <v>1260</v>
      </c>
      <c r="F218" s="4"/>
      <c r="G218" s="7"/>
      <c r="H218" s="4">
        <v>1</v>
      </c>
      <c r="I218" s="7">
        <v>8.99</v>
      </c>
      <c r="J218" s="7"/>
    </row>
    <row r="219" spans="1:10" hidden="1">
      <c r="A219" s="4" t="s">
        <v>1261</v>
      </c>
      <c r="B219" s="4"/>
      <c r="C219" s="4" t="s">
        <v>1262</v>
      </c>
      <c r="D219" s="4" t="s">
        <v>1263</v>
      </c>
      <c r="E219" s="4" t="s">
        <v>1264</v>
      </c>
      <c r="F219" s="4"/>
      <c r="G219" s="7"/>
      <c r="H219" s="4">
        <v>1</v>
      </c>
      <c r="I219" s="7">
        <v>8.99</v>
      </c>
      <c r="J219" s="7"/>
    </row>
    <row r="220" spans="1:10" hidden="1">
      <c r="A220" s="4" t="s">
        <v>807</v>
      </c>
      <c r="B220" s="4" t="s">
        <v>825</v>
      </c>
      <c r="C220" s="4">
        <v>29101772000</v>
      </c>
      <c r="D220" s="4" t="s">
        <v>1265</v>
      </c>
      <c r="E220" s="4" t="s">
        <v>1266</v>
      </c>
      <c r="F220" s="4"/>
      <c r="G220" s="7"/>
      <c r="H220" s="4">
        <v>1</v>
      </c>
      <c r="I220" s="7">
        <v>8.99</v>
      </c>
      <c r="J220" s="7"/>
    </row>
    <row r="221" spans="1:10" hidden="1">
      <c r="A221" s="4" t="s">
        <v>807</v>
      </c>
      <c r="B221" s="4" t="s">
        <v>811</v>
      </c>
      <c r="C221" s="4" t="s">
        <v>1267</v>
      </c>
      <c r="D221" s="4" t="s">
        <v>1268</v>
      </c>
      <c r="E221" s="4" t="s">
        <v>1269</v>
      </c>
      <c r="F221" s="4"/>
      <c r="G221" s="7"/>
      <c r="H221" s="4">
        <v>1</v>
      </c>
      <c r="I221" s="7">
        <v>8.99</v>
      </c>
      <c r="J221" s="7"/>
    </row>
    <row r="222" spans="1:10" hidden="1">
      <c r="A222" s="4" t="s">
        <v>807</v>
      </c>
      <c r="B222" s="4" t="s">
        <v>945</v>
      </c>
      <c r="C222" s="4" t="s">
        <v>1270</v>
      </c>
      <c r="D222" s="4" t="s">
        <v>1271</v>
      </c>
      <c r="E222" s="4" t="s">
        <v>1272</v>
      </c>
      <c r="F222" s="4"/>
      <c r="G222" s="7"/>
      <c r="H222" s="4">
        <v>1</v>
      </c>
      <c r="I222" s="7">
        <v>8.99</v>
      </c>
      <c r="J222" s="7"/>
    </row>
    <row r="223" spans="1:10" hidden="1">
      <c r="A223" s="4" t="s">
        <v>807</v>
      </c>
      <c r="B223" s="4" t="s">
        <v>825</v>
      </c>
      <c r="C223" s="4">
        <v>99350145002</v>
      </c>
      <c r="D223" s="4" t="s">
        <v>1273</v>
      </c>
      <c r="E223" s="4" t="s">
        <v>1274</v>
      </c>
      <c r="F223" s="4"/>
      <c r="G223" s="7"/>
      <c r="H223" s="4">
        <v>1</v>
      </c>
      <c r="I223" s="7">
        <v>8.99</v>
      </c>
      <c r="J223" s="7"/>
    </row>
    <row r="224" spans="1:10" hidden="1">
      <c r="A224" s="4" t="s">
        <v>807</v>
      </c>
      <c r="B224" s="4" t="s">
        <v>962</v>
      </c>
      <c r="C224" s="4">
        <v>270325.09999999998</v>
      </c>
      <c r="D224" s="4" t="s">
        <v>1275</v>
      </c>
      <c r="E224" s="4" t="s">
        <v>1276</v>
      </c>
      <c r="F224" s="4"/>
      <c r="G224" s="7"/>
      <c r="H224" s="4">
        <v>1</v>
      </c>
      <c r="I224" s="7">
        <v>8.99</v>
      </c>
      <c r="J224" s="7"/>
    </row>
    <row r="225" spans="1:10" hidden="1">
      <c r="A225" s="4" t="s">
        <v>807</v>
      </c>
      <c r="B225" s="4" t="s">
        <v>825</v>
      </c>
      <c r="C225" s="4">
        <v>29101799000</v>
      </c>
      <c r="D225" s="4" t="s">
        <v>1277</v>
      </c>
      <c r="E225" s="4" t="s">
        <v>1278</v>
      </c>
      <c r="F225" s="4"/>
      <c r="G225" s="7"/>
      <c r="H225" s="4">
        <v>1</v>
      </c>
      <c r="I225" s="7">
        <v>8.99</v>
      </c>
      <c r="J225" s="7"/>
    </row>
    <row r="226" spans="1:10" hidden="1">
      <c r="A226" s="4" t="s">
        <v>807</v>
      </c>
      <c r="B226" s="4" t="s">
        <v>808</v>
      </c>
      <c r="C226" s="4" t="s">
        <v>1279</v>
      </c>
      <c r="D226" s="4" t="s">
        <v>1280</v>
      </c>
      <c r="E226" s="4" t="s">
        <v>1281</v>
      </c>
      <c r="F226" s="4"/>
      <c r="G226" s="7"/>
      <c r="H226" s="4">
        <v>1</v>
      </c>
      <c r="I226" s="7">
        <v>8.99</v>
      </c>
      <c r="J226" s="7"/>
    </row>
    <row r="227" spans="1:10" hidden="1">
      <c r="A227" s="4" t="s">
        <v>807</v>
      </c>
      <c r="B227" s="4" t="s">
        <v>825</v>
      </c>
      <c r="C227" s="4">
        <v>99350165019</v>
      </c>
      <c r="D227" s="4" t="s">
        <v>1282</v>
      </c>
      <c r="E227" s="4" t="s">
        <v>1283</v>
      </c>
      <c r="F227" s="4"/>
      <c r="G227" s="7"/>
      <c r="H227" s="4">
        <v>1</v>
      </c>
      <c r="I227" s="7">
        <v>8.99</v>
      </c>
      <c r="J227" s="7"/>
    </row>
    <row r="228" spans="1:10" hidden="1">
      <c r="A228" s="4" t="s">
        <v>807</v>
      </c>
      <c r="B228" s="4" t="s">
        <v>825</v>
      </c>
      <c r="C228" s="4">
        <v>29101779000</v>
      </c>
      <c r="D228" s="4" t="s">
        <v>1284</v>
      </c>
      <c r="E228" s="4" t="s">
        <v>1131</v>
      </c>
      <c r="F228" s="4"/>
      <c r="G228" s="7"/>
      <c r="H228" s="4">
        <v>1</v>
      </c>
      <c r="I228" s="7">
        <v>8.99</v>
      </c>
      <c r="J228" s="7"/>
    </row>
    <row r="229" spans="1:10" hidden="1">
      <c r="A229" s="4" t="s">
        <v>807</v>
      </c>
      <c r="B229" s="4" t="s">
        <v>825</v>
      </c>
      <c r="C229" s="4" t="s">
        <v>1285</v>
      </c>
      <c r="D229" s="4" t="s">
        <v>1286</v>
      </c>
      <c r="E229" s="4" t="s">
        <v>1287</v>
      </c>
      <c r="F229" s="4"/>
      <c r="G229" s="7"/>
      <c r="H229" s="4">
        <v>1</v>
      </c>
      <c r="I229" s="7">
        <v>8.99</v>
      </c>
      <c r="J229" s="7"/>
    </row>
    <row r="230" spans="1:10" hidden="1">
      <c r="A230" s="4" t="s">
        <v>807</v>
      </c>
      <c r="B230" s="4" t="s">
        <v>825</v>
      </c>
      <c r="C230" s="4" t="s">
        <v>1288</v>
      </c>
      <c r="D230" s="4" t="s">
        <v>1289</v>
      </c>
      <c r="E230" s="4" t="s">
        <v>1288</v>
      </c>
      <c r="F230" s="4"/>
      <c r="G230" s="7"/>
      <c r="H230" s="4">
        <v>1</v>
      </c>
      <c r="I230" s="7">
        <v>8.99</v>
      </c>
      <c r="J230" s="7"/>
    </row>
    <row r="231" spans="1:10" hidden="1">
      <c r="A231" s="4" t="s">
        <v>807</v>
      </c>
      <c r="B231" s="4" t="s">
        <v>811</v>
      </c>
      <c r="C231" s="4" t="s">
        <v>969</v>
      </c>
      <c r="D231" s="4" t="s">
        <v>1290</v>
      </c>
      <c r="E231" s="4" t="s">
        <v>971</v>
      </c>
      <c r="F231" s="4"/>
      <c r="G231" s="7"/>
      <c r="H231" s="4">
        <v>1</v>
      </c>
      <c r="I231" s="7">
        <v>8.99</v>
      </c>
      <c r="J231" s="7"/>
    </row>
    <row r="232" spans="1:10" hidden="1">
      <c r="A232" s="4" t="s">
        <v>807</v>
      </c>
      <c r="B232" s="4" t="s">
        <v>825</v>
      </c>
      <c r="C232" s="4" t="s">
        <v>1288</v>
      </c>
      <c r="D232" s="4" t="s">
        <v>1291</v>
      </c>
      <c r="E232" s="4" t="s">
        <v>1288</v>
      </c>
      <c r="F232" s="4"/>
      <c r="G232" s="7"/>
      <c r="H232" s="4">
        <v>1</v>
      </c>
      <c r="I232" s="7">
        <v>8.99</v>
      </c>
      <c r="J232" s="7"/>
    </row>
    <row r="233" spans="1:10" hidden="1">
      <c r="A233" s="4" t="s">
        <v>807</v>
      </c>
      <c r="B233" s="4" t="s">
        <v>811</v>
      </c>
      <c r="C233" s="4" t="s">
        <v>969</v>
      </c>
      <c r="D233" s="4" t="s">
        <v>1292</v>
      </c>
      <c r="E233" s="4" t="s">
        <v>971</v>
      </c>
      <c r="F233" s="4"/>
      <c r="G233" s="7"/>
      <c r="H233" s="4">
        <v>1</v>
      </c>
      <c r="I233" s="7">
        <v>8.99</v>
      </c>
      <c r="J233" s="7"/>
    </row>
    <row r="234" spans="1:10" hidden="1">
      <c r="A234" s="4" t="s">
        <v>807</v>
      </c>
      <c r="B234" s="4" t="s">
        <v>825</v>
      </c>
      <c r="C234" s="4">
        <v>29102732000</v>
      </c>
      <c r="D234" s="4" t="s">
        <v>1293</v>
      </c>
      <c r="E234" s="4" t="s">
        <v>1294</v>
      </c>
      <c r="F234" s="4"/>
      <c r="G234" s="7"/>
      <c r="H234" s="4">
        <v>1</v>
      </c>
      <c r="I234" s="7">
        <v>8.99</v>
      </c>
      <c r="J234" s="7"/>
    </row>
    <row r="235" spans="1:10" hidden="1">
      <c r="A235" s="4" t="s">
        <v>807</v>
      </c>
      <c r="B235" s="4" t="s">
        <v>825</v>
      </c>
      <c r="C235" s="4" t="s">
        <v>1288</v>
      </c>
      <c r="D235" s="4" t="s">
        <v>1295</v>
      </c>
      <c r="E235" s="4" t="s">
        <v>1288</v>
      </c>
      <c r="F235" s="4"/>
      <c r="G235" s="7"/>
      <c r="H235" s="4">
        <v>1</v>
      </c>
      <c r="I235" s="7">
        <v>8.99</v>
      </c>
      <c r="J235" s="7"/>
    </row>
    <row r="236" spans="1:10" hidden="1">
      <c r="A236" s="4" t="s">
        <v>807</v>
      </c>
      <c r="B236" s="4" t="s">
        <v>825</v>
      </c>
      <c r="C236" s="4">
        <v>29101782000</v>
      </c>
      <c r="D236" s="4" t="s">
        <v>1296</v>
      </c>
      <c r="E236" s="4" t="s">
        <v>1297</v>
      </c>
      <c r="F236" s="4"/>
      <c r="G236" s="7"/>
      <c r="H236" s="4">
        <v>1</v>
      </c>
      <c r="I236" s="7">
        <v>8.99</v>
      </c>
      <c r="J236" s="7"/>
    </row>
    <row r="237" spans="1:10" hidden="1">
      <c r="A237" s="4" t="s">
        <v>807</v>
      </c>
      <c r="B237" s="4" t="s">
        <v>825</v>
      </c>
      <c r="C237" s="4">
        <v>29101798000</v>
      </c>
      <c r="D237" s="4" t="s">
        <v>1298</v>
      </c>
      <c r="E237" s="4" t="s">
        <v>1056</v>
      </c>
      <c r="F237" s="4"/>
      <c r="G237" s="7"/>
      <c r="H237" s="4">
        <v>1</v>
      </c>
      <c r="I237" s="7">
        <v>8.99</v>
      </c>
      <c r="J237" s="7"/>
    </row>
    <row r="238" spans="1:10" hidden="1">
      <c r="A238" s="4" t="s">
        <v>807</v>
      </c>
      <c r="B238" s="4" t="s">
        <v>825</v>
      </c>
      <c r="C238" s="4" t="s">
        <v>1288</v>
      </c>
      <c r="D238" s="4" t="s">
        <v>1299</v>
      </c>
      <c r="E238" s="4" t="s">
        <v>1288</v>
      </c>
      <c r="F238" s="4"/>
      <c r="G238" s="7"/>
      <c r="H238" s="4">
        <v>1</v>
      </c>
      <c r="I238" s="7">
        <v>8.99</v>
      </c>
      <c r="J238" s="7"/>
    </row>
    <row r="239" spans="1:10" hidden="1">
      <c r="A239" s="4" t="s">
        <v>807</v>
      </c>
      <c r="B239" s="4" t="s">
        <v>825</v>
      </c>
      <c r="C239" s="4" t="s">
        <v>1300</v>
      </c>
      <c r="D239" s="4" t="s">
        <v>1301</v>
      </c>
      <c r="E239" s="4" t="s">
        <v>1287</v>
      </c>
      <c r="F239" s="4"/>
      <c r="G239" s="7"/>
      <c r="H239" s="4">
        <v>1</v>
      </c>
      <c r="I239" s="7">
        <v>8.99</v>
      </c>
      <c r="J239" s="7"/>
    </row>
    <row r="240" spans="1:10" hidden="1">
      <c r="A240" s="4" t="s">
        <v>807</v>
      </c>
      <c r="B240" s="4" t="s">
        <v>825</v>
      </c>
      <c r="C240" s="4" t="s">
        <v>1302</v>
      </c>
      <c r="D240" s="4" t="s">
        <v>1303</v>
      </c>
      <c r="E240" s="4" t="s">
        <v>1287</v>
      </c>
      <c r="F240" s="4"/>
      <c r="G240" s="7"/>
      <c r="H240" s="4">
        <v>1</v>
      </c>
      <c r="I240" s="7">
        <v>8.99</v>
      </c>
      <c r="J240" s="7"/>
    </row>
    <row r="241" spans="1:10" hidden="1">
      <c r="A241" s="4" t="s">
        <v>807</v>
      </c>
      <c r="B241" s="4" t="s">
        <v>825</v>
      </c>
      <c r="C241" s="4">
        <v>29101794000</v>
      </c>
      <c r="D241" s="4" t="s">
        <v>1304</v>
      </c>
      <c r="E241" s="4" t="s">
        <v>1305</v>
      </c>
      <c r="F241" s="4"/>
      <c r="G241" s="7"/>
      <c r="H241" s="4">
        <v>1</v>
      </c>
      <c r="I241" s="7">
        <v>8.99</v>
      </c>
      <c r="J241" s="7"/>
    </row>
    <row r="242" spans="1:10" hidden="1">
      <c r="A242" s="4" t="s">
        <v>807</v>
      </c>
      <c r="B242" s="4" t="s">
        <v>808</v>
      </c>
      <c r="C242" s="4" t="s">
        <v>1057</v>
      </c>
      <c r="D242" s="4" t="s">
        <v>1306</v>
      </c>
      <c r="E242" s="4" t="s">
        <v>1059</v>
      </c>
      <c r="F242" s="4"/>
      <c r="G242" s="7"/>
      <c r="H242" s="4">
        <v>1</v>
      </c>
      <c r="I242" s="7">
        <v>8.99</v>
      </c>
      <c r="J242" s="7"/>
    </row>
    <row r="243" spans="1:10" hidden="1">
      <c r="A243" s="4" t="s">
        <v>915</v>
      </c>
      <c r="B243" s="4" t="s">
        <v>915</v>
      </c>
      <c r="C243" s="4">
        <v>54004388</v>
      </c>
      <c r="D243" s="4" t="s">
        <v>1307</v>
      </c>
      <c r="E243" s="4" t="s">
        <v>1308</v>
      </c>
      <c r="F243" s="4"/>
      <c r="G243" s="7"/>
      <c r="H243" s="4">
        <v>1</v>
      </c>
      <c r="I243" s="7">
        <v>8.99</v>
      </c>
      <c r="J243" s="7"/>
    </row>
    <row r="244" spans="1:10" hidden="1">
      <c r="A244" s="4" t="s">
        <v>807</v>
      </c>
      <c r="B244" s="4" t="s">
        <v>825</v>
      </c>
      <c r="C244" s="4">
        <v>29165275000</v>
      </c>
      <c r="D244" s="4" t="s">
        <v>1309</v>
      </c>
      <c r="E244" s="4" t="s">
        <v>1310</v>
      </c>
      <c r="F244" s="4"/>
      <c r="G244" s="7"/>
      <c r="H244" s="4">
        <v>1</v>
      </c>
      <c r="I244" s="7">
        <v>8.99</v>
      </c>
      <c r="J244" s="7"/>
    </row>
    <row r="245" spans="1:10">
      <c r="A245" s="4" t="s">
        <v>1051</v>
      </c>
      <c r="B245" s="4"/>
      <c r="C245" s="4" t="s">
        <v>1311</v>
      </c>
      <c r="D245" s="4" t="s">
        <v>1312</v>
      </c>
      <c r="E245" s="4" t="s">
        <v>1313</v>
      </c>
      <c r="F245" s="4"/>
      <c r="G245" s="7"/>
      <c r="H245" s="4">
        <v>1</v>
      </c>
      <c r="I245" s="7">
        <v>8.99</v>
      </c>
      <c r="J245" s="7"/>
    </row>
    <row r="246" spans="1:10" hidden="1">
      <c r="A246" s="4" t="s">
        <v>807</v>
      </c>
      <c r="B246" s="4" t="s">
        <v>811</v>
      </c>
      <c r="C246" s="4" t="s">
        <v>969</v>
      </c>
      <c r="D246" s="4" t="s">
        <v>1314</v>
      </c>
      <c r="E246" s="4" t="s">
        <v>971</v>
      </c>
      <c r="F246" s="4"/>
      <c r="G246" s="7"/>
      <c r="H246" s="4">
        <v>1</v>
      </c>
      <c r="I246" s="7">
        <v>8.99</v>
      </c>
      <c r="J246" s="7"/>
    </row>
    <row r="247" spans="1:10" hidden="1">
      <c r="A247" s="4" t="s">
        <v>807</v>
      </c>
      <c r="B247" s="4" t="s">
        <v>825</v>
      </c>
      <c r="C247" s="4">
        <v>29101779000</v>
      </c>
      <c r="D247" s="4" t="s">
        <v>1315</v>
      </c>
      <c r="E247" s="4" t="s">
        <v>1131</v>
      </c>
      <c r="F247" s="4"/>
      <c r="G247" s="7"/>
      <c r="H247" s="4">
        <v>1</v>
      </c>
      <c r="I247" s="7">
        <v>8.99</v>
      </c>
      <c r="J247" s="7"/>
    </row>
    <row r="248" spans="1:10" hidden="1">
      <c r="A248" s="4" t="s">
        <v>807</v>
      </c>
      <c r="B248" s="4" t="s">
        <v>811</v>
      </c>
      <c r="C248" s="4" t="s">
        <v>969</v>
      </c>
      <c r="D248" s="4" t="s">
        <v>1316</v>
      </c>
      <c r="E248" s="4" t="s">
        <v>971</v>
      </c>
      <c r="F248" s="4"/>
      <c r="G248" s="7"/>
      <c r="H248" s="4">
        <v>1</v>
      </c>
      <c r="I248" s="7">
        <v>8.99</v>
      </c>
      <c r="J248" s="7"/>
    </row>
    <row r="249" spans="1:10" hidden="1">
      <c r="A249" s="4" t="s">
        <v>807</v>
      </c>
      <c r="B249" s="4" t="s">
        <v>811</v>
      </c>
      <c r="C249" s="4" t="s">
        <v>969</v>
      </c>
      <c r="D249" s="4" t="s">
        <v>1317</v>
      </c>
      <c r="E249" s="4" t="s">
        <v>971</v>
      </c>
      <c r="F249" s="4"/>
      <c r="G249" s="7"/>
      <c r="H249" s="4">
        <v>1</v>
      </c>
      <c r="I249" s="7">
        <v>8.99</v>
      </c>
      <c r="J249" s="7"/>
    </row>
    <row r="250" spans="1:10" hidden="1">
      <c r="A250" s="4" t="s">
        <v>807</v>
      </c>
      <c r="B250" s="4" t="s">
        <v>811</v>
      </c>
      <c r="C250" s="4" t="s">
        <v>969</v>
      </c>
      <c r="D250" s="4" t="s">
        <v>1318</v>
      </c>
      <c r="E250" s="4" t="s">
        <v>971</v>
      </c>
      <c r="F250" s="4"/>
      <c r="G250" s="7"/>
      <c r="H250" s="4">
        <v>1</v>
      </c>
      <c r="I250" s="7">
        <v>8.99</v>
      </c>
      <c r="J250" s="7"/>
    </row>
    <row r="251" spans="1:10" hidden="1">
      <c r="A251" s="4" t="s">
        <v>807</v>
      </c>
      <c r="B251" s="4" t="s">
        <v>825</v>
      </c>
      <c r="C251" s="4">
        <v>29175008000</v>
      </c>
      <c r="D251" s="4" t="s">
        <v>1319</v>
      </c>
      <c r="E251" s="4" t="s">
        <v>1320</v>
      </c>
      <c r="F251" s="4"/>
      <c r="G251" s="7"/>
      <c r="H251" s="4">
        <v>1</v>
      </c>
      <c r="I251" s="7">
        <v>8.99</v>
      </c>
      <c r="J251" s="7"/>
    </row>
    <row r="252" spans="1:10" hidden="1">
      <c r="A252" s="4" t="s">
        <v>807</v>
      </c>
      <c r="B252" s="4" t="s">
        <v>825</v>
      </c>
      <c r="C252" s="4" t="s">
        <v>1321</v>
      </c>
      <c r="D252" s="4" t="s">
        <v>1322</v>
      </c>
      <c r="E252" s="4" t="s">
        <v>1287</v>
      </c>
      <c r="F252" s="4"/>
      <c r="G252" s="7"/>
      <c r="H252" s="4">
        <v>1</v>
      </c>
      <c r="I252" s="7">
        <v>8.99</v>
      </c>
      <c r="J252" s="7"/>
    </row>
    <row r="253" spans="1:10" hidden="1">
      <c r="A253" s="4" t="s">
        <v>807</v>
      </c>
      <c r="B253" s="4" t="s">
        <v>825</v>
      </c>
      <c r="C253" s="4" t="s">
        <v>1323</v>
      </c>
      <c r="D253" s="4" t="s">
        <v>1324</v>
      </c>
      <c r="E253" s="4" t="s">
        <v>1287</v>
      </c>
      <c r="F253" s="4"/>
      <c r="G253" s="7"/>
      <c r="H253" s="4">
        <v>1</v>
      </c>
      <c r="I253" s="7">
        <v>8.99</v>
      </c>
      <c r="J253" s="7"/>
    </row>
    <row r="254" spans="1:10" hidden="1">
      <c r="A254" s="4" t="s">
        <v>807</v>
      </c>
      <c r="B254" s="4" t="s">
        <v>811</v>
      </c>
      <c r="C254" s="4" t="s">
        <v>969</v>
      </c>
      <c r="D254" s="4" t="s">
        <v>1325</v>
      </c>
      <c r="E254" s="4" t="s">
        <v>971</v>
      </c>
      <c r="F254" s="4"/>
      <c r="G254" s="7"/>
      <c r="H254" s="4">
        <v>1</v>
      </c>
      <c r="I254" s="7">
        <v>8.99</v>
      </c>
      <c r="J254" s="7"/>
    </row>
    <row r="255" spans="1:10" hidden="1">
      <c r="A255" s="4" t="s">
        <v>807</v>
      </c>
      <c r="B255" s="4" t="s">
        <v>825</v>
      </c>
      <c r="C255" s="4">
        <v>99350168006</v>
      </c>
      <c r="D255" s="4" t="s">
        <v>1326</v>
      </c>
      <c r="E255" s="4" t="s">
        <v>1327</v>
      </c>
      <c r="F255" s="4"/>
      <c r="G255" s="7"/>
      <c r="H255" s="4">
        <v>1</v>
      </c>
      <c r="I255" s="7">
        <v>8.99</v>
      </c>
      <c r="J255" s="7"/>
    </row>
    <row r="256" spans="1:10" hidden="1">
      <c r="A256" s="4" t="s">
        <v>807</v>
      </c>
      <c r="B256" s="4" t="s">
        <v>825</v>
      </c>
      <c r="C256" s="4">
        <v>29185261000</v>
      </c>
      <c r="D256" s="4" t="s">
        <v>1328</v>
      </c>
      <c r="E256" s="4" t="s">
        <v>1329</v>
      </c>
      <c r="F256" s="4"/>
      <c r="G256" s="7"/>
      <c r="H256" s="4">
        <v>1</v>
      </c>
      <c r="I256" s="7">
        <v>8.99</v>
      </c>
      <c r="J256" s="7"/>
    </row>
    <row r="257" spans="1:10" hidden="1">
      <c r="A257" s="4" t="s">
        <v>807</v>
      </c>
      <c r="B257" s="4" t="s">
        <v>808</v>
      </c>
      <c r="C257" s="4" t="s">
        <v>1031</v>
      </c>
      <c r="D257" s="4" t="s">
        <v>1330</v>
      </c>
      <c r="E257" s="4" t="s">
        <v>1033</v>
      </c>
      <c r="F257" s="4"/>
      <c r="G257" s="7"/>
      <c r="H257" s="4">
        <v>1</v>
      </c>
      <c r="I257" s="7">
        <v>8.99</v>
      </c>
      <c r="J257" s="7"/>
    </row>
    <row r="258" spans="1:10" hidden="1">
      <c r="A258" s="4" t="s">
        <v>807</v>
      </c>
      <c r="B258" s="4" t="s">
        <v>825</v>
      </c>
      <c r="C258" s="4">
        <v>99350168006</v>
      </c>
      <c r="D258" s="4" t="s">
        <v>1331</v>
      </c>
      <c r="E258" s="4" t="s">
        <v>1327</v>
      </c>
      <c r="F258" s="4"/>
      <c r="G258" s="7"/>
      <c r="H258" s="4">
        <v>1</v>
      </c>
      <c r="I258" s="7">
        <v>8.99</v>
      </c>
      <c r="J258" s="7"/>
    </row>
    <row r="259" spans="1:10" hidden="1">
      <c r="A259" s="4" t="s">
        <v>807</v>
      </c>
      <c r="B259" s="4" t="s">
        <v>825</v>
      </c>
      <c r="C259" s="4">
        <v>99350124542</v>
      </c>
      <c r="D259" s="4" t="s">
        <v>1332</v>
      </c>
      <c r="E259" s="4" t="s">
        <v>1333</v>
      </c>
      <c r="F259" s="4"/>
      <c r="G259" s="7"/>
      <c r="H259" s="4">
        <v>1</v>
      </c>
      <c r="I259" s="7">
        <v>8.99</v>
      </c>
      <c r="J259" s="7"/>
    </row>
    <row r="260" spans="1:10" hidden="1">
      <c r="A260" s="4" t="s">
        <v>807</v>
      </c>
      <c r="B260" s="4" t="s">
        <v>825</v>
      </c>
      <c r="C260" s="4" t="s">
        <v>1334</v>
      </c>
      <c r="D260" s="4" t="s">
        <v>1335</v>
      </c>
      <c r="E260" s="4" t="s">
        <v>1287</v>
      </c>
      <c r="F260" s="4"/>
      <c r="G260" s="7"/>
      <c r="H260" s="4">
        <v>1</v>
      </c>
      <c r="I260" s="7">
        <v>8.99</v>
      </c>
      <c r="J260" s="7"/>
    </row>
    <row r="261" spans="1:10" hidden="1">
      <c r="A261" s="4" t="s">
        <v>807</v>
      </c>
      <c r="B261" s="4" t="s">
        <v>825</v>
      </c>
      <c r="C261" s="4">
        <v>29175008000</v>
      </c>
      <c r="D261" s="4" t="s">
        <v>1336</v>
      </c>
      <c r="E261" s="4" t="s">
        <v>1320</v>
      </c>
      <c r="F261" s="4"/>
      <c r="G261" s="7"/>
      <c r="H261" s="4">
        <v>1</v>
      </c>
      <c r="I261" s="7">
        <v>8.99</v>
      </c>
      <c r="J261" s="7"/>
    </row>
    <row r="262" spans="1:10" hidden="1">
      <c r="A262" s="4" t="s">
        <v>807</v>
      </c>
      <c r="B262" s="4" t="s">
        <v>825</v>
      </c>
      <c r="C262" s="4">
        <v>29166052000</v>
      </c>
      <c r="D262" s="4" t="s">
        <v>1337</v>
      </c>
      <c r="E262" s="4" t="s">
        <v>1338</v>
      </c>
      <c r="F262" s="4"/>
      <c r="G262" s="7"/>
      <c r="H262" s="4">
        <v>1</v>
      </c>
      <c r="I262" s="7">
        <v>8.99</v>
      </c>
      <c r="J262" s="7"/>
    </row>
    <row r="263" spans="1:10" hidden="1">
      <c r="A263" s="4" t="s">
        <v>807</v>
      </c>
      <c r="B263" s="4" t="s">
        <v>962</v>
      </c>
      <c r="C263" s="4" t="s">
        <v>1258</v>
      </c>
      <c r="D263" s="4" t="s">
        <v>1339</v>
      </c>
      <c r="E263" s="4" t="s">
        <v>1260</v>
      </c>
      <c r="F263" s="4"/>
      <c r="G263" s="7"/>
      <c r="H263" s="4">
        <v>1</v>
      </c>
      <c r="I263" s="7">
        <v>8.99</v>
      </c>
      <c r="J263" s="7"/>
    </row>
    <row r="264" spans="1:10" hidden="1">
      <c r="A264" s="4" t="s">
        <v>807</v>
      </c>
      <c r="B264" s="4" t="s">
        <v>825</v>
      </c>
      <c r="C264" s="4">
        <v>29166052000</v>
      </c>
      <c r="D264" s="4" t="s">
        <v>1340</v>
      </c>
      <c r="E264" s="4" t="s">
        <v>1338</v>
      </c>
      <c r="F264" s="4"/>
      <c r="G264" s="7"/>
      <c r="H264" s="4">
        <v>1</v>
      </c>
      <c r="I264" s="7">
        <v>8.99</v>
      </c>
      <c r="J264" s="7"/>
    </row>
    <row r="265" spans="1:10" hidden="1">
      <c r="A265" s="4" t="s">
        <v>807</v>
      </c>
      <c r="B265" s="4" t="s">
        <v>962</v>
      </c>
      <c r="C265" s="4" t="s">
        <v>1258</v>
      </c>
      <c r="D265" s="4" t="s">
        <v>1341</v>
      </c>
      <c r="E265" s="4" t="s">
        <v>1260</v>
      </c>
      <c r="F265" s="4"/>
      <c r="G265" s="7"/>
      <c r="H265" s="4">
        <v>1</v>
      </c>
      <c r="I265" s="7">
        <v>8.99</v>
      </c>
      <c r="J265" s="7"/>
    </row>
    <row r="266" spans="1:10" hidden="1">
      <c r="A266" s="4" t="s">
        <v>807</v>
      </c>
      <c r="B266" s="4" t="s">
        <v>825</v>
      </c>
      <c r="C266" s="4">
        <v>29166145000</v>
      </c>
      <c r="D266" s="4" t="s">
        <v>1342</v>
      </c>
      <c r="E266" s="4" t="s">
        <v>1343</v>
      </c>
      <c r="F266" s="4"/>
      <c r="G266" s="7"/>
      <c r="H266" s="4">
        <v>1</v>
      </c>
      <c r="I266" s="7">
        <v>8.99</v>
      </c>
      <c r="J266" s="7"/>
    </row>
    <row r="267" spans="1:10" hidden="1">
      <c r="A267" s="4" t="s">
        <v>807</v>
      </c>
      <c r="B267" s="4" t="s">
        <v>962</v>
      </c>
      <c r="C267" s="4" t="s">
        <v>1258</v>
      </c>
      <c r="D267" s="4" t="s">
        <v>1344</v>
      </c>
      <c r="E267" s="4" t="s">
        <v>1260</v>
      </c>
      <c r="F267" s="4"/>
      <c r="G267" s="7"/>
      <c r="H267" s="4">
        <v>1</v>
      </c>
      <c r="I267" s="7">
        <v>8.99</v>
      </c>
      <c r="J267" s="7"/>
    </row>
    <row r="268" spans="1:10" hidden="1">
      <c r="A268" s="4" t="s">
        <v>807</v>
      </c>
      <c r="B268" s="4" t="s">
        <v>825</v>
      </c>
      <c r="C268" s="4">
        <v>29101809000</v>
      </c>
      <c r="D268" s="4" t="s">
        <v>1345</v>
      </c>
      <c r="E268" s="4" t="s">
        <v>1346</v>
      </c>
      <c r="F268" s="4"/>
      <c r="G268" s="7"/>
      <c r="H268" s="4">
        <v>1</v>
      </c>
      <c r="I268" s="7">
        <v>8.99</v>
      </c>
      <c r="J268" s="7"/>
    </row>
    <row r="269" spans="1:10" hidden="1">
      <c r="A269" s="4" t="s">
        <v>807</v>
      </c>
      <c r="B269" s="4" t="s">
        <v>825</v>
      </c>
      <c r="C269" s="4">
        <v>29101774000</v>
      </c>
      <c r="D269" s="4" t="s">
        <v>1347</v>
      </c>
      <c r="E269" s="4" t="s">
        <v>1065</v>
      </c>
      <c r="F269" s="4"/>
      <c r="G269" s="7"/>
      <c r="H269" s="4">
        <v>1</v>
      </c>
      <c r="I269" s="7">
        <v>8.99</v>
      </c>
      <c r="J269" s="7"/>
    </row>
    <row r="270" spans="1:10" hidden="1">
      <c r="A270" s="4" t="s">
        <v>807</v>
      </c>
      <c r="B270" s="4" t="s">
        <v>825</v>
      </c>
      <c r="C270" s="4">
        <v>29155445000</v>
      </c>
      <c r="D270" s="4" t="s">
        <v>1348</v>
      </c>
      <c r="E270" s="4" t="s">
        <v>1349</v>
      </c>
      <c r="F270" s="4"/>
      <c r="G270" s="7"/>
      <c r="H270" s="4">
        <v>1</v>
      </c>
      <c r="I270" s="7">
        <v>8.99</v>
      </c>
      <c r="J270" s="7"/>
    </row>
    <row r="271" spans="1:10" hidden="1">
      <c r="A271" s="4" t="s">
        <v>807</v>
      </c>
      <c r="B271" s="4" t="s">
        <v>962</v>
      </c>
      <c r="C271" s="4" t="s">
        <v>1258</v>
      </c>
      <c r="D271" s="4" t="s">
        <v>1350</v>
      </c>
      <c r="E271" s="4" t="s">
        <v>1260</v>
      </c>
      <c r="F271" s="4"/>
      <c r="G271" s="7"/>
      <c r="H271" s="4">
        <v>1</v>
      </c>
      <c r="I271" s="7">
        <v>8.99</v>
      </c>
      <c r="J271" s="7"/>
    </row>
    <row r="272" spans="1:10" hidden="1">
      <c r="A272" s="4" t="s">
        <v>807</v>
      </c>
      <c r="B272" s="4" t="s">
        <v>825</v>
      </c>
      <c r="C272" s="4">
        <v>29101798000</v>
      </c>
      <c r="D272" s="4" t="s">
        <v>1351</v>
      </c>
      <c r="E272" s="4" t="s">
        <v>1056</v>
      </c>
      <c r="F272" s="4"/>
      <c r="G272" s="7"/>
      <c r="H272" s="4">
        <v>1</v>
      </c>
      <c r="I272" s="7">
        <v>8.99</v>
      </c>
      <c r="J272" s="7"/>
    </row>
    <row r="273" spans="1:10" hidden="1">
      <c r="A273" s="4" t="s">
        <v>807</v>
      </c>
      <c r="B273" s="4" t="s">
        <v>825</v>
      </c>
      <c r="C273" s="4">
        <v>99350168006</v>
      </c>
      <c r="D273" s="4" t="s">
        <v>1352</v>
      </c>
      <c r="E273" s="4" t="s">
        <v>1327</v>
      </c>
      <c r="F273" s="4"/>
      <c r="G273" s="7"/>
      <c r="H273" s="4">
        <v>1</v>
      </c>
      <c r="I273" s="7">
        <v>8.99</v>
      </c>
      <c r="J273" s="7"/>
    </row>
    <row r="274" spans="1:10" hidden="1">
      <c r="A274" s="4" t="s">
        <v>807</v>
      </c>
      <c r="B274" s="4" t="s">
        <v>825</v>
      </c>
      <c r="C274" s="4">
        <v>29101258000</v>
      </c>
      <c r="D274" s="4" t="s">
        <v>1353</v>
      </c>
      <c r="E274" s="4" t="s">
        <v>1354</v>
      </c>
      <c r="F274" s="4"/>
      <c r="G274" s="7"/>
      <c r="H274" s="4">
        <v>1</v>
      </c>
      <c r="I274" s="7">
        <v>8.99</v>
      </c>
      <c r="J274" s="7"/>
    </row>
    <row r="275" spans="1:10" hidden="1">
      <c r="A275" s="4" t="s">
        <v>815</v>
      </c>
      <c r="B275" s="4" t="s">
        <v>816</v>
      </c>
      <c r="C275" s="4" t="s">
        <v>1355</v>
      </c>
      <c r="D275" s="4" t="s">
        <v>1356</v>
      </c>
      <c r="E275" s="4" t="s">
        <v>1357</v>
      </c>
      <c r="F275" s="4"/>
      <c r="G275" s="7"/>
      <c r="H275" s="4">
        <v>1</v>
      </c>
      <c r="I275" s="7">
        <v>8.99</v>
      </c>
      <c r="J275" s="7"/>
    </row>
    <row r="276" spans="1:10" hidden="1">
      <c r="A276" s="4" t="s">
        <v>915</v>
      </c>
      <c r="B276" s="4"/>
      <c r="C276" s="4">
        <v>54006347</v>
      </c>
      <c r="D276" s="4" t="s">
        <v>1358</v>
      </c>
      <c r="E276" s="4" t="s">
        <v>1359</v>
      </c>
      <c r="F276" s="4"/>
      <c r="G276" s="7"/>
      <c r="H276" s="4">
        <v>1</v>
      </c>
      <c r="I276" s="7">
        <v>8.99</v>
      </c>
      <c r="J276" s="7"/>
    </row>
    <row r="277" spans="1:10" hidden="1">
      <c r="A277" s="4" t="s">
        <v>807</v>
      </c>
      <c r="B277" s="4" t="s">
        <v>808</v>
      </c>
      <c r="C277" s="4" t="s">
        <v>1360</v>
      </c>
      <c r="D277" s="4" t="s">
        <v>1361</v>
      </c>
      <c r="E277" s="4" t="s">
        <v>1362</v>
      </c>
      <c r="F277" s="4"/>
      <c r="G277" s="7"/>
      <c r="H277" s="4">
        <v>1</v>
      </c>
      <c r="I277" s="7">
        <v>8.99</v>
      </c>
      <c r="J277" s="7"/>
    </row>
    <row r="278" spans="1:10" hidden="1">
      <c r="A278" s="4" t="s">
        <v>807</v>
      </c>
      <c r="B278" s="4" t="s">
        <v>825</v>
      </c>
      <c r="C278" s="4">
        <v>29185263000</v>
      </c>
      <c r="D278" s="4" t="s">
        <v>1363</v>
      </c>
      <c r="E278" s="4" t="s">
        <v>1364</v>
      </c>
      <c r="F278" s="4"/>
      <c r="G278" s="7"/>
      <c r="H278" s="4">
        <v>1</v>
      </c>
      <c r="I278" s="7">
        <v>8.99</v>
      </c>
      <c r="J278" s="7"/>
    </row>
    <row r="279" spans="1:10" hidden="1">
      <c r="A279" s="4" t="s">
        <v>807</v>
      </c>
      <c r="B279" s="4" t="s">
        <v>825</v>
      </c>
      <c r="C279" s="4" t="s">
        <v>1365</v>
      </c>
      <c r="D279" s="4" t="s">
        <v>1366</v>
      </c>
      <c r="E279" s="4" t="s">
        <v>1367</v>
      </c>
      <c r="F279" s="4"/>
      <c r="G279" s="7"/>
      <c r="H279" s="4">
        <v>1</v>
      </c>
      <c r="I279" s="7">
        <v>8.99</v>
      </c>
      <c r="J279" s="7"/>
    </row>
    <row r="280" spans="1:10" hidden="1">
      <c r="A280" s="4" t="s">
        <v>807</v>
      </c>
      <c r="B280" s="4" t="s">
        <v>811</v>
      </c>
      <c r="C280" s="4" t="s">
        <v>1368</v>
      </c>
      <c r="D280" s="4" t="s">
        <v>1369</v>
      </c>
      <c r="E280" s="4" t="s">
        <v>1370</v>
      </c>
      <c r="F280" s="4"/>
      <c r="G280" s="7"/>
      <c r="H280" s="4">
        <v>1</v>
      </c>
      <c r="I280" s="7">
        <v>8.99</v>
      </c>
      <c r="J280" s="7"/>
    </row>
    <row r="281" spans="1:10" hidden="1">
      <c r="A281" s="4" t="s">
        <v>915</v>
      </c>
      <c r="B281" s="4" t="s">
        <v>915</v>
      </c>
      <c r="C281" s="4" t="s">
        <v>1371</v>
      </c>
      <c r="D281" s="4" t="s">
        <v>1372</v>
      </c>
      <c r="E281" s="4" t="s">
        <v>1373</v>
      </c>
      <c r="F281" s="4"/>
      <c r="G281" s="7"/>
      <c r="H281" s="4">
        <v>1</v>
      </c>
      <c r="I281" s="7">
        <v>8.99</v>
      </c>
      <c r="J281" s="7"/>
    </row>
    <row r="282" spans="1:10" hidden="1">
      <c r="A282" s="4" t="s">
        <v>807</v>
      </c>
      <c r="B282" s="4" t="s">
        <v>825</v>
      </c>
      <c r="C282" s="4">
        <v>29175008000</v>
      </c>
      <c r="D282" s="4" t="s">
        <v>1374</v>
      </c>
      <c r="E282" s="4" t="s">
        <v>1320</v>
      </c>
      <c r="F282" s="4"/>
      <c r="G282" s="7"/>
      <c r="H282" s="4">
        <v>1</v>
      </c>
      <c r="I282" s="7">
        <v>8.99</v>
      </c>
      <c r="J282" s="7"/>
    </row>
    <row r="283" spans="1:10" hidden="1">
      <c r="A283" s="4" t="s">
        <v>807</v>
      </c>
      <c r="B283" s="4" t="s">
        <v>808</v>
      </c>
      <c r="C283" s="4" t="s">
        <v>1375</v>
      </c>
      <c r="D283" s="4" t="s">
        <v>1376</v>
      </c>
      <c r="E283" s="4" t="s">
        <v>1377</v>
      </c>
      <c r="F283" s="4"/>
      <c r="G283" s="7"/>
      <c r="H283" s="4">
        <v>1</v>
      </c>
      <c r="I283" s="7">
        <v>8.99</v>
      </c>
      <c r="J283" s="7"/>
    </row>
    <row r="284" spans="1:10" hidden="1">
      <c r="A284" s="4" t="s">
        <v>807</v>
      </c>
      <c r="B284" s="4" t="s">
        <v>811</v>
      </c>
      <c r="C284" s="4" t="s">
        <v>1378</v>
      </c>
      <c r="D284" s="4" t="s">
        <v>1379</v>
      </c>
      <c r="E284" s="4" t="s">
        <v>1380</v>
      </c>
      <c r="F284" s="4"/>
      <c r="G284" s="7"/>
      <c r="H284" s="4">
        <v>1</v>
      </c>
      <c r="I284" s="7">
        <v>8.99</v>
      </c>
      <c r="J284" s="7"/>
    </row>
    <row r="285" spans="1:10">
      <c r="A285" s="4" t="s">
        <v>1051</v>
      </c>
      <c r="B285" s="4"/>
      <c r="C285" s="4" t="s">
        <v>1381</v>
      </c>
      <c r="D285" s="4" t="s">
        <v>1382</v>
      </c>
      <c r="E285" s="4" t="s">
        <v>885</v>
      </c>
      <c r="F285" s="4"/>
      <c r="G285" s="7"/>
      <c r="H285" s="4">
        <v>1</v>
      </c>
      <c r="I285" s="7">
        <v>8.99</v>
      </c>
      <c r="J285" s="7"/>
    </row>
    <row r="286" spans="1:10" hidden="1">
      <c r="A286" s="4" t="s">
        <v>807</v>
      </c>
      <c r="B286" s="4" t="s">
        <v>811</v>
      </c>
      <c r="C286" s="4" t="s">
        <v>1383</v>
      </c>
      <c r="D286" s="4" t="s">
        <v>1384</v>
      </c>
      <c r="E286" s="4" t="s">
        <v>1385</v>
      </c>
      <c r="F286" s="4"/>
      <c r="G286" s="7"/>
      <c r="H286" s="4">
        <v>1</v>
      </c>
      <c r="I286" s="7">
        <v>8.99</v>
      </c>
      <c r="J286" s="7"/>
    </row>
    <row r="287" spans="1:10" hidden="1">
      <c r="A287" s="4" t="s">
        <v>807</v>
      </c>
      <c r="B287" s="4" t="s">
        <v>811</v>
      </c>
      <c r="C287" s="4" t="s">
        <v>1386</v>
      </c>
      <c r="D287" s="4" t="s">
        <v>1387</v>
      </c>
      <c r="E287" s="4" t="s">
        <v>1388</v>
      </c>
      <c r="F287" s="4"/>
      <c r="G287" s="7"/>
      <c r="H287" s="4">
        <v>1</v>
      </c>
      <c r="I287" s="7">
        <v>8.99</v>
      </c>
      <c r="J287" s="7"/>
    </row>
    <row r="288" spans="1:10" hidden="1">
      <c r="A288" s="4" t="s">
        <v>807</v>
      </c>
      <c r="B288" s="4" t="s">
        <v>808</v>
      </c>
      <c r="C288" s="4" t="s">
        <v>1389</v>
      </c>
      <c r="D288" s="4" t="s">
        <v>1390</v>
      </c>
      <c r="E288" s="4" t="s">
        <v>1391</v>
      </c>
      <c r="F288" s="4"/>
      <c r="G288" s="7"/>
      <c r="H288" s="4">
        <v>1</v>
      </c>
      <c r="I288" s="7">
        <v>8.99</v>
      </c>
      <c r="J288" s="7"/>
    </row>
    <row r="289" spans="1:10" hidden="1">
      <c r="A289" s="4" t="s">
        <v>807</v>
      </c>
      <c r="B289" s="4" t="s">
        <v>808</v>
      </c>
      <c r="C289" s="4" t="s">
        <v>1392</v>
      </c>
      <c r="D289" s="4" t="s">
        <v>1393</v>
      </c>
      <c r="E289" s="4" t="s">
        <v>1394</v>
      </c>
      <c r="F289" s="4"/>
      <c r="G289" s="7"/>
      <c r="H289" s="4">
        <v>1</v>
      </c>
      <c r="I289" s="7">
        <v>8.99</v>
      </c>
      <c r="J289" s="7"/>
    </row>
    <row r="290" spans="1:10" hidden="1">
      <c r="A290" s="4" t="s">
        <v>807</v>
      </c>
      <c r="B290" s="4" t="s">
        <v>808</v>
      </c>
      <c r="C290" s="4" t="s">
        <v>1395</v>
      </c>
      <c r="D290" s="4" t="s">
        <v>1396</v>
      </c>
      <c r="E290" s="4" t="s">
        <v>1397</v>
      </c>
      <c r="F290" s="4"/>
      <c r="G290" s="7"/>
      <c r="H290" s="4">
        <v>1</v>
      </c>
      <c r="I290" s="7">
        <v>8.99</v>
      </c>
      <c r="J290" s="7"/>
    </row>
    <row r="291" spans="1:10" hidden="1">
      <c r="A291" s="4" t="s">
        <v>807</v>
      </c>
      <c r="B291" s="4" t="s">
        <v>811</v>
      </c>
      <c r="C291" s="4" t="s">
        <v>1398</v>
      </c>
      <c r="D291" s="4" t="s">
        <v>1399</v>
      </c>
      <c r="E291" s="4" t="s">
        <v>1400</v>
      </c>
      <c r="F291" s="4"/>
      <c r="G291" s="7"/>
      <c r="H291" s="4">
        <v>1</v>
      </c>
      <c r="I291" s="7">
        <v>8.99</v>
      </c>
      <c r="J291" s="7"/>
    </row>
    <row r="292" spans="1:10" hidden="1">
      <c r="A292" s="4" t="s">
        <v>807</v>
      </c>
      <c r="B292" s="4" t="s">
        <v>945</v>
      </c>
      <c r="C292" s="4" t="s">
        <v>1401</v>
      </c>
      <c r="D292" s="4" t="s">
        <v>1402</v>
      </c>
      <c r="E292" s="4" t="s">
        <v>1403</v>
      </c>
      <c r="F292" s="4"/>
      <c r="G292" s="7"/>
      <c r="H292" s="4">
        <v>1</v>
      </c>
      <c r="I292" s="7">
        <v>8.99</v>
      </c>
      <c r="J292" s="7"/>
    </row>
    <row r="293" spans="1:10" hidden="1">
      <c r="A293" s="4" t="s">
        <v>807</v>
      </c>
      <c r="B293" s="4" t="s">
        <v>811</v>
      </c>
      <c r="C293" s="4" t="s">
        <v>1404</v>
      </c>
      <c r="D293" s="4" t="s">
        <v>1405</v>
      </c>
      <c r="E293" s="4" t="s">
        <v>1406</v>
      </c>
      <c r="F293" s="4"/>
      <c r="G293" s="7"/>
      <c r="H293" s="4">
        <v>1</v>
      </c>
      <c r="I293" s="7">
        <v>8.99</v>
      </c>
      <c r="J293" s="7"/>
    </row>
    <row r="294" spans="1:10" hidden="1">
      <c r="A294" s="4" t="s">
        <v>807</v>
      </c>
      <c r="B294" s="4" t="s">
        <v>825</v>
      </c>
      <c r="C294" s="4">
        <v>29101779000</v>
      </c>
      <c r="D294" s="4" t="s">
        <v>1407</v>
      </c>
      <c r="E294" s="4" t="s">
        <v>1131</v>
      </c>
      <c r="F294" s="4"/>
      <c r="G294" s="7"/>
      <c r="H294" s="4">
        <v>1</v>
      </c>
      <c r="I294" s="7">
        <v>8.99</v>
      </c>
      <c r="J294" s="7"/>
    </row>
    <row r="295" spans="1:10" hidden="1">
      <c r="A295" s="4" t="s">
        <v>807</v>
      </c>
      <c r="B295" s="4" t="s">
        <v>825</v>
      </c>
      <c r="C295" s="4" t="s">
        <v>1408</v>
      </c>
      <c r="D295" s="4" t="s">
        <v>1409</v>
      </c>
      <c r="E295" s="4" t="s">
        <v>1410</v>
      </c>
      <c r="F295" s="4"/>
      <c r="G295" s="7"/>
      <c r="H295" s="4">
        <v>1</v>
      </c>
      <c r="I295" s="7">
        <v>8.99</v>
      </c>
      <c r="J295" s="7"/>
    </row>
    <row r="296" spans="1:10" hidden="1">
      <c r="A296" s="4" t="s">
        <v>807</v>
      </c>
      <c r="B296" s="4" t="s">
        <v>811</v>
      </c>
      <c r="C296" s="4" t="s">
        <v>1404</v>
      </c>
      <c r="D296" s="4" t="s">
        <v>1411</v>
      </c>
      <c r="E296" s="4" t="s">
        <v>1406</v>
      </c>
      <c r="F296" s="4"/>
      <c r="G296" s="7"/>
      <c r="H296" s="4">
        <v>1</v>
      </c>
      <c r="I296" s="7">
        <v>8.99</v>
      </c>
      <c r="J296" s="7"/>
    </row>
    <row r="297" spans="1:10" hidden="1">
      <c r="A297" s="4" t="s">
        <v>807</v>
      </c>
      <c r="B297" s="4" t="s">
        <v>811</v>
      </c>
      <c r="C297" s="4" t="s">
        <v>1412</v>
      </c>
      <c r="D297" s="4" t="s">
        <v>1413</v>
      </c>
      <c r="E297" s="4" t="s">
        <v>1414</v>
      </c>
      <c r="F297" s="4"/>
      <c r="G297" s="7"/>
      <c r="H297" s="4">
        <v>1</v>
      </c>
      <c r="I297" s="7">
        <v>8.99</v>
      </c>
      <c r="J297" s="7"/>
    </row>
    <row r="298" spans="1:10" hidden="1">
      <c r="A298" s="4" t="s">
        <v>807</v>
      </c>
      <c r="B298" s="4" t="s">
        <v>808</v>
      </c>
      <c r="C298" s="4" t="s">
        <v>1415</v>
      </c>
      <c r="D298" s="4" t="s">
        <v>1416</v>
      </c>
      <c r="E298" s="4" t="s">
        <v>1417</v>
      </c>
      <c r="F298" s="4"/>
      <c r="G298" s="7"/>
      <c r="H298" s="4">
        <v>1</v>
      </c>
      <c r="I298" s="7">
        <v>8.99</v>
      </c>
      <c r="J298" s="7"/>
    </row>
    <row r="299" spans="1:10" hidden="1">
      <c r="A299" s="4" t="s">
        <v>807</v>
      </c>
      <c r="B299" s="4" t="s">
        <v>808</v>
      </c>
      <c r="C299" s="4" t="s">
        <v>1418</v>
      </c>
      <c r="D299" s="4" t="s">
        <v>1419</v>
      </c>
      <c r="E299" s="4" t="s">
        <v>1420</v>
      </c>
      <c r="F299" s="4"/>
      <c r="G299" s="7"/>
      <c r="H299" s="4">
        <v>1</v>
      </c>
      <c r="I299" s="7">
        <v>8.99</v>
      </c>
      <c r="J299" s="7"/>
    </row>
    <row r="300" spans="1:10" hidden="1">
      <c r="A300" s="4" t="s">
        <v>807</v>
      </c>
      <c r="B300" s="4" t="s">
        <v>825</v>
      </c>
      <c r="C300" s="4">
        <v>29185261000</v>
      </c>
      <c r="D300" s="4" t="s">
        <v>1421</v>
      </c>
      <c r="E300" s="4" t="s">
        <v>1329</v>
      </c>
      <c r="F300" s="4"/>
      <c r="G300" s="7"/>
      <c r="H300" s="4">
        <v>1</v>
      </c>
      <c r="I300" s="7">
        <v>8.99</v>
      </c>
      <c r="J300" s="7"/>
    </row>
    <row r="301" spans="1:10" hidden="1">
      <c r="A301" s="4" t="s">
        <v>807</v>
      </c>
      <c r="B301" s="4" t="s">
        <v>811</v>
      </c>
      <c r="C301" s="4" t="s">
        <v>1422</v>
      </c>
      <c r="D301" s="4" t="s">
        <v>1423</v>
      </c>
      <c r="E301" s="4" t="s">
        <v>1424</v>
      </c>
      <c r="F301" s="4"/>
      <c r="G301" s="7"/>
      <c r="H301" s="4">
        <v>1</v>
      </c>
      <c r="I301" s="7">
        <v>8.99</v>
      </c>
      <c r="J301" s="7"/>
    </row>
    <row r="302" spans="1:10" hidden="1">
      <c r="A302" s="4" t="s">
        <v>807</v>
      </c>
      <c r="B302" s="4" t="s">
        <v>808</v>
      </c>
      <c r="C302" s="4" t="s">
        <v>1121</v>
      </c>
      <c r="D302" s="4" t="s">
        <v>1425</v>
      </c>
      <c r="E302" s="4" t="s">
        <v>1123</v>
      </c>
      <c r="F302" s="4"/>
      <c r="G302" s="7"/>
      <c r="H302" s="4">
        <v>1</v>
      </c>
      <c r="I302" s="7">
        <v>8.99</v>
      </c>
      <c r="J302" s="7"/>
    </row>
    <row r="303" spans="1:10" hidden="1">
      <c r="A303" s="4" t="s">
        <v>807</v>
      </c>
      <c r="B303" s="4" t="s">
        <v>811</v>
      </c>
      <c r="C303" s="4" t="s">
        <v>1426</v>
      </c>
      <c r="D303" s="4" t="s">
        <v>1427</v>
      </c>
      <c r="E303" s="4" t="s">
        <v>1428</v>
      </c>
      <c r="F303" s="4"/>
      <c r="G303" s="7"/>
      <c r="H303" s="4">
        <v>1</v>
      </c>
      <c r="I303" s="7">
        <v>8.99</v>
      </c>
      <c r="J303" s="7"/>
    </row>
    <row r="304" spans="1:10" hidden="1">
      <c r="A304" s="4" t="s">
        <v>807</v>
      </c>
      <c r="B304" s="4" t="s">
        <v>825</v>
      </c>
      <c r="C304" s="4">
        <v>29185263000</v>
      </c>
      <c r="D304" s="4" t="s">
        <v>1429</v>
      </c>
      <c r="E304" s="4" t="s">
        <v>1364</v>
      </c>
      <c r="F304" s="4"/>
      <c r="G304" s="7"/>
      <c r="H304" s="4">
        <v>1</v>
      </c>
      <c r="I304" s="7">
        <v>8.99</v>
      </c>
      <c r="J304" s="7"/>
    </row>
    <row r="305" spans="1:10" hidden="1">
      <c r="A305" s="4" t="s">
        <v>807</v>
      </c>
      <c r="B305" s="4" t="s">
        <v>1430</v>
      </c>
      <c r="C305" s="4" t="s">
        <v>1431</v>
      </c>
      <c r="D305" s="4" t="s">
        <v>1432</v>
      </c>
      <c r="E305" s="4" t="s">
        <v>1433</v>
      </c>
      <c r="F305" s="4"/>
      <c r="G305" s="7"/>
      <c r="H305" s="4">
        <v>1</v>
      </c>
      <c r="I305" s="7">
        <v>8.99</v>
      </c>
      <c r="J305" s="7"/>
    </row>
    <row r="306" spans="1:10" hidden="1">
      <c r="A306" s="4" t="s">
        <v>807</v>
      </c>
      <c r="B306" s="4" t="s">
        <v>811</v>
      </c>
      <c r="C306" s="4" t="s">
        <v>1143</v>
      </c>
      <c r="D306" s="4" t="s">
        <v>1434</v>
      </c>
      <c r="E306" s="4" t="s">
        <v>1145</v>
      </c>
      <c r="F306" s="4"/>
      <c r="G306" s="7"/>
      <c r="H306" s="4">
        <v>1</v>
      </c>
      <c r="I306" s="7">
        <v>8.99</v>
      </c>
      <c r="J306" s="7"/>
    </row>
    <row r="307" spans="1:10" hidden="1">
      <c r="A307" s="4" t="s">
        <v>807</v>
      </c>
      <c r="B307" s="4" t="s">
        <v>825</v>
      </c>
      <c r="C307" s="4">
        <v>29185263000</v>
      </c>
      <c r="D307" s="4" t="s">
        <v>1435</v>
      </c>
      <c r="E307" s="4" t="s">
        <v>1364</v>
      </c>
      <c r="F307" s="4"/>
      <c r="G307" s="7"/>
      <c r="H307" s="4">
        <v>1</v>
      </c>
      <c r="I307" s="7">
        <v>8.99</v>
      </c>
      <c r="J307" s="7"/>
    </row>
    <row r="308" spans="1:10" hidden="1">
      <c r="A308" s="4" t="s">
        <v>807</v>
      </c>
      <c r="B308" s="4" t="s">
        <v>811</v>
      </c>
      <c r="C308" s="4" t="s">
        <v>1436</v>
      </c>
      <c r="D308" s="4" t="s">
        <v>1437</v>
      </c>
      <c r="E308" s="4" t="s">
        <v>1438</v>
      </c>
      <c r="F308" s="4"/>
      <c r="G308" s="7"/>
      <c r="H308" s="4">
        <v>1</v>
      </c>
      <c r="I308" s="7">
        <v>8.99</v>
      </c>
      <c r="J308" s="7"/>
    </row>
    <row r="309" spans="1:10" hidden="1">
      <c r="A309" s="4" t="s">
        <v>807</v>
      </c>
      <c r="B309" s="4" t="s">
        <v>808</v>
      </c>
      <c r="C309" s="4" t="s">
        <v>1439</v>
      </c>
      <c r="D309" s="4" t="s">
        <v>1440</v>
      </c>
      <c r="E309" s="4" t="s">
        <v>1441</v>
      </c>
      <c r="F309" s="4"/>
      <c r="G309" s="7"/>
      <c r="H309" s="4">
        <v>1</v>
      </c>
      <c r="I309" s="7">
        <v>8.99</v>
      </c>
      <c r="J309" s="7"/>
    </row>
    <row r="310" spans="1:10" hidden="1">
      <c r="A310" s="4" t="s">
        <v>807</v>
      </c>
      <c r="B310" s="4" t="s">
        <v>1016</v>
      </c>
      <c r="C310" s="4" t="s">
        <v>1442</v>
      </c>
      <c r="D310" s="4" t="s">
        <v>1443</v>
      </c>
      <c r="E310" s="4" t="s">
        <v>1444</v>
      </c>
      <c r="F310" s="4"/>
      <c r="G310" s="7"/>
      <c r="H310" s="4">
        <v>1</v>
      </c>
      <c r="I310" s="7">
        <v>8.99</v>
      </c>
      <c r="J310" s="7"/>
    </row>
    <row r="311" spans="1:10" hidden="1">
      <c r="A311" s="4" t="s">
        <v>807</v>
      </c>
      <c r="B311" s="4" t="s">
        <v>808</v>
      </c>
      <c r="C311" s="4" t="s">
        <v>1445</v>
      </c>
      <c r="D311" s="4" t="s">
        <v>1446</v>
      </c>
      <c r="E311" s="4" t="s">
        <v>1447</v>
      </c>
      <c r="F311" s="4"/>
      <c r="G311" s="7"/>
      <c r="H311" s="4">
        <v>1</v>
      </c>
      <c r="I311" s="7">
        <v>8.99</v>
      </c>
      <c r="J311" s="7"/>
    </row>
    <row r="312" spans="1:10" hidden="1">
      <c r="A312" s="4" t="s">
        <v>807</v>
      </c>
      <c r="B312" s="4" t="s">
        <v>825</v>
      </c>
      <c r="C312" s="4">
        <v>29101798000</v>
      </c>
      <c r="D312" s="4" t="s">
        <v>1448</v>
      </c>
      <c r="E312" s="4" t="s">
        <v>1056</v>
      </c>
      <c r="F312" s="4"/>
      <c r="G312" s="7"/>
      <c r="H312" s="4">
        <v>1</v>
      </c>
      <c r="I312" s="7">
        <v>8.99</v>
      </c>
      <c r="J312" s="7"/>
    </row>
    <row r="313" spans="1:10" hidden="1">
      <c r="A313" s="4" t="s">
        <v>807</v>
      </c>
      <c r="B313" s="4" t="s">
        <v>811</v>
      </c>
      <c r="C313" s="4" t="s">
        <v>1449</v>
      </c>
      <c r="D313" s="4" t="s">
        <v>1450</v>
      </c>
      <c r="E313" s="4" t="s">
        <v>1451</v>
      </c>
      <c r="F313" s="4"/>
      <c r="G313" s="7"/>
      <c r="H313" s="4">
        <v>1</v>
      </c>
      <c r="I313" s="7">
        <v>8.99</v>
      </c>
      <c r="J313" s="7"/>
    </row>
    <row r="314" spans="1:10" hidden="1">
      <c r="A314" s="4" t="s">
        <v>807</v>
      </c>
      <c r="B314" s="4" t="s">
        <v>808</v>
      </c>
      <c r="C314" s="4" t="s">
        <v>1452</v>
      </c>
      <c r="D314" s="4" t="s">
        <v>1453</v>
      </c>
      <c r="E314" s="4" t="s">
        <v>1454</v>
      </c>
      <c r="F314" s="4"/>
      <c r="G314" s="7"/>
      <c r="H314" s="4">
        <v>1</v>
      </c>
      <c r="I314" s="7">
        <v>8.99</v>
      </c>
      <c r="J314" s="7"/>
    </row>
    <row r="315" spans="1:10" hidden="1">
      <c r="A315" s="4" t="s">
        <v>807</v>
      </c>
      <c r="B315" s="4"/>
      <c r="C315" s="4" t="s">
        <v>1455</v>
      </c>
      <c r="D315" s="4" t="s">
        <v>1456</v>
      </c>
      <c r="E315" s="4" t="s">
        <v>1457</v>
      </c>
      <c r="F315" s="4"/>
      <c r="G315" s="7"/>
      <c r="H315" s="4">
        <v>1</v>
      </c>
      <c r="I315" s="7">
        <v>8.99</v>
      </c>
      <c r="J315" s="7"/>
    </row>
    <row r="316" spans="1:10" hidden="1">
      <c r="A316" s="4" t="s">
        <v>807</v>
      </c>
      <c r="B316" s="4" t="s">
        <v>808</v>
      </c>
      <c r="C316" s="4" t="s">
        <v>1458</v>
      </c>
      <c r="D316" s="4" t="s">
        <v>1459</v>
      </c>
      <c r="E316" s="4" t="s">
        <v>1460</v>
      </c>
      <c r="F316" s="4"/>
      <c r="G316" s="7"/>
      <c r="H316" s="4">
        <v>1</v>
      </c>
      <c r="I316" s="7">
        <v>8.99</v>
      </c>
      <c r="J316" s="7"/>
    </row>
    <row r="317" spans="1:10" hidden="1">
      <c r="A317" s="4" t="s">
        <v>815</v>
      </c>
      <c r="B317" s="4" t="s">
        <v>1020</v>
      </c>
      <c r="C317" s="4" t="s">
        <v>1461</v>
      </c>
      <c r="D317" s="4" t="s">
        <v>1462</v>
      </c>
      <c r="E317" s="4" t="s">
        <v>1463</v>
      </c>
      <c r="F317" s="4"/>
      <c r="G317" s="7"/>
      <c r="H317" s="4">
        <v>1</v>
      </c>
      <c r="I317" s="7">
        <v>8.99</v>
      </c>
      <c r="J317" s="7"/>
    </row>
    <row r="318" spans="1:10" hidden="1">
      <c r="A318" s="4" t="s">
        <v>807</v>
      </c>
      <c r="B318" s="4" t="s">
        <v>962</v>
      </c>
      <c r="C318" s="4" t="s">
        <v>1147</v>
      </c>
      <c r="D318" s="4" t="s">
        <v>1464</v>
      </c>
      <c r="E318" s="4" t="s">
        <v>1149</v>
      </c>
      <c r="F318" s="4"/>
      <c r="G318" s="7"/>
      <c r="H318" s="4">
        <v>1</v>
      </c>
      <c r="I318" s="7">
        <v>8.99</v>
      </c>
      <c r="J318" s="7"/>
    </row>
    <row r="319" spans="1:10" hidden="1">
      <c r="A319" s="4" t="s">
        <v>807</v>
      </c>
      <c r="B319" s="4" t="s">
        <v>825</v>
      </c>
      <c r="C319" s="4">
        <v>29185263000</v>
      </c>
      <c r="D319" s="4" t="s">
        <v>1465</v>
      </c>
      <c r="E319" s="4" t="s">
        <v>1364</v>
      </c>
      <c r="F319" s="4"/>
      <c r="G319" s="7"/>
      <c r="H319" s="4">
        <v>1</v>
      </c>
      <c r="I319" s="7">
        <v>8.99</v>
      </c>
      <c r="J319" s="7"/>
    </row>
    <row r="320" spans="1:10" hidden="1">
      <c r="A320" s="4" t="s">
        <v>807</v>
      </c>
      <c r="B320" s="4" t="s">
        <v>825</v>
      </c>
      <c r="C320" s="4" t="s">
        <v>1466</v>
      </c>
      <c r="D320" s="4" t="s">
        <v>1467</v>
      </c>
      <c r="E320" s="4" t="s">
        <v>1468</v>
      </c>
      <c r="F320" s="4"/>
      <c r="G320" s="7"/>
      <c r="H320" s="4">
        <v>1</v>
      </c>
      <c r="I320" s="7">
        <v>8.99</v>
      </c>
      <c r="J320" s="7"/>
    </row>
    <row r="321" spans="1:10" hidden="1">
      <c r="A321" s="4" t="s">
        <v>807</v>
      </c>
      <c r="B321" s="4" t="s">
        <v>962</v>
      </c>
      <c r="C321" s="4" t="s">
        <v>1147</v>
      </c>
      <c r="D321" s="4" t="s">
        <v>1469</v>
      </c>
      <c r="E321" s="4" t="s">
        <v>1149</v>
      </c>
      <c r="F321" s="4"/>
      <c r="G321" s="7"/>
      <c r="H321" s="4">
        <v>1</v>
      </c>
      <c r="I321" s="7">
        <v>8.99</v>
      </c>
      <c r="J321" s="7"/>
    </row>
    <row r="322" spans="1:10" hidden="1">
      <c r="A322" s="4" t="s">
        <v>807</v>
      </c>
      <c r="B322" s="4" t="s">
        <v>808</v>
      </c>
      <c r="C322" s="4" t="s">
        <v>1439</v>
      </c>
      <c r="D322" s="4" t="s">
        <v>1470</v>
      </c>
      <c r="E322" s="4" t="s">
        <v>1441</v>
      </c>
      <c r="F322" s="4"/>
      <c r="G322" s="7"/>
      <c r="H322" s="4">
        <v>1</v>
      </c>
      <c r="I322" s="7">
        <v>8.99</v>
      </c>
      <c r="J322" s="7"/>
    </row>
    <row r="323" spans="1:10" hidden="1">
      <c r="A323" s="4" t="s">
        <v>807</v>
      </c>
      <c r="B323" s="4" t="s">
        <v>825</v>
      </c>
      <c r="C323" s="4" t="s">
        <v>1471</v>
      </c>
      <c r="D323" s="4" t="s">
        <v>1472</v>
      </c>
      <c r="E323" s="4" t="s">
        <v>1468</v>
      </c>
      <c r="F323" s="4"/>
      <c r="G323" s="7"/>
      <c r="H323" s="4">
        <v>1</v>
      </c>
      <c r="I323" s="7">
        <v>8.99</v>
      </c>
      <c r="J323" s="7"/>
    </row>
    <row r="324" spans="1:10" hidden="1">
      <c r="A324" s="4" t="s">
        <v>807</v>
      </c>
      <c r="B324" s="4" t="s">
        <v>962</v>
      </c>
      <c r="C324" s="4" t="s">
        <v>1147</v>
      </c>
      <c r="D324" s="4" t="s">
        <v>1473</v>
      </c>
      <c r="E324" s="4" t="s">
        <v>1149</v>
      </c>
      <c r="F324" s="4"/>
      <c r="G324" s="7"/>
      <c r="H324" s="4">
        <v>1</v>
      </c>
      <c r="I324" s="7">
        <v>8.99</v>
      </c>
      <c r="J324" s="7"/>
    </row>
    <row r="325" spans="1:10" hidden="1">
      <c r="A325" s="4" t="s">
        <v>807</v>
      </c>
      <c r="B325" s="4" t="s">
        <v>962</v>
      </c>
      <c r="C325" s="4" t="s">
        <v>1147</v>
      </c>
      <c r="D325" s="4" t="s">
        <v>1474</v>
      </c>
      <c r="E325" s="4" t="s">
        <v>1149</v>
      </c>
      <c r="F325" s="4"/>
      <c r="G325" s="7"/>
      <c r="H325" s="4">
        <v>1</v>
      </c>
      <c r="I325" s="7">
        <v>8.99</v>
      </c>
      <c r="J325" s="7"/>
    </row>
    <row r="326" spans="1:10" hidden="1">
      <c r="A326" s="4" t="s">
        <v>807</v>
      </c>
      <c r="B326" s="4" t="s">
        <v>811</v>
      </c>
      <c r="C326" s="4" t="s">
        <v>979</v>
      </c>
      <c r="D326" s="4" t="s">
        <v>1475</v>
      </c>
      <c r="E326" s="4" t="s">
        <v>981</v>
      </c>
      <c r="F326" s="4"/>
      <c r="G326" s="7"/>
      <c r="H326" s="4">
        <v>1</v>
      </c>
      <c r="I326" s="7">
        <v>8.99</v>
      </c>
      <c r="J326" s="7"/>
    </row>
    <row r="327" spans="1:10" hidden="1">
      <c r="A327" s="4" t="s">
        <v>807</v>
      </c>
      <c r="B327" s="4" t="s">
        <v>811</v>
      </c>
      <c r="C327" s="4" t="s">
        <v>979</v>
      </c>
      <c r="D327" s="4" t="s">
        <v>1476</v>
      </c>
      <c r="E327" s="4" t="s">
        <v>981</v>
      </c>
      <c r="F327" s="4"/>
      <c r="G327" s="7"/>
      <c r="H327" s="4">
        <v>1</v>
      </c>
      <c r="I327" s="7">
        <v>8.99</v>
      </c>
      <c r="J327" s="7"/>
    </row>
    <row r="328" spans="1:10" hidden="1">
      <c r="A328" s="4" t="s">
        <v>807</v>
      </c>
      <c r="B328" s="4" t="s">
        <v>825</v>
      </c>
      <c r="C328" s="4">
        <v>29166052000</v>
      </c>
      <c r="D328" s="4" t="s">
        <v>1477</v>
      </c>
      <c r="E328" s="4" t="s">
        <v>1338</v>
      </c>
      <c r="F328" s="4"/>
      <c r="G328" s="7"/>
      <c r="H328" s="4">
        <v>1</v>
      </c>
      <c r="I328" s="7">
        <v>8.99</v>
      </c>
      <c r="J328" s="7"/>
    </row>
    <row r="329" spans="1:10" hidden="1">
      <c r="A329" s="4" t="s">
        <v>807</v>
      </c>
      <c r="B329" s="4" t="s">
        <v>811</v>
      </c>
      <c r="C329" s="4" t="s">
        <v>1478</v>
      </c>
      <c r="D329" s="4" t="s">
        <v>1479</v>
      </c>
      <c r="E329" s="4" t="s">
        <v>1480</v>
      </c>
      <c r="F329" s="4"/>
      <c r="G329" s="7"/>
      <c r="H329" s="4">
        <v>1</v>
      </c>
      <c r="I329" s="7">
        <v>8.99</v>
      </c>
      <c r="J329" s="7"/>
    </row>
    <row r="330" spans="1:10" hidden="1">
      <c r="A330" s="4" t="s">
        <v>807</v>
      </c>
      <c r="B330" s="4" t="s">
        <v>811</v>
      </c>
      <c r="C330" s="4" t="s">
        <v>979</v>
      </c>
      <c r="D330" s="4" t="s">
        <v>1481</v>
      </c>
      <c r="E330" s="4" t="s">
        <v>981</v>
      </c>
      <c r="F330" s="4"/>
      <c r="G330" s="7"/>
      <c r="H330" s="4">
        <v>1</v>
      </c>
      <c r="I330" s="7">
        <v>8.99</v>
      </c>
      <c r="J330" s="7"/>
    </row>
    <row r="331" spans="1:10" hidden="1">
      <c r="A331" s="4" t="s">
        <v>807</v>
      </c>
      <c r="B331" s="4" t="s">
        <v>811</v>
      </c>
      <c r="C331" s="4" t="s">
        <v>979</v>
      </c>
      <c r="D331" s="4" t="s">
        <v>1482</v>
      </c>
      <c r="E331" s="4" t="s">
        <v>981</v>
      </c>
      <c r="F331" s="4"/>
      <c r="G331" s="7"/>
      <c r="H331" s="4">
        <v>1</v>
      </c>
      <c r="I331" s="7">
        <v>8.99</v>
      </c>
      <c r="J331" s="7"/>
    </row>
    <row r="332" spans="1:10" hidden="1">
      <c r="A332" s="4" t="s">
        <v>807</v>
      </c>
      <c r="B332" s="4" t="s">
        <v>808</v>
      </c>
      <c r="C332" s="4" t="s">
        <v>1012</v>
      </c>
      <c r="D332" s="4" t="s">
        <v>1483</v>
      </c>
      <c r="E332" s="4" t="s">
        <v>1014</v>
      </c>
      <c r="F332" s="4"/>
      <c r="G332" s="7"/>
      <c r="H332" s="4">
        <v>1</v>
      </c>
      <c r="I332" s="7">
        <v>8.99</v>
      </c>
      <c r="J332" s="7"/>
    </row>
    <row r="333" spans="1:10" hidden="1">
      <c r="A333" s="4" t="s">
        <v>807</v>
      </c>
      <c r="B333" s="4" t="s">
        <v>808</v>
      </c>
      <c r="C333" s="4" t="s">
        <v>1484</v>
      </c>
      <c r="D333" s="4" t="s">
        <v>1485</v>
      </c>
      <c r="E333" s="4" t="s">
        <v>1486</v>
      </c>
      <c r="F333" s="4"/>
      <c r="G333" s="7"/>
      <c r="H333" s="4">
        <v>1</v>
      </c>
      <c r="I333" s="7">
        <v>8.99</v>
      </c>
      <c r="J333" s="7"/>
    </row>
    <row r="334" spans="1:10" hidden="1">
      <c r="A334" s="4" t="s">
        <v>807</v>
      </c>
      <c r="B334" s="4" t="s">
        <v>808</v>
      </c>
      <c r="C334" s="4" t="s">
        <v>1012</v>
      </c>
      <c r="D334" s="4" t="s">
        <v>1487</v>
      </c>
      <c r="E334" s="4" t="s">
        <v>1014</v>
      </c>
      <c r="F334" s="4"/>
      <c r="G334" s="7"/>
      <c r="H334" s="4">
        <v>1</v>
      </c>
      <c r="I334" s="7">
        <v>8.99</v>
      </c>
      <c r="J334" s="7"/>
    </row>
    <row r="335" spans="1:10" hidden="1">
      <c r="A335" s="4" t="s">
        <v>807</v>
      </c>
      <c r="B335" s="4" t="s">
        <v>811</v>
      </c>
      <c r="C335" s="4" t="s">
        <v>979</v>
      </c>
      <c r="D335" s="4" t="s">
        <v>1488</v>
      </c>
      <c r="E335" s="4" t="s">
        <v>981</v>
      </c>
      <c r="F335" s="4"/>
      <c r="G335" s="7"/>
      <c r="H335" s="4">
        <v>1</v>
      </c>
      <c r="I335" s="7">
        <v>8.99</v>
      </c>
      <c r="J335" s="7"/>
    </row>
    <row r="336" spans="1:10" hidden="1">
      <c r="A336" s="4" t="s">
        <v>807</v>
      </c>
      <c r="B336" s="4" t="s">
        <v>808</v>
      </c>
      <c r="C336" s="4" t="s">
        <v>1012</v>
      </c>
      <c r="D336" s="4" t="s">
        <v>1489</v>
      </c>
      <c r="E336" s="4" t="s">
        <v>1014</v>
      </c>
      <c r="F336" s="4"/>
      <c r="G336" s="7"/>
      <c r="H336" s="4">
        <v>1</v>
      </c>
      <c r="I336" s="7">
        <v>8.99</v>
      </c>
      <c r="J336" s="7"/>
    </row>
    <row r="337" spans="1:10" hidden="1">
      <c r="A337" s="4" t="s">
        <v>807</v>
      </c>
      <c r="B337" s="4" t="s">
        <v>811</v>
      </c>
      <c r="C337" s="4" t="s">
        <v>1490</v>
      </c>
      <c r="D337" s="4" t="s">
        <v>1491</v>
      </c>
      <c r="E337" s="4" t="s">
        <v>1492</v>
      </c>
      <c r="F337" s="4"/>
      <c r="G337" s="7"/>
      <c r="H337" s="4">
        <v>1</v>
      </c>
      <c r="I337" s="7">
        <v>8.99</v>
      </c>
      <c r="J337" s="7"/>
    </row>
    <row r="338" spans="1:10">
      <c r="A338" s="4" t="s">
        <v>1051</v>
      </c>
      <c r="B338" s="4"/>
      <c r="C338" s="4" t="s">
        <v>1493</v>
      </c>
      <c r="D338" s="4" t="s">
        <v>1494</v>
      </c>
      <c r="E338" s="4" t="s">
        <v>1495</v>
      </c>
      <c r="F338" s="4"/>
      <c r="G338" s="7"/>
      <c r="H338" s="4">
        <v>1</v>
      </c>
      <c r="I338" s="7">
        <v>8.99</v>
      </c>
      <c r="J338" s="7"/>
    </row>
    <row r="339" spans="1:10" hidden="1">
      <c r="A339" s="4" t="s">
        <v>807</v>
      </c>
      <c r="B339" s="4" t="s">
        <v>811</v>
      </c>
      <c r="C339" s="4" t="s">
        <v>979</v>
      </c>
      <c r="D339" s="4" t="s">
        <v>1496</v>
      </c>
      <c r="E339" s="4" t="s">
        <v>981</v>
      </c>
      <c r="F339" s="4"/>
      <c r="G339" s="7"/>
      <c r="H339" s="4">
        <v>1</v>
      </c>
      <c r="I339" s="7">
        <v>8.99</v>
      </c>
      <c r="J339" s="7"/>
    </row>
    <row r="340" spans="1:10">
      <c r="A340" s="4" t="s">
        <v>1051</v>
      </c>
      <c r="B340" s="4"/>
      <c r="C340" s="4" t="s">
        <v>1497</v>
      </c>
      <c r="D340" s="4" t="s">
        <v>1498</v>
      </c>
      <c r="E340" s="4" t="s">
        <v>885</v>
      </c>
      <c r="F340" s="4"/>
      <c r="G340" s="7"/>
      <c r="H340" s="4">
        <v>1</v>
      </c>
      <c r="I340" s="7">
        <v>8.99</v>
      </c>
      <c r="J340" s="7"/>
    </row>
    <row r="341" spans="1:10" hidden="1">
      <c r="A341" s="4" t="s">
        <v>807</v>
      </c>
      <c r="B341" s="4" t="s">
        <v>808</v>
      </c>
      <c r="C341" s="4" t="s">
        <v>1484</v>
      </c>
      <c r="D341" s="4" t="s">
        <v>1499</v>
      </c>
      <c r="E341" s="4" t="s">
        <v>1486</v>
      </c>
      <c r="F341" s="4"/>
      <c r="G341" s="7"/>
      <c r="H341" s="4">
        <v>1</v>
      </c>
      <c r="I341" s="7">
        <v>8.99</v>
      </c>
      <c r="J341" s="7"/>
    </row>
    <row r="342" spans="1:10" hidden="1">
      <c r="A342" s="4" t="s">
        <v>807</v>
      </c>
      <c r="B342" s="4" t="s">
        <v>808</v>
      </c>
      <c r="C342" s="4" t="s">
        <v>1484</v>
      </c>
      <c r="D342" s="4" t="s">
        <v>1500</v>
      </c>
      <c r="E342" s="4" t="s">
        <v>1486</v>
      </c>
      <c r="F342" s="4"/>
      <c r="G342" s="7"/>
      <c r="H342" s="4">
        <v>1</v>
      </c>
      <c r="I342" s="7">
        <v>8.99</v>
      </c>
      <c r="J342" s="7"/>
    </row>
    <row r="343" spans="1:10" hidden="1">
      <c r="A343" s="4" t="s">
        <v>807</v>
      </c>
      <c r="B343" s="4" t="s">
        <v>808</v>
      </c>
      <c r="C343" s="4" t="s">
        <v>1484</v>
      </c>
      <c r="D343" s="4" t="s">
        <v>1501</v>
      </c>
      <c r="E343" s="4" t="s">
        <v>1486</v>
      </c>
      <c r="F343" s="4"/>
      <c r="G343" s="7"/>
      <c r="H343" s="4">
        <v>1</v>
      </c>
      <c r="I343" s="7">
        <v>8.99</v>
      </c>
      <c r="J343" s="7"/>
    </row>
    <row r="344" spans="1:10" hidden="1">
      <c r="A344" s="4" t="s">
        <v>1502</v>
      </c>
      <c r="B344" s="4" t="s">
        <v>1503</v>
      </c>
      <c r="C344" s="4" t="s">
        <v>1504</v>
      </c>
      <c r="D344" s="4" t="s">
        <v>1505</v>
      </c>
      <c r="E344" s="4" t="s">
        <v>1506</v>
      </c>
      <c r="F344" s="4"/>
      <c r="G344" s="7"/>
      <c r="H344" s="4">
        <v>1</v>
      </c>
      <c r="I344" s="7">
        <v>8.99</v>
      </c>
      <c r="J344" s="7"/>
    </row>
    <row r="345" spans="1:10" hidden="1">
      <c r="A345" s="4" t="s">
        <v>807</v>
      </c>
      <c r="B345" s="4" t="s">
        <v>808</v>
      </c>
      <c r="C345" s="4" t="s">
        <v>1484</v>
      </c>
      <c r="D345" s="4" t="s">
        <v>1507</v>
      </c>
      <c r="E345" s="4" t="s">
        <v>1486</v>
      </c>
      <c r="F345" s="4"/>
      <c r="G345" s="7"/>
      <c r="H345" s="4">
        <v>1</v>
      </c>
      <c r="I345" s="7">
        <v>8.99</v>
      </c>
      <c r="J345" s="7"/>
    </row>
    <row r="346" spans="1:10" hidden="1">
      <c r="A346" s="4" t="s">
        <v>807</v>
      </c>
      <c r="B346" s="4" t="s">
        <v>962</v>
      </c>
      <c r="C346" s="4" t="s">
        <v>1508</v>
      </c>
      <c r="D346" s="4" t="s">
        <v>1509</v>
      </c>
      <c r="E346" s="4" t="s">
        <v>1510</v>
      </c>
      <c r="F346" s="4"/>
      <c r="G346" s="7"/>
      <c r="H346" s="4">
        <v>1</v>
      </c>
      <c r="I346" s="7">
        <v>8.99</v>
      </c>
      <c r="J346" s="7"/>
    </row>
    <row r="347" spans="1:10" hidden="1">
      <c r="A347" s="4" t="s">
        <v>807</v>
      </c>
      <c r="B347" s="4" t="s">
        <v>808</v>
      </c>
      <c r="C347" s="4" t="s">
        <v>1484</v>
      </c>
      <c r="D347" s="4" t="s">
        <v>1511</v>
      </c>
      <c r="E347" s="4" t="s">
        <v>1486</v>
      </c>
      <c r="F347" s="4"/>
      <c r="G347" s="7"/>
      <c r="H347" s="4">
        <v>1</v>
      </c>
      <c r="I347" s="7">
        <v>8.99</v>
      </c>
      <c r="J347" s="7"/>
    </row>
    <row r="348" spans="1:10" hidden="1">
      <c r="A348" s="4" t="s">
        <v>807</v>
      </c>
      <c r="B348" s="4" t="s">
        <v>808</v>
      </c>
      <c r="C348" s="4" t="s">
        <v>1484</v>
      </c>
      <c r="D348" s="4" t="s">
        <v>1512</v>
      </c>
      <c r="E348" s="4" t="s">
        <v>1486</v>
      </c>
      <c r="F348" s="4"/>
      <c r="G348" s="7"/>
      <c r="H348" s="4">
        <v>1</v>
      </c>
      <c r="I348" s="7">
        <v>8.99</v>
      </c>
      <c r="J348" s="7"/>
    </row>
    <row r="349" spans="1:10" hidden="1">
      <c r="A349" s="4" t="s">
        <v>807</v>
      </c>
      <c r="B349" s="4" t="s">
        <v>808</v>
      </c>
      <c r="C349" s="4" t="s">
        <v>1484</v>
      </c>
      <c r="D349" s="4" t="s">
        <v>1513</v>
      </c>
      <c r="E349" s="4" t="s">
        <v>1486</v>
      </c>
      <c r="F349" s="4"/>
      <c r="G349" s="7"/>
      <c r="H349" s="4">
        <v>1</v>
      </c>
      <c r="I349" s="7">
        <v>8.99</v>
      </c>
      <c r="J349" s="7"/>
    </row>
    <row r="350" spans="1:10" hidden="1">
      <c r="A350" s="4" t="s">
        <v>807</v>
      </c>
      <c r="B350" s="4" t="s">
        <v>811</v>
      </c>
      <c r="C350" s="4" t="s">
        <v>979</v>
      </c>
      <c r="D350" s="4" t="s">
        <v>1514</v>
      </c>
      <c r="E350" s="4" t="s">
        <v>981</v>
      </c>
      <c r="F350" s="4"/>
      <c r="G350" s="7"/>
      <c r="H350" s="4">
        <v>1</v>
      </c>
      <c r="I350" s="7">
        <v>8.99</v>
      </c>
      <c r="J350" s="7"/>
    </row>
    <row r="351" spans="1:10" hidden="1">
      <c r="A351" s="4" t="s">
        <v>807</v>
      </c>
      <c r="B351" s="4" t="s">
        <v>808</v>
      </c>
      <c r="C351" s="4" t="s">
        <v>1484</v>
      </c>
      <c r="D351" s="4" t="s">
        <v>1515</v>
      </c>
      <c r="E351" s="4" t="s">
        <v>1486</v>
      </c>
      <c r="F351" s="4"/>
      <c r="G351" s="7"/>
      <c r="H351" s="4">
        <v>1</v>
      </c>
      <c r="I351" s="7">
        <v>8.99</v>
      </c>
      <c r="J351" s="7"/>
    </row>
    <row r="352" spans="1:10" hidden="1">
      <c r="A352" s="4" t="s">
        <v>807</v>
      </c>
      <c r="B352" s="4" t="s">
        <v>825</v>
      </c>
      <c r="C352" s="4" t="s">
        <v>1516</v>
      </c>
      <c r="D352" s="4" t="s">
        <v>1517</v>
      </c>
      <c r="E352" s="4" t="s">
        <v>1518</v>
      </c>
      <c r="F352" s="4"/>
      <c r="G352" s="7"/>
      <c r="H352" s="4">
        <v>1</v>
      </c>
      <c r="I352" s="7">
        <v>8.99</v>
      </c>
      <c r="J352" s="7"/>
    </row>
    <row r="353" spans="1:10" hidden="1">
      <c r="A353" s="4" t="s">
        <v>807</v>
      </c>
      <c r="B353" s="4" t="s">
        <v>808</v>
      </c>
      <c r="C353" s="4" t="s">
        <v>1484</v>
      </c>
      <c r="D353" s="4" t="s">
        <v>1519</v>
      </c>
      <c r="E353" s="4" t="s">
        <v>1486</v>
      </c>
      <c r="F353" s="4"/>
      <c r="G353" s="7"/>
      <c r="H353" s="4">
        <v>1</v>
      </c>
      <c r="I353" s="7">
        <v>8.99</v>
      </c>
      <c r="J353" s="7"/>
    </row>
    <row r="354" spans="1:10" hidden="1">
      <c r="A354" s="4" t="s">
        <v>807</v>
      </c>
      <c r="B354" s="4" t="s">
        <v>808</v>
      </c>
      <c r="C354" s="4" t="s">
        <v>1484</v>
      </c>
      <c r="D354" s="4" t="s">
        <v>1520</v>
      </c>
      <c r="E354" s="4" t="s">
        <v>1486</v>
      </c>
      <c r="F354" s="4"/>
      <c r="G354" s="7"/>
      <c r="H354" s="4">
        <v>1</v>
      </c>
      <c r="I354" s="7">
        <v>8.99</v>
      </c>
      <c r="J354" s="7"/>
    </row>
    <row r="355" spans="1:10" hidden="1">
      <c r="A355" s="4" t="s">
        <v>807</v>
      </c>
      <c r="B355" s="4" t="s">
        <v>945</v>
      </c>
      <c r="C355" s="4">
        <v>1788</v>
      </c>
      <c r="D355" s="4" t="s">
        <v>1521</v>
      </c>
      <c r="E355" s="4" t="s">
        <v>1037</v>
      </c>
      <c r="F355" s="4"/>
      <c r="G355" s="7"/>
      <c r="H355" s="4">
        <v>1</v>
      </c>
      <c r="I355" s="7">
        <v>8.99</v>
      </c>
      <c r="J355" s="7"/>
    </row>
    <row r="356" spans="1:10" hidden="1">
      <c r="A356" s="4" t="s">
        <v>807</v>
      </c>
      <c r="B356" s="4" t="s">
        <v>808</v>
      </c>
      <c r="C356" s="4">
        <v>270001006</v>
      </c>
      <c r="D356" s="4" t="s">
        <v>1522</v>
      </c>
      <c r="E356" s="4" t="s">
        <v>1523</v>
      </c>
      <c r="F356" s="4"/>
      <c r="G356" s="7"/>
      <c r="H356" s="4">
        <v>1</v>
      </c>
      <c r="I356" s="7">
        <v>8.99</v>
      </c>
      <c r="J356" s="7"/>
    </row>
    <row r="357" spans="1:10" hidden="1">
      <c r="A357" s="4" t="s">
        <v>807</v>
      </c>
      <c r="B357" s="4" t="s">
        <v>808</v>
      </c>
      <c r="C357" s="4" t="s">
        <v>1484</v>
      </c>
      <c r="D357" s="4" t="s">
        <v>1524</v>
      </c>
      <c r="E357" s="4" t="s">
        <v>1486</v>
      </c>
      <c r="F357" s="4"/>
      <c r="G357" s="7"/>
      <c r="H357" s="4">
        <v>1</v>
      </c>
      <c r="I357" s="7">
        <v>8.99</v>
      </c>
      <c r="J357" s="7"/>
    </row>
    <row r="358" spans="1:10" hidden="1">
      <c r="A358" s="4" t="s">
        <v>807</v>
      </c>
      <c r="B358" s="4" t="s">
        <v>825</v>
      </c>
      <c r="C358" s="4" t="s">
        <v>1516</v>
      </c>
      <c r="D358" s="4" t="s">
        <v>1525</v>
      </c>
      <c r="E358" s="4" t="s">
        <v>1518</v>
      </c>
      <c r="F358" s="4"/>
      <c r="G358" s="7"/>
      <c r="H358" s="4">
        <v>1</v>
      </c>
      <c r="I358" s="7">
        <v>8.99</v>
      </c>
      <c r="J358" s="7"/>
    </row>
    <row r="359" spans="1:10" hidden="1">
      <c r="A359" s="4" t="s">
        <v>807</v>
      </c>
      <c r="B359" s="4" t="s">
        <v>811</v>
      </c>
      <c r="C359" s="4" t="s">
        <v>979</v>
      </c>
      <c r="D359" s="4" t="s">
        <v>1526</v>
      </c>
      <c r="E359" s="4" t="s">
        <v>981</v>
      </c>
      <c r="F359" s="4"/>
      <c r="G359" s="7"/>
      <c r="H359" s="4">
        <v>1</v>
      </c>
      <c r="I359" s="7">
        <v>8.99</v>
      </c>
      <c r="J359" s="7"/>
    </row>
    <row r="360" spans="1:10" hidden="1">
      <c r="A360" s="4" t="s">
        <v>807</v>
      </c>
      <c r="B360" s="4" t="s">
        <v>811</v>
      </c>
      <c r="C360" s="4" t="s">
        <v>979</v>
      </c>
      <c r="D360" s="4" t="s">
        <v>1527</v>
      </c>
      <c r="E360" s="4" t="s">
        <v>981</v>
      </c>
      <c r="F360" s="4"/>
      <c r="G360" s="7"/>
      <c r="H360" s="4">
        <v>1</v>
      </c>
      <c r="I360" s="7">
        <v>8.99</v>
      </c>
      <c r="J360" s="7"/>
    </row>
    <row r="361" spans="1:10" hidden="1">
      <c r="A361" s="4" t="s">
        <v>807</v>
      </c>
      <c r="B361" s="4" t="s">
        <v>825</v>
      </c>
      <c r="C361" s="4" t="s">
        <v>1516</v>
      </c>
      <c r="D361" s="4" t="s">
        <v>1528</v>
      </c>
      <c r="E361" s="4" t="s">
        <v>1518</v>
      </c>
      <c r="F361" s="4"/>
      <c r="G361" s="7"/>
      <c r="H361" s="4">
        <v>1</v>
      </c>
      <c r="I361" s="7">
        <v>8.99</v>
      </c>
      <c r="J361" s="7"/>
    </row>
    <row r="362" spans="1:10" hidden="1">
      <c r="A362" s="4" t="s">
        <v>807</v>
      </c>
      <c r="B362" s="4" t="s">
        <v>825</v>
      </c>
      <c r="C362" s="4" t="s">
        <v>1516</v>
      </c>
      <c r="D362" s="4" t="s">
        <v>1529</v>
      </c>
      <c r="E362" s="4" t="s">
        <v>1518</v>
      </c>
      <c r="F362" s="4"/>
      <c r="G362" s="7"/>
      <c r="H362" s="4">
        <v>1</v>
      </c>
      <c r="I362" s="7">
        <v>8.99</v>
      </c>
      <c r="J362" s="7"/>
    </row>
    <row r="363" spans="1:10" hidden="1">
      <c r="A363" s="4" t="s">
        <v>807</v>
      </c>
      <c r="B363" s="4" t="s">
        <v>808</v>
      </c>
      <c r="C363" s="4">
        <v>270001006</v>
      </c>
      <c r="D363" s="4" t="s">
        <v>1530</v>
      </c>
      <c r="E363" s="4" t="s">
        <v>1523</v>
      </c>
      <c r="F363" s="4"/>
      <c r="G363" s="7"/>
      <c r="H363" s="4">
        <v>1</v>
      </c>
      <c r="I363" s="7">
        <v>8.99</v>
      </c>
      <c r="J363" s="7"/>
    </row>
    <row r="364" spans="1:10" hidden="1">
      <c r="A364" s="4" t="s">
        <v>915</v>
      </c>
      <c r="B364" s="4"/>
      <c r="C364" s="4" t="s">
        <v>1531</v>
      </c>
      <c r="D364" s="4" t="s">
        <v>1532</v>
      </c>
      <c r="E364" s="4" t="s">
        <v>1533</v>
      </c>
      <c r="F364" s="4"/>
      <c r="G364" s="7"/>
      <c r="H364" s="4">
        <v>1</v>
      </c>
      <c r="I364" s="7">
        <v>8.99</v>
      </c>
      <c r="J364" s="7"/>
    </row>
    <row r="365" spans="1:10" hidden="1">
      <c r="A365" s="4" t="s">
        <v>807</v>
      </c>
      <c r="B365" s="4" t="s">
        <v>937</v>
      </c>
      <c r="C365" s="4" t="s">
        <v>959</v>
      </c>
      <c r="D365" s="4" t="s">
        <v>1534</v>
      </c>
      <c r="E365" s="4" t="s">
        <v>961</v>
      </c>
      <c r="F365" s="4"/>
      <c r="G365" s="7"/>
      <c r="H365" s="4">
        <v>1</v>
      </c>
      <c r="I365" s="7">
        <v>8.99</v>
      </c>
      <c r="J365" s="7"/>
    </row>
    <row r="366" spans="1:10" hidden="1">
      <c r="A366" s="4" t="s">
        <v>1535</v>
      </c>
      <c r="B366" s="4" t="s">
        <v>1536</v>
      </c>
      <c r="C366" s="4" t="s">
        <v>1537</v>
      </c>
      <c r="D366" s="4" t="s">
        <v>1538</v>
      </c>
      <c r="E366" s="4" t="s">
        <v>1539</v>
      </c>
      <c r="F366" s="4"/>
      <c r="G366" s="7"/>
      <c r="H366" s="4">
        <v>1</v>
      </c>
      <c r="I366" s="7">
        <v>8.99</v>
      </c>
      <c r="J366" s="7"/>
    </row>
    <row r="367" spans="1:10" hidden="1">
      <c r="A367" s="4" t="s">
        <v>1540</v>
      </c>
      <c r="B367" s="4" t="s">
        <v>1540</v>
      </c>
      <c r="C367" s="4" t="s">
        <v>1541</v>
      </c>
      <c r="D367" s="4" t="s">
        <v>47</v>
      </c>
      <c r="E367" s="4" t="s">
        <v>1542</v>
      </c>
      <c r="F367" s="4"/>
      <c r="G367" s="7"/>
      <c r="H367" s="4">
        <v>0</v>
      </c>
      <c r="I367" s="7">
        <v>0</v>
      </c>
      <c r="J367" s="7"/>
    </row>
    <row r="368" spans="1:10" hidden="1">
      <c r="A368" s="4" t="s">
        <v>807</v>
      </c>
      <c r="B368" s="4" t="s">
        <v>811</v>
      </c>
      <c r="C368" s="4" t="s">
        <v>1543</v>
      </c>
      <c r="D368" s="4" t="s">
        <v>649</v>
      </c>
      <c r="E368" s="4" t="s">
        <v>1544</v>
      </c>
      <c r="F368" s="4"/>
      <c r="G368" s="7"/>
      <c r="H368" s="4">
        <v>0</v>
      </c>
      <c r="I368" s="7">
        <v>0</v>
      </c>
      <c r="J368" s="7"/>
    </row>
    <row r="369" spans="1:10" hidden="1">
      <c r="A369" s="4" t="s">
        <v>807</v>
      </c>
      <c r="B369" s="4" t="s">
        <v>825</v>
      </c>
      <c r="C369" s="4" t="s">
        <v>1545</v>
      </c>
      <c r="D369" s="4" t="s">
        <v>649</v>
      </c>
      <c r="E369" s="4" t="s">
        <v>1546</v>
      </c>
      <c r="F369" s="4"/>
      <c r="G369" s="7"/>
      <c r="H369" s="4">
        <v>0</v>
      </c>
      <c r="I369" s="7">
        <v>0</v>
      </c>
      <c r="J369" s="7"/>
    </row>
    <row r="370" spans="1:10" hidden="1">
      <c r="A370" s="4" t="s">
        <v>807</v>
      </c>
      <c r="B370" s="4" t="s">
        <v>1547</v>
      </c>
      <c r="C370" s="4" t="s">
        <v>1548</v>
      </c>
      <c r="D370" s="4" t="s">
        <v>820</v>
      </c>
      <c r="E370" s="4" t="s">
        <v>1549</v>
      </c>
      <c r="F370" s="4"/>
      <c r="G370" s="7"/>
      <c r="H370" s="4">
        <v>0</v>
      </c>
      <c r="I370" s="7">
        <v>0</v>
      </c>
      <c r="J370" s="7"/>
    </row>
    <row r="371" spans="1:10" hidden="1">
      <c r="A371" s="4" t="s">
        <v>807</v>
      </c>
      <c r="B371" s="4" t="s">
        <v>945</v>
      </c>
      <c r="C371" s="4" t="s">
        <v>1550</v>
      </c>
      <c r="D371" s="4" t="s">
        <v>820</v>
      </c>
      <c r="E371" s="4" t="s">
        <v>1551</v>
      </c>
      <c r="F371" s="4"/>
      <c r="G371" s="7"/>
      <c r="H371" s="4">
        <v>0</v>
      </c>
      <c r="I371" s="7">
        <v>0</v>
      </c>
      <c r="J371" s="7"/>
    </row>
    <row r="372" spans="1:10" hidden="1">
      <c r="A372" s="4" t="s">
        <v>807</v>
      </c>
      <c r="B372" s="4" t="s">
        <v>825</v>
      </c>
      <c r="C372" s="4" t="s">
        <v>1552</v>
      </c>
      <c r="D372" s="4" t="s">
        <v>820</v>
      </c>
      <c r="E372" s="4" t="s">
        <v>1553</v>
      </c>
      <c r="F372" s="4"/>
      <c r="G372" s="7"/>
      <c r="H372" s="4">
        <v>0</v>
      </c>
      <c r="I372" s="7">
        <v>0</v>
      </c>
      <c r="J372" s="7"/>
    </row>
    <row r="373" spans="1:10" hidden="1">
      <c r="A373" s="4" t="s">
        <v>807</v>
      </c>
      <c r="B373" s="4" t="s">
        <v>825</v>
      </c>
      <c r="C373" s="4" t="s">
        <v>1554</v>
      </c>
      <c r="D373" s="4" t="s">
        <v>820</v>
      </c>
      <c r="E373" s="4" t="s">
        <v>1555</v>
      </c>
      <c r="F373" s="4"/>
      <c r="G373" s="7"/>
      <c r="H373" s="4">
        <v>0</v>
      </c>
      <c r="I373" s="7">
        <v>0</v>
      </c>
      <c r="J373" s="7"/>
    </row>
    <row r="374" spans="1:10" hidden="1">
      <c r="A374" s="4" t="s">
        <v>807</v>
      </c>
      <c r="B374" s="4" t="s">
        <v>825</v>
      </c>
      <c r="C374" s="4" t="s">
        <v>1556</v>
      </c>
      <c r="D374" s="4" t="s">
        <v>820</v>
      </c>
      <c r="E374" s="4" t="s">
        <v>1557</v>
      </c>
      <c r="F374" s="4"/>
      <c r="G374" s="7"/>
      <c r="H374" s="4">
        <v>0</v>
      </c>
      <c r="I374" s="7">
        <v>0</v>
      </c>
      <c r="J374" s="7"/>
    </row>
    <row r="375" spans="1:10" hidden="1">
      <c r="A375" s="4" t="s">
        <v>807</v>
      </c>
      <c r="B375" s="4" t="s">
        <v>811</v>
      </c>
      <c r="C375" s="4" t="s">
        <v>1558</v>
      </c>
      <c r="D375" s="4" t="s">
        <v>820</v>
      </c>
      <c r="E375" s="4" t="s">
        <v>1559</v>
      </c>
      <c r="F375" s="4"/>
      <c r="G375" s="7"/>
      <c r="H375" s="4">
        <v>0</v>
      </c>
      <c r="I375" s="7">
        <v>0</v>
      </c>
      <c r="J375" s="7"/>
    </row>
    <row r="376" spans="1:10" hidden="1">
      <c r="A376" s="4" t="s">
        <v>807</v>
      </c>
      <c r="B376" s="4" t="s">
        <v>811</v>
      </c>
      <c r="C376" s="4" t="s">
        <v>1560</v>
      </c>
      <c r="D376" s="4" t="s">
        <v>820</v>
      </c>
      <c r="E376" s="4" t="s">
        <v>1561</v>
      </c>
      <c r="F376" s="4"/>
      <c r="G376" s="7"/>
      <c r="H376" s="4">
        <v>0</v>
      </c>
      <c r="I376" s="7">
        <v>0</v>
      </c>
      <c r="J376" s="7"/>
    </row>
    <row r="377" spans="1:10" hidden="1">
      <c r="A377" s="4" t="s">
        <v>915</v>
      </c>
      <c r="B377" s="4"/>
      <c r="C377" s="4" t="s">
        <v>1562</v>
      </c>
      <c r="D377" s="4" t="s">
        <v>820</v>
      </c>
      <c r="E377" s="4" t="s">
        <v>1563</v>
      </c>
      <c r="F377" s="4"/>
      <c r="G377" s="7"/>
      <c r="H377" s="4">
        <v>0</v>
      </c>
      <c r="I377" s="7">
        <v>0</v>
      </c>
      <c r="J377" s="7"/>
    </row>
    <row r="378" spans="1:10" hidden="1">
      <c r="A378" s="4" t="s">
        <v>915</v>
      </c>
      <c r="B378" s="4"/>
      <c r="C378" s="4" t="s">
        <v>1564</v>
      </c>
      <c r="D378" s="4" t="s">
        <v>820</v>
      </c>
      <c r="E378" s="4" t="s">
        <v>1565</v>
      </c>
      <c r="F378" s="4"/>
      <c r="G378" s="7"/>
      <c r="H378" s="4">
        <v>0</v>
      </c>
      <c r="I378" s="7">
        <v>0</v>
      </c>
      <c r="J378" s="7"/>
    </row>
    <row r="379" spans="1:10" hidden="1">
      <c r="A379" s="4" t="s">
        <v>807</v>
      </c>
      <c r="B379" s="4" t="s">
        <v>811</v>
      </c>
      <c r="C379" s="4" t="s">
        <v>1566</v>
      </c>
      <c r="D379" s="4" t="s">
        <v>820</v>
      </c>
      <c r="E379" s="4" t="s">
        <v>1567</v>
      </c>
      <c r="F379" s="4"/>
      <c r="G379" s="7"/>
      <c r="H379" s="4">
        <v>0</v>
      </c>
      <c r="I379" s="7">
        <v>0</v>
      </c>
      <c r="J379" s="7"/>
    </row>
    <row r="380" spans="1:10" hidden="1">
      <c r="A380" s="4" t="s">
        <v>807</v>
      </c>
      <c r="B380" s="4" t="s">
        <v>811</v>
      </c>
      <c r="C380" s="4" t="s">
        <v>1568</v>
      </c>
      <c r="D380" s="4" t="s">
        <v>820</v>
      </c>
      <c r="E380" s="4" t="s">
        <v>1191</v>
      </c>
      <c r="F380" s="4"/>
      <c r="G380" s="7"/>
      <c r="H380" s="4">
        <v>0</v>
      </c>
      <c r="I380" s="7">
        <v>0</v>
      </c>
      <c r="J380" s="7"/>
    </row>
    <row r="381" spans="1:10" hidden="1">
      <c r="A381" s="4" t="s">
        <v>807</v>
      </c>
      <c r="B381" s="4" t="s">
        <v>825</v>
      </c>
      <c r="C381" s="4" t="s">
        <v>1569</v>
      </c>
      <c r="D381" s="4" t="s">
        <v>820</v>
      </c>
      <c r="E381" s="4" t="s">
        <v>1570</v>
      </c>
      <c r="F381" s="4"/>
      <c r="G381" s="7"/>
      <c r="H381" s="4">
        <v>0</v>
      </c>
      <c r="I381" s="7">
        <v>0</v>
      </c>
      <c r="J381" s="7"/>
    </row>
    <row r="382" spans="1:10" hidden="1">
      <c r="A382" s="4" t="s">
        <v>807</v>
      </c>
      <c r="B382" s="4" t="s">
        <v>825</v>
      </c>
      <c r="C382" s="4" t="s">
        <v>1571</v>
      </c>
      <c r="D382" s="4" t="s">
        <v>820</v>
      </c>
      <c r="E382" s="4" t="s">
        <v>1572</v>
      </c>
      <c r="F382" s="4"/>
      <c r="G382" s="7"/>
      <c r="H382" s="4">
        <v>0</v>
      </c>
      <c r="I382" s="7">
        <v>0</v>
      </c>
      <c r="J382" s="7"/>
    </row>
    <row r="383" spans="1:10" hidden="1">
      <c r="A383" s="4" t="s">
        <v>807</v>
      </c>
      <c r="B383" s="4" t="s">
        <v>825</v>
      </c>
      <c r="C383" s="4" t="s">
        <v>1573</v>
      </c>
      <c r="D383" s="4" t="s">
        <v>820</v>
      </c>
      <c r="E383" s="4" t="s">
        <v>1574</v>
      </c>
      <c r="F383" s="4"/>
      <c r="G383" s="7"/>
      <c r="H383" s="4">
        <v>0</v>
      </c>
      <c r="I383" s="7">
        <v>0</v>
      </c>
      <c r="J383" s="7"/>
    </row>
    <row r="384" spans="1:10" hidden="1">
      <c r="A384" s="4" t="s">
        <v>807</v>
      </c>
      <c r="B384" s="4" t="s">
        <v>808</v>
      </c>
      <c r="C384" s="4" t="s">
        <v>1575</v>
      </c>
      <c r="D384" s="4" t="s">
        <v>820</v>
      </c>
      <c r="E384" s="4" t="s">
        <v>1576</v>
      </c>
      <c r="F384" s="4"/>
      <c r="G384" s="7"/>
      <c r="H384" s="4">
        <v>0</v>
      </c>
      <c r="I384" s="7">
        <v>0</v>
      </c>
      <c r="J384" s="7"/>
    </row>
    <row r="385" spans="1:10" hidden="1">
      <c r="A385" s="4" t="s">
        <v>807</v>
      </c>
      <c r="B385" s="4" t="s">
        <v>811</v>
      </c>
      <c r="C385" s="4" t="s">
        <v>1577</v>
      </c>
      <c r="D385" s="4" t="s">
        <v>820</v>
      </c>
      <c r="E385" s="4" t="s">
        <v>1578</v>
      </c>
      <c r="F385" s="4"/>
      <c r="G385" s="7"/>
      <c r="H385" s="4">
        <v>0</v>
      </c>
      <c r="I385" s="7">
        <v>0</v>
      </c>
      <c r="J385" s="7"/>
    </row>
    <row r="386" spans="1:10" hidden="1">
      <c r="A386" s="4" t="s">
        <v>807</v>
      </c>
      <c r="B386" s="4" t="s">
        <v>808</v>
      </c>
      <c r="C386" s="4" t="s">
        <v>1579</v>
      </c>
      <c r="D386" s="4" t="s">
        <v>820</v>
      </c>
      <c r="E386" s="4" t="s">
        <v>1580</v>
      </c>
      <c r="F386" s="4"/>
      <c r="G386" s="7"/>
      <c r="H386" s="4">
        <v>0</v>
      </c>
      <c r="I386" s="7">
        <v>0</v>
      </c>
      <c r="J386" s="7"/>
    </row>
    <row r="387" spans="1:10" hidden="1">
      <c r="A387" s="4" t="s">
        <v>807</v>
      </c>
      <c r="B387" s="4" t="s">
        <v>808</v>
      </c>
      <c r="C387" s="4" t="s">
        <v>1581</v>
      </c>
      <c r="D387" s="4" t="s">
        <v>820</v>
      </c>
      <c r="E387" s="4" t="s">
        <v>1582</v>
      </c>
      <c r="F387" s="4"/>
      <c r="G387" s="7"/>
      <c r="H387" s="4">
        <v>0</v>
      </c>
      <c r="I387" s="7">
        <v>0</v>
      </c>
      <c r="J387" s="7"/>
    </row>
    <row r="388" spans="1:10">
      <c r="A388" s="4" t="s">
        <v>1051</v>
      </c>
      <c r="B388" s="4"/>
      <c r="C388" s="4" t="s">
        <v>1583</v>
      </c>
      <c r="D388" s="4" t="s">
        <v>820</v>
      </c>
      <c r="E388" s="4" t="s">
        <v>1584</v>
      </c>
      <c r="F388" s="4"/>
      <c r="G388" s="7"/>
      <c r="H388" s="4">
        <v>0</v>
      </c>
      <c r="I388" s="7">
        <v>0</v>
      </c>
      <c r="J388" s="7"/>
    </row>
    <row r="389" spans="1:10" hidden="1">
      <c r="A389" s="4" t="s">
        <v>815</v>
      </c>
      <c r="B389" s="4" t="s">
        <v>1585</v>
      </c>
      <c r="C389" s="4" t="s">
        <v>1586</v>
      </c>
      <c r="D389" s="4" t="s">
        <v>820</v>
      </c>
      <c r="E389" s="4" t="s">
        <v>1587</v>
      </c>
      <c r="F389" s="4"/>
      <c r="G389" s="7"/>
      <c r="H389" s="4">
        <v>0</v>
      </c>
      <c r="I389" s="7">
        <v>0</v>
      </c>
      <c r="J389" s="7"/>
    </row>
    <row r="390" spans="1:10" hidden="1">
      <c r="A390" s="4" t="s">
        <v>807</v>
      </c>
      <c r="B390" s="4" t="s">
        <v>811</v>
      </c>
      <c r="C390" s="4" t="s">
        <v>1588</v>
      </c>
      <c r="D390" s="4" t="s">
        <v>820</v>
      </c>
      <c r="E390" s="4" t="s">
        <v>1589</v>
      </c>
      <c r="F390" s="4"/>
      <c r="G390" s="7"/>
      <c r="H390" s="4">
        <v>0</v>
      </c>
      <c r="I390" s="7">
        <v>0</v>
      </c>
      <c r="J390" s="7"/>
    </row>
    <row r="391" spans="1:10" hidden="1">
      <c r="A391" s="4" t="s">
        <v>807</v>
      </c>
      <c r="B391" s="4" t="s">
        <v>811</v>
      </c>
      <c r="C391" s="4" t="s">
        <v>1590</v>
      </c>
      <c r="D391" s="4" t="s">
        <v>820</v>
      </c>
      <c r="E391" s="4"/>
      <c r="F391" s="4"/>
      <c r="G391" s="7"/>
      <c r="H391" s="4">
        <v>0</v>
      </c>
      <c r="I391" s="7">
        <v>0</v>
      </c>
      <c r="J391" s="7"/>
    </row>
    <row r="392" spans="1:10" hidden="1">
      <c r="A392" s="4" t="s">
        <v>807</v>
      </c>
      <c r="B392" s="4" t="s">
        <v>811</v>
      </c>
      <c r="C392" s="4" t="s">
        <v>1591</v>
      </c>
      <c r="D392" s="4" t="s">
        <v>820</v>
      </c>
      <c r="E392" s="4" t="s">
        <v>1592</v>
      </c>
      <c r="F392" s="4"/>
      <c r="G392" s="7"/>
      <c r="H392" s="4">
        <v>0</v>
      </c>
      <c r="I392" s="7">
        <v>0</v>
      </c>
      <c r="J392" s="7"/>
    </row>
    <row r="393" spans="1:10" hidden="1">
      <c r="A393" s="4" t="s">
        <v>807</v>
      </c>
      <c r="B393" s="4" t="s">
        <v>811</v>
      </c>
      <c r="C393" s="4" t="s">
        <v>1593</v>
      </c>
      <c r="D393" s="4" t="s">
        <v>820</v>
      </c>
      <c r="E393" s="4" t="s">
        <v>1594</v>
      </c>
      <c r="F393" s="4"/>
      <c r="G393" s="7"/>
      <c r="H393" s="4">
        <v>0</v>
      </c>
      <c r="I393" s="7">
        <v>0</v>
      </c>
      <c r="J393" s="7"/>
    </row>
    <row r="394" spans="1:10" hidden="1">
      <c r="A394" s="4" t="s">
        <v>807</v>
      </c>
      <c r="B394" s="4" t="s">
        <v>811</v>
      </c>
      <c r="C394" s="4" t="s">
        <v>1595</v>
      </c>
      <c r="D394" s="4" t="s">
        <v>820</v>
      </c>
      <c r="E394" s="4" t="s">
        <v>1596</v>
      </c>
      <c r="F394" s="4"/>
      <c r="G394" s="7"/>
      <c r="H394" s="4">
        <v>0</v>
      </c>
      <c r="I394" s="7">
        <v>0</v>
      </c>
      <c r="J394" s="7"/>
    </row>
    <row r="395" spans="1:10" hidden="1">
      <c r="A395" s="4" t="s">
        <v>807</v>
      </c>
      <c r="B395" s="4" t="s">
        <v>811</v>
      </c>
      <c r="C395" s="4" t="s">
        <v>1597</v>
      </c>
      <c r="D395" s="4" t="s">
        <v>820</v>
      </c>
      <c r="E395" s="4" t="s">
        <v>1598</v>
      </c>
      <c r="F395" s="4"/>
      <c r="G395" s="7"/>
      <c r="H395" s="4">
        <v>0</v>
      </c>
      <c r="I395" s="7">
        <v>0</v>
      </c>
      <c r="J395" s="7"/>
    </row>
    <row r="396" spans="1:10" hidden="1">
      <c r="A396" s="4" t="s">
        <v>807</v>
      </c>
      <c r="B396" s="4" t="s">
        <v>811</v>
      </c>
      <c r="C396" s="4" t="s">
        <v>1599</v>
      </c>
      <c r="D396" s="4" t="s">
        <v>820</v>
      </c>
      <c r="E396" s="4" t="s">
        <v>1600</v>
      </c>
      <c r="F396" s="4"/>
      <c r="G396" s="7"/>
      <c r="H396" s="4">
        <v>0</v>
      </c>
      <c r="I396" s="7">
        <v>0</v>
      </c>
      <c r="J396" s="7"/>
    </row>
    <row r="397" spans="1:10" hidden="1">
      <c r="A397" s="4" t="s">
        <v>807</v>
      </c>
      <c r="B397" s="4" t="s">
        <v>811</v>
      </c>
      <c r="C397" s="4" t="s">
        <v>1601</v>
      </c>
      <c r="D397" s="4" t="s">
        <v>820</v>
      </c>
      <c r="E397" s="4" t="s">
        <v>1602</v>
      </c>
      <c r="F397" s="4"/>
      <c r="G397" s="7"/>
      <c r="H397" s="4">
        <v>0</v>
      </c>
      <c r="I397" s="7">
        <v>0</v>
      </c>
      <c r="J397" s="7"/>
    </row>
    <row r="398" spans="1:10" hidden="1">
      <c r="A398" s="4" t="s">
        <v>807</v>
      </c>
      <c r="B398" s="4" t="s">
        <v>811</v>
      </c>
      <c r="C398" s="4" t="s">
        <v>1603</v>
      </c>
      <c r="D398" s="4" t="s">
        <v>820</v>
      </c>
      <c r="E398" s="4" t="s">
        <v>1604</v>
      </c>
      <c r="F398" s="4"/>
      <c r="G398" s="7"/>
      <c r="H398" s="4">
        <v>0</v>
      </c>
      <c r="I398" s="7">
        <v>0</v>
      </c>
      <c r="J398" s="7"/>
    </row>
    <row r="399" spans="1:10" hidden="1">
      <c r="A399" s="4" t="s">
        <v>807</v>
      </c>
      <c r="B399" s="4" t="s">
        <v>811</v>
      </c>
      <c r="C399" s="4" t="s">
        <v>1605</v>
      </c>
      <c r="D399" s="4" t="s">
        <v>820</v>
      </c>
      <c r="E399" s="4" t="s">
        <v>1606</v>
      </c>
      <c r="F399" s="4"/>
      <c r="G399" s="7"/>
      <c r="H399" s="4">
        <v>0</v>
      </c>
      <c r="I399" s="7">
        <v>0</v>
      </c>
      <c r="J399" s="7"/>
    </row>
    <row r="400" spans="1:10" hidden="1">
      <c r="A400" s="4" t="s">
        <v>807</v>
      </c>
      <c r="B400" s="4" t="s">
        <v>811</v>
      </c>
      <c r="C400" s="4" t="s">
        <v>1607</v>
      </c>
      <c r="D400" s="4" t="s">
        <v>820</v>
      </c>
      <c r="E400" s="4" t="s">
        <v>1608</v>
      </c>
      <c r="F400" s="4"/>
      <c r="G400" s="7"/>
      <c r="H400" s="4">
        <v>0</v>
      </c>
      <c r="I400" s="7">
        <v>0</v>
      </c>
      <c r="J400" s="7"/>
    </row>
    <row r="401" spans="1:10" hidden="1">
      <c r="A401" s="4" t="s">
        <v>807</v>
      </c>
      <c r="B401" s="4" t="s">
        <v>811</v>
      </c>
      <c r="C401" s="4" t="s">
        <v>1609</v>
      </c>
      <c r="D401" s="4" t="s">
        <v>820</v>
      </c>
      <c r="E401" s="4" t="s">
        <v>1610</v>
      </c>
      <c r="F401" s="4"/>
      <c r="G401" s="7"/>
      <c r="H401" s="4">
        <v>0</v>
      </c>
      <c r="I401" s="7">
        <v>0</v>
      </c>
      <c r="J401" s="7"/>
    </row>
    <row r="402" spans="1:10" hidden="1">
      <c r="A402" s="4" t="s">
        <v>807</v>
      </c>
      <c r="B402" s="4" t="s">
        <v>811</v>
      </c>
      <c r="C402" s="4" t="s">
        <v>1611</v>
      </c>
      <c r="D402" s="4" t="s">
        <v>820</v>
      </c>
      <c r="E402" s="4" t="s">
        <v>1612</v>
      </c>
      <c r="F402" s="4"/>
      <c r="G402" s="7"/>
      <c r="H402" s="4">
        <v>0</v>
      </c>
      <c r="I402" s="7">
        <v>0</v>
      </c>
      <c r="J402" s="7"/>
    </row>
    <row r="403" spans="1:10" hidden="1">
      <c r="A403" s="4" t="s">
        <v>807</v>
      </c>
      <c r="B403" s="4" t="s">
        <v>811</v>
      </c>
      <c r="C403" s="4" t="s">
        <v>1613</v>
      </c>
      <c r="D403" s="4" t="s">
        <v>820</v>
      </c>
      <c r="E403" s="4" t="s">
        <v>1614</v>
      </c>
      <c r="F403" s="4"/>
      <c r="G403" s="7"/>
      <c r="H403" s="4">
        <v>0</v>
      </c>
      <c r="I403" s="7">
        <v>0</v>
      </c>
      <c r="J403" s="7"/>
    </row>
    <row r="404" spans="1:10" hidden="1">
      <c r="A404" s="4" t="s">
        <v>807</v>
      </c>
      <c r="B404" s="4" t="s">
        <v>811</v>
      </c>
      <c r="C404" s="4" t="s">
        <v>1615</v>
      </c>
      <c r="D404" s="4" t="s">
        <v>820</v>
      </c>
      <c r="E404" s="4" t="s">
        <v>1616</v>
      </c>
      <c r="F404" s="4"/>
      <c r="G404" s="7"/>
      <c r="H404" s="4">
        <v>0</v>
      </c>
      <c r="I404" s="7">
        <v>0</v>
      </c>
      <c r="J404" s="7"/>
    </row>
    <row r="405" spans="1:10" hidden="1">
      <c r="A405" s="4" t="s">
        <v>807</v>
      </c>
      <c r="B405" s="4" t="s">
        <v>825</v>
      </c>
      <c r="C405" s="4" t="s">
        <v>1617</v>
      </c>
      <c r="D405" s="4" t="s">
        <v>820</v>
      </c>
      <c r="E405" s="4" t="s">
        <v>1618</v>
      </c>
      <c r="F405" s="4"/>
      <c r="G405" s="7"/>
      <c r="H405" s="4">
        <v>0</v>
      </c>
      <c r="I405" s="7">
        <v>0</v>
      </c>
      <c r="J405" s="7"/>
    </row>
    <row r="406" spans="1:10" hidden="1">
      <c r="A406" s="4" t="s">
        <v>807</v>
      </c>
      <c r="B406" s="4" t="s">
        <v>825</v>
      </c>
      <c r="C406" s="4" t="s">
        <v>1619</v>
      </c>
      <c r="D406" s="4" t="s">
        <v>820</v>
      </c>
      <c r="E406" s="4" t="s">
        <v>1620</v>
      </c>
      <c r="F406" s="4"/>
      <c r="G406" s="7"/>
      <c r="H406" s="4">
        <v>0</v>
      </c>
      <c r="I406" s="7">
        <v>0</v>
      </c>
      <c r="J406" s="7"/>
    </row>
    <row r="407" spans="1:10" hidden="1">
      <c r="A407" s="4" t="s">
        <v>807</v>
      </c>
      <c r="B407" s="4" t="s">
        <v>808</v>
      </c>
      <c r="C407" s="4" t="s">
        <v>1621</v>
      </c>
      <c r="D407" s="4" t="s">
        <v>820</v>
      </c>
      <c r="E407" s="4" t="s">
        <v>1622</v>
      </c>
      <c r="F407" s="4"/>
      <c r="G407" s="7"/>
      <c r="H407" s="4">
        <v>0</v>
      </c>
      <c r="I407" s="7">
        <v>0</v>
      </c>
      <c r="J407" s="7"/>
    </row>
    <row r="408" spans="1:10" hidden="1">
      <c r="A408" s="4" t="s">
        <v>807</v>
      </c>
      <c r="B408" s="4" t="s">
        <v>811</v>
      </c>
      <c r="C408" s="4" t="s">
        <v>1623</v>
      </c>
      <c r="D408" s="4" t="s">
        <v>820</v>
      </c>
      <c r="E408" s="4" t="s">
        <v>1624</v>
      </c>
      <c r="F408" s="4"/>
      <c r="G408" s="7"/>
      <c r="H408" s="4">
        <v>0</v>
      </c>
      <c r="I408" s="7">
        <v>0</v>
      </c>
      <c r="J408" s="7"/>
    </row>
    <row r="409" spans="1:10" hidden="1">
      <c r="A409" s="4" t="s">
        <v>887</v>
      </c>
      <c r="B409" s="4" t="s">
        <v>811</v>
      </c>
      <c r="C409" s="4" t="s">
        <v>1625</v>
      </c>
      <c r="D409" s="4" t="s">
        <v>820</v>
      </c>
      <c r="E409" s="4" t="s">
        <v>1626</v>
      </c>
      <c r="F409" s="4"/>
      <c r="G409" s="7"/>
      <c r="H409" s="4">
        <v>0</v>
      </c>
      <c r="I409" s="7">
        <v>0</v>
      </c>
      <c r="J409" s="7"/>
    </row>
    <row r="410" spans="1:10">
      <c r="A410" s="4" t="s">
        <v>1051</v>
      </c>
      <c r="B410" s="4" t="s">
        <v>1051</v>
      </c>
      <c r="C410" s="4" t="s">
        <v>1627</v>
      </c>
      <c r="D410" s="4" t="s">
        <v>820</v>
      </c>
      <c r="E410" s="4" t="s">
        <v>1628</v>
      </c>
      <c r="F410" s="4"/>
      <c r="G410" s="7"/>
      <c r="H410" s="4">
        <v>0</v>
      </c>
      <c r="I410" s="7">
        <v>0</v>
      </c>
      <c r="J410" s="7"/>
    </row>
    <row r="411" spans="1:10" hidden="1">
      <c r="A411" s="4" t="s">
        <v>807</v>
      </c>
      <c r="B411" s="4" t="s">
        <v>811</v>
      </c>
      <c r="C411" s="4" t="s">
        <v>1629</v>
      </c>
      <c r="D411" s="4" t="s">
        <v>820</v>
      </c>
      <c r="E411" s="4" t="s">
        <v>1630</v>
      </c>
      <c r="F411" s="4"/>
      <c r="G411" s="7"/>
      <c r="H411" s="4">
        <v>0</v>
      </c>
      <c r="I411" s="7">
        <v>0</v>
      </c>
      <c r="J411" s="7"/>
    </row>
    <row r="412" spans="1:10" hidden="1">
      <c r="A412" s="4" t="s">
        <v>807</v>
      </c>
      <c r="B412" s="4" t="s">
        <v>808</v>
      </c>
      <c r="C412" s="4" t="s">
        <v>1631</v>
      </c>
      <c r="D412" s="4" t="s">
        <v>820</v>
      </c>
      <c r="E412" s="4" t="s">
        <v>1632</v>
      </c>
      <c r="F412" s="4"/>
      <c r="G412" s="7"/>
      <c r="H412" s="4">
        <v>0</v>
      </c>
      <c r="I412" s="7">
        <v>0</v>
      </c>
      <c r="J412" s="7"/>
    </row>
    <row r="413" spans="1:10" hidden="1">
      <c r="A413" s="4" t="s">
        <v>807</v>
      </c>
      <c r="B413" s="4" t="s">
        <v>825</v>
      </c>
      <c r="C413" s="4" t="s">
        <v>1633</v>
      </c>
      <c r="D413" s="4" t="s">
        <v>820</v>
      </c>
      <c r="E413" s="4" t="s">
        <v>1634</v>
      </c>
      <c r="F413" s="4"/>
      <c r="G413" s="7"/>
      <c r="H413" s="4">
        <v>0</v>
      </c>
      <c r="I413" s="7">
        <v>0</v>
      </c>
      <c r="J413" s="7"/>
    </row>
    <row r="414" spans="1:10" hidden="1">
      <c r="A414" s="4" t="s">
        <v>807</v>
      </c>
      <c r="B414" s="4" t="s">
        <v>825</v>
      </c>
      <c r="C414" s="4" t="s">
        <v>1635</v>
      </c>
      <c r="D414" s="4" t="s">
        <v>820</v>
      </c>
      <c r="E414" s="4" t="s">
        <v>1636</v>
      </c>
      <c r="F414" s="4"/>
      <c r="G414" s="7"/>
      <c r="H414" s="4">
        <v>0</v>
      </c>
      <c r="I414" s="7">
        <v>0</v>
      </c>
      <c r="J414" s="7"/>
    </row>
    <row r="415" spans="1:10" hidden="1">
      <c r="A415" s="4" t="s">
        <v>807</v>
      </c>
      <c r="B415" s="4" t="s">
        <v>825</v>
      </c>
      <c r="C415" s="4" t="s">
        <v>1637</v>
      </c>
      <c r="D415" s="4" t="s">
        <v>820</v>
      </c>
      <c r="E415" s="4" t="s">
        <v>1638</v>
      </c>
      <c r="F415" s="4"/>
      <c r="G415" s="7"/>
      <c r="H415" s="4">
        <v>0</v>
      </c>
      <c r="I415" s="7">
        <v>0</v>
      </c>
      <c r="J415" s="7"/>
    </row>
    <row r="416" spans="1:10" hidden="1">
      <c r="A416" s="4" t="s">
        <v>807</v>
      </c>
      <c r="B416" s="4" t="s">
        <v>825</v>
      </c>
      <c r="C416" s="4" t="s">
        <v>1639</v>
      </c>
      <c r="D416" s="4" t="s">
        <v>820</v>
      </c>
      <c r="E416" s="4" t="s">
        <v>1640</v>
      </c>
      <c r="F416" s="4"/>
      <c r="G416" s="7"/>
      <c r="H416" s="4">
        <v>0</v>
      </c>
      <c r="I416" s="7">
        <v>0</v>
      </c>
      <c r="J416" s="7"/>
    </row>
    <row r="417" spans="1:10" hidden="1">
      <c r="A417" s="4" t="s">
        <v>807</v>
      </c>
      <c r="B417" s="4" t="s">
        <v>825</v>
      </c>
      <c r="C417" s="4" t="s">
        <v>1641</v>
      </c>
      <c r="D417" s="4" t="s">
        <v>820</v>
      </c>
      <c r="E417" s="4" t="s">
        <v>1642</v>
      </c>
      <c r="F417" s="4"/>
      <c r="G417" s="7"/>
      <c r="H417" s="4">
        <v>0</v>
      </c>
      <c r="I417" s="7">
        <v>0</v>
      </c>
      <c r="J417" s="7"/>
    </row>
    <row r="418" spans="1:10" hidden="1">
      <c r="A418" s="4" t="s">
        <v>807</v>
      </c>
      <c r="B418" s="4" t="s">
        <v>825</v>
      </c>
      <c r="C418" s="4" t="s">
        <v>1643</v>
      </c>
      <c r="D418" s="4" t="s">
        <v>820</v>
      </c>
      <c r="E418" s="4" t="s">
        <v>1644</v>
      </c>
      <c r="F418" s="4"/>
      <c r="G418" s="7"/>
      <c r="H418" s="4">
        <v>0</v>
      </c>
      <c r="I418" s="7">
        <v>0</v>
      </c>
      <c r="J418" s="7"/>
    </row>
    <row r="419" spans="1:10" hidden="1">
      <c r="A419" s="4" t="s">
        <v>807</v>
      </c>
      <c r="B419" s="4" t="s">
        <v>808</v>
      </c>
      <c r="C419" s="4" t="s">
        <v>1645</v>
      </c>
      <c r="D419" s="4" t="s">
        <v>820</v>
      </c>
      <c r="E419" s="4" t="s">
        <v>1646</v>
      </c>
      <c r="F419" s="4"/>
      <c r="G419" s="7"/>
      <c r="H419" s="4">
        <v>0</v>
      </c>
      <c r="I419" s="7">
        <v>0</v>
      </c>
      <c r="J419" s="7"/>
    </row>
    <row r="420" spans="1:10" hidden="1">
      <c r="A420" s="4" t="s">
        <v>807</v>
      </c>
      <c r="B420" s="4" t="s">
        <v>808</v>
      </c>
      <c r="C420" s="4" t="s">
        <v>1647</v>
      </c>
      <c r="D420" s="4" t="s">
        <v>820</v>
      </c>
      <c r="E420" s="4" t="s">
        <v>1648</v>
      </c>
      <c r="F420" s="4"/>
      <c r="G420" s="7"/>
      <c r="H420" s="4">
        <v>0</v>
      </c>
      <c r="I420" s="7">
        <v>0</v>
      </c>
      <c r="J420" s="7"/>
    </row>
    <row r="421" spans="1:10" hidden="1">
      <c r="A421" s="4" t="s">
        <v>807</v>
      </c>
      <c r="B421" s="4" t="s">
        <v>808</v>
      </c>
      <c r="C421" s="4" t="s">
        <v>1649</v>
      </c>
      <c r="D421" s="4" t="s">
        <v>820</v>
      </c>
      <c r="E421" s="4" t="s">
        <v>1650</v>
      </c>
      <c r="F421" s="4"/>
      <c r="G421" s="7"/>
      <c r="H421" s="4">
        <v>0</v>
      </c>
      <c r="I421" s="7">
        <v>0</v>
      </c>
      <c r="J421" s="7"/>
    </row>
    <row r="422" spans="1:10" hidden="1">
      <c r="A422" s="4" t="s">
        <v>807</v>
      </c>
      <c r="B422" s="4" t="s">
        <v>825</v>
      </c>
      <c r="C422" s="4" t="s">
        <v>1651</v>
      </c>
      <c r="D422" s="4" t="s">
        <v>820</v>
      </c>
      <c r="E422" s="4" t="s">
        <v>1652</v>
      </c>
      <c r="F422" s="4"/>
      <c r="G422" s="7"/>
      <c r="H422" s="4">
        <v>0</v>
      </c>
      <c r="I422" s="7">
        <v>0</v>
      </c>
      <c r="J422" s="7"/>
    </row>
    <row r="423" spans="1:10" hidden="1">
      <c r="A423" s="4" t="s">
        <v>807</v>
      </c>
      <c r="B423" s="4" t="s">
        <v>811</v>
      </c>
      <c r="C423" s="4" t="s">
        <v>1653</v>
      </c>
      <c r="D423" s="4" t="s">
        <v>820</v>
      </c>
      <c r="E423" s="4" t="s">
        <v>1654</v>
      </c>
      <c r="F423" s="4"/>
      <c r="G423" s="7"/>
      <c r="H423" s="4">
        <v>0</v>
      </c>
      <c r="I423" s="7">
        <v>0</v>
      </c>
      <c r="J423" s="7"/>
    </row>
    <row r="424" spans="1:10" hidden="1">
      <c r="A424" s="4" t="s">
        <v>807</v>
      </c>
      <c r="B424" s="4" t="s">
        <v>825</v>
      </c>
      <c r="C424" s="4" t="s">
        <v>1655</v>
      </c>
      <c r="D424" s="4" t="s">
        <v>820</v>
      </c>
      <c r="E424" s="4" t="s">
        <v>1656</v>
      </c>
      <c r="F424" s="4"/>
      <c r="G424" s="7"/>
      <c r="H424" s="4">
        <v>0</v>
      </c>
      <c r="I424" s="7">
        <v>0</v>
      </c>
      <c r="J424" s="7"/>
    </row>
    <row r="425" spans="1:10" hidden="1">
      <c r="A425" s="4" t="s">
        <v>807</v>
      </c>
      <c r="B425" s="4" t="s">
        <v>825</v>
      </c>
      <c r="C425" s="4" t="s">
        <v>1657</v>
      </c>
      <c r="D425" s="4" t="s">
        <v>820</v>
      </c>
      <c r="E425" s="4" t="s">
        <v>1658</v>
      </c>
      <c r="F425" s="4"/>
      <c r="G425" s="7"/>
      <c r="H425" s="4">
        <v>0</v>
      </c>
      <c r="I425" s="7">
        <v>0</v>
      </c>
      <c r="J425" s="7"/>
    </row>
    <row r="426" spans="1:10" hidden="1">
      <c r="A426" s="4" t="s">
        <v>807</v>
      </c>
      <c r="B426" s="4" t="s">
        <v>825</v>
      </c>
      <c r="C426" s="4" t="s">
        <v>1659</v>
      </c>
      <c r="D426" s="4" t="s">
        <v>820</v>
      </c>
      <c r="E426" s="4" t="s">
        <v>1660</v>
      </c>
      <c r="F426" s="4"/>
      <c r="G426" s="7"/>
      <c r="H426" s="4">
        <v>0</v>
      </c>
      <c r="I426" s="7">
        <v>0</v>
      </c>
      <c r="J426" s="7"/>
    </row>
    <row r="427" spans="1:10" hidden="1">
      <c r="A427" s="4" t="s">
        <v>807</v>
      </c>
      <c r="B427" s="4" t="s">
        <v>811</v>
      </c>
      <c r="C427" s="4" t="s">
        <v>1661</v>
      </c>
      <c r="D427" s="4" t="s">
        <v>820</v>
      </c>
      <c r="E427" s="4" t="s">
        <v>1662</v>
      </c>
      <c r="F427" s="4"/>
      <c r="G427" s="7"/>
      <c r="H427" s="4">
        <v>0</v>
      </c>
      <c r="I427" s="7">
        <v>0</v>
      </c>
      <c r="J427" s="7"/>
    </row>
    <row r="428" spans="1:10" hidden="1">
      <c r="A428" s="4" t="s">
        <v>807</v>
      </c>
      <c r="B428" s="4" t="s">
        <v>811</v>
      </c>
      <c r="C428" s="4" t="s">
        <v>1663</v>
      </c>
      <c r="D428" s="4" t="s">
        <v>820</v>
      </c>
      <c r="E428" s="4" t="s">
        <v>1664</v>
      </c>
      <c r="F428" s="4"/>
      <c r="G428" s="7"/>
      <c r="H428" s="4">
        <v>0</v>
      </c>
      <c r="I428" s="7">
        <v>0</v>
      </c>
      <c r="J428" s="7"/>
    </row>
    <row r="429" spans="1:10" hidden="1">
      <c r="A429" s="4" t="s">
        <v>807</v>
      </c>
      <c r="B429" s="4" t="s">
        <v>811</v>
      </c>
      <c r="C429" s="4" t="s">
        <v>1665</v>
      </c>
      <c r="D429" s="4" t="s">
        <v>820</v>
      </c>
      <c r="E429" s="4" t="s">
        <v>1666</v>
      </c>
      <c r="F429" s="4"/>
      <c r="G429" s="7"/>
      <c r="H429" s="4">
        <v>0</v>
      </c>
      <c r="I429" s="7">
        <v>0</v>
      </c>
      <c r="J429" s="7"/>
    </row>
    <row r="430" spans="1:10" hidden="1">
      <c r="A430" s="4" t="s">
        <v>807</v>
      </c>
      <c r="B430" s="4" t="s">
        <v>811</v>
      </c>
      <c r="C430" s="4" t="s">
        <v>1667</v>
      </c>
      <c r="D430" s="4" t="s">
        <v>820</v>
      </c>
      <c r="E430" s="4" t="s">
        <v>1668</v>
      </c>
      <c r="F430" s="4"/>
      <c r="G430" s="7"/>
      <c r="H430" s="4">
        <v>0</v>
      </c>
      <c r="I430" s="7">
        <v>0</v>
      </c>
      <c r="J430" s="7"/>
    </row>
    <row r="431" spans="1:10" hidden="1">
      <c r="A431" s="4" t="s">
        <v>807</v>
      </c>
      <c r="B431" s="4" t="s">
        <v>811</v>
      </c>
      <c r="C431" s="4" t="s">
        <v>1669</v>
      </c>
      <c r="D431" s="4" t="s">
        <v>820</v>
      </c>
      <c r="E431" s="4" t="s">
        <v>1670</v>
      </c>
      <c r="F431" s="4"/>
      <c r="G431" s="7"/>
      <c r="H431" s="4">
        <v>0</v>
      </c>
      <c r="I431" s="7">
        <v>0</v>
      </c>
      <c r="J431" s="7"/>
    </row>
    <row r="432" spans="1:10" hidden="1">
      <c r="A432" s="4" t="s">
        <v>807</v>
      </c>
      <c r="B432" s="4" t="s">
        <v>808</v>
      </c>
      <c r="C432" s="4" t="s">
        <v>1671</v>
      </c>
      <c r="D432" s="4" t="s">
        <v>820</v>
      </c>
      <c r="E432" s="4" t="s">
        <v>1672</v>
      </c>
      <c r="F432" s="4"/>
      <c r="G432" s="7"/>
      <c r="H432" s="4">
        <v>0</v>
      </c>
      <c r="I432" s="7">
        <v>0</v>
      </c>
      <c r="J432" s="7"/>
    </row>
    <row r="433" spans="1:10" hidden="1">
      <c r="A433" s="4" t="s">
        <v>807</v>
      </c>
      <c r="B433" s="4" t="s">
        <v>808</v>
      </c>
      <c r="C433" s="4" t="s">
        <v>1673</v>
      </c>
      <c r="D433" s="4" t="s">
        <v>820</v>
      </c>
      <c r="E433" s="4" t="s">
        <v>1674</v>
      </c>
      <c r="F433" s="4"/>
      <c r="G433" s="7"/>
      <c r="H433" s="4">
        <v>0</v>
      </c>
      <c r="I433" s="7">
        <v>0</v>
      </c>
      <c r="J433" s="7"/>
    </row>
    <row r="434" spans="1:10" hidden="1">
      <c r="A434" s="4" t="s">
        <v>807</v>
      </c>
      <c r="B434" s="4" t="s">
        <v>811</v>
      </c>
      <c r="C434" s="4" t="s">
        <v>1675</v>
      </c>
      <c r="D434" s="4" t="s">
        <v>820</v>
      </c>
      <c r="E434" s="4" t="s">
        <v>1676</v>
      </c>
      <c r="F434" s="4"/>
      <c r="G434" s="7"/>
      <c r="H434" s="4">
        <v>0</v>
      </c>
      <c r="I434" s="7">
        <v>0</v>
      </c>
      <c r="J434" s="7"/>
    </row>
    <row r="435" spans="1:10" hidden="1">
      <c r="A435" s="4" t="s">
        <v>807</v>
      </c>
      <c r="B435" s="4" t="s">
        <v>808</v>
      </c>
      <c r="C435" s="4" t="s">
        <v>1677</v>
      </c>
      <c r="D435" s="4" t="s">
        <v>820</v>
      </c>
      <c r="E435" s="4" t="s">
        <v>1678</v>
      </c>
      <c r="F435" s="4"/>
      <c r="G435" s="7"/>
      <c r="H435" s="4">
        <v>0</v>
      </c>
      <c r="I435" s="7">
        <v>0</v>
      </c>
      <c r="J435" s="7"/>
    </row>
    <row r="436" spans="1:10" hidden="1">
      <c r="A436" s="4" t="s">
        <v>807</v>
      </c>
      <c r="B436" s="4" t="s">
        <v>808</v>
      </c>
      <c r="C436" s="4" t="s">
        <v>1679</v>
      </c>
      <c r="D436" s="4" t="s">
        <v>820</v>
      </c>
      <c r="E436" s="4" t="s">
        <v>1680</v>
      </c>
      <c r="F436" s="4"/>
      <c r="G436" s="7"/>
      <c r="H436" s="4">
        <v>0</v>
      </c>
      <c r="I436" s="7">
        <v>0</v>
      </c>
      <c r="J436" s="7"/>
    </row>
    <row r="437" spans="1:10" hidden="1">
      <c r="A437" s="4" t="s">
        <v>807</v>
      </c>
      <c r="B437" s="4" t="s">
        <v>808</v>
      </c>
      <c r="C437" s="4" t="s">
        <v>1681</v>
      </c>
      <c r="D437" s="4" t="s">
        <v>820</v>
      </c>
      <c r="E437" s="4" t="s">
        <v>1682</v>
      </c>
      <c r="F437" s="4"/>
      <c r="G437" s="7"/>
      <c r="H437" s="4">
        <v>0</v>
      </c>
      <c r="I437" s="7">
        <v>0</v>
      </c>
      <c r="J437" s="7"/>
    </row>
    <row r="438" spans="1:10" hidden="1">
      <c r="A438" s="4" t="s">
        <v>807</v>
      </c>
      <c r="B438" s="4" t="s">
        <v>808</v>
      </c>
      <c r="C438" s="4" t="s">
        <v>1683</v>
      </c>
      <c r="D438" s="4" t="s">
        <v>820</v>
      </c>
      <c r="E438" s="4" t="s">
        <v>1684</v>
      </c>
      <c r="F438" s="4"/>
      <c r="G438" s="7"/>
      <c r="H438" s="4">
        <v>0</v>
      </c>
      <c r="I438" s="7">
        <v>0</v>
      </c>
      <c r="J438" s="7"/>
    </row>
    <row r="439" spans="1:10" hidden="1">
      <c r="A439" s="4" t="s">
        <v>807</v>
      </c>
      <c r="B439" s="4" t="s">
        <v>811</v>
      </c>
      <c r="C439" s="4" t="s">
        <v>1685</v>
      </c>
      <c r="D439" s="4" t="s">
        <v>820</v>
      </c>
      <c r="E439" s="4" t="s">
        <v>1686</v>
      </c>
      <c r="F439" s="4"/>
      <c r="G439" s="7"/>
      <c r="H439" s="4">
        <v>0</v>
      </c>
      <c r="I439" s="7">
        <v>0</v>
      </c>
      <c r="J439" s="7"/>
    </row>
    <row r="440" spans="1:10" hidden="1">
      <c r="A440" s="4" t="s">
        <v>807</v>
      </c>
      <c r="B440" s="4" t="s">
        <v>808</v>
      </c>
      <c r="C440" s="4" t="s">
        <v>1687</v>
      </c>
      <c r="D440" s="4" t="s">
        <v>820</v>
      </c>
      <c r="E440" s="4" t="s">
        <v>1688</v>
      </c>
      <c r="F440" s="4"/>
      <c r="G440" s="7"/>
      <c r="H440" s="4">
        <v>0</v>
      </c>
      <c r="I440" s="7">
        <v>0</v>
      </c>
      <c r="J440" s="7"/>
    </row>
    <row r="441" spans="1:10" hidden="1">
      <c r="A441" s="4" t="s">
        <v>807</v>
      </c>
      <c r="B441" s="4" t="s">
        <v>808</v>
      </c>
      <c r="C441" s="4" t="s">
        <v>1689</v>
      </c>
      <c r="D441" s="4" t="s">
        <v>820</v>
      </c>
      <c r="E441" s="4" t="s">
        <v>1690</v>
      </c>
      <c r="F441" s="4"/>
      <c r="G441" s="7"/>
      <c r="H441" s="4">
        <v>0</v>
      </c>
      <c r="I441" s="7">
        <v>0</v>
      </c>
      <c r="J441" s="7"/>
    </row>
    <row r="442" spans="1:10" hidden="1">
      <c r="A442" s="4" t="s">
        <v>807</v>
      </c>
      <c r="B442" s="4" t="s">
        <v>808</v>
      </c>
      <c r="C442" s="4" t="s">
        <v>1691</v>
      </c>
      <c r="D442" s="4" t="s">
        <v>820</v>
      </c>
      <c r="E442" s="4" t="s">
        <v>1692</v>
      </c>
      <c r="F442" s="4"/>
      <c r="G442" s="7"/>
      <c r="H442" s="4">
        <v>0</v>
      </c>
      <c r="I442" s="7">
        <v>0</v>
      </c>
      <c r="J442" s="7"/>
    </row>
    <row r="443" spans="1:10" hidden="1">
      <c r="A443" s="4" t="s">
        <v>807</v>
      </c>
      <c r="B443" s="4" t="s">
        <v>808</v>
      </c>
      <c r="C443" s="4" t="s">
        <v>1693</v>
      </c>
      <c r="D443" s="4" t="s">
        <v>820</v>
      </c>
      <c r="E443" s="4" t="s">
        <v>1694</v>
      </c>
      <c r="F443" s="4"/>
      <c r="G443" s="7"/>
      <c r="H443" s="4">
        <v>0</v>
      </c>
      <c r="I443" s="7">
        <v>0</v>
      </c>
      <c r="J443" s="7"/>
    </row>
    <row r="444" spans="1:10" hidden="1">
      <c r="A444" s="4" t="s">
        <v>807</v>
      </c>
      <c r="B444" s="4" t="s">
        <v>808</v>
      </c>
      <c r="C444" s="4" t="s">
        <v>1695</v>
      </c>
      <c r="D444" s="4" t="s">
        <v>820</v>
      </c>
      <c r="E444" s="4" t="s">
        <v>1696</v>
      </c>
      <c r="F444" s="4"/>
      <c r="G444" s="7"/>
      <c r="H444" s="4">
        <v>0</v>
      </c>
      <c r="I444" s="7">
        <v>0</v>
      </c>
      <c r="J444" s="7"/>
    </row>
    <row r="445" spans="1:10" hidden="1">
      <c r="A445" s="4" t="s">
        <v>807</v>
      </c>
      <c r="B445" s="4" t="s">
        <v>808</v>
      </c>
      <c r="C445" s="4" t="s">
        <v>1697</v>
      </c>
      <c r="D445" s="4" t="s">
        <v>820</v>
      </c>
      <c r="E445" s="4" t="s">
        <v>1698</v>
      </c>
      <c r="F445" s="4"/>
      <c r="G445" s="7"/>
      <c r="H445" s="4">
        <v>0</v>
      </c>
      <c r="I445" s="7">
        <v>0</v>
      </c>
      <c r="J445" s="7"/>
    </row>
    <row r="446" spans="1:10" hidden="1">
      <c r="A446" s="4" t="s">
        <v>807</v>
      </c>
      <c r="B446" s="4" t="s">
        <v>808</v>
      </c>
      <c r="C446" s="4" t="s">
        <v>1699</v>
      </c>
      <c r="D446" s="4" t="s">
        <v>820</v>
      </c>
      <c r="E446" s="4" t="s">
        <v>1700</v>
      </c>
      <c r="F446" s="4"/>
      <c r="G446" s="7"/>
      <c r="H446" s="4">
        <v>0</v>
      </c>
      <c r="I446" s="7">
        <v>0</v>
      </c>
      <c r="J446" s="7"/>
    </row>
    <row r="447" spans="1:10" hidden="1">
      <c r="A447" s="4" t="s">
        <v>807</v>
      </c>
      <c r="B447" s="4" t="s">
        <v>808</v>
      </c>
      <c r="C447" s="4" t="s">
        <v>1701</v>
      </c>
      <c r="D447" s="4" t="s">
        <v>820</v>
      </c>
      <c r="E447" s="4" t="s">
        <v>1702</v>
      </c>
      <c r="F447" s="4"/>
      <c r="G447" s="7"/>
      <c r="H447" s="4">
        <v>0</v>
      </c>
      <c r="I447" s="7">
        <v>0</v>
      </c>
      <c r="J447" s="7"/>
    </row>
    <row r="448" spans="1:10" hidden="1">
      <c r="A448" s="4" t="s">
        <v>807</v>
      </c>
      <c r="B448" s="4" t="s">
        <v>808</v>
      </c>
      <c r="C448" s="4" t="s">
        <v>1703</v>
      </c>
      <c r="D448" s="4" t="s">
        <v>820</v>
      </c>
      <c r="E448" s="4" t="s">
        <v>1704</v>
      </c>
      <c r="F448" s="4"/>
      <c r="G448" s="7"/>
      <c r="H448" s="4">
        <v>0</v>
      </c>
      <c r="I448" s="7">
        <v>0</v>
      </c>
      <c r="J448" s="7"/>
    </row>
    <row r="449" spans="1:10" hidden="1">
      <c r="A449" s="4" t="s">
        <v>807</v>
      </c>
      <c r="B449" s="4" t="s">
        <v>808</v>
      </c>
      <c r="C449" s="4" t="s">
        <v>1705</v>
      </c>
      <c r="D449" s="4" t="s">
        <v>820</v>
      </c>
      <c r="E449" s="4" t="s">
        <v>1706</v>
      </c>
      <c r="F449" s="4"/>
      <c r="G449" s="7"/>
      <c r="H449" s="4">
        <v>0</v>
      </c>
      <c r="I449" s="7">
        <v>0</v>
      </c>
      <c r="J449" s="7"/>
    </row>
    <row r="450" spans="1:10" hidden="1">
      <c r="A450" s="4" t="s">
        <v>807</v>
      </c>
      <c r="B450" s="4" t="s">
        <v>811</v>
      </c>
      <c r="C450" s="4" t="s">
        <v>1707</v>
      </c>
      <c r="D450" s="4" t="s">
        <v>820</v>
      </c>
      <c r="E450" s="4" t="s">
        <v>1708</v>
      </c>
      <c r="F450" s="4"/>
      <c r="G450" s="7"/>
      <c r="H450" s="4">
        <v>0</v>
      </c>
      <c r="I450" s="7">
        <v>0</v>
      </c>
      <c r="J450" s="7"/>
    </row>
    <row r="451" spans="1:10" hidden="1">
      <c r="A451" s="4" t="s">
        <v>807</v>
      </c>
      <c r="B451" s="4" t="s">
        <v>808</v>
      </c>
      <c r="C451" s="4" t="s">
        <v>1709</v>
      </c>
      <c r="D451" s="4" t="s">
        <v>820</v>
      </c>
      <c r="E451" s="4" t="s">
        <v>1710</v>
      </c>
      <c r="F451" s="4"/>
      <c r="G451" s="7"/>
      <c r="H451" s="4">
        <v>0</v>
      </c>
      <c r="I451" s="7">
        <v>0</v>
      </c>
      <c r="J451" s="7"/>
    </row>
    <row r="452" spans="1:10" hidden="1">
      <c r="A452" s="4" t="s">
        <v>807</v>
      </c>
      <c r="B452" s="4" t="s">
        <v>811</v>
      </c>
      <c r="C452" s="4" t="s">
        <v>1711</v>
      </c>
      <c r="D452" s="4" t="s">
        <v>820</v>
      </c>
      <c r="E452" s="4" t="s">
        <v>1712</v>
      </c>
      <c r="F452" s="4"/>
      <c r="G452" s="7"/>
      <c r="H452" s="4">
        <v>0</v>
      </c>
      <c r="I452" s="7">
        <v>0</v>
      </c>
      <c r="J452" s="7"/>
    </row>
    <row r="453" spans="1:10" hidden="1">
      <c r="A453" s="4" t="s">
        <v>807</v>
      </c>
      <c r="B453" s="4" t="s">
        <v>808</v>
      </c>
      <c r="C453" s="4" t="s">
        <v>1713</v>
      </c>
      <c r="D453" s="4" t="s">
        <v>820</v>
      </c>
      <c r="E453" s="4" t="s">
        <v>1714</v>
      </c>
      <c r="F453" s="4"/>
      <c r="G453" s="7"/>
      <c r="H453" s="4">
        <v>0</v>
      </c>
      <c r="I453" s="7">
        <v>0</v>
      </c>
      <c r="J453" s="7"/>
    </row>
    <row r="454" spans="1:10" hidden="1">
      <c r="A454" s="4" t="s">
        <v>807</v>
      </c>
      <c r="B454" s="4" t="s">
        <v>808</v>
      </c>
      <c r="C454" s="4" t="s">
        <v>1715</v>
      </c>
      <c r="D454" s="4" t="s">
        <v>820</v>
      </c>
      <c r="E454" s="4" t="s">
        <v>1716</v>
      </c>
      <c r="F454" s="4"/>
      <c r="G454" s="7"/>
      <c r="H454" s="4">
        <v>0</v>
      </c>
      <c r="I454" s="7">
        <v>0</v>
      </c>
      <c r="J454" s="7"/>
    </row>
    <row r="455" spans="1:10" hidden="1">
      <c r="A455" s="4" t="s">
        <v>807</v>
      </c>
      <c r="B455" s="4" t="s">
        <v>811</v>
      </c>
      <c r="C455" s="4" t="s">
        <v>1717</v>
      </c>
      <c r="D455" s="4" t="s">
        <v>820</v>
      </c>
      <c r="E455" s="4" t="s">
        <v>1718</v>
      </c>
      <c r="F455" s="4"/>
      <c r="G455" s="7"/>
      <c r="H455" s="4">
        <v>0</v>
      </c>
      <c r="I455" s="7">
        <v>0</v>
      </c>
      <c r="J455" s="7"/>
    </row>
    <row r="456" spans="1:10" hidden="1">
      <c r="A456" s="4" t="s">
        <v>807</v>
      </c>
      <c r="B456" s="4" t="s">
        <v>811</v>
      </c>
      <c r="C456" s="4" t="s">
        <v>1719</v>
      </c>
      <c r="D456" s="4" t="s">
        <v>820</v>
      </c>
      <c r="E456" s="4" t="s">
        <v>1720</v>
      </c>
      <c r="F456" s="4"/>
      <c r="G456" s="7"/>
      <c r="H456" s="4">
        <v>0</v>
      </c>
      <c r="I456" s="7">
        <v>0</v>
      </c>
      <c r="J456" s="7"/>
    </row>
    <row r="457" spans="1:10" hidden="1">
      <c r="A457" s="4" t="s">
        <v>807</v>
      </c>
      <c r="B457" s="4" t="s">
        <v>811</v>
      </c>
      <c r="C457" s="4" t="s">
        <v>1721</v>
      </c>
      <c r="D457" s="4" t="s">
        <v>820</v>
      </c>
      <c r="E457" s="4" t="s">
        <v>1722</v>
      </c>
      <c r="F457" s="4"/>
      <c r="G457" s="7"/>
      <c r="H457" s="4">
        <v>0</v>
      </c>
      <c r="I457" s="7">
        <v>0</v>
      </c>
      <c r="J457" s="7"/>
    </row>
    <row r="458" spans="1:10" hidden="1">
      <c r="A458" s="4" t="s">
        <v>807</v>
      </c>
      <c r="B458" s="4" t="s">
        <v>811</v>
      </c>
      <c r="C458" s="4" t="s">
        <v>1723</v>
      </c>
      <c r="D458" s="4" t="s">
        <v>820</v>
      </c>
      <c r="E458" s="4" t="s">
        <v>1724</v>
      </c>
      <c r="F458" s="4"/>
      <c r="G458" s="7"/>
      <c r="H458" s="4">
        <v>0</v>
      </c>
      <c r="I458" s="7">
        <v>0</v>
      </c>
      <c r="J458" s="7"/>
    </row>
    <row r="459" spans="1:10" hidden="1">
      <c r="A459" s="4" t="s">
        <v>807</v>
      </c>
      <c r="B459" s="4" t="s">
        <v>811</v>
      </c>
      <c r="C459" s="4" t="s">
        <v>1725</v>
      </c>
      <c r="D459" s="4" t="s">
        <v>820</v>
      </c>
      <c r="E459" s="4" t="s">
        <v>1726</v>
      </c>
      <c r="F459" s="4"/>
      <c r="G459" s="7"/>
      <c r="H459" s="4">
        <v>0</v>
      </c>
      <c r="I459" s="7">
        <v>0</v>
      </c>
      <c r="J459" s="7"/>
    </row>
    <row r="460" spans="1:10" hidden="1">
      <c r="A460" s="4" t="s">
        <v>807</v>
      </c>
      <c r="B460" s="4" t="s">
        <v>808</v>
      </c>
      <c r="C460" s="4" t="s">
        <v>1727</v>
      </c>
      <c r="D460" s="4" t="s">
        <v>820</v>
      </c>
      <c r="E460" s="4" t="s">
        <v>1728</v>
      </c>
      <c r="F460" s="4"/>
      <c r="G460" s="7"/>
      <c r="H460" s="4">
        <v>0</v>
      </c>
      <c r="I460" s="7">
        <v>0</v>
      </c>
      <c r="J460" s="7"/>
    </row>
    <row r="461" spans="1:10" hidden="1">
      <c r="A461" s="4" t="s">
        <v>807</v>
      </c>
      <c r="B461" s="4" t="s">
        <v>811</v>
      </c>
      <c r="C461" s="4" t="s">
        <v>1729</v>
      </c>
      <c r="D461" s="4" t="s">
        <v>820</v>
      </c>
      <c r="E461" s="4" t="s">
        <v>1730</v>
      </c>
      <c r="F461" s="4"/>
      <c r="G461" s="7"/>
      <c r="H461" s="4">
        <v>0</v>
      </c>
      <c r="I461" s="7">
        <v>0</v>
      </c>
      <c r="J461" s="7"/>
    </row>
    <row r="462" spans="1:10" hidden="1">
      <c r="A462" s="4" t="s">
        <v>807</v>
      </c>
      <c r="B462" s="4" t="s">
        <v>811</v>
      </c>
      <c r="C462" s="4" t="s">
        <v>1731</v>
      </c>
      <c r="D462" s="4" t="s">
        <v>820</v>
      </c>
      <c r="E462" s="4" t="s">
        <v>1732</v>
      </c>
      <c r="F462" s="4"/>
      <c r="G462" s="7"/>
      <c r="H462" s="4">
        <v>0</v>
      </c>
      <c r="I462" s="7">
        <v>0</v>
      </c>
      <c r="J462" s="7"/>
    </row>
    <row r="463" spans="1:10" hidden="1">
      <c r="A463" s="4" t="s">
        <v>807</v>
      </c>
      <c r="B463" s="4" t="s">
        <v>811</v>
      </c>
      <c r="C463" s="4" t="s">
        <v>1733</v>
      </c>
      <c r="D463" s="4" t="s">
        <v>820</v>
      </c>
      <c r="E463" s="4" t="s">
        <v>1734</v>
      </c>
      <c r="F463" s="4"/>
      <c r="G463" s="7"/>
      <c r="H463" s="4">
        <v>0</v>
      </c>
      <c r="I463" s="7">
        <v>0</v>
      </c>
      <c r="J463" s="7"/>
    </row>
    <row r="464" spans="1:10" hidden="1">
      <c r="A464" s="4" t="s">
        <v>807</v>
      </c>
      <c r="B464" s="4" t="s">
        <v>811</v>
      </c>
      <c r="C464" s="4" t="s">
        <v>1735</v>
      </c>
      <c r="D464" s="4" t="s">
        <v>820</v>
      </c>
      <c r="E464" s="4" t="s">
        <v>1630</v>
      </c>
      <c r="F464" s="4"/>
      <c r="G464" s="7"/>
      <c r="H464" s="4">
        <v>0</v>
      </c>
      <c r="I464" s="7">
        <v>0</v>
      </c>
      <c r="J464" s="7"/>
    </row>
    <row r="465" spans="1:10" hidden="1">
      <c r="A465" s="4" t="s">
        <v>807</v>
      </c>
      <c r="B465" s="4" t="s">
        <v>811</v>
      </c>
      <c r="C465" s="4" t="s">
        <v>1736</v>
      </c>
      <c r="D465" s="4" t="s">
        <v>820</v>
      </c>
      <c r="E465" s="4" t="s">
        <v>1737</v>
      </c>
      <c r="F465" s="4"/>
      <c r="G465" s="7"/>
      <c r="H465" s="4">
        <v>0</v>
      </c>
      <c r="I465" s="7">
        <v>0</v>
      </c>
      <c r="J465" s="7"/>
    </row>
    <row r="466" spans="1:10" hidden="1">
      <c r="A466" s="4" t="s">
        <v>807</v>
      </c>
      <c r="B466" s="4" t="s">
        <v>811</v>
      </c>
      <c r="C466" s="4" t="s">
        <v>1738</v>
      </c>
      <c r="D466" s="4" t="s">
        <v>820</v>
      </c>
      <c r="E466" s="4" t="s">
        <v>1739</v>
      </c>
      <c r="F466" s="4"/>
      <c r="G466" s="7"/>
      <c r="H466" s="4">
        <v>0</v>
      </c>
      <c r="I466" s="7">
        <v>0</v>
      </c>
      <c r="J466" s="7"/>
    </row>
    <row r="467" spans="1:10" hidden="1">
      <c r="A467" s="4" t="s">
        <v>807</v>
      </c>
      <c r="B467" s="4" t="s">
        <v>811</v>
      </c>
      <c r="C467" s="4" t="s">
        <v>1740</v>
      </c>
      <c r="D467" s="4" t="s">
        <v>820</v>
      </c>
      <c r="E467" s="4" t="s">
        <v>1741</v>
      </c>
      <c r="F467" s="4"/>
      <c r="G467" s="7"/>
      <c r="H467" s="4">
        <v>0</v>
      </c>
      <c r="I467" s="7">
        <v>0</v>
      </c>
      <c r="J467" s="7"/>
    </row>
    <row r="468" spans="1:10" hidden="1">
      <c r="A468" s="4" t="s">
        <v>807</v>
      </c>
      <c r="B468" s="4" t="s">
        <v>808</v>
      </c>
      <c r="C468" s="4" t="s">
        <v>1742</v>
      </c>
      <c r="D468" s="4" t="s">
        <v>820</v>
      </c>
      <c r="E468" s="4" t="s">
        <v>1743</v>
      </c>
      <c r="F468" s="4"/>
      <c r="G468" s="7"/>
      <c r="H468" s="4">
        <v>0</v>
      </c>
      <c r="I468" s="7">
        <v>0</v>
      </c>
      <c r="J468" s="7"/>
    </row>
    <row r="469" spans="1:10" hidden="1">
      <c r="A469" s="4" t="s">
        <v>807</v>
      </c>
      <c r="B469" s="4" t="s">
        <v>808</v>
      </c>
      <c r="C469" s="4" t="s">
        <v>1744</v>
      </c>
      <c r="D469" s="4" t="s">
        <v>820</v>
      </c>
      <c r="E469" s="4" t="s">
        <v>1745</v>
      </c>
      <c r="F469" s="4"/>
      <c r="G469" s="7"/>
      <c r="H469" s="4">
        <v>0</v>
      </c>
      <c r="I469" s="7">
        <v>0</v>
      </c>
      <c r="J469" s="7"/>
    </row>
    <row r="470" spans="1:10" hidden="1">
      <c r="A470" s="4" t="s">
        <v>807</v>
      </c>
      <c r="B470" s="4" t="s">
        <v>808</v>
      </c>
      <c r="C470" s="4" t="s">
        <v>1746</v>
      </c>
      <c r="D470" s="4" t="s">
        <v>820</v>
      </c>
      <c r="E470" s="4" t="s">
        <v>1747</v>
      </c>
      <c r="F470" s="4"/>
      <c r="G470" s="7"/>
      <c r="H470" s="4">
        <v>0</v>
      </c>
      <c r="I470" s="7">
        <v>0</v>
      </c>
      <c r="J470" s="7"/>
    </row>
    <row r="471" spans="1:10" hidden="1">
      <c r="A471" s="4" t="s">
        <v>807</v>
      </c>
      <c r="B471" s="4" t="s">
        <v>808</v>
      </c>
      <c r="C471" s="4" t="s">
        <v>1748</v>
      </c>
      <c r="D471" s="4" t="s">
        <v>820</v>
      </c>
      <c r="E471" s="4" t="s">
        <v>1749</v>
      </c>
      <c r="F471" s="4"/>
      <c r="G471" s="7"/>
      <c r="H471" s="4">
        <v>0</v>
      </c>
      <c r="I471" s="7">
        <v>0</v>
      </c>
      <c r="J471" s="7"/>
    </row>
    <row r="472" spans="1:10" hidden="1">
      <c r="A472" s="4" t="s">
        <v>807</v>
      </c>
      <c r="B472" s="4" t="s">
        <v>808</v>
      </c>
      <c r="C472" s="4" t="s">
        <v>1750</v>
      </c>
      <c r="D472" s="4" t="s">
        <v>820</v>
      </c>
      <c r="E472" s="4" t="s">
        <v>1751</v>
      </c>
      <c r="F472" s="4"/>
      <c r="G472" s="7"/>
      <c r="H472" s="4">
        <v>0</v>
      </c>
      <c r="I472" s="7">
        <v>0</v>
      </c>
      <c r="J472" s="7"/>
    </row>
    <row r="473" spans="1:10" hidden="1">
      <c r="A473" s="4" t="s">
        <v>807</v>
      </c>
      <c r="B473" s="4" t="s">
        <v>811</v>
      </c>
      <c r="C473" s="4" t="s">
        <v>1752</v>
      </c>
      <c r="D473" s="4" t="s">
        <v>820</v>
      </c>
      <c r="E473" s="4" t="s">
        <v>1753</v>
      </c>
      <c r="F473" s="4"/>
      <c r="G473" s="7"/>
      <c r="H473" s="4">
        <v>0</v>
      </c>
      <c r="I473" s="7">
        <v>0</v>
      </c>
      <c r="J473" s="7"/>
    </row>
    <row r="474" spans="1:10" hidden="1">
      <c r="A474" s="4" t="s">
        <v>807</v>
      </c>
      <c r="B474" s="4" t="s">
        <v>811</v>
      </c>
      <c r="C474" s="4" t="s">
        <v>1754</v>
      </c>
      <c r="D474" s="4" t="s">
        <v>820</v>
      </c>
      <c r="E474" s="4" t="s">
        <v>1755</v>
      </c>
      <c r="F474" s="4"/>
      <c r="G474" s="7"/>
      <c r="H474" s="4">
        <v>0</v>
      </c>
      <c r="I474" s="7">
        <v>0</v>
      </c>
      <c r="J474" s="7"/>
    </row>
    <row r="475" spans="1:10" hidden="1">
      <c r="A475" s="4" t="s">
        <v>807</v>
      </c>
      <c r="B475" s="4" t="s">
        <v>808</v>
      </c>
      <c r="C475" s="4" t="s">
        <v>1756</v>
      </c>
      <c r="D475" s="4" t="s">
        <v>820</v>
      </c>
      <c r="E475" s="4" t="s">
        <v>1757</v>
      </c>
      <c r="F475" s="4"/>
      <c r="G475" s="7"/>
      <c r="H475" s="4">
        <v>0</v>
      </c>
      <c r="I475" s="7">
        <v>0</v>
      </c>
      <c r="J475" s="7"/>
    </row>
    <row r="476" spans="1:10" hidden="1">
      <c r="A476" s="4" t="s">
        <v>807</v>
      </c>
      <c r="B476" s="4" t="s">
        <v>811</v>
      </c>
      <c r="C476" s="4" t="s">
        <v>1758</v>
      </c>
      <c r="D476" s="4" t="s">
        <v>820</v>
      </c>
      <c r="E476" s="4" t="s">
        <v>1759</v>
      </c>
      <c r="F476" s="4"/>
      <c r="G476" s="7"/>
      <c r="H476" s="4">
        <v>0</v>
      </c>
      <c r="I476" s="7">
        <v>0</v>
      </c>
      <c r="J476" s="7"/>
    </row>
    <row r="477" spans="1:10" hidden="1">
      <c r="A477" s="4" t="s">
        <v>807</v>
      </c>
      <c r="B477" s="4" t="s">
        <v>808</v>
      </c>
      <c r="C477" s="4" t="s">
        <v>1760</v>
      </c>
      <c r="D477" s="4" t="s">
        <v>820</v>
      </c>
      <c r="E477" s="4" t="s">
        <v>1761</v>
      </c>
      <c r="F477" s="4"/>
      <c r="G477" s="7"/>
      <c r="H477" s="4">
        <v>0</v>
      </c>
      <c r="I477" s="7">
        <v>0</v>
      </c>
      <c r="J477" s="7"/>
    </row>
    <row r="478" spans="1:10" hidden="1">
      <c r="A478" s="4" t="s">
        <v>807</v>
      </c>
      <c r="B478" s="4" t="s">
        <v>808</v>
      </c>
      <c r="C478" s="4" t="s">
        <v>1762</v>
      </c>
      <c r="D478" s="4" t="s">
        <v>820</v>
      </c>
      <c r="E478" s="4" t="s">
        <v>1763</v>
      </c>
      <c r="F478" s="4"/>
      <c r="G478" s="7"/>
      <c r="H478" s="4">
        <v>0</v>
      </c>
      <c r="I478" s="7">
        <v>0</v>
      </c>
      <c r="J478" s="7"/>
    </row>
    <row r="479" spans="1:10" hidden="1">
      <c r="A479" s="4" t="s">
        <v>807</v>
      </c>
      <c r="B479" s="4" t="s">
        <v>808</v>
      </c>
      <c r="C479" s="4" t="s">
        <v>1764</v>
      </c>
      <c r="D479" s="4" t="s">
        <v>820</v>
      </c>
      <c r="E479" s="4" t="s">
        <v>1765</v>
      </c>
      <c r="F479" s="4"/>
      <c r="G479" s="7"/>
      <c r="H479" s="4">
        <v>0</v>
      </c>
      <c r="I479" s="7">
        <v>0</v>
      </c>
      <c r="J479" s="7"/>
    </row>
    <row r="480" spans="1:10" hidden="1">
      <c r="A480" s="4" t="s">
        <v>807</v>
      </c>
      <c r="B480" s="4" t="s">
        <v>808</v>
      </c>
      <c r="C480" s="4" t="s">
        <v>1766</v>
      </c>
      <c r="D480" s="4" t="s">
        <v>820</v>
      </c>
      <c r="E480" s="4" t="s">
        <v>1767</v>
      </c>
      <c r="F480" s="4"/>
      <c r="G480" s="7"/>
      <c r="H480" s="4">
        <v>0</v>
      </c>
      <c r="I480" s="7">
        <v>0</v>
      </c>
      <c r="J480" s="7"/>
    </row>
    <row r="481" spans="1:10" hidden="1">
      <c r="A481" s="4" t="s">
        <v>807</v>
      </c>
      <c r="B481" s="4" t="s">
        <v>808</v>
      </c>
      <c r="C481" s="4" t="s">
        <v>1768</v>
      </c>
      <c r="D481" s="4" t="s">
        <v>820</v>
      </c>
      <c r="E481" s="4" t="s">
        <v>1769</v>
      </c>
      <c r="F481" s="4"/>
      <c r="G481" s="7"/>
      <c r="H481" s="4">
        <v>0</v>
      </c>
      <c r="I481" s="7">
        <v>0</v>
      </c>
      <c r="J481" s="7"/>
    </row>
    <row r="482" spans="1:10" hidden="1">
      <c r="A482" s="4" t="s">
        <v>807</v>
      </c>
      <c r="B482" s="4" t="s">
        <v>811</v>
      </c>
      <c r="C482" s="4" t="s">
        <v>1770</v>
      </c>
      <c r="D482" s="4" t="s">
        <v>820</v>
      </c>
      <c r="E482" s="4" t="s">
        <v>1771</v>
      </c>
      <c r="F482" s="4"/>
      <c r="G482" s="7"/>
      <c r="H482" s="4">
        <v>0</v>
      </c>
      <c r="I482" s="7">
        <v>0</v>
      </c>
      <c r="J482" s="7"/>
    </row>
    <row r="483" spans="1:10" hidden="1">
      <c r="A483" s="4" t="s">
        <v>807</v>
      </c>
      <c r="B483" s="4" t="s">
        <v>811</v>
      </c>
      <c r="C483" s="4" t="s">
        <v>1772</v>
      </c>
      <c r="D483" s="4" t="s">
        <v>820</v>
      </c>
      <c r="E483" s="4" t="s">
        <v>1773</v>
      </c>
      <c r="F483" s="4"/>
      <c r="G483" s="7"/>
      <c r="H483" s="4">
        <v>0</v>
      </c>
      <c r="I483" s="7">
        <v>0</v>
      </c>
      <c r="J483" s="7"/>
    </row>
    <row r="484" spans="1:10" hidden="1">
      <c r="A484" s="4" t="s">
        <v>807</v>
      </c>
      <c r="B484" s="4" t="s">
        <v>811</v>
      </c>
      <c r="C484" s="4" t="s">
        <v>1774</v>
      </c>
      <c r="D484" s="4" t="s">
        <v>820</v>
      </c>
      <c r="E484" s="4" t="s">
        <v>1775</v>
      </c>
      <c r="F484" s="4"/>
      <c r="G484" s="7"/>
      <c r="H484" s="4">
        <v>0</v>
      </c>
      <c r="I484" s="7">
        <v>0</v>
      </c>
      <c r="J484" s="7"/>
    </row>
    <row r="485" spans="1:10" hidden="1">
      <c r="A485" s="4" t="s">
        <v>807</v>
      </c>
      <c r="B485" s="4" t="s">
        <v>811</v>
      </c>
      <c r="C485" s="4" t="s">
        <v>1776</v>
      </c>
      <c r="D485" s="4" t="s">
        <v>820</v>
      </c>
      <c r="E485" s="4" t="s">
        <v>1777</v>
      </c>
      <c r="F485" s="4"/>
      <c r="G485" s="7"/>
      <c r="H485" s="4">
        <v>0</v>
      </c>
      <c r="I485" s="7">
        <v>0</v>
      </c>
      <c r="J485" s="7"/>
    </row>
    <row r="486" spans="1:10" hidden="1">
      <c r="A486" s="4" t="s">
        <v>807</v>
      </c>
      <c r="B486" s="4" t="s">
        <v>808</v>
      </c>
      <c r="C486" s="4" t="s">
        <v>1778</v>
      </c>
      <c r="D486" s="4" t="s">
        <v>820</v>
      </c>
      <c r="E486" s="4" t="s">
        <v>1779</v>
      </c>
      <c r="F486" s="4"/>
      <c r="G486" s="7"/>
      <c r="H486" s="4">
        <v>0</v>
      </c>
      <c r="I486" s="7">
        <v>0</v>
      </c>
      <c r="J486" s="7"/>
    </row>
    <row r="487" spans="1:10" hidden="1">
      <c r="A487" s="4" t="s">
        <v>807</v>
      </c>
      <c r="B487" s="4" t="s">
        <v>808</v>
      </c>
      <c r="C487" s="4" t="s">
        <v>1780</v>
      </c>
      <c r="D487" s="4" t="s">
        <v>820</v>
      </c>
      <c r="E487" s="4" t="s">
        <v>1781</v>
      </c>
      <c r="F487" s="4"/>
      <c r="G487" s="7"/>
      <c r="H487" s="4">
        <v>0</v>
      </c>
      <c r="I487" s="7">
        <v>0</v>
      </c>
      <c r="J487" s="7"/>
    </row>
    <row r="488" spans="1:10" hidden="1">
      <c r="A488" s="4" t="s">
        <v>807</v>
      </c>
      <c r="B488" s="4" t="s">
        <v>808</v>
      </c>
      <c r="C488" s="4" t="s">
        <v>1782</v>
      </c>
      <c r="D488" s="4" t="s">
        <v>820</v>
      </c>
      <c r="E488" s="4" t="s">
        <v>1783</v>
      </c>
      <c r="F488" s="4"/>
      <c r="G488" s="7"/>
      <c r="H488" s="4">
        <v>0</v>
      </c>
      <c r="I488" s="7">
        <v>0</v>
      </c>
      <c r="J488" s="7"/>
    </row>
    <row r="489" spans="1:10" hidden="1">
      <c r="A489" s="4" t="s">
        <v>807</v>
      </c>
      <c r="B489" s="4" t="s">
        <v>808</v>
      </c>
      <c r="C489" s="4" t="s">
        <v>1784</v>
      </c>
      <c r="D489" s="4" t="s">
        <v>820</v>
      </c>
      <c r="E489" s="4" t="s">
        <v>1785</v>
      </c>
      <c r="F489" s="4"/>
      <c r="G489" s="7"/>
      <c r="H489" s="4">
        <v>0</v>
      </c>
      <c r="I489" s="7">
        <v>0</v>
      </c>
      <c r="J489" s="7"/>
    </row>
    <row r="490" spans="1:10" hidden="1">
      <c r="A490" s="4" t="s">
        <v>807</v>
      </c>
      <c r="B490" s="4" t="s">
        <v>808</v>
      </c>
      <c r="C490" s="4" t="s">
        <v>1786</v>
      </c>
      <c r="D490" s="4" t="s">
        <v>820</v>
      </c>
      <c r="E490" s="4" t="s">
        <v>1787</v>
      </c>
      <c r="F490" s="4"/>
      <c r="G490" s="7"/>
      <c r="H490" s="4">
        <v>0</v>
      </c>
      <c r="I490" s="7">
        <v>0</v>
      </c>
      <c r="J490" s="7"/>
    </row>
    <row r="491" spans="1:10" hidden="1">
      <c r="A491" s="4" t="s">
        <v>807</v>
      </c>
      <c r="B491" s="4" t="s">
        <v>808</v>
      </c>
      <c r="C491" s="4" t="s">
        <v>1788</v>
      </c>
      <c r="D491" s="4" t="s">
        <v>820</v>
      </c>
      <c r="E491" s="4" t="s">
        <v>1789</v>
      </c>
      <c r="F491" s="4"/>
      <c r="G491" s="7"/>
      <c r="H491" s="4">
        <v>0</v>
      </c>
      <c r="I491" s="7">
        <v>0</v>
      </c>
      <c r="J491" s="7"/>
    </row>
    <row r="492" spans="1:10" hidden="1">
      <c r="A492" s="4" t="s">
        <v>807</v>
      </c>
      <c r="B492" s="4" t="s">
        <v>811</v>
      </c>
      <c r="C492" s="4" t="s">
        <v>1790</v>
      </c>
      <c r="D492" s="4" t="s">
        <v>820</v>
      </c>
      <c r="E492" s="4" t="s">
        <v>1791</v>
      </c>
      <c r="F492" s="4"/>
      <c r="G492" s="7"/>
      <c r="H492" s="4">
        <v>0</v>
      </c>
      <c r="I492" s="7">
        <v>0</v>
      </c>
      <c r="J492" s="7"/>
    </row>
    <row r="493" spans="1:10" hidden="1">
      <c r="A493" s="4" t="s">
        <v>807</v>
      </c>
      <c r="B493" s="4" t="s">
        <v>811</v>
      </c>
      <c r="C493" s="4" t="s">
        <v>1792</v>
      </c>
      <c r="D493" s="4" t="s">
        <v>820</v>
      </c>
      <c r="E493" s="4" t="s">
        <v>1793</v>
      </c>
      <c r="F493" s="4"/>
      <c r="G493" s="7"/>
      <c r="H493" s="4">
        <v>0</v>
      </c>
      <c r="I493" s="7">
        <v>0</v>
      </c>
      <c r="J493" s="7"/>
    </row>
    <row r="494" spans="1:10" hidden="1">
      <c r="A494" s="4" t="s">
        <v>807</v>
      </c>
      <c r="B494" s="4" t="s">
        <v>808</v>
      </c>
      <c r="C494" s="4" t="s">
        <v>1794</v>
      </c>
      <c r="D494" s="4" t="s">
        <v>820</v>
      </c>
      <c r="E494" s="4" t="s">
        <v>1795</v>
      </c>
      <c r="F494" s="4"/>
      <c r="G494" s="7"/>
      <c r="H494" s="4">
        <v>0</v>
      </c>
      <c r="I494" s="7">
        <v>0</v>
      </c>
      <c r="J494" s="7"/>
    </row>
    <row r="495" spans="1:10" hidden="1">
      <c r="A495" s="4" t="s">
        <v>807</v>
      </c>
      <c r="B495" s="4" t="s">
        <v>808</v>
      </c>
      <c r="C495" s="4" t="s">
        <v>1796</v>
      </c>
      <c r="D495" s="4" t="s">
        <v>820</v>
      </c>
      <c r="E495" s="4" t="s">
        <v>1797</v>
      </c>
      <c r="F495" s="4"/>
      <c r="G495" s="7"/>
      <c r="H495" s="4">
        <v>0</v>
      </c>
      <c r="I495" s="7">
        <v>0</v>
      </c>
      <c r="J495" s="7"/>
    </row>
    <row r="496" spans="1:10" hidden="1">
      <c r="A496" s="4" t="s">
        <v>807</v>
      </c>
      <c r="B496" s="4" t="s">
        <v>811</v>
      </c>
      <c r="C496" s="4" t="s">
        <v>1798</v>
      </c>
      <c r="D496" s="4" t="s">
        <v>820</v>
      </c>
      <c r="E496" s="4" t="s">
        <v>1799</v>
      </c>
      <c r="F496" s="4"/>
      <c r="G496" s="7"/>
      <c r="H496" s="4">
        <v>0</v>
      </c>
      <c r="I496" s="7">
        <v>0</v>
      </c>
      <c r="J496" s="7"/>
    </row>
    <row r="497" spans="1:10" hidden="1">
      <c r="A497" s="4" t="s">
        <v>807</v>
      </c>
      <c r="B497" s="4" t="s">
        <v>808</v>
      </c>
      <c r="C497" s="4" t="s">
        <v>1800</v>
      </c>
      <c r="D497" s="4" t="s">
        <v>820</v>
      </c>
      <c r="E497" s="4" t="s">
        <v>1801</v>
      </c>
      <c r="F497" s="4"/>
      <c r="G497" s="7"/>
      <c r="H497" s="4">
        <v>0</v>
      </c>
      <c r="I497" s="7">
        <v>0</v>
      </c>
      <c r="J497" s="7"/>
    </row>
    <row r="498" spans="1:10" hidden="1">
      <c r="A498" s="4" t="s">
        <v>807</v>
      </c>
      <c r="B498" s="4" t="s">
        <v>808</v>
      </c>
      <c r="C498" s="4" t="s">
        <v>1802</v>
      </c>
      <c r="D498" s="4" t="s">
        <v>820</v>
      </c>
      <c r="E498" s="4" t="s">
        <v>1803</v>
      </c>
      <c r="F498" s="4"/>
      <c r="G498" s="7"/>
      <c r="H498" s="4">
        <v>0</v>
      </c>
      <c r="I498" s="7">
        <v>0</v>
      </c>
      <c r="J498" s="7"/>
    </row>
    <row r="499" spans="1:10" hidden="1">
      <c r="A499" s="4" t="s">
        <v>807</v>
      </c>
      <c r="B499" s="4" t="s">
        <v>808</v>
      </c>
      <c r="C499" s="4" t="s">
        <v>1804</v>
      </c>
      <c r="D499" s="4" t="s">
        <v>820</v>
      </c>
      <c r="E499" s="4" t="s">
        <v>1805</v>
      </c>
      <c r="F499" s="4"/>
      <c r="G499" s="7"/>
      <c r="H499" s="4">
        <v>0</v>
      </c>
      <c r="I499" s="7">
        <v>0</v>
      </c>
      <c r="J499" s="7"/>
    </row>
    <row r="500" spans="1:10" hidden="1">
      <c r="A500" s="4" t="s">
        <v>807</v>
      </c>
      <c r="B500" s="4" t="s">
        <v>808</v>
      </c>
      <c r="C500" s="4" t="s">
        <v>1806</v>
      </c>
      <c r="D500" s="4" t="s">
        <v>820</v>
      </c>
      <c r="E500" s="4" t="s">
        <v>1807</v>
      </c>
      <c r="F500" s="4"/>
      <c r="G500" s="7"/>
      <c r="H500" s="4">
        <v>0</v>
      </c>
      <c r="I500" s="7">
        <v>0</v>
      </c>
      <c r="J500" s="7"/>
    </row>
    <row r="501" spans="1:10" hidden="1">
      <c r="A501" s="4" t="s">
        <v>807</v>
      </c>
      <c r="B501" s="4" t="s">
        <v>811</v>
      </c>
      <c r="C501" s="4" t="s">
        <v>1808</v>
      </c>
      <c r="D501" s="4" t="s">
        <v>820</v>
      </c>
      <c r="E501" s="4" t="s">
        <v>1809</v>
      </c>
      <c r="F501" s="4"/>
      <c r="G501" s="7"/>
      <c r="H501" s="4">
        <v>0</v>
      </c>
      <c r="I501" s="7">
        <v>0</v>
      </c>
      <c r="J501" s="7"/>
    </row>
    <row r="502" spans="1:10" hidden="1">
      <c r="A502" s="4" t="s">
        <v>807</v>
      </c>
      <c r="B502" s="4" t="s">
        <v>808</v>
      </c>
      <c r="C502" s="4" t="s">
        <v>1810</v>
      </c>
      <c r="D502" s="4" t="s">
        <v>820</v>
      </c>
      <c r="E502" s="4" t="s">
        <v>1811</v>
      </c>
      <c r="F502" s="4"/>
      <c r="G502" s="7"/>
      <c r="H502" s="4">
        <v>0</v>
      </c>
      <c r="I502" s="7">
        <v>0</v>
      </c>
      <c r="J502" s="7"/>
    </row>
    <row r="503" spans="1:10" hidden="1">
      <c r="A503" s="4" t="s">
        <v>807</v>
      </c>
      <c r="B503" s="4" t="s">
        <v>811</v>
      </c>
      <c r="C503" s="4" t="s">
        <v>1812</v>
      </c>
      <c r="D503" s="4" t="s">
        <v>820</v>
      </c>
      <c r="E503" s="4" t="s">
        <v>1813</v>
      </c>
      <c r="F503" s="4"/>
      <c r="G503" s="7"/>
      <c r="H503" s="4">
        <v>0</v>
      </c>
      <c r="I503" s="7">
        <v>0</v>
      </c>
      <c r="J503" s="7"/>
    </row>
    <row r="504" spans="1:10" hidden="1">
      <c r="A504" s="4" t="s">
        <v>807</v>
      </c>
      <c r="B504" s="4" t="s">
        <v>811</v>
      </c>
      <c r="C504" s="4" t="s">
        <v>1814</v>
      </c>
      <c r="D504" s="4" t="s">
        <v>820</v>
      </c>
      <c r="E504" s="4" t="s">
        <v>1815</v>
      </c>
      <c r="F504" s="4"/>
      <c r="G504" s="7"/>
      <c r="H504" s="4">
        <v>0</v>
      </c>
      <c r="I504" s="7">
        <v>0</v>
      </c>
      <c r="J504" s="7"/>
    </row>
    <row r="505" spans="1:10" hidden="1">
      <c r="A505" s="4" t="s">
        <v>807</v>
      </c>
      <c r="B505" s="4" t="s">
        <v>811</v>
      </c>
      <c r="C505" s="4" t="s">
        <v>1816</v>
      </c>
      <c r="D505" s="4" t="s">
        <v>820</v>
      </c>
      <c r="E505" s="4" t="s">
        <v>1817</v>
      </c>
      <c r="F505" s="4"/>
      <c r="G505" s="7"/>
      <c r="H505" s="4">
        <v>0</v>
      </c>
      <c r="I505" s="7">
        <v>0</v>
      </c>
      <c r="J505" s="7"/>
    </row>
    <row r="506" spans="1:10" hidden="1">
      <c r="A506" s="4" t="s">
        <v>807</v>
      </c>
      <c r="B506" s="4" t="s">
        <v>811</v>
      </c>
      <c r="C506" s="4" t="s">
        <v>1818</v>
      </c>
      <c r="D506" s="4" t="s">
        <v>820</v>
      </c>
      <c r="E506" s="4" t="s">
        <v>1819</v>
      </c>
      <c r="F506" s="4"/>
      <c r="G506" s="7"/>
      <c r="H506" s="4">
        <v>0</v>
      </c>
      <c r="I506" s="7">
        <v>0</v>
      </c>
      <c r="J506" s="7"/>
    </row>
    <row r="507" spans="1:10" hidden="1">
      <c r="A507" s="4" t="s">
        <v>807</v>
      </c>
      <c r="B507" s="4" t="s">
        <v>808</v>
      </c>
      <c r="C507" s="4" t="s">
        <v>1820</v>
      </c>
      <c r="D507" s="4" t="s">
        <v>820</v>
      </c>
      <c r="E507" s="4" t="s">
        <v>1821</v>
      </c>
      <c r="F507" s="4"/>
      <c r="G507" s="7"/>
      <c r="H507" s="4">
        <v>0</v>
      </c>
      <c r="I507" s="7">
        <v>0</v>
      </c>
      <c r="J507" s="7"/>
    </row>
    <row r="508" spans="1:10" hidden="1">
      <c r="A508" s="4" t="s">
        <v>807</v>
      </c>
      <c r="B508" s="4" t="s">
        <v>811</v>
      </c>
      <c r="C508" s="4" t="s">
        <v>1822</v>
      </c>
      <c r="D508" s="4" t="s">
        <v>820</v>
      </c>
      <c r="E508" s="4" t="s">
        <v>1823</v>
      </c>
      <c r="F508" s="4"/>
      <c r="G508" s="7"/>
      <c r="H508" s="4">
        <v>0</v>
      </c>
      <c r="I508" s="7">
        <v>0</v>
      </c>
      <c r="J508" s="7"/>
    </row>
    <row r="509" spans="1:10" hidden="1">
      <c r="A509" s="4" t="s">
        <v>807</v>
      </c>
      <c r="B509" s="4" t="s">
        <v>808</v>
      </c>
      <c r="C509" s="4" t="s">
        <v>1824</v>
      </c>
      <c r="D509" s="4" t="s">
        <v>820</v>
      </c>
      <c r="E509" s="4" t="s">
        <v>1825</v>
      </c>
      <c r="F509" s="4"/>
      <c r="G509" s="7"/>
      <c r="H509" s="4">
        <v>0</v>
      </c>
      <c r="I509" s="7">
        <v>0</v>
      </c>
      <c r="J509" s="7"/>
    </row>
    <row r="510" spans="1:10" hidden="1">
      <c r="A510" s="4" t="s">
        <v>807</v>
      </c>
      <c r="B510" s="4" t="s">
        <v>811</v>
      </c>
      <c r="C510" s="4" t="s">
        <v>1826</v>
      </c>
      <c r="D510" s="4" t="s">
        <v>820</v>
      </c>
      <c r="E510" s="4" t="s">
        <v>1827</v>
      </c>
      <c r="F510" s="4"/>
      <c r="G510" s="7"/>
      <c r="H510" s="4">
        <v>0</v>
      </c>
      <c r="I510" s="7">
        <v>0</v>
      </c>
      <c r="J510" s="7"/>
    </row>
    <row r="511" spans="1:10" hidden="1">
      <c r="A511" s="4" t="s">
        <v>807</v>
      </c>
      <c r="B511" s="4" t="s">
        <v>811</v>
      </c>
      <c r="C511" s="4" t="s">
        <v>1828</v>
      </c>
      <c r="D511" s="4" t="s">
        <v>820</v>
      </c>
      <c r="E511" s="4" t="s">
        <v>1829</v>
      </c>
      <c r="F511" s="4"/>
      <c r="G511" s="7"/>
      <c r="H511" s="4">
        <v>0</v>
      </c>
      <c r="I511" s="7">
        <v>0</v>
      </c>
      <c r="J511" s="7"/>
    </row>
    <row r="512" spans="1:10" hidden="1">
      <c r="A512" s="4" t="s">
        <v>807</v>
      </c>
      <c r="B512" s="4" t="s">
        <v>811</v>
      </c>
      <c r="C512" s="4" t="s">
        <v>1830</v>
      </c>
      <c r="D512" s="4" t="s">
        <v>820</v>
      </c>
      <c r="E512" s="4" t="s">
        <v>1831</v>
      </c>
      <c r="F512" s="4"/>
      <c r="G512" s="7"/>
      <c r="H512" s="4">
        <v>0</v>
      </c>
      <c r="I512" s="7">
        <v>0</v>
      </c>
      <c r="J512" s="7"/>
    </row>
    <row r="513" spans="1:10" hidden="1">
      <c r="A513" s="4" t="s">
        <v>807</v>
      </c>
      <c r="B513" s="4" t="s">
        <v>811</v>
      </c>
      <c r="C513" s="4" t="s">
        <v>1832</v>
      </c>
      <c r="D513" s="4" t="s">
        <v>820</v>
      </c>
      <c r="E513" s="4" t="s">
        <v>1833</v>
      </c>
      <c r="F513" s="4"/>
      <c r="G513" s="7"/>
      <c r="H513" s="4">
        <v>0</v>
      </c>
      <c r="I513" s="7">
        <v>0</v>
      </c>
      <c r="J513" s="7"/>
    </row>
    <row r="514" spans="1:10" hidden="1">
      <c r="A514" s="4" t="s">
        <v>807</v>
      </c>
      <c r="B514" s="4" t="s">
        <v>811</v>
      </c>
      <c r="C514" s="4" t="s">
        <v>1834</v>
      </c>
      <c r="D514" s="4" t="s">
        <v>820</v>
      </c>
      <c r="E514" s="4" t="s">
        <v>1835</v>
      </c>
      <c r="F514" s="4"/>
      <c r="G514" s="7"/>
      <c r="H514" s="4">
        <v>0</v>
      </c>
      <c r="I514" s="7">
        <v>0</v>
      </c>
      <c r="J514" s="7"/>
    </row>
    <row r="515" spans="1:10" hidden="1">
      <c r="A515" s="4" t="s">
        <v>807</v>
      </c>
      <c r="B515" s="4" t="s">
        <v>811</v>
      </c>
      <c r="C515" s="4" t="s">
        <v>1836</v>
      </c>
      <c r="D515" s="4" t="s">
        <v>820</v>
      </c>
      <c r="E515" s="4" t="s">
        <v>1837</v>
      </c>
      <c r="F515" s="4"/>
      <c r="G515" s="7"/>
      <c r="H515" s="4">
        <v>0</v>
      </c>
      <c r="I515" s="7">
        <v>0</v>
      </c>
      <c r="J515" s="7"/>
    </row>
    <row r="516" spans="1:10" hidden="1">
      <c r="A516" s="4" t="s">
        <v>807</v>
      </c>
      <c r="B516" s="4" t="s">
        <v>811</v>
      </c>
      <c r="C516" s="4" t="s">
        <v>1838</v>
      </c>
      <c r="D516" s="4" t="s">
        <v>820</v>
      </c>
      <c r="E516" s="4" t="s">
        <v>1839</v>
      </c>
      <c r="F516" s="4"/>
      <c r="G516" s="7"/>
      <c r="H516" s="4">
        <v>0</v>
      </c>
      <c r="I516" s="7">
        <v>0</v>
      </c>
      <c r="J516" s="7"/>
    </row>
    <row r="517" spans="1:10" hidden="1">
      <c r="A517" s="4" t="s">
        <v>807</v>
      </c>
      <c r="B517" s="4" t="s">
        <v>811</v>
      </c>
      <c r="C517" s="4" t="s">
        <v>1840</v>
      </c>
      <c r="D517" s="4" t="s">
        <v>820</v>
      </c>
      <c r="E517" s="4" t="s">
        <v>1841</v>
      </c>
      <c r="F517" s="4"/>
      <c r="G517" s="7"/>
      <c r="H517" s="4">
        <v>0</v>
      </c>
      <c r="I517" s="7">
        <v>0</v>
      </c>
      <c r="J517" s="7"/>
    </row>
    <row r="518" spans="1:10" hidden="1">
      <c r="A518" s="4" t="s">
        <v>807</v>
      </c>
      <c r="B518" s="4" t="s">
        <v>811</v>
      </c>
      <c r="C518" s="4" t="s">
        <v>1842</v>
      </c>
      <c r="D518" s="4" t="s">
        <v>820</v>
      </c>
      <c r="E518" s="4" t="s">
        <v>1843</v>
      </c>
      <c r="F518" s="4"/>
      <c r="G518" s="7"/>
      <c r="H518" s="4">
        <v>0</v>
      </c>
      <c r="I518" s="7">
        <v>0</v>
      </c>
      <c r="J518" s="7"/>
    </row>
    <row r="519" spans="1:10" hidden="1">
      <c r="A519" s="4" t="s">
        <v>807</v>
      </c>
      <c r="B519" s="4" t="s">
        <v>811</v>
      </c>
      <c r="C519" s="4" t="s">
        <v>1844</v>
      </c>
      <c r="D519" s="4" t="s">
        <v>820</v>
      </c>
      <c r="E519" s="4" t="s">
        <v>1845</v>
      </c>
      <c r="F519" s="4"/>
      <c r="G519" s="7"/>
      <c r="H519" s="4">
        <v>0</v>
      </c>
      <c r="I519" s="7">
        <v>0</v>
      </c>
      <c r="J519" s="7"/>
    </row>
    <row r="520" spans="1:10" hidden="1">
      <c r="A520" s="4" t="s">
        <v>807</v>
      </c>
      <c r="B520" s="4" t="s">
        <v>811</v>
      </c>
      <c r="C520" s="4" t="s">
        <v>1846</v>
      </c>
      <c r="D520" s="4" t="s">
        <v>820</v>
      </c>
      <c r="E520" s="4" t="s">
        <v>1847</v>
      </c>
      <c r="F520" s="4"/>
      <c r="G520" s="7"/>
      <c r="H520" s="4">
        <v>0</v>
      </c>
      <c r="I520" s="7">
        <v>0</v>
      </c>
      <c r="J520" s="7"/>
    </row>
    <row r="521" spans="1:10" hidden="1">
      <c r="A521" s="4" t="s">
        <v>807</v>
      </c>
      <c r="B521" s="4" t="s">
        <v>808</v>
      </c>
      <c r="C521" s="4" t="s">
        <v>1848</v>
      </c>
      <c r="D521" s="4" t="s">
        <v>820</v>
      </c>
      <c r="E521" s="4" t="s">
        <v>1849</v>
      </c>
      <c r="F521" s="4"/>
      <c r="G521" s="7"/>
      <c r="H521" s="4">
        <v>0</v>
      </c>
      <c r="I521" s="7">
        <v>0</v>
      </c>
      <c r="J521" s="7"/>
    </row>
    <row r="522" spans="1:10" hidden="1">
      <c r="A522" s="4" t="s">
        <v>807</v>
      </c>
      <c r="B522" s="4" t="s">
        <v>808</v>
      </c>
      <c r="C522" s="4" t="s">
        <v>1850</v>
      </c>
      <c r="D522" s="4" t="s">
        <v>820</v>
      </c>
      <c r="E522" s="4" t="s">
        <v>1851</v>
      </c>
      <c r="F522" s="4"/>
      <c r="G522" s="7"/>
      <c r="H522" s="4">
        <v>0</v>
      </c>
      <c r="I522" s="7">
        <v>0</v>
      </c>
      <c r="J522" s="7"/>
    </row>
    <row r="523" spans="1:10" hidden="1">
      <c r="A523" s="4" t="s">
        <v>807</v>
      </c>
      <c r="B523" s="4" t="s">
        <v>808</v>
      </c>
      <c r="C523" s="4" t="s">
        <v>1852</v>
      </c>
      <c r="D523" s="4" t="s">
        <v>820</v>
      </c>
      <c r="E523" s="4" t="s">
        <v>1853</v>
      </c>
      <c r="F523" s="4"/>
      <c r="G523" s="7"/>
      <c r="H523" s="4">
        <v>0</v>
      </c>
      <c r="I523" s="7">
        <v>0</v>
      </c>
      <c r="J523" s="7"/>
    </row>
    <row r="524" spans="1:10" hidden="1">
      <c r="A524" s="4" t="s">
        <v>807</v>
      </c>
      <c r="B524" s="4" t="s">
        <v>825</v>
      </c>
      <c r="C524" s="4" t="s">
        <v>1854</v>
      </c>
      <c r="D524" s="4" t="s">
        <v>820</v>
      </c>
      <c r="E524" s="4" t="s">
        <v>1855</v>
      </c>
      <c r="F524" s="4"/>
      <c r="G524" s="7"/>
      <c r="H524" s="4">
        <v>0</v>
      </c>
      <c r="I524" s="7">
        <v>0</v>
      </c>
      <c r="J524" s="7"/>
    </row>
    <row r="525" spans="1:10" hidden="1">
      <c r="A525" s="4" t="s">
        <v>807</v>
      </c>
      <c r="B525" s="4" t="s">
        <v>825</v>
      </c>
      <c r="C525" s="4" t="s">
        <v>1856</v>
      </c>
      <c r="D525" s="4" t="s">
        <v>820</v>
      </c>
      <c r="E525" s="4" t="s">
        <v>1857</v>
      </c>
      <c r="F525" s="4"/>
      <c r="G525" s="7"/>
      <c r="H525" s="4">
        <v>0</v>
      </c>
      <c r="I525" s="7">
        <v>0</v>
      </c>
      <c r="J525" s="7"/>
    </row>
    <row r="526" spans="1:10" hidden="1">
      <c r="A526" s="4" t="s">
        <v>807</v>
      </c>
      <c r="B526" s="4" t="s">
        <v>808</v>
      </c>
      <c r="C526" s="4" t="s">
        <v>1858</v>
      </c>
      <c r="D526" s="4" t="s">
        <v>820</v>
      </c>
      <c r="E526" s="4" t="s">
        <v>1859</v>
      </c>
      <c r="F526" s="4"/>
      <c r="G526" s="7"/>
      <c r="H526" s="4">
        <v>0</v>
      </c>
      <c r="I526" s="7">
        <v>0</v>
      </c>
      <c r="J526" s="7"/>
    </row>
    <row r="527" spans="1:10" hidden="1">
      <c r="A527" s="4" t="s">
        <v>807</v>
      </c>
      <c r="B527" s="4" t="s">
        <v>811</v>
      </c>
      <c r="C527" s="4" t="s">
        <v>822</v>
      </c>
      <c r="D527" s="4" t="s">
        <v>830</v>
      </c>
      <c r="E527" s="4" t="s">
        <v>824</v>
      </c>
      <c r="F527" s="4"/>
      <c r="G527" s="7"/>
      <c r="H527" s="4">
        <v>0</v>
      </c>
      <c r="I527" s="7">
        <v>0</v>
      </c>
      <c r="J527" s="7"/>
    </row>
    <row r="528" spans="1:10" hidden="1">
      <c r="A528" s="4" t="s">
        <v>807</v>
      </c>
      <c r="B528" s="4" t="s">
        <v>811</v>
      </c>
      <c r="C528" s="4" t="s">
        <v>1860</v>
      </c>
      <c r="D528" s="4" t="s">
        <v>833</v>
      </c>
      <c r="E528" s="4" t="s">
        <v>1861</v>
      </c>
      <c r="F528" s="4"/>
      <c r="G528" s="7"/>
      <c r="H528" s="4">
        <v>0</v>
      </c>
      <c r="I528" s="7">
        <v>0</v>
      </c>
      <c r="J528" s="7"/>
    </row>
    <row r="529" spans="1:10" hidden="1">
      <c r="A529" s="4" t="s">
        <v>807</v>
      </c>
      <c r="B529" s="4" t="s">
        <v>811</v>
      </c>
      <c r="C529" s="4" t="s">
        <v>1860</v>
      </c>
      <c r="D529" s="4" t="s">
        <v>835</v>
      </c>
      <c r="E529" s="4" t="s">
        <v>1861</v>
      </c>
      <c r="F529" s="4"/>
      <c r="G529" s="7"/>
      <c r="H529" s="4">
        <v>0</v>
      </c>
      <c r="I529" s="7">
        <v>0</v>
      </c>
      <c r="J529" s="7"/>
    </row>
    <row r="530" spans="1:10" hidden="1">
      <c r="A530" s="4" t="s">
        <v>807</v>
      </c>
      <c r="B530" s="4" t="s">
        <v>811</v>
      </c>
      <c r="C530" s="4" t="s">
        <v>1862</v>
      </c>
      <c r="D530" s="4" t="s">
        <v>837</v>
      </c>
      <c r="E530" s="4" t="s">
        <v>1863</v>
      </c>
      <c r="F530" s="4"/>
      <c r="G530" s="7"/>
      <c r="H530" s="4">
        <v>0</v>
      </c>
      <c r="I530" s="7">
        <v>0</v>
      </c>
      <c r="J530" s="7"/>
    </row>
    <row r="531" spans="1:10" hidden="1">
      <c r="A531" s="4" t="s">
        <v>807</v>
      </c>
      <c r="B531" s="4" t="s">
        <v>811</v>
      </c>
      <c r="C531" s="4" t="s">
        <v>1864</v>
      </c>
      <c r="D531" s="4" t="s">
        <v>837</v>
      </c>
      <c r="E531" s="4" t="s">
        <v>1865</v>
      </c>
      <c r="F531" s="4"/>
      <c r="G531" s="7"/>
      <c r="H531" s="4">
        <v>0</v>
      </c>
      <c r="I531" s="7">
        <v>0</v>
      </c>
      <c r="J531" s="7"/>
    </row>
    <row r="532" spans="1:10" hidden="1">
      <c r="A532" s="4" t="s">
        <v>807</v>
      </c>
      <c r="B532" s="4" t="s">
        <v>825</v>
      </c>
      <c r="C532" s="4" t="s">
        <v>829</v>
      </c>
      <c r="D532" s="4" t="s">
        <v>839</v>
      </c>
      <c r="E532" s="4" t="s">
        <v>831</v>
      </c>
      <c r="F532" s="4"/>
      <c r="G532" s="7"/>
      <c r="H532" s="4">
        <v>0</v>
      </c>
      <c r="I532" s="7">
        <v>0</v>
      </c>
      <c r="J532" s="7"/>
    </row>
    <row r="533" spans="1:10" hidden="1">
      <c r="A533" s="4" t="s">
        <v>807</v>
      </c>
      <c r="B533" s="4" t="s">
        <v>811</v>
      </c>
      <c r="C533" s="4" t="s">
        <v>1864</v>
      </c>
      <c r="D533" s="4" t="s">
        <v>839</v>
      </c>
      <c r="E533" s="4" t="s">
        <v>1865</v>
      </c>
      <c r="F533" s="4"/>
      <c r="G533" s="7"/>
      <c r="H533" s="4">
        <v>0</v>
      </c>
      <c r="I533" s="7">
        <v>0</v>
      </c>
      <c r="J533" s="7"/>
    </row>
    <row r="534" spans="1:10" hidden="1">
      <c r="A534" s="4" t="s">
        <v>807</v>
      </c>
      <c r="B534" s="4" t="s">
        <v>811</v>
      </c>
      <c r="C534" s="4" t="s">
        <v>1866</v>
      </c>
      <c r="D534" s="4" t="s">
        <v>841</v>
      </c>
      <c r="E534" s="4" t="s">
        <v>1867</v>
      </c>
      <c r="F534" s="4"/>
      <c r="G534" s="7"/>
      <c r="H534" s="4">
        <v>0</v>
      </c>
      <c r="I534" s="7">
        <v>0</v>
      </c>
      <c r="J534" s="7"/>
    </row>
    <row r="535" spans="1:10" hidden="1">
      <c r="A535" s="4" t="s">
        <v>807</v>
      </c>
      <c r="B535" s="4" t="s">
        <v>811</v>
      </c>
      <c r="C535" s="4" t="s">
        <v>843</v>
      </c>
      <c r="D535" s="4" t="s">
        <v>842</v>
      </c>
      <c r="E535" s="4" t="s">
        <v>845</v>
      </c>
      <c r="F535" s="4"/>
      <c r="G535" s="7"/>
      <c r="H535" s="4">
        <v>0</v>
      </c>
      <c r="I535" s="7">
        <v>0</v>
      </c>
      <c r="J535" s="7"/>
    </row>
    <row r="536" spans="1:10" hidden="1">
      <c r="A536" s="4" t="s">
        <v>807</v>
      </c>
      <c r="B536" s="4" t="s">
        <v>825</v>
      </c>
      <c r="C536" s="4" t="s">
        <v>829</v>
      </c>
      <c r="D536" s="4" t="s">
        <v>867</v>
      </c>
      <c r="E536" s="4" t="s">
        <v>831</v>
      </c>
      <c r="F536" s="4"/>
      <c r="G536" s="7"/>
      <c r="H536" s="4">
        <v>0</v>
      </c>
      <c r="I536" s="7">
        <v>0</v>
      </c>
      <c r="J536" s="7"/>
    </row>
    <row r="537" spans="1:10" hidden="1">
      <c r="A537" s="4" t="s">
        <v>807</v>
      </c>
      <c r="B537" s="4" t="s">
        <v>811</v>
      </c>
      <c r="C537" s="4" t="s">
        <v>1868</v>
      </c>
      <c r="D537" s="4" t="s">
        <v>878</v>
      </c>
      <c r="E537" s="4" t="s">
        <v>1869</v>
      </c>
      <c r="F537" s="4"/>
      <c r="G537" s="7"/>
      <c r="H537" s="4">
        <v>0</v>
      </c>
      <c r="I537" s="7">
        <v>0</v>
      </c>
      <c r="J537" s="7"/>
    </row>
    <row r="538" spans="1:10" hidden="1">
      <c r="A538" s="4" t="s">
        <v>807</v>
      </c>
      <c r="B538" s="4" t="s">
        <v>811</v>
      </c>
      <c r="C538" s="4" t="s">
        <v>883</v>
      </c>
      <c r="D538" s="4" t="s">
        <v>911</v>
      </c>
      <c r="E538" s="4" t="s">
        <v>885</v>
      </c>
      <c r="F538" s="4"/>
      <c r="G538" s="7"/>
      <c r="H538" s="4">
        <v>0</v>
      </c>
      <c r="I538" s="7">
        <v>0</v>
      </c>
      <c r="J538" s="7"/>
    </row>
    <row r="539" spans="1:10" hidden="1">
      <c r="A539" s="4" t="s">
        <v>807</v>
      </c>
      <c r="B539" s="4" t="s">
        <v>811</v>
      </c>
      <c r="C539" s="4" t="s">
        <v>883</v>
      </c>
      <c r="D539" s="4" t="s">
        <v>913</v>
      </c>
      <c r="E539" s="4" t="s">
        <v>885</v>
      </c>
      <c r="F539" s="4"/>
      <c r="G539" s="7"/>
      <c r="H539" s="4">
        <v>0</v>
      </c>
      <c r="I539" s="7">
        <v>0</v>
      </c>
      <c r="J539" s="7"/>
    </row>
    <row r="540" spans="1:10" hidden="1">
      <c r="A540" s="4" t="s">
        <v>807</v>
      </c>
      <c r="B540" s="4" t="s">
        <v>811</v>
      </c>
      <c r="C540" s="4" t="s">
        <v>883</v>
      </c>
      <c r="D540" s="4" t="s">
        <v>914</v>
      </c>
      <c r="E540" s="4" t="s">
        <v>885</v>
      </c>
      <c r="F540" s="4"/>
      <c r="G540" s="7"/>
      <c r="H540" s="4">
        <v>0</v>
      </c>
      <c r="I540" s="7">
        <v>0</v>
      </c>
      <c r="J540" s="7"/>
    </row>
    <row r="541" spans="1:10" hidden="1">
      <c r="A541" s="4" t="s">
        <v>915</v>
      </c>
      <c r="B541" s="4"/>
      <c r="C541" s="4">
        <v>54006522</v>
      </c>
      <c r="D541" s="4" t="s">
        <v>916</v>
      </c>
      <c r="E541" s="4" t="s">
        <v>1870</v>
      </c>
      <c r="F541" s="4"/>
      <c r="G541" s="7"/>
      <c r="H541" s="4">
        <v>0</v>
      </c>
      <c r="I541" s="7">
        <v>0</v>
      </c>
      <c r="J541" s="7"/>
    </row>
    <row r="542" spans="1:10" hidden="1">
      <c r="A542" s="4" t="s">
        <v>807</v>
      </c>
      <c r="B542" s="4" t="s">
        <v>825</v>
      </c>
      <c r="C542" s="4" t="s">
        <v>920</v>
      </c>
      <c r="D542" s="4" t="s">
        <v>916</v>
      </c>
      <c r="E542" s="4" t="s">
        <v>922</v>
      </c>
      <c r="F542" s="4"/>
      <c r="G542" s="7"/>
      <c r="H542" s="4">
        <v>0</v>
      </c>
      <c r="I542" s="7">
        <v>0</v>
      </c>
      <c r="J542" s="7"/>
    </row>
    <row r="543" spans="1:10" hidden="1">
      <c r="A543" s="4" t="s">
        <v>887</v>
      </c>
      <c r="B543" s="4" t="s">
        <v>811</v>
      </c>
      <c r="C543" s="4" t="s">
        <v>1871</v>
      </c>
      <c r="D543" s="4" t="s">
        <v>916</v>
      </c>
      <c r="E543" s="4" t="s">
        <v>1872</v>
      </c>
      <c r="F543" s="4"/>
      <c r="G543" s="7"/>
      <c r="H543" s="4">
        <v>0</v>
      </c>
      <c r="I543" s="7">
        <v>0</v>
      </c>
      <c r="J543" s="7"/>
    </row>
    <row r="544" spans="1:10" hidden="1">
      <c r="A544" s="4" t="s">
        <v>807</v>
      </c>
      <c r="B544" s="4" t="s">
        <v>825</v>
      </c>
      <c r="C544" s="4" t="s">
        <v>920</v>
      </c>
      <c r="D544" s="4" t="s">
        <v>918</v>
      </c>
      <c r="E544" s="4" t="s">
        <v>922</v>
      </c>
      <c r="F544" s="4"/>
      <c r="G544" s="7"/>
      <c r="H544" s="4">
        <v>0</v>
      </c>
      <c r="I544" s="7">
        <v>0</v>
      </c>
      <c r="J544" s="7"/>
    </row>
    <row r="545" spans="1:10" hidden="1">
      <c r="A545" s="4" t="s">
        <v>887</v>
      </c>
      <c r="B545" s="4" t="s">
        <v>811</v>
      </c>
      <c r="C545" s="4" t="s">
        <v>1873</v>
      </c>
      <c r="D545" s="4" t="s">
        <v>918</v>
      </c>
      <c r="E545" s="4" t="s">
        <v>1874</v>
      </c>
      <c r="F545" s="4"/>
      <c r="G545" s="7"/>
      <c r="H545" s="4">
        <v>0</v>
      </c>
      <c r="I545" s="7">
        <v>0</v>
      </c>
      <c r="J545" s="7"/>
    </row>
    <row r="546" spans="1:10" hidden="1">
      <c r="A546" s="4" t="s">
        <v>887</v>
      </c>
      <c r="B546" s="4" t="s">
        <v>811</v>
      </c>
      <c r="C546" s="4" t="s">
        <v>1875</v>
      </c>
      <c r="D546" s="4" t="s">
        <v>921</v>
      </c>
      <c r="E546" s="4" t="s">
        <v>1876</v>
      </c>
      <c r="F546" s="4"/>
      <c r="G546" s="7"/>
      <c r="H546" s="4">
        <v>0</v>
      </c>
      <c r="I546" s="7">
        <v>0</v>
      </c>
      <c r="J546" s="7"/>
    </row>
    <row r="547" spans="1:10" hidden="1">
      <c r="A547" s="4" t="s">
        <v>887</v>
      </c>
      <c r="B547" s="4" t="s">
        <v>808</v>
      </c>
      <c r="C547" s="4" t="s">
        <v>1877</v>
      </c>
      <c r="D547" s="4" t="s">
        <v>923</v>
      </c>
      <c r="E547" s="4" t="s">
        <v>1878</v>
      </c>
      <c r="F547" s="4"/>
      <c r="G547" s="7"/>
      <c r="H547" s="4">
        <v>0</v>
      </c>
      <c r="I547" s="7">
        <v>0</v>
      </c>
      <c r="J547" s="7"/>
    </row>
    <row r="548" spans="1:10" hidden="1">
      <c r="A548" s="4" t="s">
        <v>915</v>
      </c>
      <c r="B548" s="4"/>
      <c r="C548" s="4">
        <v>54005696</v>
      </c>
      <c r="D548" s="4" t="s">
        <v>973</v>
      </c>
      <c r="E548" s="4" t="s">
        <v>1879</v>
      </c>
      <c r="F548" s="4"/>
      <c r="G548" s="7"/>
      <c r="H548" s="4">
        <v>0</v>
      </c>
      <c r="I548" s="7">
        <v>0</v>
      </c>
      <c r="J548" s="7"/>
    </row>
    <row r="549" spans="1:10" hidden="1">
      <c r="A549" s="4" t="s">
        <v>915</v>
      </c>
      <c r="B549" s="4"/>
      <c r="C549" s="4">
        <v>54005884</v>
      </c>
      <c r="D549" s="4" t="s">
        <v>973</v>
      </c>
      <c r="E549" s="4" t="s">
        <v>1880</v>
      </c>
      <c r="F549" s="4"/>
      <c r="G549" s="7"/>
      <c r="H549" s="4">
        <v>0</v>
      </c>
      <c r="I549" s="7">
        <v>0</v>
      </c>
      <c r="J549" s="7"/>
    </row>
    <row r="550" spans="1:10" hidden="1">
      <c r="A550" s="4" t="s">
        <v>915</v>
      </c>
      <c r="B550" s="4"/>
      <c r="C550" s="4">
        <v>54006460</v>
      </c>
      <c r="D550" s="4" t="s">
        <v>1010</v>
      </c>
      <c r="E550" s="4" t="s">
        <v>1881</v>
      </c>
      <c r="F550" s="4"/>
      <c r="G550" s="7"/>
      <c r="H550" s="4">
        <v>0</v>
      </c>
      <c r="I550" s="7">
        <v>0</v>
      </c>
      <c r="J550" s="7"/>
    </row>
    <row r="551" spans="1:10" hidden="1">
      <c r="A551" s="4" t="s">
        <v>915</v>
      </c>
      <c r="B551" s="4"/>
      <c r="C551" s="4">
        <v>54006523</v>
      </c>
      <c r="D551" s="4" t="s">
        <v>1010</v>
      </c>
      <c r="E551" s="4" t="s">
        <v>1882</v>
      </c>
      <c r="F551" s="4"/>
      <c r="G551" s="7"/>
      <c r="H551" s="4">
        <v>0</v>
      </c>
      <c r="I551" s="7">
        <v>0</v>
      </c>
      <c r="J551" s="7"/>
    </row>
    <row r="552" spans="1:10" hidden="1">
      <c r="A552" s="4" t="s">
        <v>807</v>
      </c>
      <c r="B552" s="4" t="s">
        <v>825</v>
      </c>
      <c r="C552" s="4" t="s">
        <v>1516</v>
      </c>
      <c r="D552" s="4" t="s">
        <v>1013</v>
      </c>
      <c r="E552" s="4" t="s">
        <v>1518</v>
      </c>
      <c r="F552" s="4"/>
      <c r="G552" s="7"/>
      <c r="H552" s="4">
        <v>0</v>
      </c>
      <c r="I552" s="7">
        <v>0</v>
      </c>
      <c r="J552" s="7"/>
    </row>
    <row r="553" spans="1:10" hidden="1">
      <c r="A553" s="4" t="s">
        <v>807</v>
      </c>
      <c r="B553" s="4" t="s">
        <v>811</v>
      </c>
      <c r="C553" s="4" t="s">
        <v>969</v>
      </c>
      <c r="D553" s="4" t="s">
        <v>1013</v>
      </c>
      <c r="E553" s="4" t="s">
        <v>971</v>
      </c>
      <c r="F553" s="4"/>
      <c r="G553" s="7"/>
      <c r="H553" s="4">
        <v>0</v>
      </c>
      <c r="I553" s="7">
        <v>0</v>
      </c>
      <c r="J553" s="7"/>
    </row>
    <row r="554" spans="1:10" hidden="1">
      <c r="A554" s="4" t="s">
        <v>807</v>
      </c>
      <c r="B554" s="4" t="s">
        <v>1883</v>
      </c>
      <c r="C554" s="4" t="s">
        <v>1884</v>
      </c>
      <c r="D554" s="4" t="s">
        <v>1026</v>
      </c>
      <c r="E554" s="4" t="s">
        <v>1885</v>
      </c>
      <c r="F554" s="4"/>
      <c r="G554" s="7"/>
      <c r="H554" s="4">
        <v>0</v>
      </c>
      <c r="I554" s="7">
        <v>0</v>
      </c>
      <c r="J554" s="7"/>
    </row>
    <row r="555" spans="1:10" hidden="1">
      <c r="A555" s="4" t="s">
        <v>807</v>
      </c>
      <c r="B555" s="4" t="s">
        <v>811</v>
      </c>
      <c r="C555" s="4" t="s">
        <v>969</v>
      </c>
      <c r="D555" s="4" t="s">
        <v>1028</v>
      </c>
      <c r="E555" s="4" t="s">
        <v>971</v>
      </c>
      <c r="F555" s="4"/>
      <c r="G555" s="7"/>
      <c r="H555" s="4">
        <v>0</v>
      </c>
      <c r="I555" s="7">
        <v>0</v>
      </c>
      <c r="J555" s="7"/>
    </row>
    <row r="556" spans="1:10" hidden="1">
      <c r="A556" s="4" t="s">
        <v>807</v>
      </c>
      <c r="B556" s="4" t="s">
        <v>811</v>
      </c>
      <c r="C556" s="4" t="s">
        <v>877</v>
      </c>
      <c r="D556" s="4" t="s">
        <v>1028</v>
      </c>
      <c r="E556" s="4" t="s">
        <v>879</v>
      </c>
      <c r="F556" s="4"/>
      <c r="G556" s="7"/>
      <c r="H556" s="4">
        <v>0</v>
      </c>
      <c r="I556" s="7">
        <v>0</v>
      </c>
      <c r="J556" s="7"/>
    </row>
    <row r="557" spans="1:10" hidden="1">
      <c r="A557" s="4" t="s">
        <v>807</v>
      </c>
      <c r="B557" s="4" t="s">
        <v>808</v>
      </c>
      <c r="C557" s="4" t="s">
        <v>1886</v>
      </c>
      <c r="D557" s="4" t="s">
        <v>1036</v>
      </c>
      <c r="E557" s="4" t="s">
        <v>1033</v>
      </c>
      <c r="F557" s="4"/>
      <c r="G557" s="7"/>
      <c r="H557" s="4">
        <v>0</v>
      </c>
      <c r="I557" s="7">
        <v>0</v>
      </c>
      <c r="J557" s="7"/>
    </row>
    <row r="558" spans="1:10" hidden="1">
      <c r="A558" s="4" t="s">
        <v>807</v>
      </c>
      <c r="B558" s="4" t="s">
        <v>962</v>
      </c>
      <c r="C558" s="4" t="s">
        <v>1007</v>
      </c>
      <c r="D558" s="4" t="s">
        <v>1036</v>
      </c>
      <c r="E558" s="4" t="s">
        <v>1009</v>
      </c>
      <c r="F558" s="4"/>
      <c r="G558" s="7"/>
      <c r="H558" s="4">
        <v>0</v>
      </c>
      <c r="I558" s="7">
        <v>0</v>
      </c>
      <c r="J558" s="7"/>
    </row>
    <row r="559" spans="1:10" hidden="1">
      <c r="A559" s="4" t="s">
        <v>915</v>
      </c>
      <c r="B559" s="4" t="s">
        <v>915</v>
      </c>
      <c r="C559" s="4">
        <v>54005267</v>
      </c>
      <c r="D559" s="4" t="s">
        <v>1038</v>
      </c>
      <c r="E559" s="4" t="s">
        <v>1887</v>
      </c>
      <c r="F559" s="4"/>
      <c r="G559" s="7"/>
      <c r="H559" s="4">
        <v>0</v>
      </c>
      <c r="I559" s="7">
        <v>0</v>
      </c>
      <c r="J559" s="7"/>
    </row>
    <row r="560" spans="1:10" hidden="1">
      <c r="A560" s="4" t="s">
        <v>915</v>
      </c>
      <c r="B560" s="4" t="s">
        <v>915</v>
      </c>
      <c r="C560" s="4">
        <v>54005395</v>
      </c>
      <c r="D560" s="4" t="s">
        <v>1038</v>
      </c>
      <c r="E560" s="4" t="s">
        <v>1888</v>
      </c>
      <c r="F560" s="4"/>
      <c r="G560" s="7"/>
      <c r="H560" s="4">
        <v>0</v>
      </c>
      <c r="I560" s="7">
        <v>0</v>
      </c>
      <c r="J560" s="7"/>
    </row>
    <row r="561" spans="1:10" hidden="1">
      <c r="A561" s="4" t="s">
        <v>915</v>
      </c>
      <c r="B561" s="4" t="s">
        <v>915</v>
      </c>
      <c r="C561" s="4">
        <v>54005530</v>
      </c>
      <c r="D561" s="4" t="s">
        <v>1038</v>
      </c>
      <c r="E561" s="4" t="s">
        <v>1889</v>
      </c>
      <c r="F561" s="4"/>
      <c r="G561" s="7"/>
      <c r="H561" s="4">
        <v>0</v>
      </c>
      <c r="I561" s="7">
        <v>0</v>
      </c>
      <c r="J561" s="7"/>
    </row>
    <row r="562" spans="1:10" hidden="1">
      <c r="A562" s="4" t="s">
        <v>915</v>
      </c>
      <c r="B562" s="4" t="s">
        <v>915</v>
      </c>
      <c r="C562" s="4">
        <v>54005566</v>
      </c>
      <c r="D562" s="4" t="s">
        <v>1038</v>
      </c>
      <c r="E562" s="4" t="s">
        <v>1890</v>
      </c>
      <c r="F562" s="4"/>
      <c r="G562" s="7"/>
      <c r="H562" s="4">
        <v>0</v>
      </c>
      <c r="I562" s="7">
        <v>0</v>
      </c>
      <c r="J562" s="7"/>
    </row>
    <row r="563" spans="1:10" hidden="1">
      <c r="A563" s="4" t="s">
        <v>915</v>
      </c>
      <c r="B563" s="4" t="s">
        <v>915</v>
      </c>
      <c r="C563" s="4">
        <v>54005785</v>
      </c>
      <c r="D563" s="4" t="s">
        <v>1038</v>
      </c>
      <c r="E563" s="4" t="s">
        <v>1891</v>
      </c>
      <c r="F563" s="4"/>
      <c r="G563" s="7"/>
      <c r="H563" s="4">
        <v>0</v>
      </c>
      <c r="I563" s="7">
        <v>0</v>
      </c>
      <c r="J563" s="7"/>
    </row>
    <row r="564" spans="1:10" hidden="1">
      <c r="A564" s="4" t="s">
        <v>915</v>
      </c>
      <c r="B564" s="4" t="s">
        <v>915</v>
      </c>
      <c r="C564" s="4">
        <v>54005832</v>
      </c>
      <c r="D564" s="4" t="s">
        <v>1038</v>
      </c>
      <c r="E564" s="4" t="s">
        <v>1892</v>
      </c>
      <c r="F564" s="4"/>
      <c r="G564" s="7"/>
      <c r="H564" s="4">
        <v>0</v>
      </c>
      <c r="I564" s="7">
        <v>0</v>
      </c>
      <c r="J564" s="7"/>
    </row>
    <row r="565" spans="1:10" hidden="1">
      <c r="A565" s="4" t="s">
        <v>915</v>
      </c>
      <c r="B565" s="4" t="s">
        <v>915</v>
      </c>
      <c r="C565" s="4">
        <v>54006104</v>
      </c>
      <c r="D565" s="4" t="s">
        <v>1038</v>
      </c>
      <c r="E565" s="4" t="s">
        <v>1893</v>
      </c>
      <c r="F565" s="4"/>
      <c r="G565" s="7"/>
      <c r="H565" s="4">
        <v>0</v>
      </c>
      <c r="I565" s="7">
        <v>0</v>
      </c>
      <c r="J565" s="7"/>
    </row>
    <row r="566" spans="1:10" hidden="1">
      <c r="A566" s="4" t="s">
        <v>807</v>
      </c>
      <c r="B566" s="4" t="s">
        <v>808</v>
      </c>
      <c r="C566" s="4" t="s">
        <v>1894</v>
      </c>
      <c r="D566" s="4" t="s">
        <v>1046</v>
      </c>
      <c r="E566" s="4" t="s">
        <v>1895</v>
      </c>
      <c r="F566" s="4"/>
      <c r="G566" s="7"/>
      <c r="H566" s="4">
        <v>0</v>
      </c>
      <c r="I566" s="7">
        <v>0</v>
      </c>
      <c r="J566" s="7"/>
    </row>
    <row r="567" spans="1:10" hidden="1">
      <c r="A567" s="4" t="s">
        <v>807</v>
      </c>
      <c r="B567" s="4" t="s">
        <v>1883</v>
      </c>
      <c r="C567" s="4" t="s">
        <v>1896</v>
      </c>
      <c r="D567" s="4" t="s">
        <v>1046</v>
      </c>
      <c r="E567" s="4" t="s">
        <v>1897</v>
      </c>
      <c r="F567" s="4"/>
      <c r="G567" s="7"/>
      <c r="H567" s="4">
        <v>0</v>
      </c>
      <c r="I567" s="7">
        <v>0</v>
      </c>
      <c r="J567" s="7"/>
    </row>
    <row r="568" spans="1:10" hidden="1">
      <c r="A568" s="4" t="s">
        <v>815</v>
      </c>
      <c r="B568" s="4" t="s">
        <v>816</v>
      </c>
      <c r="C568" s="4" t="s">
        <v>1898</v>
      </c>
      <c r="D568" s="4" t="s">
        <v>1053</v>
      </c>
      <c r="E568" s="4"/>
      <c r="F568" s="4"/>
      <c r="G568" s="7"/>
      <c r="H568" s="4">
        <v>0</v>
      </c>
      <c r="I568" s="7">
        <v>0</v>
      </c>
      <c r="J568" s="7"/>
    </row>
    <row r="569" spans="1:10" hidden="1">
      <c r="A569" s="4" t="s">
        <v>815</v>
      </c>
      <c r="B569" s="4" t="s">
        <v>1020</v>
      </c>
      <c r="C569" s="4" t="s">
        <v>1461</v>
      </c>
      <c r="D569" s="4" t="s">
        <v>1062</v>
      </c>
      <c r="E569" s="4" t="s">
        <v>1463</v>
      </c>
      <c r="F569" s="4"/>
      <c r="G569" s="7"/>
      <c r="H569" s="4">
        <v>0</v>
      </c>
      <c r="I569" s="7">
        <v>0</v>
      </c>
      <c r="J569" s="7"/>
    </row>
    <row r="570" spans="1:10" hidden="1">
      <c r="A570" s="4" t="s">
        <v>807</v>
      </c>
      <c r="B570" s="4" t="s">
        <v>808</v>
      </c>
      <c r="C570" s="4" t="s">
        <v>1100</v>
      </c>
      <c r="D570" s="4" t="s">
        <v>1066</v>
      </c>
      <c r="E570" s="4" t="s">
        <v>1102</v>
      </c>
      <c r="F570" s="4"/>
      <c r="G570" s="7"/>
      <c r="H570" s="4">
        <v>0</v>
      </c>
      <c r="I570" s="7">
        <v>0</v>
      </c>
      <c r="J570" s="7"/>
    </row>
    <row r="571" spans="1:10" hidden="1">
      <c r="A571" s="4" t="s">
        <v>807</v>
      </c>
      <c r="B571" s="4" t="s">
        <v>808</v>
      </c>
      <c r="C571" s="4" t="s">
        <v>1899</v>
      </c>
      <c r="D571" s="4" t="s">
        <v>1078</v>
      </c>
      <c r="E571" s="4" t="s">
        <v>1900</v>
      </c>
      <c r="F571" s="4"/>
      <c r="G571" s="7"/>
      <c r="H571" s="4">
        <v>0</v>
      </c>
      <c r="I571" s="7">
        <v>0</v>
      </c>
      <c r="J571" s="7"/>
    </row>
    <row r="572" spans="1:10" hidden="1">
      <c r="A572" s="4" t="s">
        <v>807</v>
      </c>
      <c r="B572" s="4" t="s">
        <v>808</v>
      </c>
      <c r="C572" s="4" t="s">
        <v>1901</v>
      </c>
      <c r="D572" s="4" t="s">
        <v>1078</v>
      </c>
      <c r="E572" s="4" t="s">
        <v>1902</v>
      </c>
      <c r="F572" s="4"/>
      <c r="G572" s="7"/>
      <c r="H572" s="4">
        <v>0</v>
      </c>
      <c r="I572" s="7">
        <v>0</v>
      </c>
      <c r="J572" s="7"/>
    </row>
    <row r="573" spans="1:10" hidden="1">
      <c r="A573" s="4" t="s">
        <v>807</v>
      </c>
      <c r="B573" s="4" t="s">
        <v>808</v>
      </c>
      <c r="C573" s="4" t="s">
        <v>1903</v>
      </c>
      <c r="D573" s="4" t="s">
        <v>1078</v>
      </c>
      <c r="E573" s="4" t="s">
        <v>1904</v>
      </c>
      <c r="F573" s="4"/>
      <c r="G573" s="7"/>
      <c r="H573" s="4">
        <v>0</v>
      </c>
      <c r="I573" s="7">
        <v>0</v>
      </c>
      <c r="J573" s="7"/>
    </row>
    <row r="574" spans="1:10" hidden="1">
      <c r="A574" s="4" t="s">
        <v>807</v>
      </c>
      <c r="B574" s="4" t="s">
        <v>808</v>
      </c>
      <c r="C574" s="4" t="s">
        <v>1905</v>
      </c>
      <c r="D574" s="4" t="s">
        <v>1081</v>
      </c>
      <c r="E574" s="4" t="s">
        <v>1906</v>
      </c>
      <c r="F574" s="4"/>
      <c r="G574" s="7"/>
      <c r="H574" s="4">
        <v>0</v>
      </c>
      <c r="I574" s="7">
        <v>0</v>
      </c>
      <c r="J574" s="7"/>
    </row>
    <row r="575" spans="1:10" hidden="1">
      <c r="A575" s="4" t="s">
        <v>807</v>
      </c>
      <c r="B575" s="4" t="s">
        <v>808</v>
      </c>
      <c r="C575" s="4" t="s">
        <v>1907</v>
      </c>
      <c r="D575" s="4" t="s">
        <v>1081</v>
      </c>
      <c r="E575" s="4" t="s">
        <v>1908</v>
      </c>
      <c r="F575" s="4"/>
      <c r="G575" s="7"/>
      <c r="H575" s="4">
        <v>0</v>
      </c>
      <c r="I575" s="7">
        <v>0</v>
      </c>
      <c r="J575" s="7"/>
    </row>
    <row r="576" spans="1:10" hidden="1">
      <c r="A576" s="4" t="s">
        <v>807</v>
      </c>
      <c r="B576" s="4" t="s">
        <v>808</v>
      </c>
      <c r="C576" s="4" t="s">
        <v>1909</v>
      </c>
      <c r="D576" s="4" t="s">
        <v>1081</v>
      </c>
      <c r="E576" s="4" t="s">
        <v>1910</v>
      </c>
      <c r="F576" s="4"/>
      <c r="G576" s="7"/>
      <c r="H576" s="4">
        <v>0</v>
      </c>
      <c r="I576" s="7">
        <v>0</v>
      </c>
      <c r="J576" s="7"/>
    </row>
    <row r="577" spans="1:10" hidden="1">
      <c r="A577" s="4" t="s">
        <v>807</v>
      </c>
      <c r="B577" s="4" t="s">
        <v>808</v>
      </c>
      <c r="C577" s="4" t="s">
        <v>1911</v>
      </c>
      <c r="D577" s="4" t="s">
        <v>1081</v>
      </c>
      <c r="E577" s="4" t="s">
        <v>1912</v>
      </c>
      <c r="F577" s="4"/>
      <c r="G577" s="7"/>
      <c r="H577" s="4">
        <v>0</v>
      </c>
      <c r="I577" s="7">
        <v>0</v>
      </c>
      <c r="J577" s="7"/>
    </row>
    <row r="578" spans="1:10" hidden="1">
      <c r="A578" s="4" t="s">
        <v>807</v>
      </c>
      <c r="B578" s="4" t="s">
        <v>808</v>
      </c>
      <c r="C578" s="4" t="s">
        <v>1913</v>
      </c>
      <c r="D578" s="4" t="s">
        <v>1084</v>
      </c>
      <c r="E578" s="4" t="s">
        <v>1914</v>
      </c>
      <c r="F578" s="4"/>
      <c r="G578" s="7"/>
      <c r="H578" s="4">
        <v>0</v>
      </c>
      <c r="I578" s="7">
        <v>0</v>
      </c>
      <c r="J578" s="7"/>
    </row>
    <row r="579" spans="1:10" hidden="1">
      <c r="A579" s="4" t="s">
        <v>807</v>
      </c>
      <c r="B579" s="4" t="s">
        <v>808</v>
      </c>
      <c r="C579" s="4" t="s">
        <v>1915</v>
      </c>
      <c r="D579" s="4" t="s">
        <v>1084</v>
      </c>
      <c r="E579" s="4" t="s">
        <v>1916</v>
      </c>
      <c r="F579" s="4"/>
      <c r="G579" s="7"/>
      <c r="H579" s="4">
        <v>0</v>
      </c>
      <c r="I579" s="7">
        <v>0</v>
      </c>
      <c r="J579" s="7"/>
    </row>
    <row r="580" spans="1:10" hidden="1">
      <c r="A580" s="4" t="s">
        <v>807</v>
      </c>
      <c r="B580" s="4" t="s">
        <v>808</v>
      </c>
      <c r="C580" s="4" t="s">
        <v>1917</v>
      </c>
      <c r="D580" s="4" t="s">
        <v>1084</v>
      </c>
      <c r="E580" s="4" t="s">
        <v>1918</v>
      </c>
      <c r="F580" s="4"/>
      <c r="G580" s="7"/>
      <c r="H580" s="4">
        <v>0</v>
      </c>
      <c r="I580" s="7">
        <v>0</v>
      </c>
      <c r="J580" s="7"/>
    </row>
    <row r="581" spans="1:10" hidden="1">
      <c r="A581" s="4" t="s">
        <v>807</v>
      </c>
      <c r="B581" s="4" t="s">
        <v>808</v>
      </c>
      <c r="C581" s="4" t="s">
        <v>1919</v>
      </c>
      <c r="D581" s="4" t="s">
        <v>1091</v>
      </c>
      <c r="E581" s="4" t="s">
        <v>1920</v>
      </c>
      <c r="F581" s="4"/>
      <c r="G581" s="7"/>
      <c r="H581" s="4">
        <v>0</v>
      </c>
      <c r="I581" s="7">
        <v>0</v>
      </c>
      <c r="J581" s="7"/>
    </row>
    <row r="582" spans="1:10" hidden="1">
      <c r="A582" s="4" t="s">
        <v>807</v>
      </c>
      <c r="B582" s="4" t="s">
        <v>808</v>
      </c>
      <c r="C582" s="4" t="s">
        <v>1921</v>
      </c>
      <c r="D582" s="4" t="s">
        <v>1091</v>
      </c>
      <c r="E582" s="4" t="s">
        <v>1922</v>
      </c>
      <c r="F582" s="4"/>
      <c r="G582" s="7"/>
      <c r="H582" s="4">
        <v>0</v>
      </c>
      <c r="I582" s="7">
        <v>0</v>
      </c>
      <c r="J582" s="7"/>
    </row>
    <row r="583" spans="1:10" hidden="1">
      <c r="A583" s="4" t="s">
        <v>807</v>
      </c>
      <c r="B583" s="4" t="s">
        <v>808</v>
      </c>
      <c r="C583" s="4" t="s">
        <v>1923</v>
      </c>
      <c r="D583" s="4" t="s">
        <v>1091</v>
      </c>
      <c r="E583" s="4" t="s">
        <v>1924</v>
      </c>
      <c r="F583" s="4"/>
      <c r="G583" s="7"/>
      <c r="H583" s="4">
        <v>0</v>
      </c>
      <c r="I583" s="7">
        <v>0</v>
      </c>
      <c r="J583" s="7"/>
    </row>
    <row r="584" spans="1:10" hidden="1">
      <c r="A584" s="4" t="s">
        <v>807</v>
      </c>
      <c r="B584" s="4" t="s">
        <v>808</v>
      </c>
      <c r="C584" s="4" t="s">
        <v>1925</v>
      </c>
      <c r="D584" s="4" t="s">
        <v>1091</v>
      </c>
      <c r="E584" s="4" t="s">
        <v>1926</v>
      </c>
      <c r="F584" s="4"/>
      <c r="G584" s="7"/>
      <c r="H584" s="4">
        <v>0</v>
      </c>
      <c r="I584" s="7">
        <v>0</v>
      </c>
      <c r="J584" s="7"/>
    </row>
    <row r="585" spans="1:10" hidden="1">
      <c r="A585" s="4" t="s">
        <v>807</v>
      </c>
      <c r="B585" s="4" t="s">
        <v>808</v>
      </c>
      <c r="C585" s="4" t="s">
        <v>1927</v>
      </c>
      <c r="D585" s="4" t="s">
        <v>1091</v>
      </c>
      <c r="E585" s="4" t="s">
        <v>1928</v>
      </c>
      <c r="F585" s="4"/>
      <c r="G585" s="7"/>
      <c r="H585" s="4">
        <v>0</v>
      </c>
      <c r="I585" s="7">
        <v>0</v>
      </c>
      <c r="J585" s="7"/>
    </row>
    <row r="586" spans="1:10" hidden="1">
      <c r="A586" s="4" t="s">
        <v>807</v>
      </c>
      <c r="B586" s="4" t="s">
        <v>808</v>
      </c>
      <c r="C586" s="4" t="s">
        <v>1929</v>
      </c>
      <c r="D586" s="4" t="s">
        <v>1091</v>
      </c>
      <c r="E586" s="4" t="s">
        <v>1930</v>
      </c>
      <c r="F586" s="4"/>
      <c r="G586" s="7"/>
      <c r="H586" s="4">
        <v>0</v>
      </c>
      <c r="I586" s="7">
        <v>0</v>
      </c>
      <c r="J586" s="7"/>
    </row>
    <row r="587" spans="1:10" hidden="1">
      <c r="A587" s="4" t="s">
        <v>807</v>
      </c>
      <c r="B587" s="4" t="s">
        <v>808</v>
      </c>
      <c r="C587" s="4" t="s">
        <v>1931</v>
      </c>
      <c r="D587" s="4" t="s">
        <v>1094</v>
      </c>
      <c r="E587" s="4" t="s">
        <v>1932</v>
      </c>
      <c r="F587" s="4"/>
      <c r="G587" s="7"/>
      <c r="H587" s="4">
        <v>0</v>
      </c>
      <c r="I587" s="7">
        <v>0</v>
      </c>
      <c r="J587" s="7"/>
    </row>
    <row r="588" spans="1:10" hidden="1">
      <c r="A588" s="4" t="s">
        <v>807</v>
      </c>
      <c r="B588" s="4" t="s">
        <v>808</v>
      </c>
      <c r="C588" s="4" t="s">
        <v>1933</v>
      </c>
      <c r="D588" s="4" t="s">
        <v>1094</v>
      </c>
      <c r="E588" s="4" t="s">
        <v>1934</v>
      </c>
      <c r="F588" s="4"/>
      <c r="G588" s="7"/>
      <c r="H588" s="4">
        <v>0</v>
      </c>
      <c r="I588" s="7">
        <v>0</v>
      </c>
      <c r="J588" s="7"/>
    </row>
    <row r="589" spans="1:10" hidden="1">
      <c r="A589" s="4" t="s">
        <v>807</v>
      </c>
      <c r="B589" s="4" t="s">
        <v>808</v>
      </c>
      <c r="C589" s="4" t="s">
        <v>1935</v>
      </c>
      <c r="D589" s="4" t="s">
        <v>1094</v>
      </c>
      <c r="E589" s="4" t="s">
        <v>1936</v>
      </c>
      <c r="F589" s="4"/>
      <c r="G589" s="7"/>
      <c r="H589" s="4">
        <v>0</v>
      </c>
      <c r="I589" s="7">
        <v>0</v>
      </c>
      <c r="J589" s="7"/>
    </row>
    <row r="590" spans="1:10" hidden="1">
      <c r="A590" s="4" t="s">
        <v>807</v>
      </c>
      <c r="B590" s="4" t="s">
        <v>808</v>
      </c>
      <c r="C590" s="4" t="s">
        <v>1937</v>
      </c>
      <c r="D590" s="4" t="s">
        <v>1098</v>
      </c>
      <c r="E590" s="4" t="s">
        <v>1938</v>
      </c>
      <c r="F590" s="4"/>
      <c r="G590" s="7"/>
      <c r="H590" s="4">
        <v>0</v>
      </c>
      <c r="I590" s="7">
        <v>0</v>
      </c>
      <c r="J590" s="7"/>
    </row>
    <row r="591" spans="1:10" hidden="1">
      <c r="A591" s="4" t="s">
        <v>807</v>
      </c>
      <c r="B591" s="4" t="s">
        <v>808</v>
      </c>
      <c r="C591" s="4" t="s">
        <v>1939</v>
      </c>
      <c r="D591" s="4" t="s">
        <v>1098</v>
      </c>
      <c r="E591" s="4" t="s">
        <v>1940</v>
      </c>
      <c r="F591" s="4"/>
      <c r="G591" s="7"/>
      <c r="H591" s="4">
        <v>0</v>
      </c>
      <c r="I591" s="7">
        <v>0</v>
      </c>
      <c r="J591" s="7"/>
    </row>
    <row r="592" spans="1:10" hidden="1">
      <c r="A592" s="4" t="s">
        <v>807</v>
      </c>
      <c r="B592" s="4" t="s">
        <v>808</v>
      </c>
      <c r="C592" s="4" t="s">
        <v>1941</v>
      </c>
      <c r="D592" s="4" t="s">
        <v>1098</v>
      </c>
      <c r="E592" s="4" t="s">
        <v>1942</v>
      </c>
      <c r="F592" s="4"/>
      <c r="G592" s="7"/>
      <c r="H592" s="4">
        <v>0</v>
      </c>
      <c r="I592" s="7">
        <v>0</v>
      </c>
      <c r="J592" s="7"/>
    </row>
    <row r="593" spans="1:10" hidden="1">
      <c r="A593" s="4" t="s">
        <v>807</v>
      </c>
      <c r="B593" s="4" t="s">
        <v>808</v>
      </c>
      <c r="C593" s="4" t="s">
        <v>1943</v>
      </c>
      <c r="D593" s="4" t="s">
        <v>1104</v>
      </c>
      <c r="E593" s="4" t="s">
        <v>1944</v>
      </c>
      <c r="F593" s="4"/>
      <c r="G593" s="7"/>
      <c r="H593" s="4">
        <v>0</v>
      </c>
      <c r="I593" s="7">
        <v>0</v>
      </c>
      <c r="J593" s="7"/>
    </row>
    <row r="594" spans="1:10" hidden="1">
      <c r="A594" s="4" t="s">
        <v>807</v>
      </c>
      <c r="B594" s="4" t="s">
        <v>808</v>
      </c>
      <c r="C594" s="4" t="s">
        <v>1945</v>
      </c>
      <c r="D594" s="4" t="s">
        <v>1104</v>
      </c>
      <c r="E594" s="4" t="s">
        <v>1946</v>
      </c>
      <c r="F594" s="4"/>
      <c r="G594" s="7"/>
      <c r="H594" s="4">
        <v>0</v>
      </c>
      <c r="I594" s="7">
        <v>0</v>
      </c>
      <c r="J594" s="7"/>
    </row>
    <row r="595" spans="1:10" hidden="1">
      <c r="A595" s="4" t="s">
        <v>807</v>
      </c>
      <c r="B595" s="4" t="s">
        <v>808</v>
      </c>
      <c r="C595" s="4" t="s">
        <v>1947</v>
      </c>
      <c r="D595" s="4" t="s">
        <v>1104</v>
      </c>
      <c r="E595" s="4" t="s">
        <v>1948</v>
      </c>
      <c r="F595" s="4"/>
      <c r="G595" s="7"/>
      <c r="H595" s="4">
        <v>0</v>
      </c>
      <c r="I595" s="7">
        <v>0</v>
      </c>
      <c r="J595" s="7"/>
    </row>
    <row r="596" spans="1:10" hidden="1">
      <c r="A596" s="4" t="s">
        <v>807</v>
      </c>
      <c r="B596" s="4" t="s">
        <v>808</v>
      </c>
      <c r="C596" s="4" t="s">
        <v>1949</v>
      </c>
      <c r="D596" s="4" t="s">
        <v>1107</v>
      </c>
      <c r="E596" s="4" t="s">
        <v>1950</v>
      </c>
      <c r="F596" s="4"/>
      <c r="G596" s="7"/>
      <c r="H596" s="4">
        <v>0</v>
      </c>
      <c r="I596" s="7">
        <v>0</v>
      </c>
      <c r="J596" s="7"/>
    </row>
    <row r="597" spans="1:10" hidden="1">
      <c r="A597" s="4" t="s">
        <v>807</v>
      </c>
      <c r="B597" s="4" t="s">
        <v>808</v>
      </c>
      <c r="C597" s="4" t="s">
        <v>1951</v>
      </c>
      <c r="D597" s="4" t="s">
        <v>1107</v>
      </c>
      <c r="E597" s="4" t="s">
        <v>1952</v>
      </c>
      <c r="F597" s="4"/>
      <c r="G597" s="7"/>
      <c r="H597" s="4">
        <v>0</v>
      </c>
      <c r="I597" s="7">
        <v>0</v>
      </c>
      <c r="J597" s="7"/>
    </row>
    <row r="598" spans="1:10" hidden="1">
      <c r="A598" s="4" t="s">
        <v>807</v>
      </c>
      <c r="B598" s="4" t="s">
        <v>808</v>
      </c>
      <c r="C598" s="4" t="s">
        <v>1953</v>
      </c>
      <c r="D598" s="4" t="s">
        <v>1107</v>
      </c>
      <c r="E598" s="4" t="s">
        <v>1954</v>
      </c>
      <c r="F598" s="4"/>
      <c r="G598" s="7"/>
      <c r="H598" s="4">
        <v>0</v>
      </c>
      <c r="I598" s="7">
        <v>0</v>
      </c>
      <c r="J598" s="7"/>
    </row>
    <row r="599" spans="1:10" hidden="1">
      <c r="A599" s="4" t="s">
        <v>807</v>
      </c>
      <c r="B599" s="4" t="s">
        <v>808</v>
      </c>
      <c r="C599" s="4" t="s">
        <v>1109</v>
      </c>
      <c r="D599" s="4" t="s">
        <v>1116</v>
      </c>
      <c r="E599" s="4" t="s">
        <v>1111</v>
      </c>
      <c r="F599" s="4"/>
      <c r="G599" s="7"/>
      <c r="H599" s="4">
        <v>0</v>
      </c>
      <c r="I599" s="7">
        <v>0</v>
      </c>
      <c r="J599" s="7"/>
    </row>
    <row r="600" spans="1:10" hidden="1">
      <c r="A600" s="4" t="s">
        <v>807</v>
      </c>
      <c r="B600" s="4"/>
      <c r="C600" s="4" t="s">
        <v>1955</v>
      </c>
      <c r="D600" s="4" t="s">
        <v>1127</v>
      </c>
      <c r="E600" s="4" t="s">
        <v>1956</v>
      </c>
      <c r="F600" s="4"/>
      <c r="G600" s="7"/>
      <c r="H600" s="4">
        <v>0</v>
      </c>
      <c r="I600" s="7">
        <v>0</v>
      </c>
      <c r="J600" s="7"/>
    </row>
    <row r="601" spans="1:10" hidden="1">
      <c r="A601" s="4" t="s">
        <v>807</v>
      </c>
      <c r="B601" s="4" t="s">
        <v>808</v>
      </c>
      <c r="C601" s="4" t="s">
        <v>1957</v>
      </c>
      <c r="D601" s="4" t="s">
        <v>1132</v>
      </c>
      <c r="E601" s="4" t="s">
        <v>1958</v>
      </c>
      <c r="F601" s="4"/>
      <c r="G601" s="7"/>
      <c r="H601" s="4">
        <v>0</v>
      </c>
      <c r="I601" s="7">
        <v>0</v>
      </c>
      <c r="J601" s="7"/>
    </row>
    <row r="602" spans="1:10" hidden="1">
      <c r="A602" s="4" t="s">
        <v>807</v>
      </c>
      <c r="B602" s="4" t="s">
        <v>808</v>
      </c>
      <c r="C602" s="4" t="s">
        <v>1100</v>
      </c>
      <c r="D602" s="4" t="s">
        <v>1132</v>
      </c>
      <c r="E602" s="4" t="s">
        <v>1102</v>
      </c>
      <c r="F602" s="4"/>
      <c r="G602" s="7"/>
      <c r="H602" s="4">
        <v>0</v>
      </c>
      <c r="I602" s="7">
        <v>0</v>
      </c>
      <c r="J602" s="7"/>
    </row>
    <row r="603" spans="1:10" hidden="1">
      <c r="A603" s="4" t="s">
        <v>807</v>
      </c>
      <c r="B603" s="4" t="s">
        <v>808</v>
      </c>
      <c r="C603" s="4" t="s">
        <v>1959</v>
      </c>
      <c r="D603" s="4" t="s">
        <v>1132</v>
      </c>
      <c r="E603" s="4" t="s">
        <v>1960</v>
      </c>
      <c r="F603" s="4"/>
      <c r="G603" s="7"/>
      <c r="H603" s="4">
        <v>0</v>
      </c>
      <c r="I603" s="7">
        <v>0</v>
      </c>
      <c r="J603" s="7"/>
    </row>
    <row r="604" spans="1:10" hidden="1">
      <c r="A604" s="4" t="s">
        <v>807</v>
      </c>
      <c r="B604" s="4" t="s">
        <v>808</v>
      </c>
      <c r="C604" s="4" t="s">
        <v>1961</v>
      </c>
      <c r="D604" s="4" t="s">
        <v>1132</v>
      </c>
      <c r="E604" s="4" t="s">
        <v>1962</v>
      </c>
      <c r="F604" s="4"/>
      <c r="G604" s="7"/>
      <c r="H604" s="4">
        <v>0</v>
      </c>
      <c r="I604" s="7">
        <v>0</v>
      </c>
      <c r="J604" s="7"/>
    </row>
    <row r="605" spans="1:10" hidden="1">
      <c r="A605" s="4" t="s">
        <v>807</v>
      </c>
      <c r="B605" s="4" t="s">
        <v>808</v>
      </c>
      <c r="C605" s="4" t="s">
        <v>1963</v>
      </c>
      <c r="D605" s="4" t="s">
        <v>1172</v>
      </c>
      <c r="E605" s="4" t="s">
        <v>1964</v>
      </c>
      <c r="F605" s="4"/>
      <c r="G605" s="7"/>
      <c r="H605" s="4">
        <v>0</v>
      </c>
      <c r="I605" s="7">
        <v>0</v>
      </c>
      <c r="J605" s="7"/>
    </row>
    <row r="606" spans="1:10" hidden="1">
      <c r="A606" s="4" t="s">
        <v>807</v>
      </c>
      <c r="B606" s="4" t="s">
        <v>808</v>
      </c>
      <c r="C606" s="4" t="s">
        <v>1965</v>
      </c>
      <c r="D606" s="4" t="s">
        <v>1172</v>
      </c>
      <c r="E606" s="4" t="s">
        <v>1966</v>
      </c>
      <c r="F606" s="4"/>
      <c r="G606" s="7"/>
      <c r="H606" s="4">
        <v>0</v>
      </c>
      <c r="I606" s="7">
        <v>0</v>
      </c>
      <c r="J606" s="7"/>
    </row>
    <row r="607" spans="1:10" hidden="1">
      <c r="A607" s="4" t="s">
        <v>807</v>
      </c>
      <c r="B607" s="4" t="s">
        <v>811</v>
      </c>
      <c r="C607" s="4" t="s">
        <v>1967</v>
      </c>
      <c r="D607" s="4" t="s">
        <v>1172</v>
      </c>
      <c r="E607" s="4" t="s">
        <v>1968</v>
      </c>
      <c r="F607" s="4"/>
      <c r="G607" s="7"/>
      <c r="H607" s="4">
        <v>0</v>
      </c>
      <c r="I607" s="7">
        <v>0</v>
      </c>
      <c r="J607" s="7"/>
    </row>
    <row r="608" spans="1:10" hidden="1">
      <c r="A608" s="4" t="s">
        <v>807</v>
      </c>
      <c r="B608" s="4" t="s">
        <v>945</v>
      </c>
      <c r="C608" s="4" t="s">
        <v>1136</v>
      </c>
      <c r="D608" s="4" t="s">
        <v>1172</v>
      </c>
      <c r="E608" s="4" t="s">
        <v>1138</v>
      </c>
      <c r="F608" s="4"/>
      <c r="G608" s="7"/>
      <c r="H608" s="4">
        <v>0</v>
      </c>
      <c r="I608" s="7">
        <v>0</v>
      </c>
      <c r="J608" s="7"/>
    </row>
    <row r="609" spans="1:10" hidden="1">
      <c r="A609" s="4" t="s">
        <v>807</v>
      </c>
      <c r="B609" s="4" t="s">
        <v>811</v>
      </c>
      <c r="C609" s="4" t="s">
        <v>1969</v>
      </c>
      <c r="D609" s="4" t="s">
        <v>1172</v>
      </c>
      <c r="E609" s="4" t="s">
        <v>1970</v>
      </c>
      <c r="F609" s="4"/>
      <c r="G609" s="7"/>
      <c r="H609" s="4">
        <v>0</v>
      </c>
      <c r="I609" s="7">
        <v>0</v>
      </c>
      <c r="J609" s="7"/>
    </row>
    <row r="610" spans="1:10" hidden="1">
      <c r="A610" s="4" t="s">
        <v>807</v>
      </c>
      <c r="B610" s="4" t="s">
        <v>808</v>
      </c>
      <c r="C610" s="4" t="s">
        <v>1971</v>
      </c>
      <c r="D610" s="4" t="s">
        <v>1179</v>
      </c>
      <c r="E610" s="4" t="s">
        <v>1972</v>
      </c>
      <c r="F610" s="4"/>
      <c r="G610" s="7"/>
      <c r="H610" s="4">
        <v>0</v>
      </c>
      <c r="I610" s="7">
        <v>0</v>
      </c>
      <c r="J610" s="7"/>
    </row>
    <row r="611" spans="1:10" hidden="1">
      <c r="A611" s="4" t="s">
        <v>807</v>
      </c>
      <c r="B611" s="4" t="s">
        <v>811</v>
      </c>
      <c r="C611" s="4" t="s">
        <v>1973</v>
      </c>
      <c r="D611" s="4" t="s">
        <v>1179</v>
      </c>
      <c r="E611" s="4" t="s">
        <v>1972</v>
      </c>
      <c r="F611" s="4"/>
      <c r="G611" s="7"/>
      <c r="H611" s="4">
        <v>0</v>
      </c>
      <c r="I611" s="7">
        <v>0</v>
      </c>
      <c r="J611" s="7"/>
    </row>
    <row r="612" spans="1:10" hidden="1">
      <c r="A612" s="4" t="s">
        <v>807</v>
      </c>
      <c r="B612" s="4" t="s">
        <v>811</v>
      </c>
      <c r="C612" s="4" t="s">
        <v>1974</v>
      </c>
      <c r="D612" s="4" t="s">
        <v>1179</v>
      </c>
      <c r="E612" s="4" t="s">
        <v>1972</v>
      </c>
      <c r="F612" s="4"/>
      <c r="G612" s="7"/>
      <c r="H612" s="4">
        <v>0</v>
      </c>
      <c r="I612" s="7">
        <v>0</v>
      </c>
      <c r="J612" s="7"/>
    </row>
    <row r="613" spans="1:10">
      <c r="A613" s="4" t="s">
        <v>1051</v>
      </c>
      <c r="B613" s="4"/>
      <c r="C613" s="4" t="s">
        <v>1975</v>
      </c>
      <c r="D613" s="4" t="s">
        <v>1179</v>
      </c>
      <c r="E613" s="4" t="s">
        <v>1976</v>
      </c>
      <c r="F613" s="4"/>
      <c r="G613" s="7"/>
      <c r="H613" s="4">
        <v>0</v>
      </c>
      <c r="I613" s="7">
        <v>0</v>
      </c>
      <c r="J613" s="7"/>
    </row>
    <row r="614" spans="1:10" hidden="1">
      <c r="A614" s="4" t="s">
        <v>815</v>
      </c>
      <c r="B614" s="4" t="s">
        <v>816</v>
      </c>
      <c r="C614" s="4" t="s">
        <v>1004</v>
      </c>
      <c r="D614" s="4" t="s">
        <v>1179</v>
      </c>
      <c r="E614" s="4" t="s">
        <v>1006</v>
      </c>
      <c r="F614" s="4"/>
      <c r="G614" s="7"/>
      <c r="H614" s="4">
        <v>0</v>
      </c>
      <c r="I614" s="7">
        <v>0</v>
      </c>
      <c r="J614" s="7"/>
    </row>
    <row r="615" spans="1:10" hidden="1">
      <c r="A615" s="4" t="s">
        <v>807</v>
      </c>
      <c r="B615" s="4" t="s">
        <v>811</v>
      </c>
      <c r="C615" s="4" t="s">
        <v>1977</v>
      </c>
      <c r="D615" s="4" t="s">
        <v>1187</v>
      </c>
      <c r="E615" s="4" t="s">
        <v>1978</v>
      </c>
      <c r="F615" s="4"/>
      <c r="G615" s="7"/>
      <c r="H615" s="4">
        <v>0</v>
      </c>
      <c r="I615" s="7">
        <v>0</v>
      </c>
      <c r="J615" s="7"/>
    </row>
    <row r="616" spans="1:10">
      <c r="A616" s="4" t="s">
        <v>1051</v>
      </c>
      <c r="B616" s="4"/>
      <c r="C616" s="4" t="s">
        <v>1979</v>
      </c>
      <c r="D616" s="4" t="s">
        <v>1187</v>
      </c>
      <c r="E616" s="4" t="s">
        <v>1980</v>
      </c>
      <c r="F616" s="4"/>
      <c r="G616" s="7"/>
      <c r="H616" s="4">
        <v>0</v>
      </c>
      <c r="I616" s="7">
        <v>0</v>
      </c>
      <c r="J616" s="7"/>
    </row>
    <row r="617" spans="1:10" hidden="1">
      <c r="A617" s="4" t="s">
        <v>807</v>
      </c>
      <c r="B617" s="4" t="s">
        <v>811</v>
      </c>
      <c r="C617" s="4" t="s">
        <v>1981</v>
      </c>
      <c r="D617" s="4" t="s">
        <v>1196</v>
      </c>
      <c r="E617" s="4" t="s">
        <v>1982</v>
      </c>
      <c r="F617" s="4"/>
      <c r="G617" s="7"/>
      <c r="H617" s="4">
        <v>0</v>
      </c>
      <c r="I617" s="7">
        <v>0</v>
      </c>
      <c r="J617" s="7"/>
    </row>
    <row r="618" spans="1:10" hidden="1">
      <c r="A618" s="4" t="s">
        <v>807</v>
      </c>
      <c r="B618" s="4" t="s">
        <v>808</v>
      </c>
      <c r="C618" s="4" t="s">
        <v>1100</v>
      </c>
      <c r="D618" s="4" t="s">
        <v>1208</v>
      </c>
      <c r="E618" s="4" t="s">
        <v>1102</v>
      </c>
      <c r="F618" s="4"/>
      <c r="G618" s="7"/>
      <c r="H618" s="4">
        <v>0</v>
      </c>
      <c r="I618" s="7">
        <v>0</v>
      </c>
      <c r="J618" s="7"/>
    </row>
    <row r="619" spans="1:10" hidden="1">
      <c r="A619" s="4" t="s">
        <v>807</v>
      </c>
      <c r="B619" s="4" t="s">
        <v>1883</v>
      </c>
      <c r="C619" s="4" t="s">
        <v>1983</v>
      </c>
      <c r="D619" s="4" t="s">
        <v>1227</v>
      </c>
      <c r="E619" s="4" t="s">
        <v>1984</v>
      </c>
      <c r="F619" s="4"/>
      <c r="G619" s="7"/>
      <c r="H619" s="4">
        <v>0</v>
      </c>
      <c r="I619" s="7">
        <v>0</v>
      </c>
      <c r="J619" s="7"/>
    </row>
    <row r="620" spans="1:10" hidden="1">
      <c r="A620" s="4" t="s">
        <v>815</v>
      </c>
      <c r="B620" s="4" t="s">
        <v>1020</v>
      </c>
      <c r="C620" s="4" t="s">
        <v>1985</v>
      </c>
      <c r="D620" s="4" t="s">
        <v>1233</v>
      </c>
      <c r="E620" s="4" t="s">
        <v>1986</v>
      </c>
      <c r="F620" s="4"/>
      <c r="G620" s="7"/>
      <c r="H620" s="4">
        <v>0</v>
      </c>
      <c r="I620" s="7">
        <v>0</v>
      </c>
      <c r="J620" s="7"/>
    </row>
    <row r="621" spans="1:10" hidden="1">
      <c r="A621" s="4" t="s">
        <v>815</v>
      </c>
      <c r="B621" s="4" t="s">
        <v>816</v>
      </c>
      <c r="C621" s="4" t="s">
        <v>1898</v>
      </c>
      <c r="D621" s="4" t="s">
        <v>1233</v>
      </c>
      <c r="E621" s="4"/>
      <c r="F621" s="4"/>
      <c r="G621" s="7"/>
      <c r="H621" s="4">
        <v>0</v>
      </c>
      <c r="I621" s="7">
        <v>0</v>
      </c>
      <c r="J621" s="7"/>
    </row>
    <row r="622" spans="1:10" hidden="1">
      <c r="A622" s="4" t="s">
        <v>807</v>
      </c>
      <c r="B622" s="4" t="s">
        <v>945</v>
      </c>
      <c r="C622" s="4" t="s">
        <v>1270</v>
      </c>
      <c r="D622" s="4" t="s">
        <v>1280</v>
      </c>
      <c r="E622" s="4" t="s">
        <v>1272</v>
      </c>
      <c r="F622" s="4"/>
      <c r="G622" s="7"/>
      <c r="H622" s="4">
        <v>0</v>
      </c>
      <c r="I622" s="7">
        <v>0</v>
      </c>
      <c r="J622" s="7"/>
    </row>
    <row r="623" spans="1:10" hidden="1">
      <c r="A623" s="4" t="s">
        <v>915</v>
      </c>
      <c r="B623" s="4" t="s">
        <v>915</v>
      </c>
      <c r="C623" s="4">
        <v>54004443</v>
      </c>
      <c r="D623" s="4" t="s">
        <v>1307</v>
      </c>
      <c r="E623" s="4" t="s">
        <v>1987</v>
      </c>
      <c r="F623" s="4"/>
      <c r="G623" s="7"/>
      <c r="H623" s="4">
        <v>0</v>
      </c>
      <c r="I623" s="7">
        <v>0</v>
      </c>
      <c r="J623" s="7"/>
    </row>
    <row r="624" spans="1:10" hidden="1">
      <c r="A624" s="4" t="s">
        <v>915</v>
      </c>
      <c r="B624" s="4" t="s">
        <v>915</v>
      </c>
      <c r="C624" s="4">
        <v>54004838</v>
      </c>
      <c r="D624" s="4" t="s">
        <v>1307</v>
      </c>
      <c r="E624" s="4" t="s">
        <v>1988</v>
      </c>
      <c r="F624" s="4"/>
      <c r="G624" s="7"/>
      <c r="H624" s="4">
        <v>0</v>
      </c>
      <c r="I624" s="7">
        <v>0</v>
      </c>
      <c r="J624" s="7"/>
    </row>
    <row r="625" spans="1:10" hidden="1">
      <c r="A625" s="4" t="s">
        <v>915</v>
      </c>
      <c r="B625" s="4" t="s">
        <v>915</v>
      </c>
      <c r="C625" s="4">
        <v>54004919</v>
      </c>
      <c r="D625" s="4" t="s">
        <v>1307</v>
      </c>
      <c r="E625" s="4" t="s">
        <v>1989</v>
      </c>
      <c r="F625" s="4"/>
      <c r="G625" s="7"/>
      <c r="H625" s="4">
        <v>0</v>
      </c>
      <c r="I625" s="7">
        <v>0</v>
      </c>
      <c r="J625" s="7"/>
    </row>
    <row r="626" spans="1:10" hidden="1">
      <c r="A626" s="4" t="s">
        <v>915</v>
      </c>
      <c r="B626" s="4" t="s">
        <v>915</v>
      </c>
      <c r="C626" s="4">
        <v>54005415</v>
      </c>
      <c r="D626" s="4" t="s">
        <v>1307</v>
      </c>
      <c r="E626" s="4" t="s">
        <v>1990</v>
      </c>
      <c r="F626" s="4"/>
      <c r="G626" s="7"/>
      <c r="H626" s="4">
        <v>0</v>
      </c>
      <c r="I626" s="7">
        <v>0</v>
      </c>
      <c r="J626" s="7"/>
    </row>
    <row r="627" spans="1:10" hidden="1">
      <c r="A627" s="4" t="s">
        <v>915</v>
      </c>
      <c r="B627" s="4" t="s">
        <v>915</v>
      </c>
      <c r="C627" s="4">
        <v>54005589</v>
      </c>
      <c r="D627" s="4" t="s">
        <v>1307</v>
      </c>
      <c r="E627" s="4" t="s">
        <v>1991</v>
      </c>
      <c r="F627" s="4"/>
      <c r="G627" s="7"/>
      <c r="H627" s="4">
        <v>0</v>
      </c>
      <c r="I627" s="7">
        <v>0</v>
      </c>
      <c r="J627" s="7"/>
    </row>
    <row r="628" spans="1:10" hidden="1">
      <c r="A628" s="4" t="s">
        <v>915</v>
      </c>
      <c r="B628" s="4" t="s">
        <v>915</v>
      </c>
      <c r="C628" s="4">
        <v>54005592</v>
      </c>
      <c r="D628" s="4" t="s">
        <v>1307</v>
      </c>
      <c r="E628" s="4" t="s">
        <v>1992</v>
      </c>
      <c r="F628" s="4"/>
      <c r="G628" s="7"/>
      <c r="H628" s="4">
        <v>0</v>
      </c>
      <c r="I628" s="7">
        <v>0</v>
      </c>
      <c r="J628" s="7"/>
    </row>
    <row r="629" spans="1:10" hidden="1">
      <c r="A629" s="4" t="s">
        <v>915</v>
      </c>
      <c r="B629" s="4" t="s">
        <v>915</v>
      </c>
      <c r="C629" s="4">
        <v>54005676</v>
      </c>
      <c r="D629" s="4" t="s">
        <v>1307</v>
      </c>
      <c r="E629" s="4" t="s">
        <v>1993</v>
      </c>
      <c r="F629" s="4"/>
      <c r="G629" s="7"/>
      <c r="H629" s="4">
        <v>0</v>
      </c>
      <c r="I629" s="7">
        <v>0</v>
      </c>
      <c r="J629" s="7"/>
    </row>
    <row r="630" spans="1:10" hidden="1">
      <c r="A630" s="4" t="s">
        <v>915</v>
      </c>
      <c r="B630" s="4" t="s">
        <v>915</v>
      </c>
      <c r="C630" s="4">
        <v>54005677</v>
      </c>
      <c r="D630" s="4" t="s">
        <v>1307</v>
      </c>
      <c r="E630" s="4" t="s">
        <v>1994</v>
      </c>
      <c r="F630" s="4"/>
      <c r="G630" s="7"/>
      <c r="H630" s="4">
        <v>0</v>
      </c>
      <c r="I630" s="7">
        <v>0</v>
      </c>
      <c r="J630" s="7"/>
    </row>
    <row r="631" spans="1:10">
      <c r="A631" s="4" t="s">
        <v>1051</v>
      </c>
      <c r="B631" s="4"/>
      <c r="C631" s="4" t="s">
        <v>1995</v>
      </c>
      <c r="D631" s="4" t="s">
        <v>1317</v>
      </c>
      <c r="E631" s="4" t="s">
        <v>1996</v>
      </c>
      <c r="F631" s="4"/>
      <c r="G631" s="7"/>
      <c r="H631" s="4">
        <v>0</v>
      </c>
      <c r="I631" s="7">
        <v>0</v>
      </c>
      <c r="J631" s="7"/>
    </row>
    <row r="632" spans="1:10">
      <c r="A632" s="4" t="s">
        <v>1051</v>
      </c>
      <c r="B632" s="4"/>
      <c r="C632" s="4" t="s">
        <v>1997</v>
      </c>
      <c r="D632" s="4" t="s">
        <v>1325</v>
      </c>
      <c r="E632" s="4" t="s">
        <v>1998</v>
      </c>
      <c r="F632" s="4"/>
      <c r="G632" s="7"/>
      <c r="H632" s="4">
        <v>0</v>
      </c>
      <c r="I632" s="7">
        <v>0</v>
      </c>
      <c r="J632" s="7"/>
    </row>
    <row r="633" spans="1:10" hidden="1">
      <c r="A633" s="4" t="s">
        <v>807</v>
      </c>
      <c r="B633" s="4" t="s">
        <v>825</v>
      </c>
      <c r="C633" s="4" t="s">
        <v>1999</v>
      </c>
      <c r="D633" s="4" t="s">
        <v>1328</v>
      </c>
      <c r="E633" s="4" t="s">
        <v>1287</v>
      </c>
      <c r="F633" s="4"/>
      <c r="G633" s="7"/>
      <c r="H633" s="4">
        <v>0</v>
      </c>
      <c r="I633" s="7">
        <v>0</v>
      </c>
      <c r="J633" s="7"/>
    </row>
    <row r="634" spans="1:10" hidden="1">
      <c r="A634" s="4" t="s">
        <v>807</v>
      </c>
      <c r="B634" s="4" t="s">
        <v>825</v>
      </c>
      <c r="C634" s="4" t="s">
        <v>2000</v>
      </c>
      <c r="D634" s="4" t="s">
        <v>1332</v>
      </c>
      <c r="E634" s="4" t="s">
        <v>1287</v>
      </c>
      <c r="F634" s="4"/>
      <c r="G634" s="7"/>
      <c r="H634" s="4">
        <v>0</v>
      </c>
      <c r="I634" s="7">
        <v>0</v>
      </c>
      <c r="J634" s="7"/>
    </row>
    <row r="635" spans="1:10" hidden="1">
      <c r="A635" s="4" t="s">
        <v>807</v>
      </c>
      <c r="B635" s="4" t="s">
        <v>825</v>
      </c>
      <c r="C635" s="4" t="s">
        <v>2001</v>
      </c>
      <c r="D635" s="4" t="s">
        <v>1336</v>
      </c>
      <c r="E635" s="4" t="s">
        <v>1320</v>
      </c>
      <c r="F635" s="4"/>
      <c r="G635" s="7"/>
      <c r="H635" s="4">
        <v>0</v>
      </c>
      <c r="I635" s="7">
        <v>0</v>
      </c>
      <c r="J635" s="7"/>
    </row>
    <row r="636" spans="1:10" hidden="1">
      <c r="A636" s="4" t="s">
        <v>1535</v>
      </c>
      <c r="B636" s="4" t="s">
        <v>1536</v>
      </c>
      <c r="C636" s="4" t="s">
        <v>2002</v>
      </c>
      <c r="D636" s="4" t="s">
        <v>1358</v>
      </c>
      <c r="E636" s="4" t="s">
        <v>2003</v>
      </c>
      <c r="F636" s="4"/>
      <c r="G636" s="7"/>
      <c r="H636" s="4">
        <v>0</v>
      </c>
      <c r="I636" s="7">
        <v>0</v>
      </c>
      <c r="J636" s="7"/>
    </row>
    <row r="637" spans="1:10" hidden="1">
      <c r="A637" s="4" t="s">
        <v>807</v>
      </c>
      <c r="B637" s="4" t="s">
        <v>937</v>
      </c>
      <c r="C637" s="4" t="s">
        <v>2004</v>
      </c>
      <c r="D637" s="4" t="s">
        <v>1358</v>
      </c>
      <c r="E637" s="4" t="s">
        <v>2005</v>
      </c>
      <c r="F637" s="4"/>
      <c r="G637" s="7"/>
      <c r="H637" s="4">
        <v>0</v>
      </c>
      <c r="I637" s="7">
        <v>0</v>
      </c>
      <c r="J637" s="7"/>
    </row>
    <row r="638" spans="1:10" hidden="1">
      <c r="A638" s="4" t="s">
        <v>807</v>
      </c>
      <c r="B638" s="4" t="s">
        <v>937</v>
      </c>
      <c r="C638" s="4" t="s">
        <v>2006</v>
      </c>
      <c r="D638" s="4" t="s">
        <v>1358</v>
      </c>
      <c r="E638" s="4" t="s">
        <v>1400</v>
      </c>
      <c r="F638" s="4"/>
      <c r="G638" s="7"/>
      <c r="H638" s="4">
        <v>0</v>
      </c>
      <c r="I638" s="7">
        <v>0</v>
      </c>
      <c r="J638" s="7"/>
    </row>
    <row r="639" spans="1:10">
      <c r="A639" s="4" t="s">
        <v>1051</v>
      </c>
      <c r="B639" s="4"/>
      <c r="C639" s="4" t="s">
        <v>2007</v>
      </c>
      <c r="D639" s="4" t="s">
        <v>1358</v>
      </c>
      <c r="E639" s="4" t="s">
        <v>2008</v>
      </c>
      <c r="F639" s="4"/>
      <c r="G639" s="7"/>
      <c r="H639" s="4">
        <v>0</v>
      </c>
      <c r="I639" s="7">
        <v>0</v>
      </c>
      <c r="J639" s="7"/>
    </row>
    <row r="640" spans="1:10" hidden="1">
      <c r="A640" s="4" t="s">
        <v>807</v>
      </c>
      <c r="B640" s="4" t="s">
        <v>811</v>
      </c>
      <c r="C640" s="4" t="s">
        <v>2009</v>
      </c>
      <c r="D640" s="4" t="s">
        <v>1358</v>
      </c>
      <c r="E640" s="4" t="s">
        <v>2010</v>
      </c>
      <c r="F640" s="4"/>
      <c r="G640" s="7"/>
      <c r="H640" s="4">
        <v>0</v>
      </c>
      <c r="I640" s="7">
        <v>0</v>
      </c>
      <c r="J640" s="7"/>
    </row>
    <row r="641" spans="1:10" hidden="1">
      <c r="A641" s="4" t="s">
        <v>807</v>
      </c>
      <c r="B641" s="4" t="s">
        <v>808</v>
      </c>
      <c r="C641" s="4" t="s">
        <v>2011</v>
      </c>
      <c r="D641" s="4" t="s">
        <v>1366</v>
      </c>
      <c r="E641" s="4" t="s">
        <v>2012</v>
      </c>
      <c r="F641" s="4"/>
      <c r="G641" s="7"/>
      <c r="H641" s="4">
        <v>0</v>
      </c>
      <c r="I641" s="7">
        <v>0</v>
      </c>
      <c r="J641" s="7"/>
    </row>
    <row r="642" spans="1:10" hidden="1">
      <c r="A642" s="4" t="s">
        <v>807</v>
      </c>
      <c r="B642" s="4" t="s">
        <v>811</v>
      </c>
      <c r="C642" s="4" t="s">
        <v>2013</v>
      </c>
      <c r="D642" s="4" t="s">
        <v>1366</v>
      </c>
      <c r="E642" s="4" t="s">
        <v>2014</v>
      </c>
      <c r="F642" s="4"/>
      <c r="G642" s="7"/>
      <c r="H642" s="4">
        <v>0</v>
      </c>
      <c r="I642" s="7">
        <v>0</v>
      </c>
      <c r="J642" s="7"/>
    </row>
    <row r="643" spans="1:10" hidden="1">
      <c r="A643" s="4" t="s">
        <v>807</v>
      </c>
      <c r="B643" s="4" t="s">
        <v>811</v>
      </c>
      <c r="C643" s="4" t="s">
        <v>2015</v>
      </c>
      <c r="D643" s="4" t="s">
        <v>1369</v>
      </c>
      <c r="E643" s="4" t="s">
        <v>2016</v>
      </c>
      <c r="F643" s="4"/>
      <c r="G643" s="7"/>
      <c r="H643" s="4">
        <v>0</v>
      </c>
      <c r="I643" s="7">
        <v>0</v>
      </c>
      <c r="J643" s="7"/>
    </row>
    <row r="644" spans="1:10" hidden="1">
      <c r="A644" s="4" t="s">
        <v>807</v>
      </c>
      <c r="B644" s="4" t="s">
        <v>811</v>
      </c>
      <c r="C644" s="4" t="s">
        <v>2017</v>
      </c>
      <c r="D644" s="4" t="s">
        <v>1369</v>
      </c>
      <c r="E644" s="4" t="s">
        <v>2018</v>
      </c>
      <c r="F644" s="4"/>
      <c r="G644" s="7"/>
      <c r="H644" s="4">
        <v>0</v>
      </c>
      <c r="I644" s="7">
        <v>0</v>
      </c>
      <c r="J644" s="7"/>
    </row>
    <row r="645" spans="1:10" hidden="1">
      <c r="A645" s="4" t="s">
        <v>807</v>
      </c>
      <c r="B645" s="4" t="s">
        <v>811</v>
      </c>
      <c r="C645" s="4" t="s">
        <v>2019</v>
      </c>
      <c r="D645" s="4" t="s">
        <v>1369</v>
      </c>
      <c r="E645" s="4" t="s">
        <v>2020</v>
      </c>
      <c r="F645" s="4"/>
      <c r="G645" s="7"/>
      <c r="H645" s="4">
        <v>0</v>
      </c>
      <c r="I645" s="7">
        <v>0</v>
      </c>
      <c r="J645" s="7"/>
    </row>
    <row r="646" spans="1:10" hidden="1">
      <c r="A646" s="4" t="s">
        <v>807</v>
      </c>
      <c r="B646" s="4" t="s">
        <v>811</v>
      </c>
      <c r="C646" s="4" t="s">
        <v>2021</v>
      </c>
      <c r="D646" s="4" t="s">
        <v>1369</v>
      </c>
      <c r="E646" s="4" t="s">
        <v>2022</v>
      </c>
      <c r="F646" s="4"/>
      <c r="G646" s="7"/>
      <c r="H646" s="4">
        <v>0</v>
      </c>
      <c r="I646" s="7">
        <v>0</v>
      </c>
      <c r="J646" s="7"/>
    </row>
    <row r="647" spans="1:10" hidden="1">
      <c r="A647" s="4" t="s">
        <v>807</v>
      </c>
      <c r="B647" s="4" t="s">
        <v>811</v>
      </c>
      <c r="C647" s="4" t="s">
        <v>2023</v>
      </c>
      <c r="D647" s="4" t="s">
        <v>1369</v>
      </c>
      <c r="E647" s="4" t="s">
        <v>2024</v>
      </c>
      <c r="F647" s="4"/>
      <c r="G647" s="7"/>
      <c r="H647" s="4">
        <v>0</v>
      </c>
      <c r="I647" s="7">
        <v>0</v>
      </c>
      <c r="J647" s="7"/>
    </row>
    <row r="648" spans="1:10" hidden="1">
      <c r="A648" s="4" t="s">
        <v>807</v>
      </c>
      <c r="B648" s="4" t="s">
        <v>811</v>
      </c>
      <c r="C648" s="4" t="s">
        <v>2025</v>
      </c>
      <c r="D648" s="4" t="s">
        <v>1369</v>
      </c>
      <c r="E648" s="4" t="s">
        <v>2026</v>
      </c>
      <c r="F648" s="4"/>
      <c r="G648" s="7"/>
      <c r="H648" s="4">
        <v>0</v>
      </c>
      <c r="I648" s="7">
        <v>0</v>
      </c>
      <c r="J648" s="7"/>
    </row>
    <row r="649" spans="1:10">
      <c r="A649" s="4" t="s">
        <v>1051</v>
      </c>
      <c r="B649" s="4"/>
      <c r="C649" s="4" t="s">
        <v>2027</v>
      </c>
      <c r="D649" s="4" t="s">
        <v>1372</v>
      </c>
      <c r="E649" s="4" t="s">
        <v>2028</v>
      </c>
      <c r="F649" s="4"/>
      <c r="G649" s="7"/>
      <c r="H649" s="4">
        <v>0</v>
      </c>
      <c r="I649" s="7">
        <v>0</v>
      </c>
      <c r="J649" s="7"/>
    </row>
    <row r="650" spans="1:10" hidden="1">
      <c r="A650" s="4" t="s">
        <v>807</v>
      </c>
      <c r="B650" s="4" t="s">
        <v>825</v>
      </c>
      <c r="C650" s="4" t="s">
        <v>2029</v>
      </c>
      <c r="D650" s="4" t="s">
        <v>1372</v>
      </c>
      <c r="E650" s="4" t="s">
        <v>2030</v>
      </c>
      <c r="F650" s="4"/>
      <c r="G650" s="7"/>
      <c r="H650" s="4">
        <v>0</v>
      </c>
      <c r="I650" s="7">
        <v>0</v>
      </c>
      <c r="J650" s="7"/>
    </row>
    <row r="651" spans="1:10">
      <c r="A651" s="4" t="s">
        <v>1051</v>
      </c>
      <c r="B651" s="4" t="s">
        <v>1051</v>
      </c>
      <c r="C651" s="4" t="s">
        <v>2031</v>
      </c>
      <c r="D651" s="4" t="s">
        <v>1372</v>
      </c>
      <c r="E651" s="4" t="s">
        <v>2032</v>
      </c>
      <c r="F651" s="4"/>
      <c r="G651" s="7"/>
      <c r="H651" s="4">
        <v>0</v>
      </c>
      <c r="I651" s="7">
        <v>0</v>
      </c>
      <c r="J651" s="7"/>
    </row>
    <row r="652" spans="1:10">
      <c r="A652" s="4" t="s">
        <v>1051</v>
      </c>
      <c r="B652" s="4" t="s">
        <v>1051</v>
      </c>
      <c r="C652" s="4" t="s">
        <v>2033</v>
      </c>
      <c r="D652" s="4" t="s">
        <v>1372</v>
      </c>
      <c r="E652" s="4" t="s">
        <v>2034</v>
      </c>
      <c r="F652" s="4"/>
      <c r="G652" s="7"/>
      <c r="H652" s="4">
        <v>0</v>
      </c>
      <c r="I652" s="7">
        <v>0</v>
      </c>
      <c r="J652" s="7"/>
    </row>
    <row r="653" spans="1:10" hidden="1">
      <c r="A653" s="4" t="s">
        <v>915</v>
      </c>
      <c r="B653" s="4"/>
      <c r="C653" s="4" t="s">
        <v>2035</v>
      </c>
      <c r="D653" s="4" t="s">
        <v>1372</v>
      </c>
      <c r="E653" s="4" t="s">
        <v>2036</v>
      </c>
      <c r="F653" s="4"/>
      <c r="G653" s="7"/>
      <c r="H653" s="4">
        <v>0</v>
      </c>
      <c r="I653" s="7">
        <v>0</v>
      </c>
      <c r="J653" s="7"/>
    </row>
    <row r="654" spans="1:10" hidden="1">
      <c r="A654" s="4" t="s">
        <v>915</v>
      </c>
      <c r="B654" s="4"/>
      <c r="C654" s="4" t="s">
        <v>2037</v>
      </c>
      <c r="D654" s="4" t="s">
        <v>1372</v>
      </c>
      <c r="E654" s="4" t="s">
        <v>2038</v>
      </c>
      <c r="F654" s="4"/>
      <c r="G654" s="7"/>
      <c r="H654" s="4">
        <v>0</v>
      </c>
      <c r="I654" s="7">
        <v>0</v>
      </c>
      <c r="J654" s="7"/>
    </row>
    <row r="655" spans="1:10" hidden="1">
      <c r="A655" s="4" t="s">
        <v>915</v>
      </c>
      <c r="B655" s="4" t="s">
        <v>915</v>
      </c>
      <c r="C655" s="4" t="s">
        <v>2039</v>
      </c>
      <c r="D655" s="4" t="s">
        <v>1372</v>
      </c>
      <c r="E655" s="4" t="s">
        <v>2040</v>
      </c>
      <c r="F655" s="4"/>
      <c r="G655" s="7"/>
      <c r="H655" s="4">
        <v>0</v>
      </c>
      <c r="I655" s="7">
        <v>0</v>
      </c>
      <c r="J655" s="7"/>
    </row>
    <row r="656" spans="1:10" hidden="1">
      <c r="A656" s="4" t="s">
        <v>807</v>
      </c>
      <c r="B656" s="4" t="s">
        <v>811</v>
      </c>
      <c r="C656" s="4" t="s">
        <v>1566</v>
      </c>
      <c r="D656" s="4" t="s">
        <v>1379</v>
      </c>
      <c r="E656" s="4" t="s">
        <v>1567</v>
      </c>
      <c r="F656" s="4"/>
      <c r="G656" s="7"/>
      <c r="H656" s="4">
        <v>0</v>
      </c>
      <c r="I656" s="7">
        <v>0</v>
      </c>
      <c r="J656" s="7"/>
    </row>
    <row r="657" spans="1:10" hidden="1">
      <c r="A657" s="4" t="s">
        <v>807</v>
      </c>
      <c r="B657" s="4" t="s">
        <v>811</v>
      </c>
      <c r="C657" s="4" t="s">
        <v>2017</v>
      </c>
      <c r="D657" s="4" t="s">
        <v>1379</v>
      </c>
      <c r="E657" s="4" t="s">
        <v>2018</v>
      </c>
      <c r="F657" s="4"/>
      <c r="G657" s="7"/>
      <c r="H657" s="4">
        <v>0</v>
      </c>
      <c r="I657" s="7">
        <v>0</v>
      </c>
      <c r="J657" s="7"/>
    </row>
    <row r="658" spans="1:10" hidden="1">
      <c r="A658" s="4" t="s">
        <v>807</v>
      </c>
      <c r="B658" s="4" t="s">
        <v>811</v>
      </c>
      <c r="C658" s="4" t="s">
        <v>2041</v>
      </c>
      <c r="D658" s="4" t="s">
        <v>1379</v>
      </c>
      <c r="E658" s="4" t="s">
        <v>1380</v>
      </c>
      <c r="F658" s="4"/>
      <c r="G658" s="7"/>
      <c r="H658" s="4">
        <v>0</v>
      </c>
      <c r="I658" s="7">
        <v>0</v>
      </c>
      <c r="J658" s="7"/>
    </row>
    <row r="659" spans="1:10" hidden="1">
      <c r="A659" s="4" t="s">
        <v>807</v>
      </c>
      <c r="B659" s="4" t="s">
        <v>811</v>
      </c>
      <c r="C659" s="4" t="s">
        <v>2042</v>
      </c>
      <c r="D659" s="4" t="s">
        <v>1379</v>
      </c>
      <c r="E659" s="4" t="s">
        <v>2043</v>
      </c>
      <c r="F659" s="4"/>
      <c r="G659" s="7"/>
      <c r="H659" s="4">
        <v>0</v>
      </c>
      <c r="I659" s="7">
        <v>0</v>
      </c>
      <c r="J659" s="7"/>
    </row>
    <row r="660" spans="1:10" hidden="1">
      <c r="A660" s="4" t="s">
        <v>807</v>
      </c>
      <c r="B660" s="4" t="s">
        <v>811</v>
      </c>
      <c r="C660" s="4" t="s">
        <v>2044</v>
      </c>
      <c r="D660" s="4" t="s">
        <v>1379</v>
      </c>
      <c r="E660" s="4" t="s">
        <v>2045</v>
      </c>
      <c r="F660" s="4"/>
      <c r="G660" s="7"/>
      <c r="H660" s="4">
        <v>0</v>
      </c>
      <c r="I660" s="7">
        <v>0</v>
      </c>
      <c r="J660" s="7"/>
    </row>
    <row r="661" spans="1:10" hidden="1">
      <c r="A661" s="4" t="s">
        <v>807</v>
      </c>
      <c r="B661" s="4" t="s">
        <v>811</v>
      </c>
      <c r="C661" s="4" t="s">
        <v>2046</v>
      </c>
      <c r="D661" s="4" t="s">
        <v>1384</v>
      </c>
      <c r="E661" s="4" t="s">
        <v>2047</v>
      </c>
      <c r="F661" s="4"/>
      <c r="G661" s="7"/>
      <c r="H661" s="4">
        <v>0</v>
      </c>
      <c r="I661" s="7">
        <v>0</v>
      </c>
      <c r="J661" s="7"/>
    </row>
    <row r="662" spans="1:10" hidden="1">
      <c r="A662" s="4" t="s">
        <v>807</v>
      </c>
      <c r="B662" s="4" t="s">
        <v>811</v>
      </c>
      <c r="C662" s="4" t="s">
        <v>2048</v>
      </c>
      <c r="D662" s="4" t="s">
        <v>1384</v>
      </c>
      <c r="E662" s="4" t="s">
        <v>2049</v>
      </c>
      <c r="F662" s="4"/>
      <c r="G662" s="7"/>
      <c r="H662" s="4">
        <v>0</v>
      </c>
      <c r="I662" s="7">
        <v>0</v>
      </c>
      <c r="J662" s="7"/>
    </row>
    <row r="663" spans="1:10" hidden="1">
      <c r="A663" s="4" t="s">
        <v>807</v>
      </c>
      <c r="B663" s="4" t="s">
        <v>811</v>
      </c>
      <c r="C663" s="4" t="s">
        <v>1568</v>
      </c>
      <c r="D663" s="4" t="s">
        <v>1384</v>
      </c>
      <c r="E663" s="4" t="s">
        <v>1191</v>
      </c>
      <c r="F663" s="4"/>
      <c r="G663" s="7"/>
      <c r="H663" s="4">
        <v>0</v>
      </c>
      <c r="I663" s="7">
        <v>0</v>
      </c>
      <c r="J663" s="7"/>
    </row>
    <row r="664" spans="1:10" hidden="1">
      <c r="A664" s="4" t="s">
        <v>807</v>
      </c>
      <c r="B664" s="4" t="s">
        <v>811</v>
      </c>
      <c r="C664" s="4" t="s">
        <v>1189</v>
      </c>
      <c r="D664" s="4" t="s">
        <v>1384</v>
      </c>
      <c r="E664" s="4" t="s">
        <v>1191</v>
      </c>
      <c r="F664" s="4"/>
      <c r="G664" s="7"/>
      <c r="H664" s="4">
        <v>0</v>
      </c>
      <c r="I664" s="7">
        <v>0</v>
      </c>
      <c r="J664" s="7"/>
    </row>
    <row r="665" spans="1:10" hidden="1">
      <c r="A665" s="4" t="s">
        <v>807</v>
      </c>
      <c r="B665" s="4" t="s">
        <v>811</v>
      </c>
      <c r="C665" s="4" t="s">
        <v>2050</v>
      </c>
      <c r="D665" s="4" t="s">
        <v>1384</v>
      </c>
      <c r="E665" s="4" t="s">
        <v>2051</v>
      </c>
      <c r="F665" s="4"/>
      <c r="G665" s="7"/>
      <c r="H665" s="4">
        <v>0</v>
      </c>
      <c r="I665" s="7">
        <v>0</v>
      </c>
      <c r="J665" s="7"/>
    </row>
    <row r="666" spans="1:10" hidden="1">
      <c r="A666" s="4" t="s">
        <v>807</v>
      </c>
      <c r="B666" s="4" t="s">
        <v>808</v>
      </c>
      <c r="C666" s="4" t="s">
        <v>2052</v>
      </c>
      <c r="D666" s="4" t="s">
        <v>1419</v>
      </c>
      <c r="E666" s="4" t="s">
        <v>2053</v>
      </c>
      <c r="F666" s="4"/>
      <c r="G666" s="7"/>
      <c r="H666" s="4">
        <v>0</v>
      </c>
      <c r="I666" s="7">
        <v>0</v>
      </c>
      <c r="J666" s="7"/>
    </row>
    <row r="667" spans="1:10" hidden="1">
      <c r="A667" s="4" t="s">
        <v>807</v>
      </c>
      <c r="B667" s="4" t="s">
        <v>1430</v>
      </c>
      <c r="C667" s="4" t="s">
        <v>2054</v>
      </c>
      <c r="D667" s="4" t="s">
        <v>1432</v>
      </c>
      <c r="E667" s="4" t="s">
        <v>2055</v>
      </c>
      <c r="F667" s="4"/>
      <c r="G667" s="7"/>
      <c r="H667" s="4">
        <v>0</v>
      </c>
      <c r="I667" s="7">
        <v>0</v>
      </c>
      <c r="J667" s="7"/>
    </row>
    <row r="668" spans="1:10" hidden="1">
      <c r="A668" s="4" t="s">
        <v>807</v>
      </c>
      <c r="B668" s="4" t="s">
        <v>1430</v>
      </c>
      <c r="C668" s="4" t="s">
        <v>2056</v>
      </c>
      <c r="D668" s="4" t="s">
        <v>1432</v>
      </c>
      <c r="E668" s="4" t="s">
        <v>2057</v>
      </c>
      <c r="F668" s="4"/>
      <c r="G668" s="7"/>
      <c r="H668" s="4">
        <v>0</v>
      </c>
      <c r="I668" s="7">
        <v>0</v>
      </c>
      <c r="J668" s="7"/>
    </row>
    <row r="669" spans="1:10" hidden="1">
      <c r="A669" s="4" t="s">
        <v>807</v>
      </c>
      <c r="B669" s="4" t="s">
        <v>1430</v>
      </c>
      <c r="C669" s="4" t="s">
        <v>2058</v>
      </c>
      <c r="D669" s="4" t="s">
        <v>1432</v>
      </c>
      <c r="E669" s="4" t="s">
        <v>2059</v>
      </c>
      <c r="F669" s="4"/>
      <c r="G669" s="7"/>
      <c r="H669" s="4">
        <v>0</v>
      </c>
      <c r="I669" s="7">
        <v>0</v>
      </c>
      <c r="J669" s="7"/>
    </row>
    <row r="670" spans="1:10" hidden="1">
      <c r="A670" s="4" t="s">
        <v>1535</v>
      </c>
      <c r="B670" s="4" t="s">
        <v>1536</v>
      </c>
      <c r="C670" s="4" t="s">
        <v>2060</v>
      </c>
      <c r="D670" s="4" t="s">
        <v>1432</v>
      </c>
      <c r="E670" s="4" t="s">
        <v>2061</v>
      </c>
      <c r="F670" s="4"/>
      <c r="G670" s="7"/>
      <c r="H670" s="4">
        <v>0</v>
      </c>
      <c r="I670" s="7">
        <v>0</v>
      </c>
      <c r="J670" s="7"/>
    </row>
    <row r="671" spans="1:10" hidden="1">
      <c r="A671" s="4" t="s">
        <v>807</v>
      </c>
      <c r="B671" s="4" t="s">
        <v>808</v>
      </c>
      <c r="C671" s="4" t="s">
        <v>2062</v>
      </c>
      <c r="D671" s="4" t="s">
        <v>1446</v>
      </c>
      <c r="E671" s="4" t="s">
        <v>1447</v>
      </c>
      <c r="F671" s="4"/>
      <c r="G671" s="7"/>
      <c r="H671" s="4">
        <v>0</v>
      </c>
      <c r="I671" s="7">
        <v>0</v>
      </c>
      <c r="J671" s="7"/>
    </row>
    <row r="672" spans="1:10" hidden="1">
      <c r="A672" s="4" t="s">
        <v>807</v>
      </c>
      <c r="B672" s="4" t="s">
        <v>808</v>
      </c>
      <c r="C672" s="4" t="s">
        <v>2063</v>
      </c>
      <c r="D672" s="4" t="s">
        <v>1446</v>
      </c>
      <c r="E672" s="4" t="s">
        <v>2064</v>
      </c>
      <c r="F672" s="4"/>
      <c r="G672" s="7"/>
      <c r="H672" s="4">
        <v>0</v>
      </c>
      <c r="I672" s="7">
        <v>0</v>
      </c>
      <c r="J672" s="7"/>
    </row>
    <row r="673" spans="1:10" hidden="1">
      <c r="A673" s="4" t="s">
        <v>807</v>
      </c>
      <c r="B673" s="4" t="s">
        <v>808</v>
      </c>
      <c r="C673" s="4" t="s">
        <v>2065</v>
      </c>
      <c r="D673" s="4" t="s">
        <v>1446</v>
      </c>
      <c r="E673" s="4" t="s">
        <v>2066</v>
      </c>
      <c r="F673" s="4"/>
      <c r="G673" s="7"/>
      <c r="H673" s="4">
        <v>0</v>
      </c>
      <c r="I673" s="7">
        <v>0</v>
      </c>
      <c r="J673" s="7"/>
    </row>
    <row r="674" spans="1:10" hidden="1">
      <c r="A674" s="4" t="s">
        <v>807</v>
      </c>
      <c r="B674" s="4" t="s">
        <v>808</v>
      </c>
      <c r="C674" s="4" t="s">
        <v>2067</v>
      </c>
      <c r="D674" s="4" t="s">
        <v>1453</v>
      </c>
      <c r="E674" s="4" t="s">
        <v>2068</v>
      </c>
      <c r="F674" s="4"/>
      <c r="G674" s="7"/>
      <c r="H674" s="4">
        <v>0</v>
      </c>
      <c r="I674" s="7">
        <v>0</v>
      </c>
      <c r="J674" s="7"/>
    </row>
    <row r="675" spans="1:10" hidden="1">
      <c r="A675" s="4" t="s">
        <v>807</v>
      </c>
      <c r="B675" s="4" t="s">
        <v>808</v>
      </c>
      <c r="C675" s="4" t="s">
        <v>2069</v>
      </c>
      <c r="D675" s="4" t="s">
        <v>1453</v>
      </c>
      <c r="E675" s="4" t="s">
        <v>2070</v>
      </c>
      <c r="F675" s="4"/>
      <c r="G675" s="7"/>
      <c r="H675" s="4">
        <v>0</v>
      </c>
      <c r="I675" s="7">
        <v>0</v>
      </c>
      <c r="J675" s="7"/>
    </row>
    <row r="676" spans="1:10" hidden="1">
      <c r="A676" s="4" t="s">
        <v>807</v>
      </c>
      <c r="B676" s="4" t="s">
        <v>808</v>
      </c>
      <c r="C676" s="4" t="s">
        <v>2071</v>
      </c>
      <c r="D676" s="4" t="s">
        <v>1453</v>
      </c>
      <c r="E676" s="4" t="s">
        <v>2072</v>
      </c>
      <c r="F676" s="4"/>
      <c r="G676" s="7"/>
      <c r="H676" s="4">
        <v>0</v>
      </c>
      <c r="I676" s="7">
        <v>0</v>
      </c>
      <c r="J676" s="7"/>
    </row>
    <row r="677" spans="1:10" hidden="1">
      <c r="A677" s="4" t="s">
        <v>807</v>
      </c>
      <c r="B677" s="4" t="s">
        <v>811</v>
      </c>
      <c r="C677" s="4" t="s">
        <v>2073</v>
      </c>
      <c r="D677" s="4" t="s">
        <v>1465</v>
      </c>
      <c r="E677" s="4" t="s">
        <v>2074</v>
      </c>
      <c r="F677" s="4"/>
      <c r="G677" s="7"/>
      <c r="H677" s="4">
        <v>0</v>
      </c>
      <c r="I677" s="7">
        <v>0</v>
      </c>
      <c r="J677" s="7"/>
    </row>
    <row r="678" spans="1:10" hidden="1">
      <c r="A678" s="4" t="s">
        <v>807</v>
      </c>
      <c r="B678" s="4" t="s">
        <v>962</v>
      </c>
      <c r="C678" s="4" t="s">
        <v>1147</v>
      </c>
      <c r="D678" s="4" t="s">
        <v>1470</v>
      </c>
      <c r="E678" s="4" t="s">
        <v>1149</v>
      </c>
      <c r="F678" s="4"/>
      <c r="G678" s="7"/>
      <c r="H678" s="4">
        <v>0</v>
      </c>
      <c r="I678" s="7">
        <v>0</v>
      </c>
      <c r="J678" s="7"/>
    </row>
    <row r="679" spans="1:10" hidden="1">
      <c r="A679" s="4" t="s">
        <v>807</v>
      </c>
      <c r="B679" s="4" t="s">
        <v>811</v>
      </c>
      <c r="C679" s="4" t="s">
        <v>2075</v>
      </c>
      <c r="D679" s="4" t="s">
        <v>1475</v>
      </c>
      <c r="E679" s="4" t="s">
        <v>2076</v>
      </c>
      <c r="F679" s="4"/>
      <c r="G679" s="7"/>
      <c r="H679" s="4">
        <v>0</v>
      </c>
      <c r="I679" s="7">
        <v>0</v>
      </c>
      <c r="J679" s="7"/>
    </row>
    <row r="680" spans="1:10" hidden="1">
      <c r="A680" s="4" t="s">
        <v>807</v>
      </c>
      <c r="B680" s="4" t="s">
        <v>808</v>
      </c>
      <c r="C680" s="4" t="s">
        <v>2077</v>
      </c>
      <c r="D680" s="4" t="s">
        <v>1476</v>
      </c>
      <c r="E680" s="4" t="s">
        <v>2078</v>
      </c>
      <c r="F680" s="4"/>
      <c r="G680" s="7"/>
      <c r="H680" s="4">
        <v>0</v>
      </c>
      <c r="I680" s="7">
        <v>0</v>
      </c>
      <c r="J680" s="7"/>
    </row>
    <row r="681" spans="1:10" hidden="1">
      <c r="A681" s="4" t="s">
        <v>807</v>
      </c>
      <c r="B681" s="4" t="s">
        <v>808</v>
      </c>
      <c r="C681" s="4" t="s">
        <v>2079</v>
      </c>
      <c r="D681" s="4" t="s">
        <v>1479</v>
      </c>
      <c r="E681" s="4" t="s">
        <v>2080</v>
      </c>
      <c r="F681" s="4"/>
      <c r="G681" s="7"/>
      <c r="H681" s="4">
        <v>0</v>
      </c>
      <c r="I681" s="7">
        <v>0</v>
      </c>
      <c r="J681" s="7"/>
    </row>
    <row r="682" spans="1:10" hidden="1">
      <c r="A682" s="4" t="s">
        <v>807</v>
      </c>
      <c r="B682" s="4" t="s">
        <v>811</v>
      </c>
      <c r="C682" s="4" t="s">
        <v>2081</v>
      </c>
      <c r="D682" s="4" t="s">
        <v>1479</v>
      </c>
      <c r="E682" s="4" t="s">
        <v>2082</v>
      </c>
      <c r="F682" s="4"/>
      <c r="G682" s="7"/>
      <c r="H682" s="4">
        <v>0</v>
      </c>
      <c r="I682" s="7">
        <v>0</v>
      </c>
      <c r="J682" s="7"/>
    </row>
    <row r="683" spans="1:10" hidden="1">
      <c r="A683" s="4" t="s">
        <v>807</v>
      </c>
      <c r="B683" s="4" t="s">
        <v>811</v>
      </c>
      <c r="C683" s="4" t="s">
        <v>979</v>
      </c>
      <c r="D683" s="4" t="s">
        <v>1485</v>
      </c>
      <c r="E683" s="4" t="s">
        <v>981</v>
      </c>
      <c r="F683" s="4"/>
      <c r="G683" s="7"/>
      <c r="H683" s="4">
        <v>0</v>
      </c>
      <c r="I683" s="7">
        <v>0</v>
      </c>
      <c r="J683" s="7"/>
    </row>
    <row r="684" spans="1:10">
      <c r="A684" s="4" t="s">
        <v>1051</v>
      </c>
      <c r="B684" s="4"/>
      <c r="C684" s="4" t="s">
        <v>2083</v>
      </c>
      <c r="D684" s="4" t="s">
        <v>1485</v>
      </c>
      <c r="E684" s="4" t="s">
        <v>2084</v>
      </c>
      <c r="F684" s="4"/>
      <c r="G684" s="7"/>
      <c r="H684" s="4">
        <v>0</v>
      </c>
      <c r="I684" s="7">
        <v>0</v>
      </c>
      <c r="J684" s="7"/>
    </row>
    <row r="685" spans="1:10" hidden="1">
      <c r="A685" s="4" t="s">
        <v>807</v>
      </c>
      <c r="B685" s="4" t="s">
        <v>825</v>
      </c>
      <c r="C685" s="4" t="s">
        <v>2085</v>
      </c>
      <c r="D685" s="4" t="s">
        <v>1485</v>
      </c>
      <c r="E685" s="4" t="s">
        <v>831</v>
      </c>
      <c r="F685" s="4"/>
      <c r="G685" s="7"/>
      <c r="H685" s="4">
        <v>0</v>
      </c>
      <c r="I685" s="7">
        <v>0</v>
      </c>
      <c r="J685" s="7"/>
    </row>
    <row r="686" spans="1:10" hidden="1">
      <c r="A686" s="4" t="s">
        <v>807</v>
      </c>
      <c r="B686" s="4" t="s">
        <v>811</v>
      </c>
      <c r="C686" s="4" t="s">
        <v>2086</v>
      </c>
      <c r="D686" s="4" t="s">
        <v>1494</v>
      </c>
      <c r="E686" s="4" t="s">
        <v>2087</v>
      </c>
      <c r="F686" s="4"/>
      <c r="G686" s="7"/>
      <c r="H686" s="4">
        <v>0</v>
      </c>
      <c r="I686" s="7">
        <v>0</v>
      </c>
      <c r="J686" s="7"/>
    </row>
    <row r="687" spans="1:10" hidden="1">
      <c r="A687" s="4" t="s">
        <v>807</v>
      </c>
      <c r="B687" s="4" t="s">
        <v>825</v>
      </c>
      <c r="C687" s="4" t="s">
        <v>2088</v>
      </c>
      <c r="D687" s="4" t="s">
        <v>1513</v>
      </c>
      <c r="E687" s="4" t="s">
        <v>1518</v>
      </c>
      <c r="F687" s="4"/>
      <c r="G687" s="7"/>
      <c r="H687" s="4">
        <v>0</v>
      </c>
      <c r="I687" s="7">
        <v>0</v>
      </c>
      <c r="J687" s="7"/>
    </row>
    <row r="688" spans="1:10" hidden="1">
      <c r="A688" s="4" t="s">
        <v>807</v>
      </c>
      <c r="B688" s="4" t="s">
        <v>808</v>
      </c>
      <c r="C688" s="4" t="s">
        <v>1031</v>
      </c>
      <c r="D688" s="4" t="s">
        <v>1513</v>
      </c>
      <c r="E688" s="4" t="s">
        <v>1033</v>
      </c>
      <c r="F688" s="4"/>
      <c r="G688" s="7"/>
      <c r="H688" s="4">
        <v>0</v>
      </c>
      <c r="I688" s="7">
        <v>0</v>
      </c>
      <c r="J688" s="7"/>
    </row>
    <row r="689" spans="1:10" hidden="1">
      <c r="A689" s="4" t="s">
        <v>807</v>
      </c>
      <c r="B689" s="4" t="s">
        <v>811</v>
      </c>
      <c r="C689" s="4" t="s">
        <v>2089</v>
      </c>
      <c r="D689" s="4" t="s">
        <v>1513</v>
      </c>
      <c r="E689" s="4" t="s">
        <v>2090</v>
      </c>
      <c r="F689" s="4"/>
      <c r="G689" s="7"/>
      <c r="H689" s="4">
        <v>0</v>
      </c>
      <c r="I689" s="7">
        <v>0</v>
      </c>
      <c r="J689" s="7"/>
    </row>
    <row r="690" spans="1:10" hidden="1">
      <c r="A690" s="4" t="s">
        <v>807</v>
      </c>
      <c r="B690" s="4" t="s">
        <v>811</v>
      </c>
      <c r="C690" s="4" t="s">
        <v>2091</v>
      </c>
      <c r="D690" s="4" t="s">
        <v>1520</v>
      </c>
      <c r="E690" s="4" t="s">
        <v>2092</v>
      </c>
      <c r="F690" s="4"/>
      <c r="G690" s="7"/>
      <c r="H690" s="4">
        <v>0</v>
      </c>
      <c r="I690" s="7">
        <v>0</v>
      </c>
      <c r="J690" s="7"/>
    </row>
    <row r="691" spans="1:10" hidden="1">
      <c r="A691" s="4" t="s">
        <v>807</v>
      </c>
      <c r="B691" s="4" t="s">
        <v>811</v>
      </c>
      <c r="C691" s="4" t="s">
        <v>2089</v>
      </c>
      <c r="D691" s="4" t="s">
        <v>1520</v>
      </c>
      <c r="E691" s="4" t="s">
        <v>2090</v>
      </c>
      <c r="F691" s="4"/>
      <c r="G691" s="7"/>
      <c r="H691" s="4">
        <v>0</v>
      </c>
      <c r="I691" s="7">
        <v>0</v>
      </c>
      <c r="J691" s="7"/>
    </row>
    <row r="692" spans="1:10" hidden="1">
      <c r="A692" s="4" t="s">
        <v>807</v>
      </c>
      <c r="B692" s="4" t="s">
        <v>808</v>
      </c>
      <c r="C692" s="4" t="s">
        <v>1484</v>
      </c>
      <c r="D692" s="4" t="s">
        <v>1522</v>
      </c>
      <c r="E692" s="4" t="s">
        <v>1486</v>
      </c>
      <c r="F692" s="4"/>
      <c r="G692" s="7"/>
      <c r="H692" s="4">
        <v>0</v>
      </c>
      <c r="I692" s="7">
        <v>0</v>
      </c>
      <c r="J692" s="7"/>
    </row>
    <row r="693" spans="1:10" hidden="1">
      <c r="A693" s="4" t="s">
        <v>807</v>
      </c>
      <c r="B693" s="4" t="s">
        <v>811</v>
      </c>
      <c r="C693" s="4" t="s">
        <v>2093</v>
      </c>
      <c r="D693" s="4" t="s">
        <v>1522</v>
      </c>
      <c r="E693" s="4" t="s">
        <v>2094</v>
      </c>
      <c r="F693" s="4"/>
      <c r="G693" s="7"/>
      <c r="H693" s="4">
        <v>0</v>
      </c>
      <c r="I693" s="7">
        <v>0</v>
      </c>
      <c r="J693" s="7"/>
    </row>
    <row r="694" spans="1:10" hidden="1">
      <c r="A694" s="4" t="s">
        <v>807</v>
      </c>
      <c r="B694" s="4" t="s">
        <v>811</v>
      </c>
      <c r="C694" s="4" t="s">
        <v>2095</v>
      </c>
      <c r="D694" s="4" t="s">
        <v>1532</v>
      </c>
      <c r="E694" s="4" t="s">
        <v>2096</v>
      </c>
      <c r="F694" s="4"/>
      <c r="G694" s="7"/>
      <c r="H694" s="4">
        <v>0</v>
      </c>
      <c r="I694" s="7">
        <v>0</v>
      </c>
      <c r="J694" s="7"/>
    </row>
    <row r="695" spans="1:10" hidden="1">
      <c r="A695" s="4" t="s">
        <v>807</v>
      </c>
      <c r="B695" s="4" t="s">
        <v>811</v>
      </c>
      <c r="C695" s="4" t="s">
        <v>2097</v>
      </c>
      <c r="D695" s="4" t="s">
        <v>1532</v>
      </c>
      <c r="E695" s="4" t="s">
        <v>2098</v>
      </c>
      <c r="F695" s="4"/>
      <c r="G695" s="7"/>
      <c r="H695" s="4">
        <v>0</v>
      </c>
      <c r="I695" s="7">
        <v>0</v>
      </c>
      <c r="J695" s="7"/>
    </row>
    <row r="696" spans="1:10" hidden="1">
      <c r="A696" s="4" t="s">
        <v>807</v>
      </c>
      <c r="B696" s="4" t="s">
        <v>811</v>
      </c>
      <c r="C696" s="4" t="s">
        <v>2099</v>
      </c>
      <c r="D696" s="4" t="s">
        <v>1532</v>
      </c>
      <c r="E696" s="4" t="s">
        <v>2100</v>
      </c>
      <c r="F696" s="4"/>
      <c r="G696" s="7"/>
      <c r="H696" s="4">
        <v>0</v>
      </c>
      <c r="I696" s="7">
        <v>0</v>
      </c>
      <c r="J696" s="7"/>
    </row>
    <row r="697" spans="1:10" hidden="1">
      <c r="A697" s="4" t="s">
        <v>807</v>
      </c>
      <c r="B697" s="4" t="s">
        <v>811</v>
      </c>
      <c r="C697" s="4" t="s">
        <v>2101</v>
      </c>
      <c r="D697" s="4" t="s">
        <v>1532</v>
      </c>
      <c r="E697" s="4" t="s">
        <v>2102</v>
      </c>
      <c r="F697" s="4"/>
      <c r="G697" s="7"/>
      <c r="H697" s="4">
        <v>0</v>
      </c>
      <c r="I697" s="7">
        <v>0</v>
      </c>
      <c r="J697" s="7"/>
    </row>
    <row r="698" spans="1:10" hidden="1">
      <c r="A698" s="4" t="s">
        <v>807</v>
      </c>
      <c r="B698" s="4" t="s">
        <v>811</v>
      </c>
      <c r="C698" s="4" t="s">
        <v>2103</v>
      </c>
      <c r="D698" s="4" t="s">
        <v>1532</v>
      </c>
      <c r="E698" s="4" t="s">
        <v>2104</v>
      </c>
      <c r="F698" s="4"/>
      <c r="G698" s="7"/>
      <c r="H698" s="4">
        <v>0</v>
      </c>
      <c r="I698" s="7">
        <v>0</v>
      </c>
      <c r="J698" s="7"/>
    </row>
    <row r="699" spans="1:10" hidden="1">
      <c r="A699" s="4" t="s">
        <v>915</v>
      </c>
      <c r="B699" s="4" t="s">
        <v>915</v>
      </c>
      <c r="C699" s="4" t="s">
        <v>1245</v>
      </c>
      <c r="D699" s="4" t="s">
        <v>1532</v>
      </c>
      <c r="E699" s="4" t="s">
        <v>1247</v>
      </c>
      <c r="F699" s="4"/>
      <c r="G699" s="7"/>
      <c r="H699" s="4">
        <v>0</v>
      </c>
      <c r="I699" s="7">
        <v>0</v>
      </c>
      <c r="J699" s="7"/>
    </row>
    <row r="700" spans="1:10" hidden="1">
      <c r="A700" s="4" t="s">
        <v>915</v>
      </c>
      <c r="B700" s="4" t="s">
        <v>915</v>
      </c>
      <c r="C700" s="4" t="s">
        <v>2105</v>
      </c>
      <c r="D700" s="4" t="s">
        <v>1532</v>
      </c>
      <c r="E700" s="4" t="s">
        <v>2106</v>
      </c>
      <c r="F700" s="4"/>
      <c r="G700" s="7"/>
      <c r="H700" s="4">
        <v>0</v>
      </c>
      <c r="I700" s="7">
        <v>0</v>
      </c>
      <c r="J700" s="7"/>
    </row>
    <row r="701" spans="1:10" hidden="1">
      <c r="A701" s="4" t="s">
        <v>807</v>
      </c>
      <c r="B701" s="4" t="s">
        <v>808</v>
      </c>
      <c r="C701" s="4" t="s">
        <v>1229</v>
      </c>
      <c r="D701" s="4" t="s">
        <v>1532</v>
      </c>
      <c r="E701" s="4" t="s">
        <v>840</v>
      </c>
      <c r="F701" s="4"/>
      <c r="G701" s="7"/>
      <c r="H701" s="4">
        <v>0</v>
      </c>
      <c r="I701" s="7">
        <v>0</v>
      </c>
      <c r="J701" s="7"/>
    </row>
    <row r="702" spans="1:10" hidden="1">
      <c r="A702" s="4" t="s">
        <v>807</v>
      </c>
      <c r="B702" s="4" t="s">
        <v>808</v>
      </c>
      <c r="C702" s="4" t="s">
        <v>1176</v>
      </c>
      <c r="D702" s="4" t="s">
        <v>1532</v>
      </c>
      <c r="E702" s="4" t="s">
        <v>840</v>
      </c>
      <c r="F702" s="4"/>
      <c r="G702" s="7"/>
      <c r="H702" s="4">
        <v>0</v>
      </c>
      <c r="I702" s="7">
        <v>0</v>
      </c>
      <c r="J702" s="7"/>
    </row>
    <row r="703" spans="1:10" hidden="1">
      <c r="A703" s="4" t="s">
        <v>807</v>
      </c>
      <c r="B703" s="4" t="s">
        <v>811</v>
      </c>
      <c r="C703" s="4" t="s">
        <v>2107</v>
      </c>
      <c r="D703" s="4" t="s">
        <v>1532</v>
      </c>
      <c r="E703" s="4" t="s">
        <v>840</v>
      </c>
      <c r="F703" s="4"/>
      <c r="G703" s="7"/>
      <c r="H703" s="4">
        <v>0</v>
      </c>
      <c r="I703" s="7">
        <v>0</v>
      </c>
      <c r="J703" s="7"/>
    </row>
    <row r="704" spans="1:10" hidden="1">
      <c r="A704" s="4" t="s">
        <v>807</v>
      </c>
      <c r="B704" s="4" t="s">
        <v>808</v>
      </c>
      <c r="C704" s="4" t="s">
        <v>2108</v>
      </c>
      <c r="D704" s="4" t="s">
        <v>1532</v>
      </c>
      <c r="E704" s="4" t="s">
        <v>2109</v>
      </c>
      <c r="F704" s="4"/>
      <c r="G704" s="7"/>
      <c r="H704" s="4">
        <v>0</v>
      </c>
      <c r="I704" s="7">
        <v>0</v>
      </c>
      <c r="J704" s="7"/>
    </row>
    <row r="705" spans="1:10" hidden="1">
      <c r="A705" s="4" t="s">
        <v>807</v>
      </c>
      <c r="B705" s="4" t="s">
        <v>808</v>
      </c>
      <c r="C705" s="4" t="s">
        <v>2110</v>
      </c>
      <c r="D705" s="4" t="s">
        <v>1532</v>
      </c>
      <c r="E705" s="4" t="s">
        <v>2111</v>
      </c>
      <c r="F705" s="4"/>
      <c r="G705" s="7"/>
      <c r="H705" s="4">
        <v>0</v>
      </c>
      <c r="I705" s="7">
        <v>0</v>
      </c>
      <c r="J705" s="7"/>
    </row>
    <row r="706" spans="1:10" hidden="1">
      <c r="A706" s="4" t="s">
        <v>807</v>
      </c>
      <c r="B706" s="4" t="s">
        <v>808</v>
      </c>
      <c r="C706" s="4" t="s">
        <v>2112</v>
      </c>
      <c r="D706" s="4" t="s">
        <v>1532</v>
      </c>
      <c r="E706" s="4" t="s">
        <v>885</v>
      </c>
      <c r="F706" s="4"/>
      <c r="G706" s="7"/>
      <c r="H706" s="4">
        <v>0</v>
      </c>
      <c r="I706" s="7">
        <v>0</v>
      </c>
      <c r="J706" s="7"/>
    </row>
    <row r="707" spans="1:10" hidden="1">
      <c r="A707" s="4" t="s">
        <v>807</v>
      </c>
      <c r="B707" s="4" t="s">
        <v>808</v>
      </c>
      <c r="C707" s="4" t="s">
        <v>2113</v>
      </c>
      <c r="D707" s="4" t="s">
        <v>1532</v>
      </c>
      <c r="E707" s="4" t="s">
        <v>2114</v>
      </c>
      <c r="F707" s="4"/>
      <c r="G707" s="7"/>
      <c r="H707" s="4">
        <v>0</v>
      </c>
      <c r="I707" s="7">
        <v>0</v>
      </c>
      <c r="J707" s="7"/>
    </row>
    <row r="708" spans="1:10" hidden="1">
      <c r="A708" s="4" t="s">
        <v>807</v>
      </c>
      <c r="B708" s="4" t="s">
        <v>808</v>
      </c>
      <c r="C708" s="4" t="s">
        <v>2115</v>
      </c>
      <c r="D708" s="4" t="s">
        <v>1532</v>
      </c>
      <c r="E708" s="4" t="s">
        <v>2116</v>
      </c>
      <c r="F708" s="4"/>
      <c r="G708" s="7"/>
      <c r="H708" s="4">
        <v>0</v>
      </c>
      <c r="I708" s="7">
        <v>0</v>
      </c>
      <c r="J708" s="7"/>
    </row>
    <row r="709" spans="1:10" hidden="1">
      <c r="A709" s="4" t="s">
        <v>807</v>
      </c>
      <c r="B709" s="4" t="s">
        <v>808</v>
      </c>
      <c r="C709" s="4" t="s">
        <v>2117</v>
      </c>
      <c r="D709" s="4" t="s">
        <v>1532</v>
      </c>
      <c r="E709" s="4" t="s">
        <v>2118</v>
      </c>
      <c r="F709" s="4"/>
      <c r="G709" s="7"/>
      <c r="H709" s="4">
        <v>0</v>
      </c>
      <c r="I709" s="7">
        <v>0</v>
      </c>
      <c r="J709" s="7"/>
    </row>
    <row r="710" spans="1:10" hidden="1">
      <c r="A710" s="4" t="s">
        <v>2119</v>
      </c>
      <c r="B710" s="4" t="s">
        <v>808</v>
      </c>
      <c r="C710" s="4" t="s">
        <v>2120</v>
      </c>
      <c r="D710" s="4" t="s">
        <v>1532</v>
      </c>
      <c r="E710" s="4" t="s">
        <v>2121</v>
      </c>
      <c r="F710" s="4"/>
      <c r="G710" s="7"/>
      <c r="H710" s="4">
        <v>0</v>
      </c>
      <c r="I710" s="7">
        <v>0</v>
      </c>
      <c r="J710" s="7"/>
    </row>
    <row r="711" spans="1:10" hidden="1">
      <c r="A711" s="4" t="s">
        <v>807</v>
      </c>
      <c r="B711" s="4" t="s">
        <v>808</v>
      </c>
      <c r="C711" s="4" t="s">
        <v>2122</v>
      </c>
      <c r="D711" s="4" t="s">
        <v>1532</v>
      </c>
      <c r="E711" s="4" t="s">
        <v>2123</v>
      </c>
      <c r="F711" s="4"/>
      <c r="G711" s="7"/>
      <c r="H711" s="4">
        <v>0</v>
      </c>
      <c r="I711" s="7">
        <v>0</v>
      </c>
      <c r="J711" s="7"/>
    </row>
    <row r="712" spans="1:10" hidden="1">
      <c r="A712" s="4" t="s">
        <v>2119</v>
      </c>
      <c r="B712" s="4" t="s">
        <v>808</v>
      </c>
      <c r="C712" s="4" t="s">
        <v>2124</v>
      </c>
      <c r="D712" s="4" t="s">
        <v>1532</v>
      </c>
      <c r="E712" s="4" t="s">
        <v>2125</v>
      </c>
      <c r="F712" s="4"/>
      <c r="G712" s="7"/>
      <c r="H712" s="4">
        <v>0</v>
      </c>
      <c r="I712" s="7">
        <v>0</v>
      </c>
      <c r="J712" s="7"/>
    </row>
    <row r="713" spans="1:10" hidden="1">
      <c r="A713" s="4" t="s">
        <v>2119</v>
      </c>
      <c r="B713" s="4" t="s">
        <v>808</v>
      </c>
      <c r="C713" s="4" t="s">
        <v>2126</v>
      </c>
      <c r="D713" s="4" t="s">
        <v>1532</v>
      </c>
      <c r="E713" s="4" t="s">
        <v>2127</v>
      </c>
      <c r="F713" s="4"/>
      <c r="G713" s="7"/>
      <c r="H713" s="4">
        <v>0</v>
      </c>
      <c r="I713" s="7">
        <v>0</v>
      </c>
      <c r="J713" s="7"/>
    </row>
    <row r="714" spans="1:10" hidden="1">
      <c r="A714" s="4" t="s">
        <v>2119</v>
      </c>
      <c r="B714" s="4" t="s">
        <v>808</v>
      </c>
      <c r="C714" s="4" t="s">
        <v>2128</v>
      </c>
      <c r="D714" s="4" t="s">
        <v>1532</v>
      </c>
      <c r="E714" s="4" t="s">
        <v>2129</v>
      </c>
      <c r="F714" s="4"/>
      <c r="G714" s="7"/>
      <c r="H714" s="4">
        <v>0</v>
      </c>
      <c r="I714" s="7">
        <v>0</v>
      </c>
      <c r="J714" s="7"/>
    </row>
    <row r="715" spans="1:10" hidden="1">
      <c r="A715" s="4" t="s">
        <v>807</v>
      </c>
      <c r="B715" s="4" t="s">
        <v>808</v>
      </c>
      <c r="C715" s="4" t="s">
        <v>2130</v>
      </c>
      <c r="D715" s="4" t="s">
        <v>1532</v>
      </c>
      <c r="E715" s="4" t="s">
        <v>2131</v>
      </c>
      <c r="F715" s="4"/>
      <c r="G715" s="7"/>
      <c r="H715" s="4">
        <v>0</v>
      </c>
      <c r="I715" s="7">
        <v>0</v>
      </c>
      <c r="J715" s="7"/>
    </row>
    <row r="716" spans="1:10" hidden="1">
      <c r="A716" s="4" t="s">
        <v>2119</v>
      </c>
      <c r="B716" s="4" t="s">
        <v>808</v>
      </c>
      <c r="C716" s="4" t="s">
        <v>2132</v>
      </c>
      <c r="D716" s="4" t="s">
        <v>1532</v>
      </c>
      <c r="E716" s="4" t="s">
        <v>2133</v>
      </c>
      <c r="F716" s="4"/>
      <c r="G716" s="7"/>
      <c r="H716" s="4">
        <v>0</v>
      </c>
      <c r="I716" s="7">
        <v>0</v>
      </c>
      <c r="J716" s="7"/>
    </row>
    <row r="717" spans="1:10" hidden="1">
      <c r="A717" s="4" t="s">
        <v>807</v>
      </c>
      <c r="B717" s="4" t="s">
        <v>808</v>
      </c>
      <c r="C717" s="4" t="s">
        <v>2134</v>
      </c>
      <c r="D717" s="4" t="s">
        <v>1532</v>
      </c>
      <c r="E717" s="4" t="s">
        <v>2135</v>
      </c>
      <c r="F717" s="4"/>
      <c r="G717" s="7"/>
      <c r="H717" s="4">
        <v>0</v>
      </c>
      <c r="I717" s="7">
        <v>0</v>
      </c>
      <c r="J717" s="7"/>
    </row>
    <row r="718" spans="1:10" hidden="1">
      <c r="A718" s="4" t="s">
        <v>807</v>
      </c>
      <c r="B718" s="4" t="s">
        <v>808</v>
      </c>
      <c r="C718" s="4" t="s">
        <v>2136</v>
      </c>
      <c r="D718" s="4" t="s">
        <v>1532</v>
      </c>
      <c r="E718" s="4" t="s">
        <v>2137</v>
      </c>
      <c r="F718" s="4"/>
      <c r="G718" s="7"/>
      <c r="H718" s="4">
        <v>0</v>
      </c>
      <c r="I718" s="7">
        <v>0</v>
      </c>
      <c r="J718" s="7"/>
    </row>
    <row r="719" spans="1:10" hidden="1">
      <c r="A719" s="4" t="s">
        <v>2119</v>
      </c>
      <c r="B719" s="4" t="s">
        <v>808</v>
      </c>
      <c r="C719" s="4" t="s">
        <v>2138</v>
      </c>
      <c r="D719" s="4" t="s">
        <v>1532</v>
      </c>
      <c r="E719" s="4" t="s">
        <v>2139</v>
      </c>
      <c r="F719" s="4"/>
      <c r="G719" s="7"/>
      <c r="H719" s="4">
        <v>0</v>
      </c>
      <c r="I719" s="7">
        <v>0</v>
      </c>
      <c r="J719" s="7"/>
    </row>
    <row r="720" spans="1:10" hidden="1">
      <c r="A720" s="4" t="s">
        <v>2119</v>
      </c>
      <c r="B720" s="4" t="s">
        <v>808</v>
      </c>
      <c r="C720" s="4" t="s">
        <v>2140</v>
      </c>
      <c r="D720" s="4" t="s">
        <v>1532</v>
      </c>
      <c r="E720" s="4" t="s">
        <v>2141</v>
      </c>
      <c r="F720" s="4"/>
      <c r="G720" s="7"/>
      <c r="H720" s="4">
        <v>0</v>
      </c>
      <c r="I720" s="7">
        <v>0</v>
      </c>
      <c r="J720" s="7"/>
    </row>
    <row r="721" spans="1:10" hidden="1">
      <c r="A721" s="4" t="s">
        <v>2119</v>
      </c>
      <c r="B721" s="4" t="s">
        <v>808</v>
      </c>
      <c r="C721" s="4" t="s">
        <v>2142</v>
      </c>
      <c r="D721" s="4" t="s">
        <v>1532</v>
      </c>
      <c r="E721" s="4" t="s">
        <v>2143</v>
      </c>
      <c r="F721" s="4"/>
      <c r="G721" s="7"/>
      <c r="H721" s="4">
        <v>0</v>
      </c>
      <c r="I721" s="7">
        <v>0</v>
      </c>
      <c r="J721" s="7"/>
    </row>
    <row r="722" spans="1:10" hidden="1">
      <c r="A722" s="4" t="s">
        <v>2119</v>
      </c>
      <c r="B722" s="4" t="s">
        <v>808</v>
      </c>
      <c r="C722" s="4" t="s">
        <v>2144</v>
      </c>
      <c r="D722" s="4" t="s">
        <v>1532</v>
      </c>
      <c r="E722" s="4" t="s">
        <v>2145</v>
      </c>
      <c r="F722" s="4"/>
      <c r="G722" s="7"/>
      <c r="H722" s="4">
        <v>0</v>
      </c>
      <c r="I722" s="7">
        <v>0</v>
      </c>
      <c r="J722" s="7"/>
    </row>
    <row r="723" spans="1:10" hidden="1">
      <c r="A723" s="4" t="s">
        <v>2119</v>
      </c>
      <c r="B723" s="4" t="s">
        <v>808</v>
      </c>
      <c r="C723" s="4" t="s">
        <v>2146</v>
      </c>
      <c r="D723" s="4" t="s">
        <v>1532</v>
      </c>
      <c r="E723" s="4" t="s">
        <v>2147</v>
      </c>
      <c r="F723" s="4"/>
      <c r="G723" s="7"/>
      <c r="H723" s="4">
        <v>0</v>
      </c>
      <c r="I723" s="7">
        <v>0</v>
      </c>
      <c r="J723" s="7"/>
    </row>
    <row r="724" spans="1:10" hidden="1">
      <c r="A724" s="4" t="s">
        <v>2119</v>
      </c>
      <c r="B724" s="4" t="s">
        <v>808</v>
      </c>
      <c r="C724" s="4" t="s">
        <v>2148</v>
      </c>
      <c r="D724" s="4" t="s">
        <v>1532</v>
      </c>
      <c r="E724" s="4" t="s">
        <v>2149</v>
      </c>
      <c r="F724" s="4"/>
      <c r="G724" s="7"/>
      <c r="H724" s="4">
        <v>0</v>
      </c>
      <c r="I724" s="7">
        <v>0</v>
      </c>
      <c r="J724" s="7"/>
    </row>
    <row r="725" spans="1:10" hidden="1">
      <c r="A725" s="4" t="s">
        <v>807</v>
      </c>
      <c r="B725" s="4" t="s">
        <v>2119</v>
      </c>
      <c r="C725" s="4" t="s">
        <v>2150</v>
      </c>
      <c r="D725" s="4" t="s">
        <v>1532</v>
      </c>
      <c r="E725" s="4" t="s">
        <v>2151</v>
      </c>
      <c r="F725" s="4"/>
      <c r="G725" s="7"/>
      <c r="H725" s="4">
        <v>0</v>
      </c>
      <c r="I725" s="7">
        <v>0</v>
      </c>
      <c r="J725" s="7"/>
    </row>
    <row r="726" spans="1:10" hidden="1">
      <c r="A726" s="4" t="s">
        <v>807</v>
      </c>
      <c r="B726" s="4" t="s">
        <v>2119</v>
      </c>
      <c r="C726" s="4" t="s">
        <v>2152</v>
      </c>
      <c r="D726" s="4" t="s">
        <v>1532</v>
      </c>
      <c r="E726" s="4" t="s">
        <v>2153</v>
      </c>
      <c r="F726" s="4"/>
      <c r="G726" s="7"/>
      <c r="H726" s="4">
        <v>0</v>
      </c>
      <c r="I726" s="7">
        <v>0</v>
      </c>
      <c r="J726" s="7"/>
    </row>
    <row r="727" spans="1:10" hidden="1">
      <c r="A727" s="4" t="s">
        <v>807</v>
      </c>
      <c r="B727" s="4" t="s">
        <v>2119</v>
      </c>
      <c r="C727" s="4" t="s">
        <v>2154</v>
      </c>
      <c r="D727" s="4" t="s">
        <v>1532</v>
      </c>
      <c r="E727" s="4" t="s">
        <v>2155</v>
      </c>
      <c r="F727" s="4"/>
      <c r="G727" s="7"/>
      <c r="H727" s="4">
        <v>0</v>
      </c>
      <c r="I727" s="7">
        <v>0</v>
      </c>
      <c r="J727" s="7"/>
    </row>
    <row r="728" spans="1:10" hidden="1">
      <c r="A728" s="4" t="s">
        <v>807</v>
      </c>
      <c r="B728" s="4" t="s">
        <v>825</v>
      </c>
      <c r="C728" s="4" t="s">
        <v>2156</v>
      </c>
      <c r="D728" s="4" t="s">
        <v>1532</v>
      </c>
      <c r="E728" s="4" t="s">
        <v>2157</v>
      </c>
      <c r="F728" s="4"/>
      <c r="G728" s="7"/>
      <c r="H728" s="4">
        <v>0</v>
      </c>
      <c r="I728" s="7">
        <v>0</v>
      </c>
      <c r="J728" s="7"/>
    </row>
    <row r="729" spans="1:10" hidden="1">
      <c r="A729" s="4" t="s">
        <v>807</v>
      </c>
      <c r="B729" s="4" t="s">
        <v>811</v>
      </c>
      <c r="C729" s="4" t="s">
        <v>2158</v>
      </c>
      <c r="D729" s="4" t="s">
        <v>1532</v>
      </c>
      <c r="E729" s="4" t="s">
        <v>2159</v>
      </c>
      <c r="F729" s="4"/>
      <c r="G729" s="7"/>
      <c r="H729" s="4">
        <v>0</v>
      </c>
      <c r="I729" s="7">
        <v>0</v>
      </c>
      <c r="J729" s="7"/>
    </row>
    <row r="730" spans="1:10" hidden="1">
      <c r="A730" s="4" t="s">
        <v>807</v>
      </c>
      <c r="B730" s="4" t="s">
        <v>811</v>
      </c>
      <c r="C730" s="4" t="s">
        <v>2160</v>
      </c>
      <c r="D730" s="4" t="s">
        <v>1532</v>
      </c>
      <c r="E730" s="4" t="s">
        <v>2161</v>
      </c>
      <c r="F730" s="4"/>
      <c r="G730" s="7"/>
      <c r="H730" s="4">
        <v>0</v>
      </c>
      <c r="I730" s="7">
        <v>0</v>
      </c>
      <c r="J730" s="7"/>
    </row>
    <row r="731" spans="1:10" hidden="1">
      <c r="A731" s="4" t="s">
        <v>807</v>
      </c>
      <c r="B731" s="4" t="s">
        <v>811</v>
      </c>
      <c r="C731" s="4" t="s">
        <v>2162</v>
      </c>
      <c r="D731" s="4" t="s">
        <v>1532</v>
      </c>
      <c r="E731" s="4" t="s">
        <v>2163</v>
      </c>
      <c r="F731" s="4"/>
      <c r="G731" s="7"/>
      <c r="H731" s="4">
        <v>0</v>
      </c>
      <c r="I731" s="7">
        <v>0</v>
      </c>
      <c r="J731" s="7"/>
    </row>
    <row r="732" spans="1:10" hidden="1">
      <c r="A732" s="4" t="s">
        <v>807</v>
      </c>
      <c r="B732" s="4" t="s">
        <v>811</v>
      </c>
      <c r="C732" s="4" t="s">
        <v>2164</v>
      </c>
      <c r="D732" s="4" t="s">
        <v>1532</v>
      </c>
      <c r="E732" s="4" t="s">
        <v>2165</v>
      </c>
      <c r="F732" s="4"/>
      <c r="G732" s="7"/>
      <c r="H732" s="4">
        <v>0</v>
      </c>
      <c r="I732" s="7">
        <v>0</v>
      </c>
      <c r="J732" s="7"/>
    </row>
    <row r="733" spans="1:10" hidden="1">
      <c r="A733" s="4" t="s">
        <v>807</v>
      </c>
      <c r="B733" s="4" t="s">
        <v>811</v>
      </c>
      <c r="C733" s="4" t="s">
        <v>2166</v>
      </c>
      <c r="D733" s="4" t="s">
        <v>1532</v>
      </c>
      <c r="E733" s="4" t="s">
        <v>2167</v>
      </c>
      <c r="F733" s="4"/>
      <c r="G733" s="7"/>
      <c r="H733" s="4">
        <v>0</v>
      </c>
      <c r="I733" s="7">
        <v>0</v>
      </c>
      <c r="J733" s="7"/>
    </row>
    <row r="734" spans="1:10" hidden="1">
      <c r="A734" s="4" t="s">
        <v>807</v>
      </c>
      <c r="B734" s="4" t="s">
        <v>811</v>
      </c>
      <c r="C734" s="4" t="s">
        <v>2168</v>
      </c>
      <c r="D734" s="4" t="s">
        <v>1532</v>
      </c>
      <c r="E734" s="4" t="s">
        <v>2169</v>
      </c>
      <c r="F734" s="4"/>
      <c r="G734" s="7"/>
      <c r="H734" s="4">
        <v>0</v>
      </c>
      <c r="I734" s="7">
        <v>0</v>
      </c>
      <c r="J734" s="7"/>
    </row>
    <row r="735" spans="1:10" hidden="1">
      <c r="A735" s="4" t="s">
        <v>807</v>
      </c>
      <c r="B735" s="4" t="s">
        <v>811</v>
      </c>
      <c r="C735" s="4" t="s">
        <v>2170</v>
      </c>
      <c r="D735" s="4" t="s">
        <v>1532</v>
      </c>
      <c r="E735" s="4" t="s">
        <v>2171</v>
      </c>
      <c r="F735" s="4"/>
      <c r="G735" s="7"/>
      <c r="H735" s="4">
        <v>0</v>
      </c>
      <c r="I735" s="7">
        <v>0</v>
      </c>
      <c r="J735" s="7"/>
    </row>
    <row r="736" spans="1:10" hidden="1">
      <c r="A736" s="4" t="s">
        <v>807</v>
      </c>
      <c r="B736" s="4" t="s">
        <v>811</v>
      </c>
      <c r="C736" s="4" t="s">
        <v>2172</v>
      </c>
      <c r="D736" s="4" t="s">
        <v>1532</v>
      </c>
      <c r="E736" s="4" t="s">
        <v>2173</v>
      </c>
      <c r="F736" s="4"/>
      <c r="G736" s="7"/>
      <c r="H736" s="4">
        <v>0</v>
      </c>
      <c r="I736" s="7">
        <v>0</v>
      </c>
      <c r="J736" s="7"/>
    </row>
    <row r="737" spans="1:10" hidden="1">
      <c r="A737" s="4" t="s">
        <v>807</v>
      </c>
      <c r="B737" s="4" t="s">
        <v>811</v>
      </c>
      <c r="C737" s="4" t="s">
        <v>2174</v>
      </c>
      <c r="D737" s="4" t="s">
        <v>1532</v>
      </c>
      <c r="E737" s="4" t="s">
        <v>2175</v>
      </c>
      <c r="F737" s="4"/>
      <c r="G737" s="7"/>
      <c r="H737" s="4">
        <v>0</v>
      </c>
      <c r="I737" s="7">
        <v>0</v>
      </c>
      <c r="J737" s="7"/>
    </row>
    <row r="738" spans="1:10" hidden="1">
      <c r="A738" s="4" t="s">
        <v>807</v>
      </c>
      <c r="B738" s="4" t="s">
        <v>811</v>
      </c>
      <c r="C738" s="4" t="s">
        <v>2176</v>
      </c>
      <c r="D738" s="4" t="s">
        <v>1532</v>
      </c>
      <c r="E738" s="4" t="s">
        <v>2177</v>
      </c>
      <c r="F738" s="4"/>
      <c r="G738" s="7"/>
      <c r="H738" s="4">
        <v>0</v>
      </c>
      <c r="I738" s="7">
        <v>0</v>
      </c>
      <c r="J738" s="7"/>
    </row>
    <row r="739" spans="1:10" hidden="1">
      <c r="A739" s="4" t="s">
        <v>807</v>
      </c>
      <c r="B739" s="4" t="s">
        <v>811</v>
      </c>
      <c r="C739" s="4" t="s">
        <v>2178</v>
      </c>
      <c r="D739" s="4" t="s">
        <v>1532</v>
      </c>
      <c r="E739" s="4" t="s">
        <v>2179</v>
      </c>
      <c r="F739" s="4"/>
      <c r="G739" s="7"/>
      <c r="H739" s="4">
        <v>0</v>
      </c>
      <c r="I739" s="7">
        <v>0</v>
      </c>
      <c r="J739" s="7"/>
    </row>
    <row r="740" spans="1:10" hidden="1">
      <c r="A740" s="4" t="s">
        <v>807</v>
      </c>
      <c r="B740" s="4" t="s">
        <v>811</v>
      </c>
      <c r="C740" s="4" t="s">
        <v>2180</v>
      </c>
      <c r="D740" s="4" t="s">
        <v>1532</v>
      </c>
      <c r="E740" s="4" t="s">
        <v>2181</v>
      </c>
      <c r="F740" s="4"/>
      <c r="G740" s="7"/>
      <c r="H740" s="4">
        <v>0</v>
      </c>
      <c r="I740" s="7">
        <v>0</v>
      </c>
      <c r="J740" s="7"/>
    </row>
    <row r="741" spans="1:10" hidden="1">
      <c r="A741" s="4" t="s">
        <v>807</v>
      </c>
      <c r="B741" s="4" t="s">
        <v>811</v>
      </c>
      <c r="C741" s="4" t="s">
        <v>2182</v>
      </c>
      <c r="D741" s="4" t="s">
        <v>1532</v>
      </c>
      <c r="E741" s="4" t="s">
        <v>2183</v>
      </c>
      <c r="F741" s="4"/>
      <c r="G741" s="7"/>
      <c r="H741" s="4">
        <v>0</v>
      </c>
      <c r="I741" s="7">
        <v>0</v>
      </c>
      <c r="J741" s="7"/>
    </row>
    <row r="742" spans="1:10" hidden="1">
      <c r="A742" s="4" t="s">
        <v>807</v>
      </c>
      <c r="B742" s="4" t="s">
        <v>811</v>
      </c>
      <c r="C742" s="4" t="s">
        <v>2184</v>
      </c>
      <c r="D742" s="4" t="s">
        <v>1532</v>
      </c>
      <c r="E742" s="4" t="s">
        <v>2185</v>
      </c>
      <c r="F742" s="4"/>
      <c r="G742" s="7"/>
      <c r="H742" s="4">
        <v>0</v>
      </c>
      <c r="I742" s="7">
        <v>0</v>
      </c>
      <c r="J742" s="7"/>
    </row>
    <row r="743" spans="1:10" hidden="1">
      <c r="A743" s="4" t="s">
        <v>807</v>
      </c>
      <c r="B743" s="4" t="s">
        <v>811</v>
      </c>
      <c r="C743" s="4" t="s">
        <v>2186</v>
      </c>
      <c r="D743" s="4" t="s">
        <v>1532</v>
      </c>
      <c r="E743" s="4" t="s">
        <v>2187</v>
      </c>
      <c r="F743" s="4"/>
      <c r="G743" s="7"/>
      <c r="H743" s="4">
        <v>0</v>
      </c>
      <c r="I743" s="7">
        <v>0</v>
      </c>
      <c r="J743" s="7"/>
    </row>
    <row r="744" spans="1:10" hidden="1">
      <c r="A744" s="4" t="s">
        <v>807</v>
      </c>
      <c r="B744" s="4" t="s">
        <v>811</v>
      </c>
      <c r="C744" s="4" t="s">
        <v>2188</v>
      </c>
      <c r="D744" s="4" t="s">
        <v>1532</v>
      </c>
      <c r="E744" s="4" t="s">
        <v>2189</v>
      </c>
      <c r="F744" s="4"/>
      <c r="G744" s="7"/>
      <c r="H744" s="4">
        <v>0</v>
      </c>
      <c r="I744" s="7">
        <v>0</v>
      </c>
      <c r="J744" s="7"/>
    </row>
    <row r="745" spans="1:10" hidden="1">
      <c r="A745" s="4" t="s">
        <v>807</v>
      </c>
      <c r="B745" s="4" t="s">
        <v>811</v>
      </c>
      <c r="C745" s="4" t="s">
        <v>2190</v>
      </c>
      <c r="D745" s="4" t="s">
        <v>1532</v>
      </c>
      <c r="E745" s="4" t="s">
        <v>2191</v>
      </c>
      <c r="F745" s="4"/>
      <c r="G745" s="7"/>
      <c r="H745" s="4">
        <v>0</v>
      </c>
      <c r="I745" s="7">
        <v>0</v>
      </c>
      <c r="J745" s="7"/>
    </row>
    <row r="746" spans="1:10" hidden="1">
      <c r="A746" s="4" t="s">
        <v>807</v>
      </c>
      <c r="B746" s="4" t="s">
        <v>811</v>
      </c>
      <c r="C746" s="4" t="s">
        <v>2192</v>
      </c>
      <c r="D746" s="4" t="s">
        <v>1532</v>
      </c>
      <c r="E746" s="4" t="s">
        <v>2193</v>
      </c>
      <c r="F746" s="4"/>
      <c r="G746" s="7"/>
      <c r="H746" s="4">
        <v>0</v>
      </c>
      <c r="I746" s="7">
        <v>0</v>
      </c>
      <c r="J746" s="7"/>
    </row>
    <row r="747" spans="1:10" hidden="1">
      <c r="A747" s="4" t="s">
        <v>807</v>
      </c>
      <c r="B747" s="4" t="s">
        <v>811</v>
      </c>
      <c r="C747" s="4" t="s">
        <v>2194</v>
      </c>
      <c r="D747" s="4" t="s">
        <v>1532</v>
      </c>
      <c r="E747" s="4" t="s">
        <v>2195</v>
      </c>
      <c r="F747" s="4"/>
      <c r="G747" s="7"/>
      <c r="H747" s="4">
        <v>0</v>
      </c>
      <c r="I747" s="7">
        <v>0</v>
      </c>
      <c r="J747" s="7"/>
    </row>
    <row r="748" spans="1:10" hidden="1">
      <c r="A748" s="4" t="s">
        <v>807</v>
      </c>
      <c r="B748" s="4" t="s">
        <v>811</v>
      </c>
      <c r="C748" s="4" t="s">
        <v>2196</v>
      </c>
      <c r="D748" s="4" t="s">
        <v>1532</v>
      </c>
      <c r="E748" s="4" t="s">
        <v>2197</v>
      </c>
      <c r="F748" s="4"/>
      <c r="G748" s="7"/>
      <c r="H748" s="4">
        <v>0</v>
      </c>
      <c r="I748" s="7">
        <v>0</v>
      </c>
      <c r="J748" s="7"/>
    </row>
    <row r="749" spans="1:10" hidden="1">
      <c r="A749" s="4" t="s">
        <v>807</v>
      </c>
      <c r="B749" s="4" t="s">
        <v>811</v>
      </c>
      <c r="C749" s="4" t="s">
        <v>2198</v>
      </c>
      <c r="D749" s="4" t="s">
        <v>1532</v>
      </c>
      <c r="E749" s="4" t="s">
        <v>2199</v>
      </c>
      <c r="F749" s="4"/>
      <c r="G749" s="7"/>
      <c r="H749" s="4">
        <v>0</v>
      </c>
      <c r="I749" s="7">
        <v>0</v>
      </c>
      <c r="J749" s="7"/>
    </row>
    <row r="750" spans="1:10" hidden="1">
      <c r="A750" s="4" t="s">
        <v>807</v>
      </c>
      <c r="B750" s="4" t="s">
        <v>811</v>
      </c>
      <c r="C750" s="4" t="s">
        <v>2200</v>
      </c>
      <c r="D750" s="4" t="s">
        <v>1532</v>
      </c>
      <c r="E750" s="4" t="s">
        <v>2201</v>
      </c>
      <c r="F750" s="4"/>
      <c r="G750" s="7"/>
      <c r="H750" s="4">
        <v>0</v>
      </c>
      <c r="I750" s="7">
        <v>0</v>
      </c>
      <c r="J750" s="7"/>
    </row>
    <row r="751" spans="1:10" hidden="1">
      <c r="A751" s="4" t="s">
        <v>807</v>
      </c>
      <c r="B751" s="4" t="s">
        <v>811</v>
      </c>
      <c r="C751" s="4" t="s">
        <v>2202</v>
      </c>
      <c r="D751" s="4" t="s">
        <v>1532</v>
      </c>
      <c r="E751" s="4" t="s">
        <v>2203</v>
      </c>
      <c r="F751" s="4"/>
      <c r="G751" s="7"/>
      <c r="H751" s="4">
        <v>0</v>
      </c>
      <c r="I751" s="7">
        <v>0</v>
      </c>
      <c r="J751" s="7"/>
    </row>
    <row r="752" spans="1:10" hidden="1">
      <c r="A752" s="4" t="s">
        <v>807</v>
      </c>
      <c r="B752" s="4" t="s">
        <v>811</v>
      </c>
      <c r="C752" s="4" t="s">
        <v>2204</v>
      </c>
      <c r="D752" s="4" t="s">
        <v>1532</v>
      </c>
      <c r="E752" s="4" t="s">
        <v>2203</v>
      </c>
      <c r="F752" s="4"/>
      <c r="G752" s="7"/>
      <c r="H752" s="4">
        <v>0</v>
      </c>
      <c r="I752" s="7">
        <v>0</v>
      </c>
      <c r="J752" s="7"/>
    </row>
    <row r="753" spans="1:10" hidden="1">
      <c r="A753" s="4" t="s">
        <v>807</v>
      </c>
      <c r="B753" s="4" t="s">
        <v>811</v>
      </c>
      <c r="C753" s="4" t="s">
        <v>2205</v>
      </c>
      <c r="D753" s="4" t="s">
        <v>1532</v>
      </c>
      <c r="E753" s="4" t="s">
        <v>2206</v>
      </c>
      <c r="F753" s="4"/>
      <c r="G753" s="7"/>
      <c r="H753" s="4">
        <v>0</v>
      </c>
      <c r="I753" s="7">
        <v>0</v>
      </c>
      <c r="J753" s="7"/>
    </row>
    <row r="754" spans="1:10" hidden="1">
      <c r="A754" s="4" t="s">
        <v>807</v>
      </c>
      <c r="B754" s="4" t="s">
        <v>811</v>
      </c>
      <c r="C754" s="4" t="s">
        <v>2207</v>
      </c>
      <c r="D754" s="4" t="s">
        <v>1532</v>
      </c>
      <c r="E754" s="4" t="s">
        <v>2208</v>
      </c>
      <c r="F754" s="4"/>
      <c r="G754" s="7"/>
      <c r="H754" s="4">
        <v>0</v>
      </c>
      <c r="I754" s="7">
        <v>0</v>
      </c>
      <c r="J754" s="7"/>
    </row>
    <row r="755" spans="1:10" hidden="1">
      <c r="A755" s="4" t="s">
        <v>807</v>
      </c>
      <c r="B755" s="4" t="s">
        <v>811</v>
      </c>
      <c r="C755" s="4" t="s">
        <v>2209</v>
      </c>
      <c r="D755" s="4" t="s">
        <v>1532</v>
      </c>
      <c r="E755" s="4" t="s">
        <v>2210</v>
      </c>
      <c r="F755" s="4"/>
      <c r="G755" s="7"/>
      <c r="H755" s="4">
        <v>0</v>
      </c>
      <c r="I755" s="7">
        <v>0</v>
      </c>
      <c r="J755" s="7"/>
    </row>
    <row r="756" spans="1:10" hidden="1">
      <c r="A756" s="4" t="s">
        <v>807</v>
      </c>
      <c r="B756" s="4" t="s">
        <v>811</v>
      </c>
      <c r="C756" s="4" t="s">
        <v>2211</v>
      </c>
      <c r="D756" s="4" t="s">
        <v>1532</v>
      </c>
      <c r="E756" s="4" t="s">
        <v>2212</v>
      </c>
      <c r="F756" s="4"/>
      <c r="G756" s="7"/>
      <c r="H756" s="4">
        <v>0</v>
      </c>
      <c r="I756" s="7">
        <v>0</v>
      </c>
      <c r="J756" s="7"/>
    </row>
    <row r="757" spans="1:10" hidden="1">
      <c r="A757" s="4" t="s">
        <v>807</v>
      </c>
      <c r="B757" s="4" t="s">
        <v>811</v>
      </c>
      <c r="C757" s="4" t="s">
        <v>2213</v>
      </c>
      <c r="D757" s="4" t="s">
        <v>1532</v>
      </c>
      <c r="E757" s="4" t="s">
        <v>2214</v>
      </c>
      <c r="F757" s="4"/>
      <c r="G757" s="7"/>
      <c r="H757" s="4">
        <v>0</v>
      </c>
      <c r="I757" s="7">
        <v>0</v>
      </c>
      <c r="J757" s="7"/>
    </row>
    <row r="758" spans="1:10" hidden="1">
      <c r="A758" s="4" t="s">
        <v>807</v>
      </c>
      <c r="B758" s="4" t="s">
        <v>811</v>
      </c>
      <c r="C758" s="4" t="s">
        <v>2215</v>
      </c>
      <c r="D758" s="4" t="s">
        <v>1532</v>
      </c>
      <c r="E758" s="4" t="s">
        <v>2216</v>
      </c>
      <c r="F758" s="4"/>
      <c r="G758" s="7"/>
      <c r="H758" s="4">
        <v>0</v>
      </c>
      <c r="I758" s="7">
        <v>0</v>
      </c>
      <c r="J758" s="7"/>
    </row>
    <row r="759" spans="1:10" hidden="1">
      <c r="A759" s="4" t="s">
        <v>807</v>
      </c>
      <c r="B759" s="4" t="s">
        <v>811</v>
      </c>
      <c r="C759" s="4" t="s">
        <v>2217</v>
      </c>
      <c r="D759" s="4" t="s">
        <v>1532</v>
      </c>
      <c r="E759" s="4" t="s">
        <v>2218</v>
      </c>
      <c r="F759" s="4"/>
      <c r="G759" s="7"/>
      <c r="H759" s="4">
        <v>0</v>
      </c>
      <c r="I759" s="7">
        <v>0</v>
      </c>
      <c r="J759" s="7"/>
    </row>
    <row r="760" spans="1:10" hidden="1">
      <c r="A760" s="4" t="s">
        <v>807</v>
      </c>
      <c r="B760" s="4" t="s">
        <v>811</v>
      </c>
      <c r="C760" s="4" t="s">
        <v>2219</v>
      </c>
      <c r="D760" s="4" t="s">
        <v>1532</v>
      </c>
      <c r="E760" s="4" t="s">
        <v>2220</v>
      </c>
      <c r="F760" s="4"/>
      <c r="G760" s="7"/>
      <c r="H760" s="4">
        <v>0</v>
      </c>
      <c r="I760" s="7">
        <v>0</v>
      </c>
      <c r="J760" s="7"/>
    </row>
    <row r="761" spans="1:10" hidden="1">
      <c r="A761" s="4" t="s">
        <v>807</v>
      </c>
      <c r="B761" s="4" t="s">
        <v>811</v>
      </c>
      <c r="C761" s="4" t="s">
        <v>2221</v>
      </c>
      <c r="D761" s="4" t="s">
        <v>1532</v>
      </c>
      <c r="E761" s="4" t="s">
        <v>2222</v>
      </c>
      <c r="F761" s="4"/>
      <c r="G761" s="7"/>
      <c r="H761" s="4">
        <v>0</v>
      </c>
      <c r="I761" s="7">
        <v>0</v>
      </c>
      <c r="J761" s="7"/>
    </row>
    <row r="762" spans="1:10" hidden="1">
      <c r="A762" s="4" t="s">
        <v>807</v>
      </c>
      <c r="B762" s="4" t="s">
        <v>811</v>
      </c>
      <c r="C762" s="4" t="s">
        <v>2223</v>
      </c>
      <c r="D762" s="4" t="s">
        <v>1532</v>
      </c>
      <c r="E762" s="4" t="s">
        <v>2224</v>
      </c>
      <c r="F762" s="4"/>
      <c r="G762" s="7"/>
      <c r="H762" s="4">
        <v>0</v>
      </c>
      <c r="I762" s="7">
        <v>0</v>
      </c>
      <c r="J762" s="7"/>
    </row>
    <row r="763" spans="1:10" hidden="1">
      <c r="A763" s="4" t="s">
        <v>807</v>
      </c>
      <c r="B763" s="4" t="s">
        <v>811</v>
      </c>
      <c r="C763" s="4" t="s">
        <v>2089</v>
      </c>
      <c r="D763" s="4" t="s">
        <v>1532</v>
      </c>
      <c r="E763" s="4" t="s">
        <v>2090</v>
      </c>
      <c r="F763" s="4"/>
      <c r="G763" s="7"/>
      <c r="H763" s="4">
        <v>0</v>
      </c>
      <c r="I763" s="7">
        <v>0</v>
      </c>
      <c r="J763" s="7"/>
    </row>
    <row r="764" spans="1:10" hidden="1">
      <c r="A764" s="4" t="s">
        <v>807</v>
      </c>
      <c r="B764" s="4" t="s">
        <v>811</v>
      </c>
      <c r="C764" s="4" t="s">
        <v>2225</v>
      </c>
      <c r="D764" s="4" t="s">
        <v>1532</v>
      </c>
      <c r="E764" s="4" t="s">
        <v>2226</v>
      </c>
      <c r="F764" s="4"/>
      <c r="G764" s="7"/>
      <c r="H764" s="4">
        <v>0</v>
      </c>
      <c r="I764" s="7">
        <v>0</v>
      </c>
      <c r="J764" s="7"/>
    </row>
    <row r="765" spans="1:10" hidden="1">
      <c r="A765" s="4" t="s">
        <v>807</v>
      </c>
      <c r="B765" s="4" t="s">
        <v>811</v>
      </c>
      <c r="C765" s="4" t="s">
        <v>883</v>
      </c>
      <c r="D765" s="4" t="s">
        <v>1532</v>
      </c>
      <c r="E765" s="4" t="s">
        <v>885</v>
      </c>
      <c r="F765" s="4"/>
      <c r="G765" s="7"/>
      <c r="H765" s="4">
        <v>0</v>
      </c>
      <c r="I765" s="7">
        <v>0</v>
      </c>
      <c r="J765" s="7"/>
    </row>
    <row r="766" spans="1:10" hidden="1">
      <c r="A766" s="4" t="s">
        <v>807</v>
      </c>
      <c r="B766" s="4" t="s">
        <v>811</v>
      </c>
      <c r="C766" s="4" t="s">
        <v>2227</v>
      </c>
      <c r="D766" s="4" t="s">
        <v>1532</v>
      </c>
      <c r="E766" s="4" t="s">
        <v>2228</v>
      </c>
      <c r="F766" s="4"/>
      <c r="G766" s="7"/>
      <c r="H766" s="4">
        <v>0</v>
      </c>
      <c r="I766" s="7">
        <v>0</v>
      </c>
      <c r="J766" s="7"/>
    </row>
    <row r="767" spans="1:10" hidden="1">
      <c r="A767" s="4" t="s">
        <v>807</v>
      </c>
      <c r="B767" s="4" t="s">
        <v>811</v>
      </c>
      <c r="C767" s="4" t="s">
        <v>2229</v>
      </c>
      <c r="D767" s="4" t="s">
        <v>1532</v>
      </c>
      <c r="E767" s="4" t="s">
        <v>2230</v>
      </c>
      <c r="F767" s="4"/>
      <c r="G767" s="7"/>
      <c r="H767" s="4">
        <v>0</v>
      </c>
      <c r="I767" s="7">
        <v>0</v>
      </c>
      <c r="J767" s="7"/>
    </row>
    <row r="768" spans="1:10" hidden="1">
      <c r="A768" s="4" t="s">
        <v>807</v>
      </c>
      <c r="B768" s="4" t="s">
        <v>811</v>
      </c>
      <c r="C768" s="4" t="s">
        <v>2231</v>
      </c>
      <c r="D768" s="4" t="s">
        <v>1532</v>
      </c>
      <c r="E768" s="4" t="s">
        <v>2232</v>
      </c>
      <c r="F768" s="4"/>
      <c r="G768" s="7"/>
      <c r="H768" s="4">
        <v>0</v>
      </c>
      <c r="I768" s="7">
        <v>0</v>
      </c>
      <c r="J768" s="7"/>
    </row>
    <row r="769" spans="1:14" hidden="1">
      <c r="A769" s="4" t="s">
        <v>807</v>
      </c>
      <c r="B769" s="4" t="s">
        <v>811</v>
      </c>
      <c r="C769" s="4" t="s">
        <v>2233</v>
      </c>
      <c r="D769" s="4" t="s">
        <v>1532</v>
      </c>
      <c r="E769" s="4" t="s">
        <v>2234</v>
      </c>
      <c r="F769" s="4"/>
      <c r="G769" s="7"/>
      <c r="H769" s="4">
        <v>0</v>
      </c>
      <c r="I769" s="7">
        <v>0</v>
      </c>
      <c r="J769" s="7"/>
    </row>
    <row r="770" spans="1:14" hidden="1">
      <c r="A770" s="4" t="s">
        <v>807</v>
      </c>
      <c r="B770" s="4" t="s">
        <v>811</v>
      </c>
      <c r="C770" s="4" t="s">
        <v>2235</v>
      </c>
      <c r="D770" s="4" t="s">
        <v>1532</v>
      </c>
      <c r="E770" s="4" t="s">
        <v>2236</v>
      </c>
      <c r="F770" s="4"/>
      <c r="G770" s="7"/>
      <c r="H770" s="4">
        <v>0</v>
      </c>
      <c r="I770" s="7">
        <v>0</v>
      </c>
      <c r="J770" s="7"/>
    </row>
    <row r="771" spans="1:14" hidden="1">
      <c r="A771" s="4" t="s">
        <v>807</v>
      </c>
      <c r="B771" s="4" t="s">
        <v>811</v>
      </c>
      <c r="C771" s="4" t="s">
        <v>2237</v>
      </c>
      <c r="D771" s="4" t="s">
        <v>1532</v>
      </c>
      <c r="E771" s="4" t="s">
        <v>2238</v>
      </c>
      <c r="F771" s="4"/>
      <c r="G771" s="7"/>
      <c r="H771" s="4">
        <v>0</v>
      </c>
      <c r="I771" s="7">
        <v>0</v>
      </c>
      <c r="J771" s="7"/>
    </row>
    <row r="772" spans="1:14" hidden="1">
      <c r="A772" s="4" t="s">
        <v>807</v>
      </c>
      <c r="B772" s="4" t="s">
        <v>811</v>
      </c>
      <c r="C772" s="4" t="s">
        <v>2239</v>
      </c>
      <c r="D772" s="4" t="s">
        <v>1532</v>
      </c>
      <c r="E772" s="4" t="s">
        <v>2240</v>
      </c>
      <c r="F772" s="4"/>
      <c r="G772" s="7"/>
      <c r="H772" s="4">
        <v>0</v>
      </c>
      <c r="I772" s="7">
        <v>0</v>
      </c>
      <c r="J772" s="7"/>
    </row>
    <row r="773" spans="1:14" hidden="1">
      <c r="A773" s="4" t="s">
        <v>807</v>
      </c>
      <c r="B773" s="4" t="s">
        <v>811</v>
      </c>
      <c r="C773" s="4" t="s">
        <v>2241</v>
      </c>
      <c r="D773" s="4" t="s">
        <v>1532</v>
      </c>
      <c r="E773" s="4" t="s">
        <v>2242</v>
      </c>
      <c r="F773" s="4"/>
      <c r="G773" s="7"/>
      <c r="H773" s="4">
        <v>0</v>
      </c>
      <c r="I773" s="7">
        <v>0</v>
      </c>
      <c r="J773" s="7"/>
    </row>
    <row r="774" spans="1:14" hidden="1">
      <c r="A774" s="4" t="s">
        <v>807</v>
      </c>
      <c r="B774" s="4" t="s">
        <v>811</v>
      </c>
      <c r="C774" s="4" t="s">
        <v>2243</v>
      </c>
      <c r="D774" s="4" t="s">
        <v>1532</v>
      </c>
      <c r="E774" s="4" t="s">
        <v>2244</v>
      </c>
      <c r="F774" s="4"/>
      <c r="G774" s="7"/>
      <c r="H774" s="4">
        <v>0</v>
      </c>
      <c r="I774" s="7">
        <v>0</v>
      </c>
      <c r="J774" s="7"/>
    </row>
    <row r="775" spans="1:14" hidden="1">
      <c r="A775" s="4" t="s">
        <v>807</v>
      </c>
      <c r="B775" s="4" t="s">
        <v>811</v>
      </c>
      <c r="C775" s="4" t="s">
        <v>2245</v>
      </c>
      <c r="D775" s="4" t="s">
        <v>1532</v>
      </c>
      <c r="E775" s="4" t="s">
        <v>2246</v>
      </c>
      <c r="F775" s="4"/>
      <c r="G775" s="7"/>
      <c r="H775" s="4">
        <v>0</v>
      </c>
      <c r="I775" s="7">
        <v>0</v>
      </c>
      <c r="J775" s="7"/>
    </row>
    <row r="776" spans="1:14" hidden="1">
      <c r="A776" s="4" t="s">
        <v>807</v>
      </c>
      <c r="B776" s="4" t="s">
        <v>811</v>
      </c>
      <c r="C776" s="4" t="s">
        <v>1860</v>
      </c>
      <c r="D776" s="4" t="s">
        <v>1532</v>
      </c>
      <c r="E776" s="4" t="s">
        <v>1861</v>
      </c>
      <c r="F776" s="4"/>
      <c r="G776" s="7"/>
      <c r="H776" s="4">
        <v>0</v>
      </c>
      <c r="I776" s="7">
        <v>0</v>
      </c>
      <c r="J776" s="7"/>
    </row>
    <row r="777" spans="1:14" hidden="1">
      <c r="A777" s="4" t="s">
        <v>807</v>
      </c>
      <c r="B777" s="4" t="s">
        <v>811</v>
      </c>
      <c r="C777" s="4" t="s">
        <v>2247</v>
      </c>
      <c r="D777" s="4" t="s">
        <v>1532</v>
      </c>
      <c r="E777" s="4" t="s">
        <v>2248</v>
      </c>
      <c r="F777" s="4"/>
      <c r="G777" s="7"/>
      <c r="H777" s="4">
        <v>0</v>
      </c>
      <c r="I777" s="7">
        <v>0</v>
      </c>
      <c r="J777" s="7"/>
    </row>
    <row r="778" spans="1:14" hidden="1">
      <c r="A778" s="4" t="s">
        <v>807</v>
      </c>
      <c r="B778" s="4" t="s">
        <v>811</v>
      </c>
      <c r="C778" s="4" t="s">
        <v>2249</v>
      </c>
      <c r="D778" s="4" t="s">
        <v>1532</v>
      </c>
      <c r="E778" s="4" t="s">
        <v>2250</v>
      </c>
      <c r="F778" s="4"/>
      <c r="G778" s="7"/>
      <c r="H778" s="4">
        <v>0</v>
      </c>
      <c r="I778" s="7">
        <v>0</v>
      </c>
      <c r="J778" s="7"/>
    </row>
    <row r="779" spans="1:14" hidden="1">
      <c r="A779" s="4" t="s">
        <v>807</v>
      </c>
      <c r="B779" s="4" t="s">
        <v>811</v>
      </c>
      <c r="C779" s="4" t="s">
        <v>2251</v>
      </c>
      <c r="D779" s="4" t="s">
        <v>1532</v>
      </c>
      <c r="E779" s="4" t="s">
        <v>2252</v>
      </c>
      <c r="F779" s="4"/>
      <c r="G779" s="7"/>
      <c r="H779" s="4">
        <v>0</v>
      </c>
      <c r="I779" s="7">
        <v>0</v>
      </c>
      <c r="J779" s="7"/>
    </row>
    <row r="780" spans="1:14" hidden="1">
      <c r="A780" s="4" t="s">
        <v>807</v>
      </c>
      <c r="B780" s="4" t="s">
        <v>811</v>
      </c>
      <c r="C780" s="4" t="s">
        <v>2253</v>
      </c>
      <c r="D780" s="4" t="s">
        <v>1532</v>
      </c>
      <c r="E780" s="4" t="s">
        <v>2254</v>
      </c>
      <c r="F780" s="4"/>
      <c r="G780" s="7"/>
      <c r="H780" s="4">
        <v>0</v>
      </c>
      <c r="I780" s="7">
        <v>0</v>
      </c>
      <c r="J780" s="7"/>
    </row>
    <row r="781" spans="1:14" hidden="1">
      <c r="A781" s="4" t="s">
        <v>807</v>
      </c>
      <c r="B781" s="4" t="s">
        <v>811</v>
      </c>
      <c r="C781" s="4" t="s">
        <v>2255</v>
      </c>
      <c r="D781" s="4" t="s">
        <v>1532</v>
      </c>
      <c r="E781" s="4" t="s">
        <v>2256</v>
      </c>
      <c r="F781" s="4"/>
      <c r="G781" s="7"/>
      <c r="H781" s="4">
        <v>0</v>
      </c>
      <c r="I781" s="7">
        <v>0</v>
      </c>
      <c r="J781" s="7"/>
    </row>
    <row r="782" spans="1:14" hidden="1">
      <c r="A782" s="4" t="s">
        <v>807</v>
      </c>
      <c r="B782" s="4" t="s">
        <v>811</v>
      </c>
      <c r="C782" s="4" t="s">
        <v>2257</v>
      </c>
      <c r="D782" s="4" t="s">
        <v>1532</v>
      </c>
      <c r="E782" s="4" t="s">
        <v>2258</v>
      </c>
      <c r="F782" s="4"/>
      <c r="G782" s="7"/>
      <c r="H782" s="4">
        <v>0</v>
      </c>
      <c r="I782" s="7">
        <v>0</v>
      </c>
      <c r="J782" s="7"/>
    </row>
    <row r="783" spans="1:14" hidden="1">
      <c r="A783" s="4" t="s">
        <v>807</v>
      </c>
      <c r="B783" s="4" t="s">
        <v>811</v>
      </c>
      <c r="C783" s="4" t="s">
        <v>2259</v>
      </c>
      <c r="D783" s="4" t="s">
        <v>1532</v>
      </c>
      <c r="E783" s="4" t="s">
        <v>2260</v>
      </c>
      <c r="F783" s="4"/>
      <c r="G783" s="7"/>
      <c r="H783" s="4">
        <v>0</v>
      </c>
      <c r="I783" s="7">
        <v>0</v>
      </c>
      <c r="J783" s="7"/>
    </row>
    <row r="784" spans="1:14" hidden="1">
      <c r="A784" s="4" t="s">
        <v>807</v>
      </c>
      <c r="B784" s="4" t="s">
        <v>811</v>
      </c>
      <c r="C784" s="4" t="s">
        <v>2261</v>
      </c>
      <c r="D784" s="4" t="s">
        <v>1532</v>
      </c>
      <c r="E784" s="4" t="s">
        <v>2262</v>
      </c>
      <c r="F784" s="4"/>
      <c r="G784" s="7"/>
      <c r="H784" s="4">
        <v>0</v>
      </c>
      <c r="I784" s="7">
        <v>0</v>
      </c>
      <c r="J784" s="7"/>
      <c r="N784">
        <f>358*8.99</f>
        <v>3218.42</v>
      </c>
    </row>
    <row r="785" spans="1:14" hidden="1">
      <c r="A785" s="4" t="s">
        <v>807</v>
      </c>
      <c r="B785" s="4" t="s">
        <v>811</v>
      </c>
      <c r="C785" s="4" t="s">
        <v>2263</v>
      </c>
      <c r="D785" s="4" t="s">
        <v>1532</v>
      </c>
      <c r="E785" s="4" t="s">
        <v>2141</v>
      </c>
      <c r="F785" s="4"/>
      <c r="G785" s="7"/>
      <c r="H785" s="4">
        <v>0</v>
      </c>
      <c r="I785" s="7">
        <v>0</v>
      </c>
      <c r="J785" s="7"/>
      <c r="N785">
        <f>359*8.99</f>
        <v>3227.41</v>
      </c>
    </row>
    <row r="786" spans="1:14" hidden="1">
      <c r="A786" s="4" t="s">
        <v>807</v>
      </c>
      <c r="B786" s="4" t="s">
        <v>811</v>
      </c>
      <c r="C786" s="4" t="s">
        <v>2264</v>
      </c>
      <c r="D786" s="4" t="s">
        <v>1532</v>
      </c>
      <c r="E786" s="4" t="s">
        <v>2265</v>
      </c>
      <c r="F786" s="4"/>
      <c r="G786" s="7"/>
      <c r="H786" s="4">
        <v>0</v>
      </c>
      <c r="I786" s="7">
        <v>0</v>
      </c>
      <c r="J786" s="7"/>
    </row>
    <row r="787" spans="1:14" hidden="1">
      <c r="A787" s="4" t="s">
        <v>807</v>
      </c>
      <c r="B787" s="4" t="s">
        <v>811</v>
      </c>
      <c r="C787" s="4" t="s">
        <v>2266</v>
      </c>
      <c r="D787" s="4" t="s">
        <v>694</v>
      </c>
      <c r="E787" s="4" t="s">
        <v>2267</v>
      </c>
      <c r="F787" s="4"/>
      <c r="G787" s="7"/>
      <c r="H787" s="4">
        <v>0</v>
      </c>
      <c r="I787" s="7">
        <v>0</v>
      </c>
      <c r="J787" s="7"/>
    </row>
    <row r="788" spans="1:14" hidden="1">
      <c r="A788" s="4" t="s">
        <v>1535</v>
      </c>
      <c r="B788" s="4" t="s">
        <v>1536</v>
      </c>
      <c r="C788" s="4" t="s">
        <v>2268</v>
      </c>
      <c r="D788" s="4" t="s">
        <v>1538</v>
      </c>
      <c r="E788" s="4" t="s">
        <v>2269</v>
      </c>
      <c r="F788" s="4"/>
      <c r="G788" s="7"/>
      <c r="H788" s="4">
        <v>0</v>
      </c>
      <c r="I788" s="7">
        <v>0</v>
      </c>
      <c r="J788" s="7"/>
    </row>
    <row r="789" spans="1:14" hidden="1">
      <c r="A789" s="4" t="s">
        <v>915</v>
      </c>
      <c r="B789" s="4"/>
      <c r="C789" s="4" t="s">
        <v>2270</v>
      </c>
      <c r="D789" s="4" t="s">
        <v>2271</v>
      </c>
      <c r="E789" s="4" t="s">
        <v>2272</v>
      </c>
      <c r="F789" s="4">
        <v>1</v>
      </c>
      <c r="G789" s="7">
        <v>11.64</v>
      </c>
      <c r="H789" s="4"/>
      <c r="I789" s="7" cm="1">
        <f t="array" aca="1" ref="I789" ca="1">+I789:II789:I1485</f>
        <v>0</v>
      </c>
      <c r="J789" s="7"/>
    </row>
    <row r="790" spans="1:14" hidden="1">
      <c r="A790" s="4" t="s">
        <v>807</v>
      </c>
      <c r="B790" s="4" t="s">
        <v>811</v>
      </c>
      <c r="C790" s="4" t="s">
        <v>2273</v>
      </c>
      <c r="D790" s="4" t="s">
        <v>2274</v>
      </c>
      <c r="E790" s="4" t="s">
        <v>2275</v>
      </c>
      <c r="F790" s="4">
        <v>2</v>
      </c>
      <c r="G790" s="7">
        <v>23.28</v>
      </c>
      <c r="H790" s="4"/>
      <c r="I790" s="7"/>
      <c r="J790" s="7"/>
    </row>
    <row r="791" spans="1:14" hidden="1">
      <c r="A791" s="4" t="s">
        <v>807</v>
      </c>
      <c r="B791" s="4" t="s">
        <v>811</v>
      </c>
      <c r="C791" s="4" t="s">
        <v>2273</v>
      </c>
      <c r="D791" s="4" t="s">
        <v>2276</v>
      </c>
      <c r="E791" s="4" t="s">
        <v>2275</v>
      </c>
      <c r="F791" s="4">
        <v>2</v>
      </c>
      <c r="G791" s="7">
        <v>23.28</v>
      </c>
      <c r="H791" s="4"/>
      <c r="I791" s="7"/>
      <c r="J791" s="7"/>
    </row>
    <row r="792" spans="1:14" hidden="1">
      <c r="A792" s="4" t="s">
        <v>807</v>
      </c>
      <c r="B792" s="4" t="s">
        <v>811</v>
      </c>
      <c r="C792" s="4" t="s">
        <v>2273</v>
      </c>
      <c r="D792" s="4" t="s">
        <v>2277</v>
      </c>
      <c r="E792" s="4" t="s">
        <v>2275</v>
      </c>
      <c r="F792" s="4">
        <v>1</v>
      </c>
      <c r="G792" s="7">
        <v>11.64</v>
      </c>
      <c r="H792" s="4"/>
      <c r="I792" s="7"/>
      <c r="J792" s="7"/>
    </row>
    <row r="793" spans="1:14" hidden="1">
      <c r="A793" s="4" t="s">
        <v>807</v>
      </c>
      <c r="B793" s="4" t="s">
        <v>808</v>
      </c>
      <c r="C793" s="4" t="s">
        <v>2278</v>
      </c>
      <c r="D793" s="4" t="s">
        <v>2279</v>
      </c>
      <c r="E793" s="4" t="s">
        <v>2280</v>
      </c>
      <c r="F793" s="4">
        <v>1</v>
      </c>
      <c r="G793" s="7">
        <v>11.64</v>
      </c>
      <c r="H793" s="4"/>
      <c r="I793" s="7"/>
      <c r="J793" s="7"/>
    </row>
    <row r="794" spans="1:14" hidden="1">
      <c r="A794" s="4" t="s">
        <v>807</v>
      </c>
      <c r="B794" s="4" t="s">
        <v>811</v>
      </c>
      <c r="C794" s="4" t="s">
        <v>2281</v>
      </c>
      <c r="D794" s="4" t="s">
        <v>1026</v>
      </c>
      <c r="E794" s="4" t="s">
        <v>2282</v>
      </c>
      <c r="F794" s="4">
        <v>1</v>
      </c>
      <c r="G794" s="7">
        <v>11.64</v>
      </c>
      <c r="H794" s="4"/>
      <c r="I794" s="7"/>
      <c r="J794" s="7"/>
    </row>
    <row r="795" spans="1:14" hidden="1">
      <c r="A795" s="4" t="s">
        <v>807</v>
      </c>
      <c r="B795" s="4" t="s">
        <v>811</v>
      </c>
      <c r="C795" s="4" t="s">
        <v>2281</v>
      </c>
      <c r="D795" s="4" t="s">
        <v>2283</v>
      </c>
      <c r="E795" s="4" t="s">
        <v>2282</v>
      </c>
      <c r="F795" s="4">
        <v>1</v>
      </c>
      <c r="G795" s="7">
        <v>11.64</v>
      </c>
      <c r="H795" s="4"/>
      <c r="I795" s="7"/>
      <c r="J795" s="7"/>
    </row>
    <row r="796" spans="1:14" hidden="1">
      <c r="A796" s="4" t="s">
        <v>807</v>
      </c>
      <c r="B796" s="4" t="s">
        <v>811</v>
      </c>
      <c r="C796" s="4" t="s">
        <v>2281</v>
      </c>
      <c r="D796" s="4" t="s">
        <v>2284</v>
      </c>
      <c r="E796" s="4" t="s">
        <v>2282</v>
      </c>
      <c r="F796" s="4">
        <v>1</v>
      </c>
      <c r="G796" s="7">
        <v>11.64</v>
      </c>
      <c r="H796" s="4"/>
      <c r="I796" s="7"/>
      <c r="J796" s="7"/>
    </row>
    <row r="797" spans="1:14" hidden="1">
      <c r="A797" s="4" t="s">
        <v>915</v>
      </c>
      <c r="B797" s="4"/>
      <c r="C797" s="4" t="s">
        <v>2285</v>
      </c>
      <c r="D797" s="4" t="s">
        <v>2286</v>
      </c>
      <c r="E797" s="4" t="s">
        <v>2287</v>
      </c>
      <c r="F797" s="4">
        <v>2</v>
      </c>
      <c r="G797" s="7">
        <v>23.28</v>
      </c>
      <c r="H797" s="4"/>
      <c r="I797" s="7"/>
      <c r="J797" s="7"/>
    </row>
    <row r="798" spans="1:14" hidden="1">
      <c r="A798" s="4" t="s">
        <v>807</v>
      </c>
      <c r="B798" s="4" t="s">
        <v>808</v>
      </c>
      <c r="C798" s="4" t="s">
        <v>2288</v>
      </c>
      <c r="D798" s="4" t="s">
        <v>2289</v>
      </c>
      <c r="E798" s="4" t="s">
        <v>2290</v>
      </c>
      <c r="F798" s="4">
        <v>2</v>
      </c>
      <c r="G798" s="7">
        <v>23.28</v>
      </c>
      <c r="H798" s="4"/>
      <c r="I798" s="7"/>
      <c r="J798" s="7"/>
    </row>
    <row r="799" spans="1:14" hidden="1">
      <c r="A799" s="4" t="s">
        <v>807</v>
      </c>
      <c r="B799" s="4" t="s">
        <v>808</v>
      </c>
      <c r="C799" s="4" t="s">
        <v>2288</v>
      </c>
      <c r="D799" s="4" t="s">
        <v>970</v>
      </c>
      <c r="E799" s="4" t="s">
        <v>2290</v>
      </c>
      <c r="F799" s="4">
        <v>1</v>
      </c>
      <c r="G799" s="7">
        <v>11.64</v>
      </c>
      <c r="H799" s="4"/>
      <c r="I799" s="7"/>
      <c r="J799" s="7"/>
    </row>
    <row r="800" spans="1:14" hidden="1">
      <c r="A800" s="4" t="s">
        <v>807</v>
      </c>
      <c r="B800" s="4" t="s">
        <v>808</v>
      </c>
      <c r="C800" s="4" t="s">
        <v>2288</v>
      </c>
      <c r="D800" s="4" t="s">
        <v>2291</v>
      </c>
      <c r="E800" s="4" t="s">
        <v>2290</v>
      </c>
      <c r="F800" s="4">
        <v>2</v>
      </c>
      <c r="G800" s="7">
        <v>23.28</v>
      </c>
      <c r="H800" s="4"/>
      <c r="I800" s="7"/>
      <c r="J800" s="7"/>
    </row>
    <row r="801" spans="1:10" hidden="1">
      <c r="A801" s="4" t="s">
        <v>807</v>
      </c>
      <c r="B801" s="4" t="s">
        <v>808</v>
      </c>
      <c r="C801" s="4" t="s">
        <v>2288</v>
      </c>
      <c r="D801" s="4" t="s">
        <v>2292</v>
      </c>
      <c r="E801" s="4" t="s">
        <v>2290</v>
      </c>
      <c r="F801" s="4">
        <v>2</v>
      </c>
      <c r="G801" s="7">
        <v>23.28</v>
      </c>
      <c r="H801" s="4"/>
      <c r="I801" s="7"/>
      <c r="J801" s="7"/>
    </row>
    <row r="802" spans="1:10" hidden="1">
      <c r="A802" s="4" t="s">
        <v>807</v>
      </c>
      <c r="B802" s="4" t="s">
        <v>808</v>
      </c>
      <c r="C802" s="4" t="s">
        <v>2288</v>
      </c>
      <c r="D802" s="4" t="s">
        <v>2293</v>
      </c>
      <c r="E802" s="4" t="s">
        <v>2290</v>
      </c>
      <c r="F802" s="4">
        <v>1</v>
      </c>
      <c r="G802" s="7">
        <v>11.64</v>
      </c>
      <c r="H802" s="4"/>
      <c r="I802" s="7"/>
      <c r="J802" s="7"/>
    </row>
    <row r="803" spans="1:10" hidden="1">
      <c r="A803" s="4" t="s">
        <v>807</v>
      </c>
      <c r="B803" s="4" t="s">
        <v>808</v>
      </c>
      <c r="C803" s="4" t="s">
        <v>2288</v>
      </c>
      <c r="D803" s="4" t="s">
        <v>2294</v>
      </c>
      <c r="E803" s="4" t="s">
        <v>2290</v>
      </c>
      <c r="F803" s="4">
        <v>2</v>
      </c>
      <c r="G803" s="7">
        <v>23.28</v>
      </c>
      <c r="H803" s="4"/>
      <c r="I803" s="7"/>
      <c r="J803" s="7"/>
    </row>
    <row r="804" spans="1:10" hidden="1">
      <c r="A804" s="4" t="s">
        <v>807</v>
      </c>
      <c r="B804" s="4" t="s">
        <v>808</v>
      </c>
      <c r="C804" s="4" t="s">
        <v>2288</v>
      </c>
      <c r="D804" s="4" t="s">
        <v>2295</v>
      </c>
      <c r="E804" s="4" t="s">
        <v>2290</v>
      </c>
      <c r="F804" s="4">
        <v>2</v>
      </c>
      <c r="G804" s="7">
        <v>23.28</v>
      </c>
      <c r="H804" s="4"/>
      <c r="I804" s="7"/>
      <c r="J804" s="7"/>
    </row>
    <row r="805" spans="1:10" hidden="1">
      <c r="A805" s="4" t="s">
        <v>807</v>
      </c>
      <c r="B805" s="4" t="s">
        <v>808</v>
      </c>
      <c r="C805" s="4" t="s">
        <v>2296</v>
      </c>
      <c r="D805" s="4" t="s">
        <v>2297</v>
      </c>
      <c r="E805" s="4" t="s">
        <v>2298</v>
      </c>
      <c r="F805" s="4">
        <v>1</v>
      </c>
      <c r="G805" s="7">
        <v>11.64</v>
      </c>
      <c r="H805" s="4"/>
      <c r="I805" s="7"/>
      <c r="J805" s="7"/>
    </row>
    <row r="806" spans="1:10" hidden="1">
      <c r="A806" s="4" t="s">
        <v>807</v>
      </c>
      <c r="B806" s="4" t="s">
        <v>808</v>
      </c>
      <c r="C806" s="4" t="s">
        <v>2296</v>
      </c>
      <c r="D806" s="4" t="s">
        <v>2299</v>
      </c>
      <c r="E806" s="4" t="s">
        <v>2298</v>
      </c>
      <c r="F806" s="4">
        <v>1</v>
      </c>
      <c r="G806" s="7">
        <v>11.64</v>
      </c>
      <c r="H806" s="4"/>
      <c r="I806" s="7"/>
      <c r="J806" s="7"/>
    </row>
    <row r="807" spans="1:10" hidden="1">
      <c r="A807" s="4" t="s">
        <v>807</v>
      </c>
      <c r="B807" s="4" t="s">
        <v>808</v>
      </c>
      <c r="C807" s="4" t="s">
        <v>2296</v>
      </c>
      <c r="D807" s="4" t="s">
        <v>2300</v>
      </c>
      <c r="E807" s="4" t="s">
        <v>2298</v>
      </c>
      <c r="F807" s="4">
        <v>3</v>
      </c>
      <c r="G807" s="7">
        <v>34.92</v>
      </c>
      <c r="H807" s="4"/>
      <c r="I807" s="7"/>
      <c r="J807" s="7"/>
    </row>
    <row r="808" spans="1:10" hidden="1">
      <c r="A808" s="4" t="s">
        <v>807</v>
      </c>
      <c r="B808" s="4" t="s">
        <v>808</v>
      </c>
      <c r="C808" s="4" t="s">
        <v>2296</v>
      </c>
      <c r="D808" s="4" t="s">
        <v>2301</v>
      </c>
      <c r="E808" s="4" t="s">
        <v>2298</v>
      </c>
      <c r="F808" s="4">
        <v>3</v>
      </c>
      <c r="G808" s="7">
        <v>34.92</v>
      </c>
      <c r="H808" s="4"/>
      <c r="I808" s="7"/>
      <c r="J808" s="7"/>
    </row>
    <row r="809" spans="1:10" hidden="1">
      <c r="A809" s="4" t="s">
        <v>807</v>
      </c>
      <c r="B809" s="4" t="s">
        <v>808</v>
      </c>
      <c r="C809" s="4" t="s">
        <v>2302</v>
      </c>
      <c r="D809" s="4" t="s">
        <v>2303</v>
      </c>
      <c r="E809" s="4" t="s">
        <v>2304</v>
      </c>
      <c r="F809" s="4">
        <v>2</v>
      </c>
      <c r="G809" s="7">
        <v>23.28</v>
      </c>
      <c r="H809" s="4"/>
      <c r="I809" s="7"/>
      <c r="J809" s="7"/>
    </row>
    <row r="810" spans="1:10" hidden="1">
      <c r="A810" s="4" t="s">
        <v>807</v>
      </c>
      <c r="B810" s="4" t="s">
        <v>808</v>
      </c>
      <c r="C810" s="4" t="s">
        <v>2302</v>
      </c>
      <c r="D810" s="4" t="s">
        <v>2305</v>
      </c>
      <c r="E810" s="4" t="s">
        <v>2304</v>
      </c>
      <c r="F810" s="4">
        <v>1</v>
      </c>
      <c r="G810" s="7">
        <v>11.64</v>
      </c>
      <c r="H810" s="4"/>
      <c r="I810" s="7"/>
      <c r="J810" s="7"/>
    </row>
    <row r="811" spans="1:10" hidden="1">
      <c r="A811" s="4" t="s">
        <v>807</v>
      </c>
      <c r="B811" s="4" t="s">
        <v>808</v>
      </c>
      <c r="C811" s="4" t="s">
        <v>2302</v>
      </c>
      <c r="D811" s="4" t="s">
        <v>2306</v>
      </c>
      <c r="E811" s="4" t="s">
        <v>2304</v>
      </c>
      <c r="F811" s="4">
        <v>1</v>
      </c>
      <c r="G811" s="7">
        <v>11.64</v>
      </c>
      <c r="H811" s="4"/>
      <c r="I811" s="7"/>
      <c r="J811" s="7"/>
    </row>
    <row r="812" spans="1:10" hidden="1">
      <c r="A812" s="4" t="s">
        <v>807</v>
      </c>
      <c r="B812" s="4" t="s">
        <v>808</v>
      </c>
      <c r="C812" s="4" t="s">
        <v>2302</v>
      </c>
      <c r="D812" s="4" t="s">
        <v>2307</v>
      </c>
      <c r="E812" s="4" t="s">
        <v>2304</v>
      </c>
      <c r="F812" s="4">
        <v>2</v>
      </c>
      <c r="G812" s="7">
        <v>23.28</v>
      </c>
      <c r="H812" s="4"/>
      <c r="I812" s="7"/>
      <c r="J812" s="7"/>
    </row>
    <row r="813" spans="1:10" hidden="1">
      <c r="A813" s="4" t="s">
        <v>807</v>
      </c>
      <c r="B813" s="4" t="s">
        <v>808</v>
      </c>
      <c r="C813" s="4" t="s">
        <v>2302</v>
      </c>
      <c r="D813" s="4" t="s">
        <v>2308</v>
      </c>
      <c r="E813" s="4" t="s">
        <v>2304</v>
      </c>
      <c r="F813" s="4">
        <v>2</v>
      </c>
      <c r="G813" s="7">
        <v>23.28</v>
      </c>
      <c r="H813" s="4"/>
      <c r="I813" s="7"/>
      <c r="J813" s="7"/>
    </row>
    <row r="814" spans="1:10" hidden="1">
      <c r="A814" s="4" t="s">
        <v>807</v>
      </c>
      <c r="B814" s="4" t="s">
        <v>808</v>
      </c>
      <c r="C814" s="4" t="s">
        <v>2302</v>
      </c>
      <c r="D814" s="4" t="s">
        <v>2309</v>
      </c>
      <c r="E814" s="4" t="s">
        <v>2304</v>
      </c>
      <c r="F814" s="4">
        <v>2</v>
      </c>
      <c r="G814" s="7">
        <v>23.28</v>
      </c>
      <c r="H814" s="4"/>
      <c r="I814" s="7"/>
      <c r="J814" s="7"/>
    </row>
    <row r="815" spans="1:10" hidden="1">
      <c r="A815" s="4" t="s">
        <v>807</v>
      </c>
      <c r="B815" s="4" t="s">
        <v>808</v>
      </c>
      <c r="C815" s="4" t="s">
        <v>2310</v>
      </c>
      <c r="D815" s="4" t="s">
        <v>2311</v>
      </c>
      <c r="E815" s="4" t="s">
        <v>2312</v>
      </c>
      <c r="F815" s="4">
        <v>2</v>
      </c>
      <c r="G815" s="7">
        <v>23.28</v>
      </c>
      <c r="H815" s="4"/>
      <c r="I815" s="7"/>
      <c r="J815" s="7"/>
    </row>
    <row r="816" spans="1:10" hidden="1">
      <c r="A816" s="4" t="s">
        <v>807</v>
      </c>
      <c r="B816" s="4" t="s">
        <v>808</v>
      </c>
      <c r="C816" s="4" t="s">
        <v>2310</v>
      </c>
      <c r="D816" s="4" t="s">
        <v>2313</v>
      </c>
      <c r="E816" s="4" t="s">
        <v>2312</v>
      </c>
      <c r="F816" s="4">
        <v>2</v>
      </c>
      <c r="G816" s="7">
        <v>23.28</v>
      </c>
      <c r="H816" s="4"/>
      <c r="I816" s="7"/>
      <c r="J816" s="7"/>
    </row>
    <row r="817" spans="1:10" hidden="1">
      <c r="A817" s="4" t="s">
        <v>807</v>
      </c>
      <c r="B817" s="4" t="s">
        <v>808</v>
      </c>
      <c r="C817" s="4" t="s">
        <v>2310</v>
      </c>
      <c r="D817" s="4" t="s">
        <v>2314</v>
      </c>
      <c r="E817" s="4" t="s">
        <v>2312</v>
      </c>
      <c r="F817" s="4">
        <v>2</v>
      </c>
      <c r="G817" s="7">
        <v>23.28</v>
      </c>
      <c r="H817" s="4"/>
      <c r="I817" s="7"/>
      <c r="J817" s="7"/>
    </row>
    <row r="818" spans="1:10" hidden="1">
      <c r="A818" s="4" t="s">
        <v>807</v>
      </c>
      <c r="B818" s="4" t="s">
        <v>808</v>
      </c>
      <c r="C818" s="4" t="s">
        <v>2310</v>
      </c>
      <c r="D818" s="4" t="s">
        <v>2315</v>
      </c>
      <c r="E818" s="4" t="s">
        <v>2312</v>
      </c>
      <c r="F818" s="4">
        <v>2</v>
      </c>
      <c r="G818" s="7">
        <v>23.28</v>
      </c>
      <c r="H818" s="4"/>
      <c r="I818" s="7"/>
      <c r="J818" s="7"/>
    </row>
    <row r="819" spans="1:10" hidden="1">
      <c r="A819" s="4" t="s">
        <v>807</v>
      </c>
      <c r="B819" s="4" t="s">
        <v>808</v>
      </c>
      <c r="C819" s="4" t="s">
        <v>2310</v>
      </c>
      <c r="D819" s="4" t="s">
        <v>2316</v>
      </c>
      <c r="E819" s="4" t="s">
        <v>2312</v>
      </c>
      <c r="F819" s="4">
        <v>2</v>
      </c>
      <c r="G819" s="7">
        <v>23.28</v>
      </c>
      <c r="H819" s="4"/>
      <c r="I819" s="7"/>
      <c r="J819" s="7"/>
    </row>
    <row r="820" spans="1:10" hidden="1">
      <c r="A820" s="4" t="s">
        <v>807</v>
      </c>
      <c r="B820" s="4" t="s">
        <v>808</v>
      </c>
      <c r="C820" s="4" t="s">
        <v>2310</v>
      </c>
      <c r="D820" s="4" t="s">
        <v>2317</v>
      </c>
      <c r="E820" s="4" t="s">
        <v>2312</v>
      </c>
      <c r="F820" s="4">
        <v>2</v>
      </c>
      <c r="G820" s="7">
        <v>23.28</v>
      </c>
      <c r="H820" s="4"/>
      <c r="I820" s="7"/>
      <c r="J820" s="7"/>
    </row>
    <row r="821" spans="1:10" hidden="1">
      <c r="A821" s="4" t="s">
        <v>807</v>
      </c>
      <c r="B821" s="4" t="s">
        <v>808</v>
      </c>
      <c r="C821" s="4" t="s">
        <v>2310</v>
      </c>
      <c r="D821" s="4" t="s">
        <v>2318</v>
      </c>
      <c r="E821" s="4" t="s">
        <v>2312</v>
      </c>
      <c r="F821" s="4">
        <v>2</v>
      </c>
      <c r="G821" s="7">
        <v>23.28</v>
      </c>
      <c r="H821" s="4"/>
      <c r="I821" s="7"/>
      <c r="J821" s="7"/>
    </row>
    <row r="822" spans="1:10" hidden="1">
      <c r="A822" s="4" t="s">
        <v>807</v>
      </c>
      <c r="B822" s="4" t="s">
        <v>808</v>
      </c>
      <c r="C822" s="4" t="s">
        <v>2310</v>
      </c>
      <c r="D822" s="4" t="s">
        <v>2319</v>
      </c>
      <c r="E822" s="4" t="s">
        <v>2312</v>
      </c>
      <c r="F822" s="4">
        <v>2</v>
      </c>
      <c r="G822" s="7">
        <v>23.28</v>
      </c>
      <c r="H822" s="4"/>
      <c r="I822" s="7"/>
      <c r="J822" s="7"/>
    </row>
    <row r="823" spans="1:10" hidden="1">
      <c r="A823" s="4" t="s">
        <v>807</v>
      </c>
      <c r="B823" s="4" t="s">
        <v>808</v>
      </c>
      <c r="C823" s="4" t="s">
        <v>2310</v>
      </c>
      <c r="D823" s="4" t="s">
        <v>2320</v>
      </c>
      <c r="E823" s="4" t="s">
        <v>2312</v>
      </c>
      <c r="F823" s="4">
        <v>2</v>
      </c>
      <c r="G823" s="7">
        <v>23.28</v>
      </c>
      <c r="H823" s="4"/>
      <c r="I823" s="7"/>
      <c r="J823" s="7"/>
    </row>
    <row r="824" spans="1:10" hidden="1">
      <c r="A824" s="4" t="s">
        <v>807</v>
      </c>
      <c r="B824" s="4" t="s">
        <v>808</v>
      </c>
      <c r="C824" s="4" t="s">
        <v>2310</v>
      </c>
      <c r="D824" s="4" t="s">
        <v>2321</v>
      </c>
      <c r="E824" s="4" t="s">
        <v>2312</v>
      </c>
      <c r="F824" s="4">
        <v>2</v>
      </c>
      <c r="G824" s="7">
        <v>23.28</v>
      </c>
      <c r="H824" s="4"/>
      <c r="I824" s="7"/>
      <c r="J824" s="7"/>
    </row>
    <row r="825" spans="1:10" hidden="1">
      <c r="A825" s="4" t="s">
        <v>807</v>
      </c>
      <c r="B825" s="4" t="s">
        <v>808</v>
      </c>
      <c r="C825" s="4" t="s">
        <v>2310</v>
      </c>
      <c r="D825" s="4" t="s">
        <v>2322</v>
      </c>
      <c r="E825" s="4" t="s">
        <v>2312</v>
      </c>
      <c r="F825" s="4">
        <v>2</v>
      </c>
      <c r="G825" s="7">
        <v>23.28</v>
      </c>
      <c r="H825" s="4"/>
      <c r="I825" s="7"/>
      <c r="J825" s="7"/>
    </row>
    <row r="826" spans="1:10" hidden="1">
      <c r="A826" s="4" t="s">
        <v>807</v>
      </c>
      <c r="B826" s="4" t="s">
        <v>808</v>
      </c>
      <c r="C826" s="4" t="s">
        <v>2310</v>
      </c>
      <c r="D826" s="4" t="s">
        <v>2323</v>
      </c>
      <c r="E826" s="4" t="s">
        <v>2312</v>
      </c>
      <c r="F826" s="4">
        <v>2</v>
      </c>
      <c r="G826" s="7">
        <v>23.28</v>
      </c>
      <c r="H826" s="4"/>
      <c r="I826" s="7"/>
      <c r="J826" s="7"/>
    </row>
    <row r="827" spans="1:10" hidden="1">
      <c r="A827" s="4" t="s">
        <v>807</v>
      </c>
      <c r="B827" s="4" t="s">
        <v>808</v>
      </c>
      <c r="C827" s="4" t="s">
        <v>2310</v>
      </c>
      <c r="D827" s="4" t="s">
        <v>2324</v>
      </c>
      <c r="E827" s="4" t="s">
        <v>2312</v>
      </c>
      <c r="F827" s="4">
        <v>2</v>
      </c>
      <c r="G827" s="7">
        <v>23.28</v>
      </c>
      <c r="H827" s="4"/>
      <c r="I827" s="7"/>
      <c r="J827" s="7"/>
    </row>
    <row r="828" spans="1:10" hidden="1">
      <c r="A828" s="4" t="s">
        <v>807</v>
      </c>
      <c r="B828" s="4" t="s">
        <v>808</v>
      </c>
      <c r="C828" s="4" t="s">
        <v>2310</v>
      </c>
      <c r="D828" s="4" t="s">
        <v>2325</v>
      </c>
      <c r="E828" s="4" t="s">
        <v>2312</v>
      </c>
      <c r="F828" s="4">
        <v>2</v>
      </c>
      <c r="G828" s="7">
        <v>23.28</v>
      </c>
      <c r="H828" s="4"/>
      <c r="I828" s="7"/>
      <c r="J828" s="7"/>
    </row>
    <row r="829" spans="1:10" hidden="1">
      <c r="A829" s="4" t="s">
        <v>807</v>
      </c>
      <c r="B829" s="4" t="s">
        <v>808</v>
      </c>
      <c r="C829" s="4" t="s">
        <v>2310</v>
      </c>
      <c r="D829" s="4" t="s">
        <v>2326</v>
      </c>
      <c r="E829" s="4" t="s">
        <v>2312</v>
      </c>
      <c r="F829" s="4">
        <v>2</v>
      </c>
      <c r="G829" s="7">
        <v>23.28</v>
      </c>
      <c r="H829" s="4"/>
      <c r="I829" s="7"/>
      <c r="J829" s="7"/>
    </row>
    <row r="830" spans="1:10" hidden="1">
      <c r="A830" s="4" t="s">
        <v>807</v>
      </c>
      <c r="B830" s="4" t="s">
        <v>808</v>
      </c>
      <c r="C830" s="4" t="s">
        <v>2310</v>
      </c>
      <c r="D830" s="4" t="s">
        <v>986</v>
      </c>
      <c r="E830" s="4" t="s">
        <v>2312</v>
      </c>
      <c r="F830" s="4">
        <v>2</v>
      </c>
      <c r="G830" s="7">
        <v>23.28</v>
      </c>
      <c r="H830" s="4"/>
      <c r="I830" s="7"/>
      <c r="J830" s="7"/>
    </row>
    <row r="831" spans="1:10" hidden="1">
      <c r="A831" s="4" t="s">
        <v>807</v>
      </c>
      <c r="B831" s="4" t="s">
        <v>808</v>
      </c>
      <c r="C831" s="4" t="s">
        <v>2310</v>
      </c>
      <c r="D831" s="4" t="s">
        <v>2327</v>
      </c>
      <c r="E831" s="4" t="s">
        <v>2312</v>
      </c>
      <c r="F831" s="4">
        <v>2</v>
      </c>
      <c r="G831" s="7">
        <v>23.28</v>
      </c>
      <c r="H831" s="4"/>
      <c r="I831" s="7"/>
      <c r="J831" s="7"/>
    </row>
    <row r="832" spans="1:10" hidden="1">
      <c r="A832" s="4" t="s">
        <v>807</v>
      </c>
      <c r="B832" s="4" t="s">
        <v>808</v>
      </c>
      <c r="C832" s="4" t="s">
        <v>2310</v>
      </c>
      <c r="D832" s="4" t="s">
        <v>2328</v>
      </c>
      <c r="E832" s="4" t="s">
        <v>2312</v>
      </c>
      <c r="F832" s="4">
        <v>2</v>
      </c>
      <c r="G832" s="7">
        <v>23.28</v>
      </c>
      <c r="H832" s="4"/>
      <c r="I832" s="7"/>
      <c r="J832" s="7"/>
    </row>
    <row r="833" spans="1:10" hidden="1">
      <c r="A833" s="4" t="s">
        <v>807</v>
      </c>
      <c r="B833" s="4" t="s">
        <v>808</v>
      </c>
      <c r="C833" s="4" t="s">
        <v>2329</v>
      </c>
      <c r="D833" s="4" t="s">
        <v>2330</v>
      </c>
      <c r="E833" s="4" t="s">
        <v>2331</v>
      </c>
      <c r="F833" s="4">
        <v>3</v>
      </c>
      <c r="G833" s="7">
        <v>34.92</v>
      </c>
      <c r="H833" s="4"/>
      <c r="I833" s="7"/>
      <c r="J833" s="7"/>
    </row>
    <row r="834" spans="1:10" hidden="1">
      <c r="A834" s="4" t="s">
        <v>807</v>
      </c>
      <c r="B834" s="4" t="s">
        <v>808</v>
      </c>
      <c r="C834" s="4" t="s">
        <v>2329</v>
      </c>
      <c r="D834" s="4" t="s">
        <v>2332</v>
      </c>
      <c r="E834" s="4" t="s">
        <v>2331</v>
      </c>
      <c r="F834" s="4">
        <v>3</v>
      </c>
      <c r="G834" s="7">
        <v>34.92</v>
      </c>
      <c r="H834" s="4"/>
      <c r="I834" s="7"/>
      <c r="J834" s="7"/>
    </row>
    <row r="835" spans="1:10" hidden="1">
      <c r="A835" s="4" t="s">
        <v>807</v>
      </c>
      <c r="B835" s="4" t="s">
        <v>808</v>
      </c>
      <c r="C835" s="4" t="s">
        <v>2329</v>
      </c>
      <c r="D835" s="4" t="s">
        <v>2333</v>
      </c>
      <c r="E835" s="4" t="s">
        <v>2331</v>
      </c>
      <c r="F835" s="4">
        <v>3</v>
      </c>
      <c r="G835" s="7">
        <v>34.92</v>
      </c>
      <c r="H835" s="4"/>
      <c r="I835" s="7"/>
      <c r="J835" s="7"/>
    </row>
    <row r="836" spans="1:10" hidden="1">
      <c r="A836" s="4" t="s">
        <v>807</v>
      </c>
      <c r="B836" s="4" t="s">
        <v>808</v>
      </c>
      <c r="C836" s="4" t="s">
        <v>2329</v>
      </c>
      <c r="D836" s="4" t="s">
        <v>2334</v>
      </c>
      <c r="E836" s="4" t="s">
        <v>2331</v>
      </c>
      <c r="F836" s="4">
        <v>1</v>
      </c>
      <c r="G836" s="7">
        <v>11.64</v>
      </c>
      <c r="H836" s="4"/>
      <c r="I836" s="7"/>
      <c r="J836" s="7"/>
    </row>
    <row r="837" spans="1:10" hidden="1">
      <c r="A837" s="4" t="s">
        <v>807</v>
      </c>
      <c r="B837" s="4" t="s">
        <v>945</v>
      </c>
      <c r="C837" s="4" t="s">
        <v>2335</v>
      </c>
      <c r="D837" s="4" t="s">
        <v>834</v>
      </c>
      <c r="E837" s="4" t="s">
        <v>2336</v>
      </c>
      <c r="F837" s="4">
        <v>1</v>
      </c>
      <c r="G837" s="7">
        <v>11.64</v>
      </c>
      <c r="H837" s="4"/>
      <c r="I837" s="7"/>
      <c r="J837" s="7"/>
    </row>
    <row r="838" spans="1:10" hidden="1">
      <c r="A838" s="4" t="s">
        <v>807</v>
      </c>
      <c r="B838" s="4" t="s">
        <v>945</v>
      </c>
      <c r="C838" s="4" t="s">
        <v>2335</v>
      </c>
      <c r="D838" s="4" t="s">
        <v>836</v>
      </c>
      <c r="E838" s="4" t="s">
        <v>2336</v>
      </c>
      <c r="F838" s="4">
        <v>1</v>
      </c>
      <c r="G838" s="7">
        <v>11.64</v>
      </c>
      <c r="H838" s="4"/>
      <c r="I838" s="7"/>
      <c r="J838" s="7"/>
    </row>
    <row r="839" spans="1:10" hidden="1">
      <c r="A839" s="4" t="s">
        <v>807</v>
      </c>
      <c r="B839" s="4" t="s">
        <v>808</v>
      </c>
      <c r="C839" s="4" t="s">
        <v>2337</v>
      </c>
      <c r="D839" s="4" t="s">
        <v>2338</v>
      </c>
      <c r="E839" s="4" t="s">
        <v>2339</v>
      </c>
      <c r="F839" s="4">
        <v>1</v>
      </c>
      <c r="G839" s="7">
        <v>11.64</v>
      </c>
      <c r="H839" s="4"/>
      <c r="I839" s="7"/>
      <c r="J839" s="7"/>
    </row>
    <row r="840" spans="1:10" hidden="1">
      <c r="A840" s="4" t="s">
        <v>915</v>
      </c>
      <c r="B840" s="4"/>
      <c r="C840" s="4">
        <v>1</v>
      </c>
      <c r="D840" s="4" t="s">
        <v>818</v>
      </c>
      <c r="E840" s="4" t="s">
        <v>2340</v>
      </c>
      <c r="F840" s="4">
        <v>1</v>
      </c>
      <c r="G840" s="7">
        <v>11.64</v>
      </c>
      <c r="H840" s="4"/>
      <c r="I840" s="7"/>
      <c r="J840" s="7"/>
    </row>
    <row r="841" spans="1:10" hidden="1">
      <c r="A841" s="4" t="s">
        <v>915</v>
      </c>
      <c r="B841" s="4"/>
      <c r="C841" s="4">
        <v>6</v>
      </c>
      <c r="D841" s="4" t="s">
        <v>818</v>
      </c>
      <c r="E841" s="4" t="s">
        <v>2341</v>
      </c>
      <c r="F841" s="4">
        <v>3</v>
      </c>
      <c r="G841" s="7">
        <v>34.92</v>
      </c>
      <c r="H841" s="4"/>
      <c r="I841" s="7"/>
      <c r="J841" s="7"/>
    </row>
    <row r="842" spans="1:10" hidden="1">
      <c r="A842" s="4" t="s">
        <v>807</v>
      </c>
      <c r="B842" s="4" t="s">
        <v>962</v>
      </c>
      <c r="C842" s="4" t="s">
        <v>2342</v>
      </c>
      <c r="D842" s="4" t="s">
        <v>2343</v>
      </c>
      <c r="E842" s="4" t="s">
        <v>2344</v>
      </c>
      <c r="F842" s="4">
        <v>1</v>
      </c>
      <c r="G842" s="7">
        <v>11.64</v>
      </c>
      <c r="H842" s="4"/>
      <c r="I842" s="7"/>
      <c r="J842" s="7"/>
    </row>
    <row r="843" spans="1:10" hidden="1">
      <c r="A843" s="4" t="s">
        <v>807</v>
      </c>
      <c r="B843" s="4" t="s">
        <v>825</v>
      </c>
      <c r="C843" s="4">
        <v>150525.1</v>
      </c>
      <c r="D843" s="4" t="s">
        <v>2345</v>
      </c>
      <c r="E843" s="4" t="s">
        <v>2346</v>
      </c>
      <c r="F843" s="4">
        <v>1</v>
      </c>
      <c r="G843" s="7">
        <v>11.64</v>
      </c>
      <c r="H843" s="4"/>
      <c r="I843" s="7"/>
      <c r="J843" s="7"/>
    </row>
    <row r="844" spans="1:10" hidden="1">
      <c r="A844" s="4" t="s">
        <v>807</v>
      </c>
      <c r="B844" s="4" t="s">
        <v>825</v>
      </c>
      <c r="C844" s="4">
        <v>150525.1</v>
      </c>
      <c r="D844" s="4" t="s">
        <v>1043</v>
      </c>
      <c r="E844" s="4" t="s">
        <v>2346</v>
      </c>
      <c r="F844" s="4">
        <v>1</v>
      </c>
      <c r="G844" s="7">
        <v>11.64</v>
      </c>
      <c r="H844" s="4"/>
      <c r="I844" s="7"/>
      <c r="J844" s="7"/>
    </row>
    <row r="845" spans="1:10" hidden="1">
      <c r="A845" s="4" t="s">
        <v>807</v>
      </c>
      <c r="B845" s="4" t="s">
        <v>808</v>
      </c>
      <c r="C845" s="4">
        <v>200325.3</v>
      </c>
      <c r="D845" s="4" t="s">
        <v>818</v>
      </c>
      <c r="E845" s="4" t="s">
        <v>2347</v>
      </c>
      <c r="F845" s="4">
        <v>1</v>
      </c>
      <c r="G845" s="7">
        <v>11.64</v>
      </c>
      <c r="H845" s="4"/>
      <c r="I845" s="7"/>
      <c r="J845" s="7"/>
    </row>
    <row r="846" spans="1:10" hidden="1">
      <c r="A846" s="4" t="s">
        <v>807</v>
      </c>
      <c r="B846" s="4" t="s">
        <v>962</v>
      </c>
      <c r="C846" s="4">
        <v>240125.1</v>
      </c>
      <c r="D846" s="4" t="s">
        <v>2348</v>
      </c>
      <c r="E846" s="4" t="s">
        <v>2349</v>
      </c>
      <c r="F846" s="4">
        <v>1</v>
      </c>
      <c r="G846" s="7">
        <v>11.64</v>
      </c>
      <c r="H846" s="4"/>
      <c r="I846" s="7"/>
      <c r="J846" s="7"/>
    </row>
    <row r="847" spans="1:10" hidden="1">
      <c r="A847" s="4" t="s">
        <v>807</v>
      </c>
      <c r="B847" s="4" t="s">
        <v>962</v>
      </c>
      <c r="C847" s="4">
        <v>240125.1</v>
      </c>
      <c r="D847" s="4" t="s">
        <v>2350</v>
      </c>
      <c r="E847" s="4" t="s">
        <v>2349</v>
      </c>
      <c r="F847" s="4">
        <v>1</v>
      </c>
      <c r="G847" s="7">
        <v>11.64</v>
      </c>
      <c r="H847" s="4"/>
      <c r="I847" s="7"/>
      <c r="J847" s="7"/>
    </row>
    <row r="848" spans="1:10" hidden="1">
      <c r="A848" s="4" t="s">
        <v>807</v>
      </c>
      <c r="B848" s="4" t="s">
        <v>962</v>
      </c>
      <c r="C848" s="4">
        <v>240125.1</v>
      </c>
      <c r="D848" s="4" t="s">
        <v>2351</v>
      </c>
      <c r="E848" s="4" t="s">
        <v>2349</v>
      </c>
      <c r="F848" s="4">
        <v>2</v>
      </c>
      <c r="G848" s="7">
        <v>23.28</v>
      </c>
      <c r="H848" s="4"/>
      <c r="I848" s="7"/>
      <c r="J848" s="7"/>
    </row>
    <row r="849" spans="1:10" hidden="1">
      <c r="A849" s="4" t="s">
        <v>807</v>
      </c>
      <c r="B849" s="4" t="s">
        <v>811</v>
      </c>
      <c r="C849" s="4">
        <v>250225.1</v>
      </c>
      <c r="D849" s="4" t="s">
        <v>818</v>
      </c>
      <c r="E849" s="4" t="s">
        <v>2352</v>
      </c>
      <c r="F849" s="4">
        <v>1</v>
      </c>
      <c r="G849" s="7">
        <v>11.64</v>
      </c>
      <c r="H849" s="4"/>
      <c r="I849" s="7"/>
      <c r="J849" s="7"/>
    </row>
    <row r="850" spans="1:10" hidden="1">
      <c r="A850" s="4" t="s">
        <v>807</v>
      </c>
      <c r="B850" s="4" t="s">
        <v>808</v>
      </c>
      <c r="C850" s="4">
        <v>250225.2</v>
      </c>
      <c r="D850" s="4" t="s">
        <v>818</v>
      </c>
      <c r="E850" s="4" t="s">
        <v>2353</v>
      </c>
      <c r="F850" s="4">
        <v>1</v>
      </c>
      <c r="G850" s="7">
        <v>11.64</v>
      </c>
      <c r="H850" s="4"/>
      <c r="I850" s="7"/>
      <c r="J850" s="7"/>
    </row>
    <row r="851" spans="1:10" hidden="1">
      <c r="A851" s="4" t="s">
        <v>807</v>
      </c>
      <c r="B851" s="4" t="s">
        <v>825</v>
      </c>
      <c r="C851" s="4">
        <v>260225.1</v>
      </c>
      <c r="D851" s="4" t="s">
        <v>951</v>
      </c>
      <c r="E851" s="4" t="s">
        <v>2354</v>
      </c>
      <c r="F851" s="4">
        <v>1</v>
      </c>
      <c r="G851" s="7">
        <v>11.64</v>
      </c>
      <c r="H851" s="4"/>
      <c r="I851" s="7"/>
      <c r="J851" s="7"/>
    </row>
    <row r="852" spans="1:10" hidden="1">
      <c r="A852" s="4" t="s">
        <v>807</v>
      </c>
      <c r="B852" s="4" t="s">
        <v>825</v>
      </c>
      <c r="C852" s="4">
        <v>260225.1</v>
      </c>
      <c r="D852" s="4" t="s">
        <v>953</v>
      </c>
      <c r="E852" s="4" t="s">
        <v>2354</v>
      </c>
      <c r="F852" s="4">
        <v>1</v>
      </c>
      <c r="G852" s="7">
        <v>11.64</v>
      </c>
      <c r="H852" s="4"/>
      <c r="I852" s="7"/>
      <c r="J852" s="7"/>
    </row>
    <row r="853" spans="1:10" hidden="1">
      <c r="A853" s="4" t="s">
        <v>807</v>
      </c>
      <c r="B853" s="4" t="s">
        <v>825</v>
      </c>
      <c r="C853" s="4">
        <v>260225.1</v>
      </c>
      <c r="D853" s="4" t="s">
        <v>2355</v>
      </c>
      <c r="E853" s="4" t="s">
        <v>2354</v>
      </c>
      <c r="F853" s="4">
        <v>2</v>
      </c>
      <c r="G853" s="7">
        <v>23.28</v>
      </c>
      <c r="H853" s="4"/>
      <c r="I853" s="7"/>
      <c r="J853" s="7"/>
    </row>
    <row r="854" spans="1:10" hidden="1">
      <c r="A854" s="4" t="s">
        <v>807</v>
      </c>
      <c r="B854" s="4" t="s">
        <v>811</v>
      </c>
      <c r="C854" s="4">
        <v>280225.09999999998</v>
      </c>
      <c r="D854" s="4" t="s">
        <v>2356</v>
      </c>
      <c r="E854" s="4" t="s">
        <v>2357</v>
      </c>
      <c r="F854" s="4">
        <v>1</v>
      </c>
      <c r="G854" s="7">
        <v>11.64</v>
      </c>
      <c r="H854" s="4"/>
      <c r="I854" s="7"/>
      <c r="J854" s="7"/>
    </row>
    <row r="855" spans="1:10" hidden="1">
      <c r="A855" s="4" t="s">
        <v>915</v>
      </c>
      <c r="B855" s="4"/>
      <c r="C855" s="4">
        <v>54005067</v>
      </c>
      <c r="D855" s="4" t="s">
        <v>1534</v>
      </c>
      <c r="E855" s="4" t="s">
        <v>2358</v>
      </c>
      <c r="F855" s="4">
        <v>3</v>
      </c>
      <c r="G855" s="7">
        <v>34.92</v>
      </c>
      <c r="H855" s="4"/>
      <c r="I855" s="7"/>
      <c r="J855" s="7"/>
    </row>
    <row r="856" spans="1:10" hidden="1">
      <c r="A856" s="4" t="s">
        <v>915</v>
      </c>
      <c r="B856" s="4"/>
      <c r="C856" s="4">
        <v>54005250</v>
      </c>
      <c r="D856" s="4" t="s">
        <v>2359</v>
      </c>
      <c r="E856" s="4" t="s">
        <v>2341</v>
      </c>
      <c r="F856" s="4">
        <v>1</v>
      </c>
      <c r="G856" s="7">
        <v>11.64</v>
      </c>
      <c r="H856" s="4"/>
      <c r="I856" s="7"/>
      <c r="J856" s="7"/>
    </row>
    <row r="857" spans="1:10" hidden="1">
      <c r="A857" s="4" t="s">
        <v>815</v>
      </c>
      <c r="B857" s="4" t="s">
        <v>816</v>
      </c>
      <c r="C857" s="4" t="s">
        <v>2360</v>
      </c>
      <c r="D857" s="4" t="s">
        <v>2361</v>
      </c>
      <c r="E857" s="4" t="s">
        <v>2362</v>
      </c>
      <c r="F857" s="4">
        <v>1</v>
      </c>
      <c r="G857" s="7">
        <v>11.64</v>
      </c>
      <c r="H857" s="4"/>
      <c r="I857" s="7"/>
      <c r="J857" s="7"/>
    </row>
    <row r="858" spans="1:10" hidden="1">
      <c r="A858" s="4" t="s">
        <v>815</v>
      </c>
      <c r="B858" s="4" t="s">
        <v>816</v>
      </c>
      <c r="C858" s="4" t="s">
        <v>2360</v>
      </c>
      <c r="D858" s="4" t="s">
        <v>2363</v>
      </c>
      <c r="E858" s="4" t="s">
        <v>2362</v>
      </c>
      <c r="F858" s="4">
        <v>2</v>
      </c>
      <c r="G858" s="7">
        <v>23.28</v>
      </c>
      <c r="H858" s="4"/>
      <c r="I858" s="7"/>
      <c r="J858" s="7"/>
    </row>
    <row r="859" spans="1:10" hidden="1">
      <c r="A859" s="4" t="s">
        <v>815</v>
      </c>
      <c r="B859" s="4" t="s">
        <v>816</v>
      </c>
      <c r="C859" s="4" t="s">
        <v>2364</v>
      </c>
      <c r="D859" s="4" t="s">
        <v>2365</v>
      </c>
      <c r="E859" s="4" t="s">
        <v>2362</v>
      </c>
      <c r="F859" s="4">
        <v>1</v>
      </c>
      <c r="G859" s="7">
        <v>11.64</v>
      </c>
      <c r="H859" s="4"/>
      <c r="I859" s="7"/>
      <c r="J859" s="7"/>
    </row>
    <row r="860" spans="1:10" hidden="1">
      <c r="A860" s="4" t="s">
        <v>2366</v>
      </c>
      <c r="B860" s="4" t="s">
        <v>2366</v>
      </c>
      <c r="C860" s="4" t="s">
        <v>2367</v>
      </c>
      <c r="D860" s="4" t="s">
        <v>2368</v>
      </c>
      <c r="E860" s="4" t="s">
        <v>2369</v>
      </c>
      <c r="F860" s="4">
        <v>1</v>
      </c>
      <c r="G860" s="7">
        <v>11.64</v>
      </c>
      <c r="H860" s="4"/>
      <c r="I860" s="7"/>
      <c r="J860" s="7"/>
    </row>
    <row r="861" spans="1:10" hidden="1">
      <c r="A861" s="4" t="s">
        <v>2366</v>
      </c>
      <c r="B861" s="4" t="s">
        <v>2366</v>
      </c>
      <c r="C861" s="4" t="s">
        <v>2367</v>
      </c>
      <c r="D861" s="4" t="s">
        <v>2370</v>
      </c>
      <c r="E861" s="4" t="s">
        <v>2369</v>
      </c>
      <c r="F861" s="4">
        <v>1</v>
      </c>
      <c r="G861" s="7">
        <v>11.64</v>
      </c>
      <c r="H861" s="4"/>
      <c r="I861" s="7"/>
      <c r="J861" s="7"/>
    </row>
    <row r="862" spans="1:10" hidden="1">
      <c r="A862" s="4" t="s">
        <v>807</v>
      </c>
      <c r="B862" s="4" t="s">
        <v>937</v>
      </c>
      <c r="C862" s="4" t="s">
        <v>2371</v>
      </c>
      <c r="D862" s="4" t="s">
        <v>1538</v>
      </c>
      <c r="E862" s="4" t="s">
        <v>2372</v>
      </c>
      <c r="F862" s="4">
        <v>15</v>
      </c>
      <c r="G862" s="7">
        <v>174.6</v>
      </c>
      <c r="H862" s="4"/>
      <c r="I862" s="7"/>
      <c r="J862" s="7"/>
    </row>
    <row r="863" spans="1:10" hidden="1">
      <c r="A863" s="4" t="s">
        <v>807</v>
      </c>
      <c r="B863" s="4" t="s">
        <v>937</v>
      </c>
      <c r="C863" s="4" t="s">
        <v>2371</v>
      </c>
      <c r="D863" s="4" t="s">
        <v>2373</v>
      </c>
      <c r="E863" s="4" t="s">
        <v>2372</v>
      </c>
      <c r="F863" s="4">
        <v>1</v>
      </c>
      <c r="G863" s="7">
        <v>11.64</v>
      </c>
      <c r="H863" s="4"/>
      <c r="I863" s="7"/>
      <c r="J863" s="7"/>
    </row>
    <row r="864" spans="1:10" hidden="1">
      <c r="A864" s="4" t="s">
        <v>807</v>
      </c>
      <c r="B864" s="4" t="s">
        <v>811</v>
      </c>
      <c r="C864" s="4" t="s">
        <v>2374</v>
      </c>
      <c r="D864" s="4" t="s">
        <v>2375</v>
      </c>
      <c r="E864" s="4" t="s">
        <v>2376</v>
      </c>
      <c r="F864" s="4">
        <v>1</v>
      </c>
      <c r="G864" s="7">
        <v>11.64</v>
      </c>
      <c r="H864" s="4"/>
      <c r="I864" s="7"/>
      <c r="J864" s="7"/>
    </row>
    <row r="865" spans="1:10" hidden="1">
      <c r="A865" s="4" t="s">
        <v>807</v>
      </c>
      <c r="B865" s="4" t="s">
        <v>811</v>
      </c>
      <c r="C865" s="4" t="s">
        <v>2377</v>
      </c>
      <c r="D865" s="4" t="s">
        <v>2378</v>
      </c>
      <c r="E865" s="4" t="s">
        <v>2379</v>
      </c>
      <c r="F865" s="4">
        <v>1</v>
      </c>
      <c r="G865" s="7">
        <v>11.64</v>
      </c>
      <c r="H865" s="4"/>
      <c r="I865" s="7"/>
      <c r="J865" s="7"/>
    </row>
    <row r="866" spans="1:10" hidden="1">
      <c r="A866" s="4" t="s">
        <v>807</v>
      </c>
      <c r="B866" s="4" t="s">
        <v>811</v>
      </c>
      <c r="C866" s="4" t="s">
        <v>2377</v>
      </c>
      <c r="D866" s="4" t="s">
        <v>2380</v>
      </c>
      <c r="E866" s="4" t="s">
        <v>2379</v>
      </c>
      <c r="F866" s="4">
        <v>1</v>
      </c>
      <c r="G866" s="7">
        <v>11.64</v>
      </c>
      <c r="H866" s="4"/>
      <c r="I866" s="7"/>
      <c r="J866" s="7"/>
    </row>
    <row r="867" spans="1:10" hidden="1">
      <c r="A867" s="4" t="s">
        <v>807</v>
      </c>
      <c r="B867" s="4" t="s">
        <v>811</v>
      </c>
      <c r="C867" s="4" t="s">
        <v>2377</v>
      </c>
      <c r="D867" s="4" t="s">
        <v>2381</v>
      </c>
      <c r="E867" s="4" t="s">
        <v>2379</v>
      </c>
      <c r="F867" s="4">
        <v>1</v>
      </c>
      <c r="G867" s="7">
        <v>11.64</v>
      </c>
      <c r="H867" s="4"/>
      <c r="I867" s="7"/>
      <c r="J867" s="7"/>
    </row>
    <row r="868" spans="1:10" hidden="1">
      <c r="A868" s="4" t="s">
        <v>807</v>
      </c>
      <c r="B868" s="4" t="s">
        <v>811</v>
      </c>
      <c r="C868" s="4" t="s">
        <v>2382</v>
      </c>
      <c r="D868" s="4" t="s">
        <v>1538</v>
      </c>
      <c r="E868" s="4" t="s">
        <v>2383</v>
      </c>
      <c r="F868" s="4">
        <v>15</v>
      </c>
      <c r="G868" s="7">
        <v>174.6</v>
      </c>
      <c r="H868" s="4"/>
      <c r="I868" s="7"/>
      <c r="J868" s="7"/>
    </row>
    <row r="869" spans="1:10" hidden="1">
      <c r="A869" s="4" t="s">
        <v>807</v>
      </c>
      <c r="B869" s="4" t="s">
        <v>825</v>
      </c>
      <c r="C869" s="4" t="s">
        <v>2384</v>
      </c>
      <c r="D869" s="4" t="s">
        <v>1532</v>
      </c>
      <c r="E869" s="4" t="s">
        <v>2385</v>
      </c>
      <c r="F869" s="4">
        <v>5</v>
      </c>
      <c r="G869" s="7">
        <v>58.2</v>
      </c>
      <c r="H869" s="4"/>
      <c r="I869" s="7"/>
      <c r="J869" s="7"/>
    </row>
    <row r="870" spans="1:10" hidden="1">
      <c r="A870" s="4" t="s">
        <v>807</v>
      </c>
      <c r="B870" s="4" t="s">
        <v>811</v>
      </c>
      <c r="C870" s="4" t="s">
        <v>2386</v>
      </c>
      <c r="D870" s="4" t="s">
        <v>2387</v>
      </c>
      <c r="E870" s="4" t="s">
        <v>2388</v>
      </c>
      <c r="F870" s="4">
        <v>1</v>
      </c>
      <c r="G870" s="7">
        <v>11.64</v>
      </c>
      <c r="H870" s="4"/>
      <c r="I870" s="7"/>
      <c r="J870" s="7"/>
    </row>
    <row r="871" spans="1:10" hidden="1">
      <c r="A871" s="4" t="s">
        <v>807</v>
      </c>
      <c r="B871" s="4" t="s">
        <v>811</v>
      </c>
      <c r="C871" s="4" t="s">
        <v>2386</v>
      </c>
      <c r="D871" s="4" t="s">
        <v>2389</v>
      </c>
      <c r="E871" s="4" t="s">
        <v>2388</v>
      </c>
      <c r="F871" s="4">
        <v>11</v>
      </c>
      <c r="G871" s="7">
        <v>128.04</v>
      </c>
      <c r="H871" s="4"/>
      <c r="I871" s="7"/>
      <c r="J871" s="7"/>
    </row>
    <row r="872" spans="1:10" hidden="1">
      <c r="A872" s="4" t="s">
        <v>807</v>
      </c>
      <c r="B872" s="4" t="s">
        <v>808</v>
      </c>
      <c r="C872" s="4" t="s">
        <v>2278</v>
      </c>
      <c r="D872" s="4" t="s">
        <v>2390</v>
      </c>
      <c r="E872" s="4" t="s">
        <v>2280</v>
      </c>
      <c r="F872" s="4">
        <v>2</v>
      </c>
      <c r="G872" s="7">
        <v>23.28</v>
      </c>
      <c r="H872" s="4"/>
      <c r="I872" s="7"/>
      <c r="J872" s="7"/>
    </row>
    <row r="873" spans="1:10" hidden="1">
      <c r="A873" s="4" t="s">
        <v>807</v>
      </c>
      <c r="B873" s="4" t="s">
        <v>808</v>
      </c>
      <c r="C873" s="4" t="s">
        <v>2391</v>
      </c>
      <c r="D873" s="4" t="s">
        <v>818</v>
      </c>
      <c r="E873" s="4" t="s">
        <v>2392</v>
      </c>
      <c r="F873" s="4">
        <v>1</v>
      </c>
      <c r="G873" s="7">
        <v>11.64</v>
      </c>
      <c r="H873" s="4"/>
      <c r="I873" s="7"/>
      <c r="J873" s="7"/>
    </row>
    <row r="874" spans="1:10" hidden="1">
      <c r="A874" s="4" t="s">
        <v>807</v>
      </c>
      <c r="B874" s="4" t="s">
        <v>808</v>
      </c>
      <c r="C874" s="4" t="s">
        <v>2393</v>
      </c>
      <c r="D874" s="4" t="s">
        <v>2394</v>
      </c>
      <c r="E874" s="4" t="s">
        <v>2395</v>
      </c>
      <c r="F874" s="4">
        <v>3</v>
      </c>
      <c r="G874" s="7">
        <v>34.92</v>
      </c>
      <c r="H874" s="4"/>
      <c r="I874" s="7"/>
      <c r="J874" s="7"/>
    </row>
    <row r="875" spans="1:10" hidden="1">
      <c r="A875" s="4" t="s">
        <v>807</v>
      </c>
      <c r="B875" s="4" t="s">
        <v>808</v>
      </c>
      <c r="C875" s="4" t="s">
        <v>2393</v>
      </c>
      <c r="D875" s="4" t="s">
        <v>2396</v>
      </c>
      <c r="E875" s="4" t="s">
        <v>2395</v>
      </c>
      <c r="F875" s="4">
        <v>4</v>
      </c>
      <c r="G875" s="7">
        <v>46.56</v>
      </c>
      <c r="H875" s="4"/>
      <c r="I875" s="7"/>
      <c r="J875" s="7"/>
    </row>
    <row r="876" spans="1:10" hidden="1">
      <c r="A876" s="4" t="s">
        <v>807</v>
      </c>
      <c r="B876" s="4" t="s">
        <v>808</v>
      </c>
      <c r="C876" s="4" t="s">
        <v>2397</v>
      </c>
      <c r="D876" s="4" t="s">
        <v>2398</v>
      </c>
      <c r="E876" s="4" t="s">
        <v>2392</v>
      </c>
      <c r="F876" s="4">
        <v>1</v>
      </c>
      <c r="G876" s="7">
        <v>11.64</v>
      </c>
      <c r="H876" s="4"/>
      <c r="I876" s="7"/>
      <c r="J876" s="7"/>
    </row>
    <row r="877" spans="1:10" hidden="1">
      <c r="A877" s="4" t="s">
        <v>807</v>
      </c>
      <c r="B877" s="4" t="s">
        <v>808</v>
      </c>
      <c r="C877" s="4" t="s">
        <v>2399</v>
      </c>
      <c r="D877" s="4" t="s">
        <v>2400</v>
      </c>
      <c r="E877" s="4" t="s">
        <v>2401</v>
      </c>
      <c r="F877" s="4">
        <v>1</v>
      </c>
      <c r="G877" s="7">
        <v>11.64</v>
      </c>
      <c r="H877" s="4"/>
      <c r="I877" s="7"/>
      <c r="J877" s="7"/>
    </row>
    <row r="878" spans="1:10" hidden="1">
      <c r="A878" s="4" t="s">
        <v>807</v>
      </c>
      <c r="B878" s="4" t="s">
        <v>945</v>
      </c>
      <c r="C878" s="4" t="s">
        <v>2402</v>
      </c>
      <c r="D878" s="4" t="s">
        <v>2403</v>
      </c>
      <c r="E878" s="4" t="s">
        <v>2404</v>
      </c>
      <c r="F878" s="4">
        <v>3</v>
      </c>
      <c r="G878" s="7">
        <v>34.92</v>
      </c>
      <c r="H878" s="4"/>
      <c r="I878" s="7"/>
      <c r="J878" s="7"/>
    </row>
    <row r="879" spans="1:10" hidden="1">
      <c r="A879" s="4" t="s">
        <v>807</v>
      </c>
      <c r="B879" s="4" t="s">
        <v>945</v>
      </c>
      <c r="C879" s="4" t="s">
        <v>2402</v>
      </c>
      <c r="D879" s="4" t="s">
        <v>2405</v>
      </c>
      <c r="E879" s="4" t="s">
        <v>2404</v>
      </c>
      <c r="F879" s="4">
        <v>1</v>
      </c>
      <c r="G879" s="7">
        <v>11.64</v>
      </c>
      <c r="H879" s="4"/>
      <c r="I879" s="7"/>
      <c r="J879" s="7"/>
    </row>
    <row r="880" spans="1:10" hidden="1">
      <c r="A880" s="4" t="s">
        <v>807</v>
      </c>
      <c r="B880" s="4" t="s">
        <v>945</v>
      </c>
      <c r="C880" s="4" t="s">
        <v>2402</v>
      </c>
      <c r="D880" s="4" t="s">
        <v>2406</v>
      </c>
      <c r="E880" s="4" t="s">
        <v>2404</v>
      </c>
      <c r="F880" s="4">
        <v>3</v>
      </c>
      <c r="G880" s="7">
        <v>34.92</v>
      </c>
      <c r="H880" s="4"/>
      <c r="I880" s="7"/>
      <c r="J880" s="7"/>
    </row>
    <row r="881" spans="1:10" hidden="1">
      <c r="A881" s="4" t="s">
        <v>807</v>
      </c>
      <c r="B881" s="4" t="s">
        <v>945</v>
      </c>
      <c r="C881" s="4" t="s">
        <v>2402</v>
      </c>
      <c r="D881" s="4" t="s">
        <v>2407</v>
      </c>
      <c r="E881" s="4" t="s">
        <v>2404</v>
      </c>
      <c r="F881" s="4">
        <v>2</v>
      </c>
      <c r="G881" s="7">
        <v>23.28</v>
      </c>
      <c r="H881" s="4"/>
      <c r="I881" s="7"/>
      <c r="J881" s="7"/>
    </row>
    <row r="882" spans="1:10" hidden="1">
      <c r="A882" s="4" t="s">
        <v>807</v>
      </c>
      <c r="B882" s="4" t="s">
        <v>945</v>
      </c>
      <c r="C882" s="4" t="s">
        <v>2402</v>
      </c>
      <c r="D882" s="4" t="s">
        <v>2408</v>
      </c>
      <c r="E882" s="4" t="s">
        <v>2404</v>
      </c>
      <c r="F882" s="4">
        <v>3</v>
      </c>
      <c r="G882" s="7">
        <v>34.92</v>
      </c>
      <c r="H882" s="4"/>
      <c r="I882" s="7"/>
      <c r="J882" s="7"/>
    </row>
    <row r="883" spans="1:10" hidden="1">
      <c r="A883" s="4" t="s">
        <v>807</v>
      </c>
      <c r="B883" s="4" t="s">
        <v>945</v>
      </c>
      <c r="C883" s="4" t="s">
        <v>2402</v>
      </c>
      <c r="D883" s="4" t="s">
        <v>2375</v>
      </c>
      <c r="E883" s="4" t="s">
        <v>2404</v>
      </c>
      <c r="F883" s="4">
        <v>3</v>
      </c>
      <c r="G883" s="7">
        <v>34.92</v>
      </c>
      <c r="H883" s="4"/>
      <c r="I883" s="7"/>
      <c r="J883" s="7"/>
    </row>
    <row r="884" spans="1:10" hidden="1">
      <c r="A884" s="4" t="s">
        <v>807</v>
      </c>
      <c r="B884" s="4" t="s">
        <v>811</v>
      </c>
      <c r="C884" s="4" t="s">
        <v>2409</v>
      </c>
      <c r="D884" s="4" t="s">
        <v>2410</v>
      </c>
      <c r="E884" s="4" t="s">
        <v>2404</v>
      </c>
      <c r="F884" s="4">
        <v>2</v>
      </c>
      <c r="G884" s="7">
        <v>23.28</v>
      </c>
      <c r="H884" s="4"/>
      <c r="I884" s="7"/>
      <c r="J884" s="7"/>
    </row>
    <row r="885" spans="1:10" hidden="1">
      <c r="A885" s="4" t="s">
        <v>807</v>
      </c>
      <c r="B885" s="4" t="s">
        <v>811</v>
      </c>
      <c r="C885" s="4" t="s">
        <v>2409</v>
      </c>
      <c r="D885" s="4" t="s">
        <v>2411</v>
      </c>
      <c r="E885" s="4" t="s">
        <v>2404</v>
      </c>
      <c r="F885" s="4">
        <v>2</v>
      </c>
      <c r="G885" s="7">
        <v>23.28</v>
      </c>
      <c r="H885" s="4"/>
      <c r="I885" s="7"/>
      <c r="J885" s="7"/>
    </row>
    <row r="886" spans="1:10" hidden="1">
      <c r="A886" s="4" t="s">
        <v>807</v>
      </c>
      <c r="B886" s="4" t="s">
        <v>811</v>
      </c>
      <c r="C886" s="4" t="s">
        <v>2412</v>
      </c>
      <c r="D886" s="4" t="s">
        <v>2413</v>
      </c>
      <c r="E886" s="4" t="s">
        <v>2414</v>
      </c>
      <c r="F886" s="4">
        <v>1</v>
      </c>
      <c r="G886" s="7">
        <v>11.64</v>
      </c>
      <c r="H886" s="4"/>
      <c r="I886" s="7"/>
      <c r="J886" s="7"/>
    </row>
    <row r="887" spans="1:10" hidden="1">
      <c r="A887" s="4" t="s">
        <v>807</v>
      </c>
      <c r="B887" s="4" t="s">
        <v>825</v>
      </c>
      <c r="C887" s="4" t="s">
        <v>2415</v>
      </c>
      <c r="D887" s="4" t="s">
        <v>1532</v>
      </c>
      <c r="E887" s="4" t="s">
        <v>2416</v>
      </c>
      <c r="F887" s="4">
        <v>3</v>
      </c>
      <c r="G887" s="7">
        <v>34.92</v>
      </c>
      <c r="H887" s="4"/>
      <c r="I887" s="7"/>
      <c r="J887" s="7"/>
    </row>
    <row r="888" spans="1:10" hidden="1">
      <c r="A888" s="4" t="s">
        <v>807</v>
      </c>
      <c r="B888" s="4" t="s">
        <v>811</v>
      </c>
      <c r="C888" s="4" t="s">
        <v>2417</v>
      </c>
      <c r="D888" s="4" t="s">
        <v>2418</v>
      </c>
      <c r="E888" s="4" t="s">
        <v>2419</v>
      </c>
      <c r="F888" s="4">
        <v>1</v>
      </c>
      <c r="G888" s="7">
        <v>11.64</v>
      </c>
      <c r="H888" s="4"/>
      <c r="I888" s="7"/>
      <c r="J888" s="7"/>
    </row>
    <row r="889" spans="1:10" hidden="1">
      <c r="A889" s="4" t="s">
        <v>807</v>
      </c>
      <c r="B889" s="4" t="s">
        <v>811</v>
      </c>
      <c r="C889" s="4" t="s">
        <v>2420</v>
      </c>
      <c r="D889" s="4" t="s">
        <v>2421</v>
      </c>
      <c r="E889" s="4" t="s">
        <v>2422</v>
      </c>
      <c r="F889" s="4">
        <v>3</v>
      </c>
      <c r="G889" s="7">
        <v>34.92</v>
      </c>
      <c r="H889" s="4"/>
      <c r="I889" s="7"/>
      <c r="J889" s="7"/>
    </row>
    <row r="890" spans="1:10" hidden="1">
      <c r="A890" s="4" t="s">
        <v>807</v>
      </c>
      <c r="B890" s="4" t="s">
        <v>811</v>
      </c>
      <c r="C890" s="4" t="s">
        <v>2420</v>
      </c>
      <c r="D890" s="4" t="s">
        <v>2423</v>
      </c>
      <c r="E890" s="4" t="s">
        <v>2422</v>
      </c>
      <c r="F890" s="4">
        <v>3</v>
      </c>
      <c r="G890" s="7">
        <v>34.92</v>
      </c>
      <c r="H890" s="4"/>
      <c r="I890" s="7"/>
      <c r="J890" s="7"/>
    </row>
    <row r="891" spans="1:10" hidden="1">
      <c r="A891" s="4" t="s">
        <v>807</v>
      </c>
      <c r="B891" s="4" t="s">
        <v>811</v>
      </c>
      <c r="C891" s="4" t="s">
        <v>2420</v>
      </c>
      <c r="D891" s="4" t="s">
        <v>2424</v>
      </c>
      <c r="E891" s="4" t="s">
        <v>2422</v>
      </c>
      <c r="F891" s="4">
        <v>3</v>
      </c>
      <c r="G891" s="7">
        <v>34.92</v>
      </c>
      <c r="H891" s="4"/>
      <c r="I891" s="7"/>
      <c r="J891" s="7"/>
    </row>
    <row r="892" spans="1:10" hidden="1">
      <c r="A892" s="4" t="s">
        <v>807</v>
      </c>
      <c r="B892" s="4" t="s">
        <v>811</v>
      </c>
      <c r="C892" s="4" t="s">
        <v>2420</v>
      </c>
      <c r="D892" s="4" t="s">
        <v>2425</v>
      </c>
      <c r="E892" s="4" t="s">
        <v>2422</v>
      </c>
      <c r="F892" s="4">
        <v>3</v>
      </c>
      <c r="G892" s="7">
        <v>34.92</v>
      </c>
      <c r="H892" s="4"/>
      <c r="I892" s="7"/>
      <c r="J892" s="7"/>
    </row>
    <row r="893" spans="1:10" hidden="1">
      <c r="A893" s="4" t="s">
        <v>807</v>
      </c>
      <c r="B893" s="4" t="s">
        <v>811</v>
      </c>
      <c r="C893" s="4" t="s">
        <v>2420</v>
      </c>
      <c r="D893" s="4" t="s">
        <v>2426</v>
      </c>
      <c r="E893" s="4" t="s">
        <v>2422</v>
      </c>
      <c r="F893" s="4">
        <v>3</v>
      </c>
      <c r="G893" s="7">
        <v>34.92</v>
      </c>
      <c r="H893" s="4"/>
      <c r="I893" s="7"/>
      <c r="J893" s="7"/>
    </row>
    <row r="894" spans="1:10" hidden="1">
      <c r="A894" s="4" t="s">
        <v>807</v>
      </c>
      <c r="B894" s="4" t="s">
        <v>811</v>
      </c>
      <c r="C894" s="4" t="s">
        <v>2420</v>
      </c>
      <c r="D894" s="4" t="s">
        <v>2427</v>
      </c>
      <c r="E894" s="4" t="s">
        <v>2422</v>
      </c>
      <c r="F894" s="4">
        <v>3</v>
      </c>
      <c r="G894" s="7">
        <v>34.92</v>
      </c>
      <c r="H894" s="4"/>
      <c r="I894" s="7"/>
      <c r="J894" s="7"/>
    </row>
    <row r="895" spans="1:10" hidden="1">
      <c r="A895" s="4" t="s">
        <v>807</v>
      </c>
      <c r="B895" s="4" t="s">
        <v>811</v>
      </c>
      <c r="C895" s="4" t="s">
        <v>2420</v>
      </c>
      <c r="D895" s="4" t="s">
        <v>2428</v>
      </c>
      <c r="E895" s="4" t="s">
        <v>2422</v>
      </c>
      <c r="F895" s="4">
        <v>2</v>
      </c>
      <c r="G895" s="7">
        <v>23.28</v>
      </c>
      <c r="H895" s="4"/>
      <c r="I895" s="7"/>
      <c r="J895" s="7"/>
    </row>
    <row r="896" spans="1:10" hidden="1">
      <c r="A896" s="4" t="s">
        <v>807</v>
      </c>
      <c r="B896" s="4" t="s">
        <v>811</v>
      </c>
      <c r="C896" s="4" t="s">
        <v>2420</v>
      </c>
      <c r="D896" s="4" t="s">
        <v>2429</v>
      </c>
      <c r="E896" s="4" t="s">
        <v>2422</v>
      </c>
      <c r="F896" s="4">
        <v>1</v>
      </c>
      <c r="G896" s="7">
        <v>11.64</v>
      </c>
      <c r="H896" s="4"/>
      <c r="I896" s="7"/>
      <c r="J896" s="7"/>
    </row>
    <row r="897" spans="1:10" hidden="1">
      <c r="A897" s="4" t="s">
        <v>807</v>
      </c>
      <c r="B897" s="4" t="s">
        <v>811</v>
      </c>
      <c r="C897" s="4" t="s">
        <v>2430</v>
      </c>
      <c r="D897" s="4" t="s">
        <v>2431</v>
      </c>
      <c r="E897" s="4" t="s">
        <v>2432</v>
      </c>
      <c r="F897" s="4">
        <v>1</v>
      </c>
      <c r="G897" s="7">
        <v>11.64</v>
      </c>
      <c r="H897" s="4"/>
      <c r="I897" s="7"/>
      <c r="J897" s="7"/>
    </row>
    <row r="898" spans="1:10" hidden="1">
      <c r="A898" s="4" t="s">
        <v>807</v>
      </c>
      <c r="B898" s="4" t="s">
        <v>811</v>
      </c>
      <c r="C898" s="4" t="s">
        <v>2430</v>
      </c>
      <c r="D898" s="4" t="s">
        <v>2433</v>
      </c>
      <c r="E898" s="4" t="s">
        <v>2432</v>
      </c>
      <c r="F898" s="4">
        <v>3</v>
      </c>
      <c r="G898" s="7">
        <v>34.92</v>
      </c>
      <c r="H898" s="4"/>
      <c r="I898" s="7"/>
      <c r="J898" s="7"/>
    </row>
    <row r="899" spans="1:10" hidden="1">
      <c r="A899" s="4" t="s">
        <v>807</v>
      </c>
      <c r="B899" s="4" t="s">
        <v>811</v>
      </c>
      <c r="C899" s="4" t="s">
        <v>2430</v>
      </c>
      <c r="D899" s="4" t="s">
        <v>2434</v>
      </c>
      <c r="E899" s="4" t="s">
        <v>2432</v>
      </c>
      <c r="F899" s="4">
        <v>3</v>
      </c>
      <c r="G899" s="7">
        <v>34.92</v>
      </c>
      <c r="H899" s="4"/>
      <c r="I899" s="7"/>
      <c r="J899" s="7"/>
    </row>
    <row r="900" spans="1:10" hidden="1">
      <c r="A900" s="4" t="s">
        <v>807</v>
      </c>
      <c r="B900" s="4" t="s">
        <v>811</v>
      </c>
      <c r="C900" s="4" t="s">
        <v>2430</v>
      </c>
      <c r="D900" s="4" t="s">
        <v>2279</v>
      </c>
      <c r="E900" s="4" t="s">
        <v>2432</v>
      </c>
      <c r="F900" s="4">
        <v>3</v>
      </c>
      <c r="G900" s="7">
        <v>34.92</v>
      </c>
      <c r="H900" s="4"/>
      <c r="I900" s="7"/>
      <c r="J900" s="7"/>
    </row>
    <row r="901" spans="1:10" hidden="1">
      <c r="A901" s="4" t="s">
        <v>807</v>
      </c>
      <c r="B901" s="4" t="s">
        <v>811</v>
      </c>
      <c r="C901" s="4" t="s">
        <v>2435</v>
      </c>
      <c r="D901" s="4" t="s">
        <v>2436</v>
      </c>
      <c r="E901" s="4" t="s">
        <v>2437</v>
      </c>
      <c r="F901" s="4">
        <v>1</v>
      </c>
      <c r="G901" s="7">
        <v>11.64</v>
      </c>
      <c r="H901" s="4"/>
      <c r="I901" s="7"/>
      <c r="J901" s="7"/>
    </row>
    <row r="902" spans="1:10" hidden="1">
      <c r="A902" s="4" t="s">
        <v>807</v>
      </c>
      <c r="B902" s="4" t="s">
        <v>811</v>
      </c>
      <c r="C902" s="4" t="s">
        <v>2438</v>
      </c>
      <c r="D902" s="4" t="s">
        <v>1534</v>
      </c>
      <c r="E902" s="4" t="s">
        <v>2439</v>
      </c>
      <c r="F902" s="4">
        <v>1</v>
      </c>
      <c r="G902" s="7">
        <v>11.64</v>
      </c>
      <c r="H902" s="4"/>
      <c r="I902" s="7"/>
      <c r="J902" s="7"/>
    </row>
    <row r="903" spans="1:10" hidden="1">
      <c r="A903" s="4" t="s">
        <v>807</v>
      </c>
      <c r="B903" s="4" t="s">
        <v>808</v>
      </c>
      <c r="C903" s="4" t="s">
        <v>2440</v>
      </c>
      <c r="D903" s="4" t="s">
        <v>1534</v>
      </c>
      <c r="E903" s="4" t="s">
        <v>2441</v>
      </c>
      <c r="F903" s="4">
        <v>1</v>
      </c>
      <c r="G903" s="7">
        <v>11.64</v>
      </c>
      <c r="H903" s="4"/>
      <c r="I903" s="7"/>
      <c r="J903" s="7"/>
    </row>
    <row r="904" spans="1:10" hidden="1">
      <c r="A904" s="4" t="s">
        <v>807</v>
      </c>
      <c r="B904" s="4" t="s">
        <v>825</v>
      </c>
      <c r="C904" s="4" t="s">
        <v>2442</v>
      </c>
      <c r="D904" s="4" t="s">
        <v>1534</v>
      </c>
      <c r="E904" s="4" t="s">
        <v>2443</v>
      </c>
      <c r="F904" s="4">
        <v>1</v>
      </c>
      <c r="G904" s="7">
        <v>11.64</v>
      </c>
      <c r="H904" s="4"/>
      <c r="I904" s="7"/>
      <c r="J904" s="7"/>
    </row>
    <row r="905" spans="1:10" hidden="1">
      <c r="A905" s="4" t="s">
        <v>807</v>
      </c>
      <c r="B905" s="4" t="s">
        <v>808</v>
      </c>
      <c r="C905" s="4" t="s">
        <v>2444</v>
      </c>
      <c r="D905" s="4" t="s">
        <v>2445</v>
      </c>
      <c r="E905" s="4" t="s">
        <v>2446</v>
      </c>
      <c r="F905" s="4">
        <v>1</v>
      </c>
      <c r="G905" s="7">
        <v>11.64</v>
      </c>
      <c r="H905" s="4"/>
      <c r="I905" s="7"/>
      <c r="J905" s="7"/>
    </row>
    <row r="906" spans="1:10" hidden="1">
      <c r="A906" s="4" t="s">
        <v>807</v>
      </c>
      <c r="B906" s="4" t="s">
        <v>811</v>
      </c>
      <c r="C906" s="4" t="s">
        <v>2447</v>
      </c>
      <c r="D906" s="4" t="s">
        <v>2445</v>
      </c>
      <c r="E906" s="4" t="s">
        <v>2448</v>
      </c>
      <c r="F906" s="4">
        <v>1</v>
      </c>
      <c r="G906" s="7">
        <v>11.64</v>
      </c>
      <c r="H906" s="4"/>
      <c r="I906" s="7"/>
      <c r="J906" s="7"/>
    </row>
    <row r="907" spans="1:10" hidden="1">
      <c r="A907" s="4" t="s">
        <v>807</v>
      </c>
      <c r="B907" s="4" t="s">
        <v>811</v>
      </c>
      <c r="C907" s="4" t="s">
        <v>2449</v>
      </c>
      <c r="D907" s="4" t="s">
        <v>818</v>
      </c>
      <c r="E907" s="4" t="s">
        <v>2450</v>
      </c>
      <c r="F907" s="4">
        <v>1</v>
      </c>
      <c r="G907" s="7">
        <v>11.64</v>
      </c>
      <c r="H907" s="4"/>
      <c r="I907" s="7"/>
      <c r="J907" s="7"/>
    </row>
    <row r="908" spans="1:10" hidden="1">
      <c r="A908" s="4" t="s">
        <v>807</v>
      </c>
      <c r="B908" s="4" t="s">
        <v>808</v>
      </c>
      <c r="C908" s="4" t="s">
        <v>2451</v>
      </c>
      <c r="D908" s="4" t="s">
        <v>818</v>
      </c>
      <c r="E908" s="4" t="s">
        <v>2347</v>
      </c>
      <c r="F908" s="4">
        <v>1</v>
      </c>
      <c r="G908" s="7">
        <v>11.64</v>
      </c>
      <c r="H908" s="4"/>
      <c r="I908" s="7"/>
      <c r="J908" s="7"/>
    </row>
    <row r="909" spans="1:10" hidden="1">
      <c r="A909" s="4" t="s">
        <v>807</v>
      </c>
      <c r="B909" s="4" t="s">
        <v>811</v>
      </c>
      <c r="C909" s="4" t="s">
        <v>2452</v>
      </c>
      <c r="D909" s="4" t="s">
        <v>2453</v>
      </c>
      <c r="E909" s="4" t="s">
        <v>2454</v>
      </c>
      <c r="F909" s="4">
        <v>1</v>
      </c>
      <c r="G909" s="7">
        <v>11.64</v>
      </c>
      <c r="H909" s="4"/>
      <c r="I909" s="7"/>
      <c r="J909" s="7"/>
    </row>
    <row r="910" spans="1:10" hidden="1">
      <c r="A910" s="4" t="s">
        <v>807</v>
      </c>
      <c r="B910" s="4" t="s">
        <v>811</v>
      </c>
      <c r="C910" s="4" t="s">
        <v>2455</v>
      </c>
      <c r="D910" s="4" t="s">
        <v>2456</v>
      </c>
      <c r="E910" s="4" t="s">
        <v>2457</v>
      </c>
      <c r="F910" s="4">
        <v>1</v>
      </c>
      <c r="G910" s="7">
        <v>11.64</v>
      </c>
      <c r="H910" s="4"/>
      <c r="I910" s="7"/>
      <c r="J910" s="7"/>
    </row>
    <row r="911" spans="1:10" hidden="1">
      <c r="A911" s="4" t="s">
        <v>807</v>
      </c>
      <c r="B911" s="4" t="s">
        <v>808</v>
      </c>
      <c r="C911" s="4" t="s">
        <v>2458</v>
      </c>
      <c r="D911" s="4" t="s">
        <v>2459</v>
      </c>
      <c r="E911" s="4" t="s">
        <v>2460</v>
      </c>
      <c r="F911" s="4">
        <v>1</v>
      </c>
      <c r="G911" s="7">
        <v>11.64</v>
      </c>
      <c r="H911" s="4"/>
      <c r="I911" s="7"/>
      <c r="J911" s="7"/>
    </row>
    <row r="912" spans="1:10" hidden="1">
      <c r="A912" s="4" t="s">
        <v>807</v>
      </c>
      <c r="B912" s="4" t="s">
        <v>811</v>
      </c>
      <c r="C912" s="4" t="s">
        <v>2461</v>
      </c>
      <c r="D912" s="4" t="s">
        <v>2462</v>
      </c>
      <c r="E912" s="4" t="s">
        <v>2282</v>
      </c>
      <c r="F912" s="4">
        <v>1</v>
      </c>
      <c r="G912" s="7">
        <v>11.64</v>
      </c>
      <c r="H912" s="4"/>
      <c r="I912" s="7"/>
      <c r="J912" s="7"/>
    </row>
    <row r="913" spans="1:10" hidden="1">
      <c r="A913" s="4" t="s">
        <v>807</v>
      </c>
      <c r="B913" s="4" t="s">
        <v>825</v>
      </c>
      <c r="C913" s="4" t="s">
        <v>2463</v>
      </c>
      <c r="D913" s="4" t="s">
        <v>2464</v>
      </c>
      <c r="E913" s="4" t="s">
        <v>2465</v>
      </c>
      <c r="F913" s="4">
        <v>1</v>
      </c>
      <c r="G913" s="7">
        <v>11.64</v>
      </c>
      <c r="H913" s="4"/>
      <c r="I913" s="7"/>
      <c r="J913" s="7"/>
    </row>
    <row r="914" spans="1:10" hidden="1">
      <c r="A914" s="4" t="s">
        <v>807</v>
      </c>
      <c r="B914" s="4" t="s">
        <v>962</v>
      </c>
      <c r="C914" s="4" t="s">
        <v>2466</v>
      </c>
      <c r="D914" s="4" t="s">
        <v>2467</v>
      </c>
      <c r="E914" s="4" t="s">
        <v>2468</v>
      </c>
      <c r="F914" s="4">
        <v>1</v>
      </c>
      <c r="G914" s="7">
        <v>11.64</v>
      </c>
      <c r="H914" s="4"/>
      <c r="I914" s="7"/>
      <c r="J914" s="7"/>
    </row>
    <row r="915" spans="1:10" hidden="1">
      <c r="A915" s="4" t="s">
        <v>807</v>
      </c>
      <c r="B915" s="4" t="s">
        <v>811</v>
      </c>
      <c r="C915" s="4" t="s">
        <v>2469</v>
      </c>
      <c r="D915" s="4" t="s">
        <v>2470</v>
      </c>
      <c r="E915" s="4" t="s">
        <v>2471</v>
      </c>
      <c r="F915" s="4">
        <v>1</v>
      </c>
      <c r="G915" s="7">
        <v>11.64</v>
      </c>
      <c r="H915" s="4"/>
      <c r="I915" s="7"/>
      <c r="J915" s="7"/>
    </row>
    <row r="916" spans="1:10" hidden="1">
      <c r="A916" s="4" t="s">
        <v>807</v>
      </c>
      <c r="B916" s="4" t="s">
        <v>825</v>
      </c>
      <c r="C916" s="4" t="s">
        <v>2472</v>
      </c>
      <c r="D916" s="4" t="s">
        <v>649</v>
      </c>
      <c r="E916" s="4" t="s">
        <v>2473</v>
      </c>
      <c r="F916" s="4">
        <v>1</v>
      </c>
      <c r="G916" s="7">
        <v>11.64</v>
      </c>
      <c r="H916" s="4"/>
      <c r="I916" s="7"/>
      <c r="J916" s="7"/>
    </row>
    <row r="917" spans="1:10" hidden="1">
      <c r="A917" s="4" t="s">
        <v>807</v>
      </c>
      <c r="B917" s="4" t="s">
        <v>962</v>
      </c>
      <c r="C917" s="4" t="s">
        <v>2474</v>
      </c>
      <c r="D917" s="4" t="s">
        <v>2475</v>
      </c>
      <c r="E917" s="4" t="s">
        <v>2476</v>
      </c>
      <c r="F917" s="4">
        <v>1</v>
      </c>
      <c r="G917" s="7">
        <v>11.64</v>
      </c>
      <c r="H917" s="4"/>
      <c r="I917" s="7"/>
      <c r="J917" s="7"/>
    </row>
    <row r="918" spans="1:10" hidden="1">
      <c r="A918" s="4" t="s">
        <v>807</v>
      </c>
      <c r="B918" s="4" t="s">
        <v>811</v>
      </c>
      <c r="C918" s="4" t="s">
        <v>2477</v>
      </c>
      <c r="D918" s="4" t="s">
        <v>2478</v>
      </c>
      <c r="E918" s="4" t="s">
        <v>2282</v>
      </c>
      <c r="F918" s="4">
        <v>1</v>
      </c>
      <c r="G918" s="7">
        <v>11.64</v>
      </c>
      <c r="H918" s="4"/>
      <c r="I918" s="7"/>
      <c r="J918" s="7"/>
    </row>
    <row r="919" spans="1:10" hidden="1">
      <c r="A919" s="4" t="s">
        <v>807</v>
      </c>
      <c r="B919" s="4" t="s">
        <v>808</v>
      </c>
      <c r="C919" s="4" t="s">
        <v>2479</v>
      </c>
      <c r="D919" s="4" t="s">
        <v>1041</v>
      </c>
      <c r="E919" s="4" t="s">
        <v>2480</v>
      </c>
      <c r="F919" s="4">
        <v>1</v>
      </c>
      <c r="G919" s="7">
        <v>11.64</v>
      </c>
      <c r="H919" s="4"/>
      <c r="I919" s="7"/>
      <c r="J919" s="7"/>
    </row>
    <row r="920" spans="1:10" hidden="1">
      <c r="A920" s="4" t="s">
        <v>807</v>
      </c>
      <c r="B920" s="4" t="s">
        <v>811</v>
      </c>
      <c r="C920" s="4" t="s">
        <v>2481</v>
      </c>
      <c r="D920" s="4" t="s">
        <v>1032</v>
      </c>
      <c r="E920" s="4" t="s">
        <v>2482</v>
      </c>
      <c r="F920" s="4">
        <v>1</v>
      </c>
      <c r="G920" s="7">
        <v>11.64</v>
      </c>
      <c r="H920" s="4"/>
      <c r="I920" s="7"/>
      <c r="J920" s="7"/>
    </row>
    <row r="921" spans="1:10" hidden="1">
      <c r="A921" s="4" t="s">
        <v>807</v>
      </c>
      <c r="B921" s="4" t="s">
        <v>1016</v>
      </c>
      <c r="C921" s="4" t="s">
        <v>2483</v>
      </c>
      <c r="D921" s="4" t="s">
        <v>1018</v>
      </c>
      <c r="E921" s="4" t="s">
        <v>2484</v>
      </c>
      <c r="F921" s="4">
        <v>1</v>
      </c>
      <c r="G921" s="7">
        <v>11.64</v>
      </c>
      <c r="H921" s="4"/>
      <c r="I921" s="7"/>
      <c r="J921" s="7"/>
    </row>
    <row r="922" spans="1:10" hidden="1">
      <c r="A922" s="4" t="s">
        <v>807</v>
      </c>
      <c r="B922" s="4" t="s">
        <v>962</v>
      </c>
      <c r="C922" s="4" t="s">
        <v>2485</v>
      </c>
      <c r="D922" s="4" t="s">
        <v>2486</v>
      </c>
      <c r="E922" s="4" t="s">
        <v>2487</v>
      </c>
      <c r="F922" s="4">
        <v>1</v>
      </c>
      <c r="G922" s="7">
        <v>11.64</v>
      </c>
      <c r="H922" s="4"/>
      <c r="I922" s="7"/>
      <c r="J922" s="7"/>
    </row>
    <row r="923" spans="1:10" hidden="1">
      <c r="A923" s="4" t="s">
        <v>1535</v>
      </c>
      <c r="B923" s="4" t="s">
        <v>1536</v>
      </c>
      <c r="C923" s="4" t="s">
        <v>2488</v>
      </c>
      <c r="D923" s="4" t="s">
        <v>2489</v>
      </c>
      <c r="E923" s="4" t="s">
        <v>2490</v>
      </c>
      <c r="F923" s="4">
        <v>1</v>
      </c>
      <c r="G923" s="7">
        <v>11.64</v>
      </c>
      <c r="H923" s="4"/>
      <c r="I923" s="7"/>
      <c r="J923" s="7"/>
    </row>
    <row r="924" spans="1:10" hidden="1">
      <c r="A924" s="4" t="s">
        <v>1535</v>
      </c>
      <c r="B924" s="4" t="s">
        <v>1536</v>
      </c>
      <c r="C924" s="4" t="s">
        <v>2488</v>
      </c>
      <c r="D924" s="4" t="s">
        <v>2491</v>
      </c>
      <c r="E924" s="4" t="s">
        <v>2490</v>
      </c>
      <c r="F924" s="4">
        <v>1</v>
      </c>
      <c r="G924" s="7">
        <v>11.64</v>
      </c>
      <c r="H924" s="4"/>
      <c r="I924" s="7"/>
      <c r="J924" s="7"/>
    </row>
    <row r="925" spans="1:10" hidden="1">
      <c r="A925" s="4" t="s">
        <v>1535</v>
      </c>
      <c r="B925" s="4" t="s">
        <v>1536</v>
      </c>
      <c r="C925" s="4" t="s">
        <v>2492</v>
      </c>
      <c r="D925" s="4" t="s">
        <v>2493</v>
      </c>
      <c r="E925" s="4" t="s">
        <v>2494</v>
      </c>
      <c r="F925" s="4">
        <v>1</v>
      </c>
      <c r="G925" s="7">
        <v>11.64</v>
      </c>
      <c r="H925" s="4"/>
      <c r="I925" s="7"/>
      <c r="J925" s="7"/>
    </row>
    <row r="926" spans="1:10" hidden="1">
      <c r="A926" s="4" t="s">
        <v>1535</v>
      </c>
      <c r="B926" s="4" t="s">
        <v>1536</v>
      </c>
      <c r="C926" s="4" t="s">
        <v>2492</v>
      </c>
      <c r="D926" s="4" t="s">
        <v>2495</v>
      </c>
      <c r="E926" s="4" t="s">
        <v>2494</v>
      </c>
      <c r="F926" s="4">
        <v>1</v>
      </c>
      <c r="G926" s="7">
        <v>11.64</v>
      </c>
      <c r="H926" s="4"/>
      <c r="I926" s="7"/>
      <c r="J926" s="7"/>
    </row>
    <row r="927" spans="1:10" hidden="1">
      <c r="A927" s="4" t="s">
        <v>1535</v>
      </c>
      <c r="B927" s="4" t="s">
        <v>1536</v>
      </c>
      <c r="C927" s="4" t="s">
        <v>2496</v>
      </c>
      <c r="D927" s="4" t="s">
        <v>1356</v>
      </c>
      <c r="E927" s="4" t="s">
        <v>2497</v>
      </c>
      <c r="F927" s="4">
        <v>1</v>
      </c>
      <c r="G927" s="7">
        <v>11.64</v>
      </c>
      <c r="H927" s="4"/>
      <c r="I927" s="7"/>
      <c r="J927" s="7"/>
    </row>
    <row r="928" spans="1:10" hidden="1">
      <c r="A928" s="4" t="s">
        <v>1535</v>
      </c>
      <c r="B928" s="4" t="s">
        <v>1536</v>
      </c>
      <c r="C928" s="4" t="s">
        <v>2496</v>
      </c>
      <c r="D928" s="4" t="s">
        <v>2498</v>
      </c>
      <c r="E928" s="4" t="s">
        <v>2497</v>
      </c>
      <c r="F928" s="4">
        <v>1</v>
      </c>
      <c r="G928" s="7">
        <v>11.64</v>
      </c>
      <c r="H928" s="4"/>
      <c r="I928" s="7"/>
      <c r="J928" s="7"/>
    </row>
    <row r="929" spans="1:10" hidden="1">
      <c r="A929" s="4" t="s">
        <v>1535</v>
      </c>
      <c r="B929" s="4" t="s">
        <v>1536</v>
      </c>
      <c r="C929" s="4" t="s">
        <v>2499</v>
      </c>
      <c r="D929" s="4" t="s">
        <v>930</v>
      </c>
      <c r="E929" s="4" t="s">
        <v>2500</v>
      </c>
      <c r="F929" s="4">
        <v>1</v>
      </c>
      <c r="G929" s="7">
        <v>11.64</v>
      </c>
      <c r="H929" s="4"/>
      <c r="I929" s="7"/>
      <c r="J929" s="7"/>
    </row>
    <row r="930" spans="1:10" hidden="1">
      <c r="A930" s="4" t="s">
        <v>1535</v>
      </c>
      <c r="B930" s="4" t="s">
        <v>1536</v>
      </c>
      <c r="C930" s="4" t="s">
        <v>2499</v>
      </c>
      <c r="D930" s="4" t="s">
        <v>823</v>
      </c>
      <c r="E930" s="4" t="s">
        <v>2500</v>
      </c>
      <c r="F930" s="4">
        <v>4</v>
      </c>
      <c r="G930" s="7">
        <v>46.56</v>
      </c>
      <c r="H930" s="4"/>
      <c r="I930" s="7"/>
      <c r="J930" s="7"/>
    </row>
    <row r="931" spans="1:10" hidden="1">
      <c r="A931" s="4" t="s">
        <v>1535</v>
      </c>
      <c r="B931" s="4" t="s">
        <v>1536</v>
      </c>
      <c r="C931" s="4" t="s">
        <v>2499</v>
      </c>
      <c r="D931" s="4" t="s">
        <v>2501</v>
      </c>
      <c r="E931" s="4" t="s">
        <v>2500</v>
      </c>
      <c r="F931" s="4">
        <v>1</v>
      </c>
      <c r="G931" s="7">
        <v>11.64</v>
      </c>
      <c r="H931" s="4"/>
      <c r="I931" s="7"/>
      <c r="J931" s="7"/>
    </row>
    <row r="932" spans="1:10" hidden="1">
      <c r="A932" s="4" t="s">
        <v>1535</v>
      </c>
      <c r="B932" s="4" t="s">
        <v>1536</v>
      </c>
      <c r="C932" s="4" t="s">
        <v>2499</v>
      </c>
      <c r="D932" s="4" t="s">
        <v>929</v>
      </c>
      <c r="E932" s="4" t="s">
        <v>2500</v>
      </c>
      <c r="F932" s="4">
        <v>1</v>
      </c>
      <c r="G932" s="7">
        <v>11.64</v>
      </c>
      <c r="H932" s="4"/>
      <c r="I932" s="7"/>
      <c r="J932" s="7"/>
    </row>
    <row r="933" spans="1:10" hidden="1">
      <c r="A933" s="4" t="s">
        <v>915</v>
      </c>
      <c r="B933" s="4"/>
      <c r="C933" s="4" t="s">
        <v>2502</v>
      </c>
      <c r="D933" s="4" t="s">
        <v>1538</v>
      </c>
      <c r="E933" s="4" t="s">
        <v>2503</v>
      </c>
      <c r="F933" s="4">
        <v>1</v>
      </c>
      <c r="G933" s="7">
        <v>11.64</v>
      </c>
      <c r="H933" s="4"/>
      <c r="I933" s="7"/>
      <c r="J933" s="7"/>
    </row>
    <row r="934" spans="1:10" hidden="1">
      <c r="A934" s="4" t="s">
        <v>915</v>
      </c>
      <c r="B934" s="4"/>
      <c r="C934" s="4" t="s">
        <v>2504</v>
      </c>
      <c r="D934" s="4" t="s">
        <v>2505</v>
      </c>
      <c r="E934" s="4" t="s">
        <v>2506</v>
      </c>
      <c r="F934" s="4">
        <v>1</v>
      </c>
      <c r="G934" s="7">
        <v>11.64</v>
      </c>
      <c r="H934" s="4"/>
      <c r="I934" s="7"/>
      <c r="J934" s="7"/>
    </row>
    <row r="935" spans="1:10" hidden="1">
      <c r="A935" s="4" t="s">
        <v>807</v>
      </c>
      <c r="B935" s="4" t="s">
        <v>808</v>
      </c>
      <c r="C935" s="4" t="s">
        <v>2507</v>
      </c>
      <c r="D935" s="4" t="s">
        <v>1532</v>
      </c>
      <c r="E935" s="4" t="s">
        <v>2508</v>
      </c>
      <c r="F935" s="4">
        <v>10</v>
      </c>
      <c r="G935" s="7">
        <v>116.4</v>
      </c>
      <c r="H935" s="4"/>
      <c r="I935" s="7"/>
      <c r="J935" s="7"/>
    </row>
    <row r="936" spans="1:10" hidden="1">
      <c r="A936" s="4" t="s">
        <v>807</v>
      </c>
      <c r="B936" s="4" t="s">
        <v>808</v>
      </c>
      <c r="C936" s="4" t="s">
        <v>2509</v>
      </c>
      <c r="D936" s="4" t="s">
        <v>1532</v>
      </c>
      <c r="E936" s="4" t="s">
        <v>2510</v>
      </c>
      <c r="F936" s="4">
        <v>18</v>
      </c>
      <c r="G936" s="7">
        <v>209.52</v>
      </c>
      <c r="H936" s="4"/>
      <c r="I936" s="7"/>
      <c r="J936" s="7"/>
    </row>
    <row r="937" spans="1:10" hidden="1">
      <c r="A937" s="4" t="s">
        <v>807</v>
      </c>
      <c r="B937" s="4" t="s">
        <v>1547</v>
      </c>
      <c r="C937" s="4" t="s">
        <v>2511</v>
      </c>
      <c r="D937" s="4" t="s">
        <v>2512</v>
      </c>
      <c r="E937" s="4" t="s">
        <v>2513</v>
      </c>
      <c r="F937" s="4">
        <v>2</v>
      </c>
      <c r="G937" s="7">
        <v>23.28</v>
      </c>
      <c r="H937" s="4"/>
      <c r="I937" s="7"/>
      <c r="J937" s="7"/>
    </row>
    <row r="938" spans="1:10" hidden="1">
      <c r="A938" s="4" t="s">
        <v>807</v>
      </c>
      <c r="B938" s="4" t="s">
        <v>1547</v>
      </c>
      <c r="C938" s="4" t="s">
        <v>2511</v>
      </c>
      <c r="D938" s="4" t="s">
        <v>2514</v>
      </c>
      <c r="E938" s="4" t="s">
        <v>2513</v>
      </c>
      <c r="F938" s="4">
        <v>2</v>
      </c>
      <c r="G938" s="7">
        <v>23.28</v>
      </c>
      <c r="H938" s="4"/>
      <c r="I938" s="7"/>
      <c r="J938" s="7"/>
    </row>
    <row r="939" spans="1:10" hidden="1">
      <c r="A939" s="4" t="s">
        <v>807</v>
      </c>
      <c r="B939" s="4" t="s">
        <v>1547</v>
      </c>
      <c r="C939" s="4" t="s">
        <v>2511</v>
      </c>
      <c r="D939" s="4" t="s">
        <v>2515</v>
      </c>
      <c r="E939" s="4" t="s">
        <v>2513</v>
      </c>
      <c r="F939" s="4">
        <v>1</v>
      </c>
      <c r="G939" s="7">
        <v>11.64</v>
      </c>
      <c r="H939" s="4"/>
      <c r="I939" s="7"/>
      <c r="J939" s="7"/>
    </row>
    <row r="940" spans="1:10" hidden="1">
      <c r="A940" s="4" t="s">
        <v>807</v>
      </c>
      <c r="B940" s="4" t="s">
        <v>1547</v>
      </c>
      <c r="C940" s="4" t="s">
        <v>2511</v>
      </c>
      <c r="D940" s="4" t="s">
        <v>2516</v>
      </c>
      <c r="E940" s="4" t="s">
        <v>2513</v>
      </c>
      <c r="F940" s="4">
        <v>2</v>
      </c>
      <c r="G940" s="7">
        <v>23.28</v>
      </c>
      <c r="H940" s="4"/>
      <c r="I940" s="7"/>
      <c r="J940" s="7"/>
    </row>
    <row r="941" spans="1:10" hidden="1">
      <c r="A941" s="4" t="s">
        <v>807</v>
      </c>
      <c r="B941" s="4" t="s">
        <v>1547</v>
      </c>
      <c r="C941" s="4" t="s">
        <v>2511</v>
      </c>
      <c r="D941" s="4" t="s">
        <v>2517</v>
      </c>
      <c r="E941" s="4" t="s">
        <v>2513</v>
      </c>
      <c r="F941" s="4">
        <v>2</v>
      </c>
      <c r="G941" s="7">
        <v>23.28</v>
      </c>
      <c r="H941" s="4"/>
      <c r="I941" s="7"/>
      <c r="J941" s="7"/>
    </row>
    <row r="942" spans="1:10" hidden="1">
      <c r="A942" s="4" t="s">
        <v>807</v>
      </c>
      <c r="B942" s="4" t="s">
        <v>1547</v>
      </c>
      <c r="C942" s="4" t="s">
        <v>2511</v>
      </c>
      <c r="D942" s="4" t="s">
        <v>2518</v>
      </c>
      <c r="E942" s="4" t="s">
        <v>2513</v>
      </c>
      <c r="F942" s="4">
        <v>2</v>
      </c>
      <c r="G942" s="7">
        <v>23.28</v>
      </c>
      <c r="H942" s="4"/>
      <c r="I942" s="7"/>
      <c r="J942" s="7"/>
    </row>
    <row r="943" spans="1:10" hidden="1">
      <c r="A943" s="4" t="s">
        <v>807</v>
      </c>
      <c r="B943" s="4" t="s">
        <v>1547</v>
      </c>
      <c r="C943" s="4" t="s">
        <v>2511</v>
      </c>
      <c r="D943" s="4" t="s">
        <v>2519</v>
      </c>
      <c r="E943" s="4" t="s">
        <v>2513</v>
      </c>
      <c r="F943" s="4">
        <v>2</v>
      </c>
      <c r="G943" s="7">
        <v>23.28</v>
      </c>
      <c r="H943" s="4"/>
      <c r="I943" s="7"/>
      <c r="J943" s="7"/>
    </row>
    <row r="944" spans="1:10" hidden="1">
      <c r="A944" s="4" t="s">
        <v>807</v>
      </c>
      <c r="B944" s="4" t="s">
        <v>1547</v>
      </c>
      <c r="C944" s="4" t="s">
        <v>2511</v>
      </c>
      <c r="D944" s="4" t="s">
        <v>2520</v>
      </c>
      <c r="E944" s="4" t="s">
        <v>2513</v>
      </c>
      <c r="F944" s="4">
        <v>2</v>
      </c>
      <c r="G944" s="7">
        <v>23.28</v>
      </c>
      <c r="H944" s="4"/>
      <c r="I944" s="7"/>
      <c r="J944" s="7"/>
    </row>
    <row r="945" spans="1:10" hidden="1">
      <c r="A945" s="4" t="s">
        <v>807</v>
      </c>
      <c r="B945" s="4" t="s">
        <v>811</v>
      </c>
      <c r="C945" s="4" t="s">
        <v>2521</v>
      </c>
      <c r="D945" s="4" t="s">
        <v>1538</v>
      </c>
      <c r="E945" s="4" t="s">
        <v>2522</v>
      </c>
      <c r="F945" s="4">
        <v>27</v>
      </c>
      <c r="G945" s="7">
        <v>314.27999999999997</v>
      </c>
      <c r="H945" s="4"/>
      <c r="I945" s="7"/>
      <c r="J945" s="7"/>
    </row>
    <row r="946" spans="1:10" hidden="1">
      <c r="A946" s="4" t="s">
        <v>807</v>
      </c>
      <c r="B946" s="4" t="s">
        <v>811</v>
      </c>
      <c r="C946" s="4" t="s">
        <v>2523</v>
      </c>
      <c r="D946" s="4" t="s">
        <v>1532</v>
      </c>
      <c r="E946" s="4" t="s">
        <v>2524</v>
      </c>
      <c r="F946" s="4">
        <v>26</v>
      </c>
      <c r="G946" s="7">
        <v>302.64</v>
      </c>
      <c r="H946" s="4"/>
      <c r="I946" s="7"/>
      <c r="J946" s="7"/>
    </row>
    <row r="947" spans="1:10" hidden="1">
      <c r="A947" s="4" t="s">
        <v>807</v>
      </c>
      <c r="B947" s="4" t="s">
        <v>811</v>
      </c>
      <c r="C947" s="4" t="s">
        <v>2525</v>
      </c>
      <c r="D947" s="4" t="s">
        <v>2526</v>
      </c>
      <c r="E947" s="4" t="s">
        <v>2527</v>
      </c>
      <c r="F947" s="4">
        <v>1</v>
      </c>
      <c r="G947" s="7">
        <v>11.64</v>
      </c>
      <c r="H947" s="4"/>
      <c r="I947" s="7"/>
      <c r="J947" s="7"/>
    </row>
    <row r="948" spans="1:10" hidden="1">
      <c r="A948" s="4" t="s">
        <v>807</v>
      </c>
      <c r="B948" s="4" t="s">
        <v>811</v>
      </c>
      <c r="C948" s="4" t="s">
        <v>2528</v>
      </c>
      <c r="D948" s="4" t="s">
        <v>1532</v>
      </c>
      <c r="E948" s="4" t="s">
        <v>2529</v>
      </c>
      <c r="F948" s="4">
        <v>22</v>
      </c>
      <c r="G948" s="7">
        <v>256.08</v>
      </c>
      <c r="H948" s="4"/>
      <c r="I948" s="7"/>
      <c r="J948" s="7"/>
    </row>
    <row r="949" spans="1:10" hidden="1">
      <c r="A949" s="4" t="s">
        <v>807</v>
      </c>
      <c r="B949" s="4" t="s">
        <v>825</v>
      </c>
      <c r="C949" s="4" t="s">
        <v>2530</v>
      </c>
      <c r="D949" s="4" t="s">
        <v>1532</v>
      </c>
      <c r="E949" s="4" t="s">
        <v>2531</v>
      </c>
      <c r="F949" s="4">
        <v>39</v>
      </c>
      <c r="G949" s="7">
        <v>453.96</v>
      </c>
      <c r="H949" s="4"/>
      <c r="I949" s="7"/>
      <c r="J949" s="7"/>
    </row>
    <row r="950" spans="1:10" hidden="1">
      <c r="A950" s="4" t="s">
        <v>807</v>
      </c>
      <c r="B950" s="4" t="s">
        <v>825</v>
      </c>
      <c r="C950" s="4" t="s">
        <v>2532</v>
      </c>
      <c r="D950" s="4" t="s">
        <v>818</v>
      </c>
      <c r="E950" s="4" t="s">
        <v>2533</v>
      </c>
      <c r="F950" s="4">
        <v>1</v>
      </c>
      <c r="G950" s="7">
        <v>11.64</v>
      </c>
      <c r="H950" s="4"/>
      <c r="I950" s="7"/>
      <c r="J950" s="7"/>
    </row>
    <row r="951" spans="1:10" hidden="1">
      <c r="A951" s="4" t="s">
        <v>807</v>
      </c>
      <c r="B951" s="4" t="s">
        <v>825</v>
      </c>
      <c r="C951" s="4" t="s">
        <v>2534</v>
      </c>
      <c r="D951" s="4" t="s">
        <v>1532</v>
      </c>
      <c r="E951" s="4" t="s">
        <v>2535</v>
      </c>
      <c r="F951" s="4">
        <v>41</v>
      </c>
      <c r="G951" s="7">
        <v>477.24</v>
      </c>
      <c r="H951" s="4"/>
      <c r="I951" s="7"/>
      <c r="J951" s="7"/>
    </row>
    <row r="952" spans="1:10" hidden="1">
      <c r="A952" s="4" t="s">
        <v>807</v>
      </c>
      <c r="B952" s="4" t="s">
        <v>962</v>
      </c>
      <c r="C952" s="4" t="s">
        <v>2536</v>
      </c>
      <c r="D952" s="4" t="s">
        <v>1534</v>
      </c>
      <c r="E952" s="4" t="s">
        <v>2537</v>
      </c>
      <c r="F952" s="4">
        <v>21</v>
      </c>
      <c r="G952" s="7">
        <v>244.44</v>
      </c>
      <c r="H952" s="4"/>
      <c r="I952" s="7"/>
      <c r="J952" s="7"/>
    </row>
    <row r="953" spans="1:10" hidden="1">
      <c r="A953" s="4" t="s">
        <v>807</v>
      </c>
      <c r="B953" s="4" t="s">
        <v>962</v>
      </c>
      <c r="C953" s="4" t="s">
        <v>2538</v>
      </c>
      <c r="D953" s="4" t="s">
        <v>2539</v>
      </c>
      <c r="E953" s="4" t="s">
        <v>2540</v>
      </c>
      <c r="F953" s="4">
        <v>1</v>
      </c>
      <c r="G953" s="7">
        <v>11.64</v>
      </c>
      <c r="H953" s="4"/>
      <c r="I953" s="7"/>
      <c r="J953" s="7"/>
    </row>
    <row r="954" spans="1:10" hidden="1">
      <c r="A954" s="4" t="s">
        <v>807</v>
      </c>
      <c r="B954" s="4" t="s">
        <v>962</v>
      </c>
      <c r="C954" s="4" t="s">
        <v>2541</v>
      </c>
      <c r="D954" s="4" t="s">
        <v>2542</v>
      </c>
      <c r="E954" s="4" t="s">
        <v>2543</v>
      </c>
      <c r="F954" s="4">
        <v>1</v>
      </c>
      <c r="G954" s="7">
        <v>11.64</v>
      </c>
      <c r="H954" s="4"/>
      <c r="I954" s="7"/>
      <c r="J954" s="7"/>
    </row>
    <row r="955" spans="1:10" hidden="1">
      <c r="A955" s="4" t="s">
        <v>807</v>
      </c>
      <c r="B955" s="4" t="s">
        <v>962</v>
      </c>
      <c r="C955" s="4" t="s">
        <v>2544</v>
      </c>
      <c r="D955" s="4" t="s">
        <v>1538</v>
      </c>
      <c r="E955" s="4" t="s">
        <v>2545</v>
      </c>
      <c r="F955" s="4">
        <v>9</v>
      </c>
      <c r="G955" s="7">
        <v>104.76</v>
      </c>
      <c r="H955" s="4"/>
      <c r="I955" s="7"/>
      <c r="J955" s="7"/>
    </row>
    <row r="956" spans="1:10" hidden="1">
      <c r="A956" s="4" t="s">
        <v>807</v>
      </c>
      <c r="B956" s="4" t="s">
        <v>808</v>
      </c>
      <c r="C956" s="4" t="s">
        <v>2546</v>
      </c>
      <c r="D956" s="4" t="s">
        <v>1538</v>
      </c>
      <c r="E956" s="4" t="s">
        <v>2547</v>
      </c>
      <c r="F956" s="4">
        <v>29</v>
      </c>
      <c r="G956" s="7">
        <v>337.56</v>
      </c>
      <c r="H956" s="4"/>
      <c r="I956" s="7"/>
      <c r="J956" s="7"/>
    </row>
    <row r="957" spans="1:10" hidden="1">
      <c r="A957" s="4" t="s">
        <v>807</v>
      </c>
      <c r="B957" s="4" t="s">
        <v>808</v>
      </c>
      <c r="C957" s="4" t="s">
        <v>2548</v>
      </c>
      <c r="D957" s="4" t="s">
        <v>1532</v>
      </c>
      <c r="E957" s="4" t="s">
        <v>2549</v>
      </c>
      <c r="F957" s="4">
        <v>12</v>
      </c>
      <c r="G957" s="7">
        <v>139.68</v>
      </c>
      <c r="H957" s="4"/>
      <c r="I957" s="7"/>
      <c r="J957" s="7"/>
    </row>
    <row r="958" spans="1:10" hidden="1">
      <c r="A958" s="4" t="s">
        <v>807</v>
      </c>
      <c r="B958" s="4" t="s">
        <v>811</v>
      </c>
      <c r="C958" s="4" t="s">
        <v>2550</v>
      </c>
      <c r="D958" s="4" t="s">
        <v>1532</v>
      </c>
      <c r="E958" s="4" t="s">
        <v>2448</v>
      </c>
      <c r="F958" s="4">
        <v>1</v>
      </c>
      <c r="G958" s="7">
        <v>11.64</v>
      </c>
      <c r="H958" s="4"/>
      <c r="I958" s="7"/>
      <c r="J958" s="7"/>
    </row>
    <row r="959" spans="1:10" hidden="1">
      <c r="A959" s="4" t="s">
        <v>807</v>
      </c>
      <c r="B959" s="4" t="s">
        <v>962</v>
      </c>
      <c r="C959" s="4" t="s">
        <v>2551</v>
      </c>
      <c r="D959" s="4" t="s">
        <v>1532</v>
      </c>
      <c r="E959" s="4" t="s">
        <v>2552</v>
      </c>
      <c r="F959" s="4">
        <v>6</v>
      </c>
      <c r="G959" s="7">
        <v>69.84</v>
      </c>
      <c r="H959" s="4"/>
      <c r="I959" s="7"/>
      <c r="J959" s="7"/>
    </row>
    <row r="960" spans="1:10" hidden="1">
      <c r="A960" s="4" t="s">
        <v>807</v>
      </c>
      <c r="B960" s="4" t="s">
        <v>962</v>
      </c>
      <c r="C960" s="4" t="s">
        <v>2551</v>
      </c>
      <c r="D960" s="4" t="s">
        <v>2553</v>
      </c>
      <c r="E960" s="4" t="s">
        <v>2552</v>
      </c>
      <c r="F960" s="4">
        <v>1</v>
      </c>
      <c r="G960" s="7">
        <v>11.64</v>
      </c>
      <c r="H960" s="4"/>
      <c r="I960" s="7"/>
      <c r="J960" s="7"/>
    </row>
    <row r="961" spans="1:10" hidden="1">
      <c r="A961" s="4" t="s">
        <v>807</v>
      </c>
      <c r="B961" s="4" t="s">
        <v>962</v>
      </c>
      <c r="C961" s="4" t="s">
        <v>2551</v>
      </c>
      <c r="D961" s="4" t="s">
        <v>2554</v>
      </c>
      <c r="E961" s="4" t="s">
        <v>2552</v>
      </c>
      <c r="F961" s="4">
        <v>1</v>
      </c>
      <c r="G961" s="7">
        <v>11.64</v>
      </c>
      <c r="H961" s="4"/>
      <c r="I961" s="7"/>
      <c r="J961" s="7"/>
    </row>
    <row r="962" spans="1:10" hidden="1">
      <c r="A962" s="4" t="s">
        <v>807</v>
      </c>
      <c r="B962" s="4" t="s">
        <v>808</v>
      </c>
      <c r="C962" s="4" t="s">
        <v>2555</v>
      </c>
      <c r="D962" s="4" t="s">
        <v>2556</v>
      </c>
      <c r="E962" s="4" t="s">
        <v>2555</v>
      </c>
      <c r="F962" s="4">
        <v>1</v>
      </c>
      <c r="G962" s="7">
        <v>11.64</v>
      </c>
      <c r="H962" s="4"/>
      <c r="I962" s="7"/>
      <c r="J962" s="7"/>
    </row>
    <row r="963" spans="1:10" hidden="1">
      <c r="A963" s="4" t="s">
        <v>807</v>
      </c>
      <c r="B963" s="4" t="s">
        <v>808</v>
      </c>
      <c r="C963" s="4" t="s">
        <v>2557</v>
      </c>
      <c r="D963" s="4" t="s">
        <v>2558</v>
      </c>
      <c r="E963" s="4" t="s">
        <v>2559</v>
      </c>
      <c r="F963" s="4">
        <v>1</v>
      </c>
      <c r="G963" s="7">
        <v>11.64</v>
      </c>
      <c r="H963" s="4"/>
      <c r="I963" s="7"/>
      <c r="J963" s="7"/>
    </row>
    <row r="964" spans="1:10" hidden="1">
      <c r="A964" s="4" t="s">
        <v>807</v>
      </c>
      <c r="B964" s="4" t="s">
        <v>808</v>
      </c>
      <c r="C964" s="4" t="s">
        <v>2560</v>
      </c>
      <c r="D964" s="4" t="s">
        <v>2561</v>
      </c>
      <c r="E964" s="4" t="s">
        <v>2562</v>
      </c>
      <c r="F964" s="4">
        <v>2</v>
      </c>
      <c r="G964" s="7">
        <v>23.28</v>
      </c>
      <c r="H964" s="4"/>
      <c r="I964" s="7"/>
      <c r="J964" s="7"/>
    </row>
    <row r="965" spans="1:10" hidden="1">
      <c r="A965" s="4" t="s">
        <v>807</v>
      </c>
      <c r="B965" s="4" t="s">
        <v>808</v>
      </c>
      <c r="C965" s="4" t="s">
        <v>2560</v>
      </c>
      <c r="D965" s="4" t="s">
        <v>2563</v>
      </c>
      <c r="E965" s="4" t="s">
        <v>2562</v>
      </c>
      <c r="F965" s="4">
        <v>2</v>
      </c>
      <c r="G965" s="7">
        <v>23.28</v>
      </c>
      <c r="H965" s="4"/>
      <c r="I965" s="7"/>
      <c r="J965" s="7"/>
    </row>
    <row r="966" spans="1:10" hidden="1">
      <c r="A966" s="4" t="s">
        <v>807</v>
      </c>
      <c r="B966" s="4" t="s">
        <v>808</v>
      </c>
      <c r="C966" s="4" t="s">
        <v>2560</v>
      </c>
      <c r="D966" s="4" t="s">
        <v>2564</v>
      </c>
      <c r="E966" s="4" t="s">
        <v>2562</v>
      </c>
      <c r="F966" s="4">
        <v>2</v>
      </c>
      <c r="G966" s="7">
        <v>23.28</v>
      </c>
      <c r="H966" s="4"/>
      <c r="I966" s="7"/>
      <c r="J966" s="7"/>
    </row>
    <row r="967" spans="1:10" hidden="1">
      <c r="A967" s="4" t="s">
        <v>807</v>
      </c>
      <c r="B967" s="4" t="s">
        <v>808</v>
      </c>
      <c r="C967" s="4" t="s">
        <v>2560</v>
      </c>
      <c r="D967" s="4" t="s">
        <v>2565</v>
      </c>
      <c r="E967" s="4" t="s">
        <v>2562</v>
      </c>
      <c r="F967" s="4">
        <v>2</v>
      </c>
      <c r="G967" s="7">
        <v>23.28</v>
      </c>
      <c r="H967" s="4"/>
      <c r="I967" s="7"/>
      <c r="J967" s="7"/>
    </row>
    <row r="968" spans="1:10" hidden="1">
      <c r="A968" s="4" t="s">
        <v>807</v>
      </c>
      <c r="B968" s="4" t="s">
        <v>808</v>
      </c>
      <c r="C968" s="4" t="s">
        <v>2560</v>
      </c>
      <c r="D968" s="4" t="s">
        <v>2566</v>
      </c>
      <c r="E968" s="4" t="s">
        <v>2562</v>
      </c>
      <c r="F968" s="4">
        <v>2</v>
      </c>
      <c r="G968" s="7">
        <v>23.28</v>
      </c>
      <c r="H968" s="4"/>
      <c r="I968" s="7"/>
      <c r="J968" s="7"/>
    </row>
    <row r="969" spans="1:10" hidden="1">
      <c r="A969" s="4" t="s">
        <v>807</v>
      </c>
      <c r="B969" s="4" t="s">
        <v>808</v>
      </c>
      <c r="C969" s="4" t="s">
        <v>2560</v>
      </c>
      <c r="D969" s="4" t="s">
        <v>2567</v>
      </c>
      <c r="E969" s="4" t="s">
        <v>2562</v>
      </c>
      <c r="F969" s="4">
        <v>2</v>
      </c>
      <c r="G969" s="7">
        <v>23.28</v>
      </c>
      <c r="H969" s="4"/>
      <c r="I969" s="7"/>
      <c r="J969" s="7"/>
    </row>
    <row r="970" spans="1:10" hidden="1">
      <c r="A970" s="4" t="s">
        <v>807</v>
      </c>
      <c r="B970" s="4" t="s">
        <v>808</v>
      </c>
      <c r="C970" s="4" t="s">
        <v>2568</v>
      </c>
      <c r="D970" s="4" t="s">
        <v>2569</v>
      </c>
      <c r="E970" s="4" t="s">
        <v>2570</v>
      </c>
      <c r="F970" s="4">
        <v>2</v>
      </c>
      <c r="G970" s="7">
        <v>23.28</v>
      </c>
      <c r="H970" s="4"/>
      <c r="I970" s="7"/>
      <c r="J970" s="7"/>
    </row>
    <row r="971" spans="1:10" hidden="1">
      <c r="A971" s="4" t="s">
        <v>807</v>
      </c>
      <c r="B971" s="4" t="s">
        <v>808</v>
      </c>
      <c r="C971" s="4" t="s">
        <v>2571</v>
      </c>
      <c r="D971" s="4" t="s">
        <v>1046</v>
      </c>
      <c r="E971" s="4" t="s">
        <v>2290</v>
      </c>
      <c r="F971" s="4">
        <v>1</v>
      </c>
      <c r="G971" s="7">
        <v>11.64</v>
      </c>
      <c r="H971" s="4"/>
      <c r="I971" s="7"/>
      <c r="J971" s="7"/>
    </row>
    <row r="972" spans="1:10" hidden="1">
      <c r="A972" s="4" t="s">
        <v>807</v>
      </c>
      <c r="B972" s="4" t="s">
        <v>808</v>
      </c>
      <c r="C972" s="4" t="s">
        <v>2572</v>
      </c>
      <c r="D972" s="4" t="s">
        <v>1532</v>
      </c>
      <c r="E972" s="4" t="s">
        <v>2573</v>
      </c>
      <c r="F972" s="4">
        <v>2</v>
      </c>
      <c r="G972" s="7">
        <v>23.28</v>
      </c>
      <c r="H972" s="4"/>
      <c r="I972" s="7"/>
      <c r="J972" s="7"/>
    </row>
    <row r="973" spans="1:10" hidden="1">
      <c r="A973" s="4" t="s">
        <v>807</v>
      </c>
      <c r="B973" s="4" t="s">
        <v>808</v>
      </c>
      <c r="C973" s="4" t="s">
        <v>2574</v>
      </c>
      <c r="D973" s="4" t="s">
        <v>943</v>
      </c>
      <c r="E973" s="4" t="s">
        <v>2575</v>
      </c>
      <c r="F973" s="4">
        <v>1</v>
      </c>
      <c r="G973" s="7">
        <v>11.64</v>
      </c>
      <c r="H973" s="4"/>
      <c r="I973" s="7"/>
      <c r="J973" s="7"/>
    </row>
    <row r="974" spans="1:10" hidden="1">
      <c r="A974" s="4" t="s">
        <v>807</v>
      </c>
      <c r="B974" s="4" t="s">
        <v>808</v>
      </c>
      <c r="C974" s="4" t="s">
        <v>2576</v>
      </c>
      <c r="D974" s="4" t="s">
        <v>2577</v>
      </c>
      <c r="E974" s="4" t="s">
        <v>2578</v>
      </c>
      <c r="F974" s="4">
        <v>1</v>
      </c>
      <c r="G974" s="7">
        <v>11.64</v>
      </c>
      <c r="H974" s="4"/>
      <c r="I974" s="7"/>
      <c r="J974" s="7"/>
    </row>
    <row r="975" spans="1:10" hidden="1">
      <c r="A975" s="4" t="s">
        <v>807</v>
      </c>
      <c r="B975" s="4" t="s">
        <v>808</v>
      </c>
      <c r="C975" s="4" t="s">
        <v>2576</v>
      </c>
      <c r="D975" s="4" t="s">
        <v>2579</v>
      </c>
      <c r="E975" s="4" t="s">
        <v>2578</v>
      </c>
      <c r="F975" s="4">
        <v>1</v>
      </c>
      <c r="G975" s="7">
        <v>11.64</v>
      </c>
      <c r="H975" s="4"/>
      <c r="I975" s="7"/>
      <c r="J975" s="7"/>
    </row>
    <row r="976" spans="1:10">
      <c r="A976" s="4" t="s">
        <v>1051</v>
      </c>
      <c r="B976" s="4"/>
      <c r="C976" s="4" t="s">
        <v>2580</v>
      </c>
      <c r="D976" s="4" t="s">
        <v>2581</v>
      </c>
      <c r="E976" s="4" t="s">
        <v>2582</v>
      </c>
      <c r="F976" s="4">
        <v>1</v>
      </c>
      <c r="G976" s="7">
        <v>11.64</v>
      </c>
      <c r="H976" s="4"/>
      <c r="I976" s="7"/>
      <c r="J976" s="7"/>
    </row>
    <row r="977" spans="1:10" hidden="1">
      <c r="A977" s="4" t="s">
        <v>807</v>
      </c>
      <c r="B977" s="4" t="s">
        <v>825</v>
      </c>
      <c r="C977" s="4" t="s">
        <v>2583</v>
      </c>
      <c r="D977" s="4" t="s">
        <v>1532</v>
      </c>
      <c r="E977" s="4" t="s">
        <v>2584</v>
      </c>
      <c r="F977" s="4">
        <v>11</v>
      </c>
      <c r="G977" s="7">
        <v>128.04</v>
      </c>
      <c r="H977" s="4"/>
      <c r="I977" s="7"/>
      <c r="J977" s="7"/>
    </row>
    <row r="978" spans="1:10" hidden="1">
      <c r="A978" s="4" t="s">
        <v>807</v>
      </c>
      <c r="B978" s="4" t="s">
        <v>825</v>
      </c>
      <c r="C978" s="4" t="s">
        <v>2585</v>
      </c>
      <c r="D978" s="4" t="s">
        <v>1532</v>
      </c>
      <c r="E978" s="4" t="s">
        <v>2586</v>
      </c>
      <c r="F978" s="4">
        <v>10</v>
      </c>
      <c r="G978" s="7">
        <v>116.4</v>
      </c>
      <c r="H978" s="4"/>
      <c r="I978" s="7"/>
      <c r="J978" s="7"/>
    </row>
    <row r="979" spans="1:10" hidden="1">
      <c r="A979" s="4" t="s">
        <v>807</v>
      </c>
      <c r="B979" s="4" t="s">
        <v>825</v>
      </c>
      <c r="C979" s="4" t="s">
        <v>2587</v>
      </c>
      <c r="D979" s="4" t="s">
        <v>818</v>
      </c>
      <c r="E979" s="4" t="s">
        <v>2588</v>
      </c>
      <c r="F979" s="4">
        <v>4</v>
      </c>
      <c r="G979" s="7">
        <v>46.56</v>
      </c>
      <c r="H979" s="4"/>
      <c r="I979" s="7"/>
      <c r="J979" s="7"/>
    </row>
    <row r="980" spans="1:10" hidden="1">
      <c r="A980" s="4" t="s">
        <v>807</v>
      </c>
      <c r="B980" s="4" t="s">
        <v>808</v>
      </c>
      <c r="C980" s="4" t="s">
        <v>2589</v>
      </c>
      <c r="D980" s="4" t="s">
        <v>967</v>
      </c>
      <c r="E980" s="4" t="s">
        <v>2590</v>
      </c>
      <c r="F980" s="4">
        <v>1</v>
      </c>
      <c r="G980" s="7">
        <v>11.64</v>
      </c>
      <c r="H980" s="4"/>
      <c r="I980" s="7"/>
      <c r="J980" s="7"/>
    </row>
    <row r="981" spans="1:10" hidden="1">
      <c r="A981" s="4" t="s">
        <v>815</v>
      </c>
      <c r="B981" s="4" t="s">
        <v>1020</v>
      </c>
      <c r="C981" s="4" t="s">
        <v>2591</v>
      </c>
      <c r="D981" s="4" t="s">
        <v>2592</v>
      </c>
      <c r="E981" s="4" t="s">
        <v>2593</v>
      </c>
      <c r="F981" s="4">
        <v>1</v>
      </c>
      <c r="G981" s="7">
        <v>11.64</v>
      </c>
      <c r="H981" s="4"/>
      <c r="I981" s="7"/>
      <c r="J981" s="7"/>
    </row>
    <row r="982" spans="1:10" hidden="1">
      <c r="A982" s="4" t="s">
        <v>815</v>
      </c>
      <c r="B982" s="4" t="s">
        <v>1020</v>
      </c>
      <c r="C982" s="4" t="s">
        <v>2591</v>
      </c>
      <c r="D982" s="4" t="s">
        <v>2594</v>
      </c>
      <c r="E982" s="4" t="s">
        <v>2593</v>
      </c>
      <c r="F982" s="4">
        <v>1</v>
      </c>
      <c r="G982" s="7">
        <v>11.64</v>
      </c>
      <c r="H982" s="4"/>
      <c r="I982" s="7"/>
      <c r="J982" s="7"/>
    </row>
    <row r="983" spans="1:10" hidden="1">
      <c r="A983" s="4" t="s">
        <v>807</v>
      </c>
      <c r="B983" s="4" t="s">
        <v>945</v>
      </c>
      <c r="C983" s="4" t="s">
        <v>2595</v>
      </c>
      <c r="D983" s="4" t="s">
        <v>1538</v>
      </c>
      <c r="E983" s="4" t="s">
        <v>2596</v>
      </c>
      <c r="F983" s="4">
        <v>4</v>
      </c>
      <c r="G983" s="7">
        <v>46.56</v>
      </c>
      <c r="H983" s="4"/>
      <c r="I983" s="7"/>
      <c r="J983" s="7"/>
    </row>
    <row r="984" spans="1:10" hidden="1">
      <c r="A984" s="4" t="s">
        <v>807</v>
      </c>
      <c r="B984" s="4" t="s">
        <v>808</v>
      </c>
      <c r="C984" s="4" t="s">
        <v>2597</v>
      </c>
      <c r="D984" s="4" t="s">
        <v>1532</v>
      </c>
      <c r="E984" s="4" t="s">
        <v>2598</v>
      </c>
      <c r="F984" s="4">
        <v>3</v>
      </c>
      <c r="G984" s="7">
        <v>34.92</v>
      </c>
      <c r="H984" s="4"/>
      <c r="I984" s="7"/>
      <c r="J984" s="7"/>
    </row>
    <row r="985" spans="1:10" hidden="1">
      <c r="A985" s="4" t="s">
        <v>807</v>
      </c>
      <c r="B985" s="4" t="s">
        <v>811</v>
      </c>
      <c r="C985" s="4" t="s">
        <v>2599</v>
      </c>
      <c r="D985" s="4" t="s">
        <v>2413</v>
      </c>
      <c r="E985" s="4" t="s">
        <v>2600</v>
      </c>
      <c r="F985" s="4">
        <v>1</v>
      </c>
      <c r="G985" s="7">
        <v>11.64</v>
      </c>
      <c r="H985" s="4"/>
      <c r="I985" s="7"/>
      <c r="J985" s="7"/>
    </row>
    <row r="986" spans="1:10" hidden="1">
      <c r="A986" s="4" t="s">
        <v>807</v>
      </c>
      <c r="B986" s="4" t="s">
        <v>825</v>
      </c>
      <c r="C986" s="4" t="s">
        <v>2601</v>
      </c>
      <c r="D986" s="4" t="s">
        <v>2602</v>
      </c>
      <c r="E986" s="4" t="s">
        <v>2603</v>
      </c>
      <c r="F986" s="4">
        <v>1</v>
      </c>
      <c r="G986" s="7">
        <v>11.64</v>
      </c>
      <c r="H986" s="4"/>
      <c r="I986" s="7"/>
      <c r="J986" s="7"/>
    </row>
    <row r="987" spans="1:10" hidden="1">
      <c r="A987" s="4" t="s">
        <v>807</v>
      </c>
      <c r="B987" s="4" t="s">
        <v>825</v>
      </c>
      <c r="C987" s="4" t="s">
        <v>2601</v>
      </c>
      <c r="D987" s="4" t="s">
        <v>2604</v>
      </c>
      <c r="E987" s="4" t="s">
        <v>2603</v>
      </c>
      <c r="F987" s="4">
        <v>1</v>
      </c>
      <c r="G987" s="7">
        <v>11.64</v>
      </c>
      <c r="H987" s="4"/>
      <c r="I987" s="7"/>
      <c r="J987" s="7"/>
    </row>
    <row r="988" spans="1:10" hidden="1">
      <c r="A988" s="4" t="s">
        <v>807</v>
      </c>
      <c r="B988" s="4" t="s">
        <v>808</v>
      </c>
      <c r="C988" s="4" t="s">
        <v>2605</v>
      </c>
      <c r="D988" s="4" t="s">
        <v>818</v>
      </c>
      <c r="E988" s="4" t="s">
        <v>2606</v>
      </c>
      <c r="F988" s="4">
        <v>1</v>
      </c>
      <c r="G988" s="7">
        <v>11.64</v>
      </c>
      <c r="H988" s="4"/>
      <c r="I988" s="7"/>
      <c r="J988" s="7"/>
    </row>
    <row r="989" spans="1:10" hidden="1">
      <c r="A989" s="4" t="s">
        <v>807</v>
      </c>
      <c r="B989" s="4" t="s">
        <v>808</v>
      </c>
      <c r="C989" s="4" t="s">
        <v>2605</v>
      </c>
      <c r="D989" s="4" t="s">
        <v>2607</v>
      </c>
      <c r="E989" s="4" t="s">
        <v>2606</v>
      </c>
      <c r="F989" s="4">
        <v>1</v>
      </c>
      <c r="G989" s="7">
        <v>11.64</v>
      </c>
      <c r="H989" s="4"/>
      <c r="I989" s="7"/>
      <c r="J989" s="7"/>
    </row>
    <row r="990" spans="1:10" hidden="1">
      <c r="A990" s="4" t="s">
        <v>807</v>
      </c>
      <c r="B990" s="4" t="s">
        <v>808</v>
      </c>
      <c r="C990" s="4" t="s">
        <v>2605</v>
      </c>
      <c r="D990" s="4" t="s">
        <v>2608</v>
      </c>
      <c r="E990" s="4" t="s">
        <v>2606</v>
      </c>
      <c r="F990" s="4">
        <v>1</v>
      </c>
      <c r="G990" s="7">
        <v>11.64</v>
      </c>
      <c r="H990" s="4"/>
      <c r="I990" s="7"/>
      <c r="J990" s="7"/>
    </row>
    <row r="991" spans="1:10" hidden="1">
      <c r="A991" s="4" t="s">
        <v>807</v>
      </c>
      <c r="B991" s="4" t="s">
        <v>811</v>
      </c>
      <c r="C991" s="4" t="s">
        <v>2609</v>
      </c>
      <c r="D991" s="4" t="s">
        <v>2610</v>
      </c>
      <c r="E991" s="4" t="s">
        <v>2611</v>
      </c>
      <c r="F991" s="4">
        <v>1</v>
      </c>
      <c r="G991" s="7">
        <v>11.64</v>
      </c>
      <c r="H991" s="4"/>
      <c r="I991" s="7"/>
      <c r="J991" s="7"/>
    </row>
    <row r="992" spans="1:10" hidden="1">
      <c r="A992" s="4" t="s">
        <v>807</v>
      </c>
      <c r="B992" s="4" t="s">
        <v>811</v>
      </c>
      <c r="C992" s="4" t="s">
        <v>2612</v>
      </c>
      <c r="D992" s="4" t="s">
        <v>2613</v>
      </c>
      <c r="E992" s="4" t="s">
        <v>2614</v>
      </c>
      <c r="F992" s="4">
        <v>2</v>
      </c>
      <c r="G992" s="7">
        <v>23.28</v>
      </c>
      <c r="H992" s="4"/>
      <c r="I992" s="7"/>
      <c r="J992" s="7"/>
    </row>
    <row r="993" spans="1:10" hidden="1">
      <c r="A993" s="4" t="s">
        <v>807</v>
      </c>
      <c r="B993" s="4" t="s">
        <v>811</v>
      </c>
      <c r="C993" s="4" t="s">
        <v>2612</v>
      </c>
      <c r="D993" s="4" t="s">
        <v>2615</v>
      </c>
      <c r="E993" s="4" t="s">
        <v>2614</v>
      </c>
      <c r="F993" s="4">
        <v>1</v>
      </c>
      <c r="G993" s="7">
        <v>11.64</v>
      </c>
      <c r="H993" s="4"/>
      <c r="I993" s="7"/>
      <c r="J993" s="7"/>
    </row>
    <row r="994" spans="1:10" hidden="1">
      <c r="A994" s="4" t="s">
        <v>807</v>
      </c>
      <c r="B994" s="4" t="s">
        <v>811</v>
      </c>
      <c r="C994" s="4" t="s">
        <v>2616</v>
      </c>
      <c r="D994" s="4" t="s">
        <v>2617</v>
      </c>
      <c r="E994" s="4" t="s">
        <v>2618</v>
      </c>
      <c r="F994" s="4">
        <v>1</v>
      </c>
      <c r="G994" s="7">
        <v>11.64</v>
      </c>
      <c r="H994" s="4"/>
      <c r="I994" s="7"/>
      <c r="J994" s="7"/>
    </row>
    <row r="995" spans="1:10" hidden="1">
      <c r="A995" s="4" t="s">
        <v>807</v>
      </c>
      <c r="B995" s="4" t="s">
        <v>811</v>
      </c>
      <c r="C995" s="4" t="s">
        <v>2616</v>
      </c>
      <c r="D995" s="4" t="s">
        <v>818</v>
      </c>
      <c r="E995" s="4" t="s">
        <v>2618</v>
      </c>
      <c r="F995" s="4">
        <v>1</v>
      </c>
      <c r="G995" s="7">
        <v>11.64</v>
      </c>
      <c r="H995" s="4"/>
      <c r="I995" s="7"/>
      <c r="J995" s="7"/>
    </row>
    <row r="996" spans="1:10" hidden="1">
      <c r="A996" s="4" t="s">
        <v>807</v>
      </c>
      <c r="B996" s="4" t="s">
        <v>808</v>
      </c>
      <c r="C996" s="4" t="s">
        <v>2619</v>
      </c>
      <c r="D996" s="4" t="s">
        <v>2615</v>
      </c>
      <c r="E996" s="4" t="s">
        <v>2620</v>
      </c>
      <c r="F996" s="4">
        <v>1</v>
      </c>
      <c r="G996" s="7">
        <v>11.64</v>
      </c>
      <c r="H996" s="4"/>
      <c r="I996" s="7"/>
      <c r="J996" s="7"/>
    </row>
    <row r="997" spans="1:10" hidden="1">
      <c r="A997" s="4" t="s">
        <v>807</v>
      </c>
      <c r="B997" s="4" t="s">
        <v>808</v>
      </c>
      <c r="C997" s="4" t="s">
        <v>2619</v>
      </c>
      <c r="D997" s="4" t="s">
        <v>818</v>
      </c>
      <c r="E997" s="4" t="s">
        <v>2620</v>
      </c>
      <c r="F997" s="4">
        <v>2</v>
      </c>
      <c r="G997" s="7">
        <v>23.28</v>
      </c>
      <c r="H997" s="4"/>
      <c r="I997" s="7"/>
      <c r="J997" s="7"/>
    </row>
    <row r="998" spans="1:10" hidden="1">
      <c r="A998" s="4" t="s">
        <v>807</v>
      </c>
      <c r="B998" s="4" t="s">
        <v>811</v>
      </c>
      <c r="C998" s="4" t="s">
        <v>2621</v>
      </c>
      <c r="D998" s="4" t="s">
        <v>2396</v>
      </c>
      <c r="E998" s="4" t="s">
        <v>2622</v>
      </c>
      <c r="F998" s="4">
        <v>1</v>
      </c>
      <c r="G998" s="7">
        <v>11.64</v>
      </c>
      <c r="H998" s="4"/>
      <c r="I998" s="7"/>
      <c r="J998" s="7"/>
    </row>
    <row r="999" spans="1:10" hidden="1">
      <c r="A999" s="4" t="s">
        <v>807</v>
      </c>
      <c r="B999" s="4" t="s">
        <v>811</v>
      </c>
      <c r="C999" s="4" t="s">
        <v>2621</v>
      </c>
      <c r="D999" s="4" t="s">
        <v>2623</v>
      </c>
      <c r="E999" s="4" t="s">
        <v>2622</v>
      </c>
      <c r="F999" s="4">
        <v>2</v>
      </c>
      <c r="G999" s="7">
        <v>23.28</v>
      </c>
      <c r="H999" s="4"/>
      <c r="I999" s="7"/>
      <c r="J999" s="7"/>
    </row>
    <row r="1000" spans="1:10" hidden="1">
      <c r="A1000" s="4" t="s">
        <v>807</v>
      </c>
      <c r="B1000" s="4" t="s">
        <v>811</v>
      </c>
      <c r="C1000" s="4" t="s">
        <v>2621</v>
      </c>
      <c r="D1000" s="4" t="s">
        <v>2624</v>
      </c>
      <c r="E1000" s="4" t="s">
        <v>2622</v>
      </c>
      <c r="F1000" s="4">
        <v>2</v>
      </c>
      <c r="G1000" s="7">
        <v>23.28</v>
      </c>
      <c r="H1000" s="4"/>
      <c r="I1000" s="7"/>
      <c r="J1000" s="7"/>
    </row>
    <row r="1001" spans="1:10" hidden="1">
      <c r="A1001" s="4" t="s">
        <v>807</v>
      </c>
      <c r="B1001" s="4" t="s">
        <v>811</v>
      </c>
      <c r="C1001" s="4" t="s">
        <v>2621</v>
      </c>
      <c r="D1001" s="4" t="s">
        <v>1142</v>
      </c>
      <c r="E1001" s="4" t="s">
        <v>2622</v>
      </c>
      <c r="F1001" s="4">
        <v>2</v>
      </c>
      <c r="G1001" s="7">
        <v>23.28</v>
      </c>
      <c r="H1001" s="4"/>
      <c r="I1001" s="7"/>
      <c r="J1001" s="7"/>
    </row>
    <row r="1002" spans="1:10" hidden="1">
      <c r="A1002" s="4" t="s">
        <v>807</v>
      </c>
      <c r="B1002" s="4" t="s">
        <v>811</v>
      </c>
      <c r="C1002" s="4" t="s">
        <v>2621</v>
      </c>
      <c r="D1002" s="4" t="s">
        <v>1140</v>
      </c>
      <c r="E1002" s="4" t="s">
        <v>2622</v>
      </c>
      <c r="F1002" s="4">
        <v>2</v>
      </c>
      <c r="G1002" s="7">
        <v>23.28</v>
      </c>
      <c r="H1002" s="4"/>
      <c r="I1002" s="7"/>
      <c r="J1002" s="7"/>
    </row>
    <row r="1003" spans="1:10" hidden="1">
      <c r="A1003" s="4" t="s">
        <v>807</v>
      </c>
      <c r="B1003" s="4" t="s">
        <v>811</v>
      </c>
      <c r="C1003" s="4" t="s">
        <v>2625</v>
      </c>
      <c r="D1003" s="4" t="s">
        <v>1532</v>
      </c>
      <c r="E1003" s="4" t="s">
        <v>2626</v>
      </c>
      <c r="F1003" s="4">
        <v>1</v>
      </c>
      <c r="G1003" s="7">
        <v>11.64</v>
      </c>
      <c r="H1003" s="4"/>
      <c r="I1003" s="7"/>
      <c r="J1003" s="7"/>
    </row>
    <row r="1004" spans="1:10" hidden="1">
      <c r="A1004" s="4" t="s">
        <v>807</v>
      </c>
      <c r="B1004" s="4" t="s">
        <v>811</v>
      </c>
      <c r="C1004" s="4" t="s">
        <v>2627</v>
      </c>
      <c r="D1004" s="4" t="s">
        <v>2628</v>
      </c>
      <c r="E1004" s="4" t="s">
        <v>2629</v>
      </c>
      <c r="F1004" s="4">
        <v>1</v>
      </c>
      <c r="G1004" s="7">
        <v>11.64</v>
      </c>
      <c r="H1004" s="4"/>
      <c r="I1004" s="7"/>
      <c r="J1004" s="7"/>
    </row>
    <row r="1005" spans="1:10" hidden="1">
      <c r="A1005" s="4" t="s">
        <v>807</v>
      </c>
      <c r="B1005" s="4" t="s">
        <v>811</v>
      </c>
      <c r="C1005" s="4" t="s">
        <v>2627</v>
      </c>
      <c r="D1005" s="4" t="s">
        <v>2526</v>
      </c>
      <c r="E1005" s="4" t="s">
        <v>2629</v>
      </c>
      <c r="F1005" s="4">
        <v>1</v>
      </c>
      <c r="G1005" s="7">
        <v>11.64</v>
      </c>
      <c r="H1005" s="4"/>
      <c r="I1005" s="7"/>
      <c r="J1005" s="7"/>
    </row>
    <row r="1006" spans="1:10" hidden="1">
      <c r="A1006" s="4" t="s">
        <v>807</v>
      </c>
      <c r="B1006" s="4" t="s">
        <v>811</v>
      </c>
      <c r="C1006" s="4" t="s">
        <v>2627</v>
      </c>
      <c r="D1006" s="4" t="s">
        <v>2630</v>
      </c>
      <c r="E1006" s="4" t="s">
        <v>2629</v>
      </c>
      <c r="F1006" s="4">
        <v>1</v>
      </c>
      <c r="G1006" s="7">
        <v>11.64</v>
      </c>
      <c r="H1006" s="4"/>
      <c r="I1006" s="7"/>
      <c r="J1006" s="7"/>
    </row>
    <row r="1007" spans="1:10" hidden="1">
      <c r="A1007" s="4" t="s">
        <v>807</v>
      </c>
      <c r="B1007" s="4" t="s">
        <v>811</v>
      </c>
      <c r="C1007" s="4" t="s">
        <v>2631</v>
      </c>
      <c r="D1007" s="4" t="s">
        <v>2632</v>
      </c>
      <c r="E1007" s="4" t="s">
        <v>2633</v>
      </c>
      <c r="F1007" s="4">
        <v>1</v>
      </c>
      <c r="G1007" s="7">
        <v>11.64</v>
      </c>
      <c r="H1007" s="4"/>
      <c r="I1007" s="7"/>
      <c r="J1007" s="7"/>
    </row>
    <row r="1008" spans="1:10" hidden="1">
      <c r="A1008" s="4" t="s">
        <v>807</v>
      </c>
      <c r="B1008" s="4" t="s">
        <v>811</v>
      </c>
      <c r="C1008" s="4" t="s">
        <v>2634</v>
      </c>
      <c r="D1008" s="4" t="s">
        <v>2436</v>
      </c>
      <c r="E1008" s="4" t="s">
        <v>2635</v>
      </c>
      <c r="F1008" s="4">
        <v>1</v>
      </c>
      <c r="G1008" s="7">
        <v>11.64</v>
      </c>
      <c r="H1008" s="4"/>
      <c r="I1008" s="7"/>
      <c r="J1008" s="7"/>
    </row>
    <row r="1009" spans="1:10" hidden="1">
      <c r="A1009" s="4" t="s">
        <v>807</v>
      </c>
      <c r="B1009" s="4" t="s">
        <v>811</v>
      </c>
      <c r="C1009" s="4" t="s">
        <v>2634</v>
      </c>
      <c r="D1009" s="4" t="s">
        <v>2398</v>
      </c>
      <c r="E1009" s="4" t="s">
        <v>2635</v>
      </c>
      <c r="F1009" s="4">
        <v>1</v>
      </c>
      <c r="G1009" s="7">
        <v>11.64</v>
      </c>
      <c r="H1009" s="4"/>
      <c r="I1009" s="7"/>
      <c r="J1009" s="7"/>
    </row>
    <row r="1010" spans="1:10" hidden="1">
      <c r="A1010" s="4" t="s">
        <v>807</v>
      </c>
      <c r="B1010" s="4" t="s">
        <v>811</v>
      </c>
      <c r="C1010" s="4" t="s">
        <v>2636</v>
      </c>
      <c r="D1010" s="4" t="s">
        <v>1532</v>
      </c>
      <c r="E1010" s="4" t="s">
        <v>2637</v>
      </c>
      <c r="F1010" s="4">
        <v>1</v>
      </c>
      <c r="G1010" s="7">
        <v>11.64</v>
      </c>
      <c r="H1010" s="4"/>
      <c r="I1010" s="7"/>
      <c r="J1010" s="7"/>
    </row>
    <row r="1011" spans="1:10" hidden="1">
      <c r="A1011" s="4" t="s">
        <v>807</v>
      </c>
      <c r="B1011" s="4" t="s">
        <v>811</v>
      </c>
      <c r="C1011" s="4" t="s">
        <v>2638</v>
      </c>
      <c r="D1011" s="4" t="s">
        <v>2456</v>
      </c>
      <c r="E1011" s="4" t="s">
        <v>2639</v>
      </c>
      <c r="F1011" s="4">
        <v>1</v>
      </c>
      <c r="G1011" s="7">
        <v>11.64</v>
      </c>
      <c r="H1011" s="4"/>
      <c r="I1011" s="7"/>
      <c r="J1011" s="7"/>
    </row>
    <row r="1012" spans="1:10" hidden="1">
      <c r="A1012" s="4" t="s">
        <v>807</v>
      </c>
      <c r="B1012" s="4" t="s">
        <v>811</v>
      </c>
      <c r="C1012" s="4" t="s">
        <v>2640</v>
      </c>
      <c r="D1012" s="4" t="s">
        <v>2641</v>
      </c>
      <c r="E1012" s="4" t="s">
        <v>2642</v>
      </c>
      <c r="F1012" s="4">
        <v>2</v>
      </c>
      <c r="G1012" s="7">
        <v>23.28</v>
      </c>
      <c r="H1012" s="4"/>
      <c r="I1012" s="7"/>
      <c r="J1012" s="7"/>
    </row>
    <row r="1013" spans="1:10" hidden="1">
      <c r="A1013" s="4" t="s">
        <v>807</v>
      </c>
      <c r="B1013" s="4" t="s">
        <v>811</v>
      </c>
      <c r="C1013" s="4" t="s">
        <v>2640</v>
      </c>
      <c r="D1013" s="4" t="s">
        <v>2643</v>
      </c>
      <c r="E1013" s="4" t="s">
        <v>2642</v>
      </c>
      <c r="F1013" s="4">
        <v>2</v>
      </c>
      <c r="G1013" s="7">
        <v>23.28</v>
      </c>
      <c r="H1013" s="4"/>
      <c r="I1013" s="7"/>
      <c r="J1013" s="7"/>
    </row>
    <row r="1014" spans="1:10" hidden="1">
      <c r="A1014" s="4" t="s">
        <v>1502</v>
      </c>
      <c r="B1014" s="4" t="s">
        <v>2644</v>
      </c>
      <c r="C1014" s="4" t="s">
        <v>2645</v>
      </c>
      <c r="D1014" s="4" t="s">
        <v>1534</v>
      </c>
      <c r="E1014" s="4" t="s">
        <v>2646</v>
      </c>
      <c r="F1014" s="4">
        <v>8</v>
      </c>
      <c r="G1014" s="7">
        <v>93.12</v>
      </c>
      <c r="H1014" s="4"/>
      <c r="I1014" s="7"/>
      <c r="J1014" s="7"/>
    </row>
    <row r="1015" spans="1:10" hidden="1">
      <c r="A1015" s="4" t="s">
        <v>807</v>
      </c>
      <c r="B1015" s="4" t="s">
        <v>962</v>
      </c>
      <c r="C1015" s="4" t="s">
        <v>2647</v>
      </c>
      <c r="D1015" s="4" t="s">
        <v>1028</v>
      </c>
      <c r="E1015" s="4" t="s">
        <v>2648</v>
      </c>
      <c r="F1015" s="4">
        <v>1</v>
      </c>
      <c r="G1015" s="7">
        <v>11.64</v>
      </c>
      <c r="H1015" s="4"/>
      <c r="I1015" s="7"/>
      <c r="J1015" s="7"/>
    </row>
    <row r="1016" spans="1:10" hidden="1">
      <c r="A1016" s="4" t="s">
        <v>815</v>
      </c>
      <c r="B1016" s="4" t="s">
        <v>816</v>
      </c>
      <c r="C1016" s="4" t="s">
        <v>2649</v>
      </c>
      <c r="D1016" s="4" t="s">
        <v>1312</v>
      </c>
      <c r="E1016" s="4" t="s">
        <v>2650</v>
      </c>
      <c r="F1016" s="4">
        <v>2</v>
      </c>
      <c r="G1016" s="7">
        <v>23.28</v>
      </c>
      <c r="H1016" s="4"/>
      <c r="I1016" s="7"/>
      <c r="J1016" s="7"/>
    </row>
    <row r="1017" spans="1:10" hidden="1">
      <c r="A1017" s="4" t="s">
        <v>815</v>
      </c>
      <c r="B1017" s="4" t="s">
        <v>816</v>
      </c>
      <c r="C1017" s="4" t="s">
        <v>2649</v>
      </c>
      <c r="D1017" s="4" t="s">
        <v>2651</v>
      </c>
      <c r="E1017" s="4" t="s">
        <v>2650</v>
      </c>
      <c r="F1017" s="4">
        <v>1</v>
      </c>
      <c r="G1017" s="7">
        <v>11.64</v>
      </c>
      <c r="H1017" s="4"/>
      <c r="I1017" s="7"/>
      <c r="J1017" s="7"/>
    </row>
    <row r="1018" spans="1:10" hidden="1">
      <c r="A1018" s="4" t="s">
        <v>815</v>
      </c>
      <c r="B1018" s="4" t="s">
        <v>816</v>
      </c>
      <c r="C1018" s="4" t="s">
        <v>2652</v>
      </c>
      <c r="D1018" s="4" t="s">
        <v>2653</v>
      </c>
      <c r="E1018" s="4" t="s">
        <v>2654</v>
      </c>
      <c r="F1018" s="4">
        <v>1</v>
      </c>
      <c r="G1018" s="7">
        <v>11.64</v>
      </c>
      <c r="H1018" s="4"/>
      <c r="I1018" s="7"/>
      <c r="J1018" s="7"/>
    </row>
    <row r="1019" spans="1:10" s="10" customFormat="1" hidden="1">
      <c r="A1019" t="s">
        <v>807</v>
      </c>
      <c r="B1019"/>
      <c r="C1019" t="s">
        <v>2655</v>
      </c>
      <c r="D1019"/>
      <c r="E1019"/>
      <c r="F1019"/>
      <c r="G1019" s="5"/>
      <c r="H1019"/>
      <c r="I1019" s="5"/>
      <c r="J1019" s="5">
        <v>288.12</v>
      </c>
    </row>
    <row r="1021" spans="1:10">
      <c r="G1021"/>
      <c r="I1021"/>
      <c r="J1021"/>
    </row>
    <row r="1022" spans="1:10">
      <c r="G1022"/>
      <c r="I1022"/>
      <c r="J1022"/>
    </row>
    <row r="1023" spans="1:10">
      <c r="G1023"/>
      <c r="I1023"/>
      <c r="J1023"/>
    </row>
    <row r="1024" spans="1:10">
      <c r="G1024"/>
      <c r="I1024"/>
      <c r="J1024"/>
    </row>
    <row r="1025" customFormat="1"/>
    <row r="1026" customFormat="1"/>
  </sheetData>
  <autoFilter ref="A4:J1019" xr:uid="{19A70B91-6B35-49DE-B8A2-7CEE41FD7BCA}">
    <filterColumn colId="0">
      <filters>
        <filter val="NEONAIL"/>
      </filters>
    </filterColumn>
  </autoFilter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BD55-40D1-4A84-A066-AC44B893B225}">
  <dimension ref="A3:G18"/>
  <sheetViews>
    <sheetView workbookViewId="0">
      <selection activeCell="A37" sqref="A37"/>
    </sheetView>
  </sheetViews>
  <sheetFormatPr defaultColWidth="11.42578125" defaultRowHeight="15"/>
  <cols>
    <col min="1" max="1" width="17.5703125" bestFit="1" customWidth="1"/>
    <col min="2" max="2" width="20.85546875" bestFit="1" customWidth="1"/>
    <col min="3" max="3" width="15.7109375" bestFit="1" customWidth="1"/>
    <col min="4" max="4" width="14.7109375" bestFit="1" customWidth="1"/>
  </cols>
  <sheetData>
    <row r="3" spans="1:7">
      <c r="A3" s="12" t="s">
        <v>2656</v>
      </c>
      <c r="B3" t="s">
        <v>2657</v>
      </c>
      <c r="C3" t="s">
        <v>2658</v>
      </c>
      <c r="D3" t="s">
        <v>2659</v>
      </c>
    </row>
    <row r="4" spans="1:7">
      <c r="A4" s="13" t="s">
        <v>2366</v>
      </c>
      <c r="D4">
        <v>23.28</v>
      </c>
    </row>
    <row r="5" spans="1:7">
      <c r="A5" s="13" t="s">
        <v>1535</v>
      </c>
      <c r="C5">
        <v>8.99</v>
      </c>
      <c r="D5">
        <v>151.32</v>
      </c>
    </row>
    <row r="6" spans="1:7">
      <c r="A6" s="13" t="s">
        <v>807</v>
      </c>
      <c r="B6">
        <v>288.12</v>
      </c>
      <c r="C6">
        <v>2912.7599999999807</v>
      </c>
      <c r="D6">
        <v>7205.1600000000089</v>
      </c>
    </row>
    <row r="7" spans="1:7">
      <c r="A7" s="13" t="s">
        <v>887</v>
      </c>
      <c r="C7">
        <v>62.930000000000007</v>
      </c>
    </row>
    <row r="8" spans="1:7">
      <c r="A8" s="13" t="s">
        <v>915</v>
      </c>
      <c r="C8">
        <v>107.87999999999998</v>
      </c>
      <c r="D8">
        <v>151.32</v>
      </c>
    </row>
    <row r="9" spans="1:7">
      <c r="A9" s="13" t="s">
        <v>2119</v>
      </c>
      <c r="C9">
        <v>0</v>
      </c>
      <c r="F9" t="s">
        <v>807</v>
      </c>
      <c r="G9" s="14">
        <v>10468.96999999999</v>
      </c>
    </row>
    <row r="10" spans="1:7">
      <c r="A10" s="13" t="s">
        <v>1502</v>
      </c>
      <c r="C10">
        <v>8.99</v>
      </c>
      <c r="D10">
        <v>93.12</v>
      </c>
      <c r="F10" t="s">
        <v>2366</v>
      </c>
      <c r="G10" s="14">
        <v>23.28</v>
      </c>
    </row>
    <row r="11" spans="1:7">
      <c r="A11" s="13" t="s">
        <v>1540</v>
      </c>
      <c r="C11">
        <v>0</v>
      </c>
      <c r="F11" t="s">
        <v>1535</v>
      </c>
      <c r="G11" s="14">
        <v>160.31</v>
      </c>
    </row>
    <row r="12" spans="1:7">
      <c r="A12" s="13" t="s">
        <v>815</v>
      </c>
      <c r="C12">
        <v>89.899999999999991</v>
      </c>
      <c r="D12">
        <v>116.4</v>
      </c>
      <c r="F12" t="s">
        <v>915</v>
      </c>
      <c r="G12" s="14">
        <v>259.2</v>
      </c>
    </row>
    <row r="13" spans="1:7">
      <c r="A13" s="13" t="s">
        <v>1051</v>
      </c>
      <c r="C13">
        <v>44.95</v>
      </c>
      <c r="D13">
        <v>11.64</v>
      </c>
      <c r="F13" t="s">
        <v>1502</v>
      </c>
      <c r="G13" s="14">
        <v>102.11</v>
      </c>
    </row>
    <row r="14" spans="1:7">
      <c r="A14" s="13" t="s">
        <v>1261</v>
      </c>
      <c r="C14">
        <v>8.99</v>
      </c>
      <c r="F14" t="s">
        <v>815</v>
      </c>
      <c r="G14" s="14">
        <v>206.3</v>
      </c>
    </row>
    <row r="15" spans="1:7">
      <c r="A15" s="13" t="s">
        <v>2660</v>
      </c>
      <c r="B15">
        <v>288.12</v>
      </c>
      <c r="C15">
        <v>3245.3899999999799</v>
      </c>
      <c r="D15">
        <v>7752.2400000000089</v>
      </c>
      <c r="F15" t="s">
        <v>1051</v>
      </c>
      <c r="G15" s="14">
        <v>56.59</v>
      </c>
    </row>
    <row r="16" spans="1:7">
      <c r="F16" t="s">
        <v>1261</v>
      </c>
      <c r="G16" s="14">
        <v>8.99</v>
      </c>
    </row>
    <row r="17" spans="7:7">
      <c r="G17" s="14">
        <f>SUM(G9:G16)</f>
        <v>11285.749999999991</v>
      </c>
    </row>
    <row r="18" spans="7:7">
      <c r="G18" s="14">
        <f>G17-G9</f>
        <v>816.78000000000065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A740-2793-46ED-9DDA-0615B0F68EE5}">
  <sheetPr filterMode="1"/>
  <dimension ref="A1:XEQ1015"/>
  <sheetViews>
    <sheetView workbookViewId="0">
      <pane ySplit="1" topLeftCell="A2" activePane="bottomLeft" state="frozen"/>
      <selection pane="bottomLeft" sqref="A1:XFD1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7.5703125" bestFit="1" customWidth="1"/>
    <col min="6" max="6" width="11.85546875" bestFit="1" customWidth="1"/>
    <col min="7" max="7" width="13.7109375" style="5" customWidth="1"/>
    <col min="13" max="13" width="17.5703125" bestFit="1" customWidth="1"/>
    <col min="14" max="14" width="20.7109375" bestFit="1" customWidth="1"/>
  </cols>
  <sheetData>
    <row r="1" spans="1:14" ht="17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8</v>
      </c>
      <c r="G1" s="8" t="s">
        <v>7</v>
      </c>
      <c r="M1" s="12" t="s">
        <v>2656</v>
      </c>
      <c r="N1" t="s">
        <v>2661</v>
      </c>
    </row>
    <row r="2" spans="1:14" hidden="1">
      <c r="A2" s="4" t="s">
        <v>1540</v>
      </c>
      <c r="B2" s="4" t="s">
        <v>1540</v>
      </c>
      <c r="C2" s="4" t="s">
        <v>1541</v>
      </c>
      <c r="D2" s="4" t="s">
        <v>47</v>
      </c>
      <c r="E2" s="4" t="s">
        <v>1542</v>
      </c>
      <c r="F2" s="4">
        <v>0</v>
      </c>
      <c r="G2" s="7">
        <v>0</v>
      </c>
      <c r="M2" s="13" t="s">
        <v>1535</v>
      </c>
      <c r="N2">
        <v>4</v>
      </c>
    </row>
    <row r="3" spans="1:14" hidden="1">
      <c r="A3" s="4" t="s">
        <v>807</v>
      </c>
      <c r="B3" s="4" t="s">
        <v>811</v>
      </c>
      <c r="C3" s="4" t="s">
        <v>1543</v>
      </c>
      <c r="D3" s="4" t="s">
        <v>649</v>
      </c>
      <c r="E3" s="4" t="s">
        <v>1544</v>
      </c>
      <c r="F3" s="4">
        <v>0</v>
      </c>
      <c r="G3" s="7">
        <v>0</v>
      </c>
      <c r="M3" s="13" t="s">
        <v>807</v>
      </c>
      <c r="N3">
        <v>682</v>
      </c>
    </row>
    <row r="4" spans="1:14" hidden="1">
      <c r="A4" s="4" t="s">
        <v>807</v>
      </c>
      <c r="B4" s="4" t="s">
        <v>825</v>
      </c>
      <c r="C4" s="4" t="s">
        <v>1545</v>
      </c>
      <c r="D4" s="4" t="s">
        <v>649</v>
      </c>
      <c r="E4" s="4" t="s">
        <v>1546</v>
      </c>
      <c r="F4" s="4">
        <v>0</v>
      </c>
      <c r="G4" s="7">
        <v>0</v>
      </c>
      <c r="M4" s="13" t="s">
        <v>887</v>
      </c>
      <c r="N4">
        <v>12</v>
      </c>
    </row>
    <row r="5" spans="1:14">
      <c r="A5" s="4" t="s">
        <v>807</v>
      </c>
      <c r="B5" s="4" t="s">
        <v>1547</v>
      </c>
      <c r="C5" s="4" t="s">
        <v>1548</v>
      </c>
      <c r="D5" s="4" t="s">
        <v>820</v>
      </c>
      <c r="E5" s="4" t="s">
        <v>1549</v>
      </c>
      <c r="F5" s="4">
        <v>0</v>
      </c>
      <c r="G5" s="7">
        <v>0</v>
      </c>
      <c r="M5" s="13" t="s">
        <v>915</v>
      </c>
      <c r="N5">
        <v>40</v>
      </c>
    </row>
    <row r="6" spans="1:14">
      <c r="A6" s="4" t="s">
        <v>807</v>
      </c>
      <c r="B6" s="4" t="s">
        <v>945</v>
      </c>
      <c r="C6" s="4" t="s">
        <v>1550</v>
      </c>
      <c r="D6" s="4" t="s">
        <v>820</v>
      </c>
      <c r="E6" s="4" t="s">
        <v>1551</v>
      </c>
      <c r="F6" s="4">
        <v>0</v>
      </c>
      <c r="G6" s="7">
        <v>0</v>
      </c>
      <c r="M6" s="13" t="s">
        <v>2119</v>
      </c>
      <c r="N6">
        <v>11</v>
      </c>
    </row>
    <row r="7" spans="1:14">
      <c r="A7" s="4" t="s">
        <v>807</v>
      </c>
      <c r="B7" s="4" t="s">
        <v>825</v>
      </c>
      <c r="C7" s="4" t="s">
        <v>1552</v>
      </c>
      <c r="D7" s="4" t="s">
        <v>820</v>
      </c>
      <c r="E7" s="4" t="s">
        <v>1553</v>
      </c>
      <c r="F7" s="4">
        <v>0</v>
      </c>
      <c r="G7" s="7">
        <v>0</v>
      </c>
      <c r="M7" s="13" t="s">
        <v>1502</v>
      </c>
      <c r="N7">
        <v>1</v>
      </c>
    </row>
    <row r="8" spans="1:14">
      <c r="A8" s="4" t="s">
        <v>807</v>
      </c>
      <c r="B8" s="4" t="s">
        <v>825</v>
      </c>
      <c r="C8" s="4" t="s">
        <v>1554</v>
      </c>
      <c r="D8" s="4" t="s">
        <v>820</v>
      </c>
      <c r="E8" s="4" t="s">
        <v>1555</v>
      </c>
      <c r="F8" s="4">
        <v>0</v>
      </c>
      <c r="G8" s="7">
        <v>0</v>
      </c>
      <c r="M8" s="13" t="s">
        <v>1540</v>
      </c>
      <c r="N8">
        <v>1</v>
      </c>
    </row>
    <row r="9" spans="1:14">
      <c r="A9" s="4" t="s">
        <v>807</v>
      </c>
      <c r="B9" s="4" t="s">
        <v>825</v>
      </c>
      <c r="C9" s="4" t="s">
        <v>1556</v>
      </c>
      <c r="D9" s="4" t="s">
        <v>820</v>
      </c>
      <c r="E9" s="4" t="s">
        <v>1557</v>
      </c>
      <c r="F9" s="4">
        <v>0</v>
      </c>
      <c r="G9" s="7">
        <v>0</v>
      </c>
      <c r="M9" s="13" t="s">
        <v>815</v>
      </c>
      <c r="N9">
        <v>16</v>
      </c>
    </row>
    <row r="10" spans="1:14">
      <c r="A10" s="4" t="s">
        <v>807</v>
      </c>
      <c r="B10" s="4" t="s">
        <v>811</v>
      </c>
      <c r="C10" s="4" t="s">
        <v>1558</v>
      </c>
      <c r="D10" s="4" t="s">
        <v>820</v>
      </c>
      <c r="E10" s="4" t="s">
        <v>1559</v>
      </c>
      <c r="F10" s="4">
        <v>0</v>
      </c>
      <c r="G10" s="7">
        <v>0</v>
      </c>
      <c r="M10" s="13" t="s">
        <v>1051</v>
      </c>
      <c r="N10">
        <v>16</v>
      </c>
    </row>
    <row r="11" spans="1:14">
      <c r="A11" s="4" t="s">
        <v>807</v>
      </c>
      <c r="B11" s="4" t="s">
        <v>811</v>
      </c>
      <c r="C11" s="4" t="s">
        <v>1560</v>
      </c>
      <c r="D11" s="4" t="s">
        <v>820</v>
      </c>
      <c r="E11" s="4" t="s">
        <v>1561</v>
      </c>
      <c r="F11" s="4">
        <v>0</v>
      </c>
      <c r="G11" s="7">
        <v>0</v>
      </c>
      <c r="M11" s="13" t="s">
        <v>1261</v>
      </c>
      <c r="N11">
        <v>1</v>
      </c>
    </row>
    <row r="12" spans="1:14">
      <c r="A12" s="4" t="s">
        <v>915</v>
      </c>
      <c r="B12" s="4"/>
      <c r="C12" s="4" t="s">
        <v>1562</v>
      </c>
      <c r="D12" s="4" t="s">
        <v>820</v>
      </c>
      <c r="E12" s="4" t="s">
        <v>1563</v>
      </c>
      <c r="F12" s="4">
        <v>0</v>
      </c>
      <c r="G12" s="7">
        <v>0</v>
      </c>
      <c r="M12" s="13" t="s">
        <v>2660</v>
      </c>
      <c r="N12">
        <v>784</v>
      </c>
    </row>
    <row r="13" spans="1:14">
      <c r="A13" s="4" t="s">
        <v>915</v>
      </c>
      <c r="B13" s="4"/>
      <c r="C13" s="4" t="s">
        <v>1564</v>
      </c>
      <c r="D13" s="4" t="s">
        <v>820</v>
      </c>
      <c r="E13" s="4" t="s">
        <v>1565</v>
      </c>
      <c r="F13" s="4">
        <v>0</v>
      </c>
      <c r="G13" s="7">
        <v>0</v>
      </c>
    </row>
    <row r="14" spans="1:14">
      <c r="A14" s="4" t="s">
        <v>807</v>
      </c>
      <c r="B14" s="4" t="s">
        <v>811</v>
      </c>
      <c r="C14" s="4" t="s">
        <v>1566</v>
      </c>
      <c r="D14" s="4" t="s">
        <v>820</v>
      </c>
      <c r="E14" s="4" t="s">
        <v>1567</v>
      </c>
      <c r="F14" s="4">
        <v>0</v>
      </c>
      <c r="G14" s="7">
        <v>0</v>
      </c>
    </row>
    <row r="15" spans="1:14">
      <c r="A15" s="4" t="s">
        <v>807</v>
      </c>
      <c r="B15" s="4" t="s">
        <v>811</v>
      </c>
      <c r="C15" s="4" t="s">
        <v>1568</v>
      </c>
      <c r="D15" s="4" t="s">
        <v>820</v>
      </c>
      <c r="E15" s="4" t="s">
        <v>1191</v>
      </c>
      <c r="F15" s="4">
        <v>0</v>
      </c>
      <c r="G15" s="7">
        <v>0</v>
      </c>
    </row>
    <row r="16" spans="1:14">
      <c r="A16" s="4" t="s">
        <v>807</v>
      </c>
      <c r="B16" s="4" t="s">
        <v>825</v>
      </c>
      <c r="C16" s="4" t="s">
        <v>1569</v>
      </c>
      <c r="D16" s="4" t="s">
        <v>820</v>
      </c>
      <c r="E16" s="4" t="s">
        <v>1570</v>
      </c>
      <c r="F16" s="4">
        <v>0</v>
      </c>
      <c r="G16" s="7">
        <v>0</v>
      </c>
    </row>
    <row r="17" spans="1:7">
      <c r="A17" s="4" t="s">
        <v>807</v>
      </c>
      <c r="B17" s="4" t="s">
        <v>825</v>
      </c>
      <c r="C17" s="4" t="s">
        <v>1571</v>
      </c>
      <c r="D17" s="4" t="s">
        <v>820</v>
      </c>
      <c r="E17" s="4" t="s">
        <v>1572</v>
      </c>
      <c r="F17" s="4">
        <v>0</v>
      </c>
      <c r="G17" s="7">
        <v>0</v>
      </c>
    </row>
    <row r="18" spans="1:7">
      <c r="A18" s="4" t="s">
        <v>807</v>
      </c>
      <c r="B18" s="4" t="s">
        <v>825</v>
      </c>
      <c r="C18" s="4" t="s">
        <v>1573</v>
      </c>
      <c r="D18" s="4" t="s">
        <v>820</v>
      </c>
      <c r="E18" s="4" t="s">
        <v>1574</v>
      </c>
      <c r="F18" s="4">
        <v>0</v>
      </c>
      <c r="G18" s="7">
        <v>0</v>
      </c>
    </row>
    <row r="19" spans="1:7">
      <c r="A19" s="4" t="s">
        <v>807</v>
      </c>
      <c r="B19" s="4" t="s">
        <v>808</v>
      </c>
      <c r="C19" s="4" t="s">
        <v>1575</v>
      </c>
      <c r="D19" s="4" t="s">
        <v>820</v>
      </c>
      <c r="E19" s="4" t="s">
        <v>1576</v>
      </c>
      <c r="F19" s="4">
        <v>0</v>
      </c>
      <c r="G19" s="7">
        <v>0</v>
      </c>
    </row>
    <row r="20" spans="1:7">
      <c r="A20" s="4" t="s">
        <v>807</v>
      </c>
      <c r="B20" s="4" t="s">
        <v>811</v>
      </c>
      <c r="C20" s="4" t="s">
        <v>1577</v>
      </c>
      <c r="D20" s="4" t="s">
        <v>820</v>
      </c>
      <c r="E20" s="4" t="s">
        <v>1578</v>
      </c>
      <c r="F20" s="4">
        <v>0</v>
      </c>
      <c r="G20" s="7">
        <v>0</v>
      </c>
    </row>
    <row r="21" spans="1:7">
      <c r="A21" s="4" t="s">
        <v>807</v>
      </c>
      <c r="B21" s="4" t="s">
        <v>808</v>
      </c>
      <c r="C21" s="4" t="s">
        <v>1579</v>
      </c>
      <c r="D21" s="4" t="s">
        <v>820</v>
      </c>
      <c r="E21" s="4" t="s">
        <v>1580</v>
      </c>
      <c r="F21" s="4">
        <v>0</v>
      </c>
      <c r="G21" s="7">
        <v>0</v>
      </c>
    </row>
    <row r="22" spans="1:7">
      <c r="A22" s="4" t="s">
        <v>807</v>
      </c>
      <c r="B22" s="4" t="s">
        <v>808</v>
      </c>
      <c r="C22" s="4" t="s">
        <v>1581</v>
      </c>
      <c r="D22" s="4" t="s">
        <v>820</v>
      </c>
      <c r="E22" s="4" t="s">
        <v>1582</v>
      </c>
      <c r="F22" s="4">
        <v>0</v>
      </c>
      <c r="G22" s="7">
        <v>0</v>
      </c>
    </row>
    <row r="23" spans="1:7">
      <c r="A23" s="4" t="s">
        <v>1051</v>
      </c>
      <c r="B23" s="4"/>
      <c r="C23" s="4" t="s">
        <v>1583</v>
      </c>
      <c r="D23" s="4" t="s">
        <v>820</v>
      </c>
      <c r="E23" s="4" t="s">
        <v>1584</v>
      </c>
      <c r="F23" s="4">
        <v>0</v>
      </c>
      <c r="G23" s="7">
        <v>0</v>
      </c>
    </row>
    <row r="24" spans="1:7">
      <c r="A24" s="4" t="s">
        <v>815</v>
      </c>
      <c r="B24" s="4" t="s">
        <v>1585</v>
      </c>
      <c r="C24" s="4" t="s">
        <v>1586</v>
      </c>
      <c r="D24" s="4" t="s">
        <v>820</v>
      </c>
      <c r="E24" s="4" t="s">
        <v>1587</v>
      </c>
      <c r="F24" s="4">
        <v>0</v>
      </c>
      <c r="G24" s="7">
        <v>0</v>
      </c>
    </row>
    <row r="25" spans="1:7">
      <c r="A25" s="4" t="s">
        <v>807</v>
      </c>
      <c r="B25" s="4" t="s">
        <v>811</v>
      </c>
      <c r="C25" s="4" t="s">
        <v>1588</v>
      </c>
      <c r="D25" s="4" t="s">
        <v>820</v>
      </c>
      <c r="E25" s="4" t="s">
        <v>1589</v>
      </c>
      <c r="F25" s="4">
        <v>0</v>
      </c>
      <c r="G25" s="7">
        <v>0</v>
      </c>
    </row>
    <row r="26" spans="1:7">
      <c r="A26" s="4" t="s">
        <v>807</v>
      </c>
      <c r="B26" s="4" t="s">
        <v>811</v>
      </c>
      <c r="C26" s="4" t="s">
        <v>1590</v>
      </c>
      <c r="D26" s="4" t="s">
        <v>820</v>
      </c>
      <c r="E26" s="4"/>
      <c r="F26" s="4">
        <v>0</v>
      </c>
      <c r="G26" s="7">
        <v>0</v>
      </c>
    </row>
    <row r="27" spans="1:7">
      <c r="A27" s="4" t="s">
        <v>807</v>
      </c>
      <c r="B27" s="4" t="s">
        <v>811</v>
      </c>
      <c r="C27" s="4" t="s">
        <v>1591</v>
      </c>
      <c r="D27" s="4" t="s">
        <v>820</v>
      </c>
      <c r="E27" s="4" t="s">
        <v>1592</v>
      </c>
      <c r="F27" s="4">
        <v>0</v>
      </c>
      <c r="G27" s="7">
        <v>0</v>
      </c>
    </row>
    <row r="28" spans="1:7">
      <c r="A28" s="4" t="s">
        <v>807</v>
      </c>
      <c r="B28" s="4" t="s">
        <v>811</v>
      </c>
      <c r="C28" s="4" t="s">
        <v>1593</v>
      </c>
      <c r="D28" s="4" t="s">
        <v>820</v>
      </c>
      <c r="E28" s="4" t="s">
        <v>1594</v>
      </c>
      <c r="F28" s="4">
        <v>0</v>
      </c>
      <c r="G28" s="7">
        <v>0</v>
      </c>
    </row>
    <row r="29" spans="1:7">
      <c r="A29" s="4" t="s">
        <v>807</v>
      </c>
      <c r="B29" s="4" t="s">
        <v>811</v>
      </c>
      <c r="C29" s="4" t="s">
        <v>1595</v>
      </c>
      <c r="D29" s="4" t="s">
        <v>820</v>
      </c>
      <c r="E29" s="4" t="s">
        <v>1596</v>
      </c>
      <c r="F29" s="4">
        <v>0</v>
      </c>
      <c r="G29" s="7">
        <v>0</v>
      </c>
    </row>
    <row r="30" spans="1:7">
      <c r="A30" s="4" t="s">
        <v>807</v>
      </c>
      <c r="B30" s="4" t="s">
        <v>811</v>
      </c>
      <c r="C30" s="4" t="s">
        <v>1597</v>
      </c>
      <c r="D30" s="4" t="s">
        <v>820</v>
      </c>
      <c r="E30" s="4" t="s">
        <v>1598</v>
      </c>
      <c r="F30" s="4">
        <v>0</v>
      </c>
      <c r="G30" s="7">
        <v>0</v>
      </c>
    </row>
    <row r="31" spans="1:7">
      <c r="A31" s="4" t="s">
        <v>807</v>
      </c>
      <c r="B31" s="4" t="s">
        <v>811</v>
      </c>
      <c r="C31" s="4" t="s">
        <v>1599</v>
      </c>
      <c r="D31" s="4" t="s">
        <v>820</v>
      </c>
      <c r="E31" s="4" t="s">
        <v>1600</v>
      </c>
      <c r="F31" s="4">
        <v>0</v>
      </c>
      <c r="G31" s="7">
        <v>0</v>
      </c>
    </row>
    <row r="32" spans="1:7">
      <c r="A32" s="4" t="s">
        <v>807</v>
      </c>
      <c r="B32" s="4" t="s">
        <v>811</v>
      </c>
      <c r="C32" s="4" t="s">
        <v>1601</v>
      </c>
      <c r="D32" s="4" t="s">
        <v>820</v>
      </c>
      <c r="E32" s="4" t="s">
        <v>1602</v>
      </c>
      <c r="F32" s="4">
        <v>0</v>
      </c>
      <c r="G32" s="7">
        <v>0</v>
      </c>
    </row>
    <row r="33" spans="1:7">
      <c r="A33" s="4" t="s">
        <v>807</v>
      </c>
      <c r="B33" s="4" t="s">
        <v>811</v>
      </c>
      <c r="C33" s="4" t="s">
        <v>1603</v>
      </c>
      <c r="D33" s="4" t="s">
        <v>820</v>
      </c>
      <c r="E33" s="4" t="s">
        <v>1604</v>
      </c>
      <c r="F33" s="4">
        <v>0</v>
      </c>
      <c r="G33" s="7">
        <v>0</v>
      </c>
    </row>
    <row r="34" spans="1:7">
      <c r="A34" s="4" t="s">
        <v>807</v>
      </c>
      <c r="B34" s="4" t="s">
        <v>811</v>
      </c>
      <c r="C34" s="4" t="s">
        <v>1605</v>
      </c>
      <c r="D34" s="4" t="s">
        <v>820</v>
      </c>
      <c r="E34" s="4" t="s">
        <v>1606</v>
      </c>
      <c r="F34" s="4">
        <v>0</v>
      </c>
      <c r="G34" s="7">
        <v>0</v>
      </c>
    </row>
    <row r="35" spans="1:7">
      <c r="A35" s="4" t="s">
        <v>807</v>
      </c>
      <c r="B35" s="4" t="s">
        <v>811</v>
      </c>
      <c r="C35" s="4" t="s">
        <v>1607</v>
      </c>
      <c r="D35" s="4" t="s">
        <v>820</v>
      </c>
      <c r="E35" s="4" t="s">
        <v>1608</v>
      </c>
      <c r="F35" s="4">
        <v>0</v>
      </c>
      <c r="G35" s="7">
        <v>0</v>
      </c>
    </row>
    <row r="36" spans="1:7">
      <c r="A36" s="4" t="s">
        <v>807</v>
      </c>
      <c r="B36" s="4" t="s">
        <v>811</v>
      </c>
      <c r="C36" s="4" t="s">
        <v>1609</v>
      </c>
      <c r="D36" s="4" t="s">
        <v>820</v>
      </c>
      <c r="E36" s="4" t="s">
        <v>1610</v>
      </c>
      <c r="F36" s="4">
        <v>0</v>
      </c>
      <c r="G36" s="7">
        <v>0</v>
      </c>
    </row>
    <row r="37" spans="1:7">
      <c r="A37" s="4" t="s">
        <v>807</v>
      </c>
      <c r="B37" s="4" t="s">
        <v>811</v>
      </c>
      <c r="C37" s="4" t="s">
        <v>1611</v>
      </c>
      <c r="D37" s="4" t="s">
        <v>820</v>
      </c>
      <c r="E37" s="4" t="s">
        <v>1612</v>
      </c>
      <c r="F37" s="4">
        <v>0</v>
      </c>
      <c r="G37" s="7">
        <v>0</v>
      </c>
    </row>
    <row r="38" spans="1:7">
      <c r="A38" s="4" t="s">
        <v>807</v>
      </c>
      <c r="B38" s="4" t="s">
        <v>811</v>
      </c>
      <c r="C38" s="4" t="s">
        <v>1613</v>
      </c>
      <c r="D38" s="4" t="s">
        <v>820</v>
      </c>
      <c r="E38" s="4" t="s">
        <v>1614</v>
      </c>
      <c r="F38" s="4">
        <v>0</v>
      </c>
      <c r="G38" s="7">
        <v>0</v>
      </c>
    </row>
    <row r="39" spans="1:7">
      <c r="A39" s="4" t="s">
        <v>807</v>
      </c>
      <c r="B39" s="4" t="s">
        <v>811</v>
      </c>
      <c r="C39" s="4" t="s">
        <v>1615</v>
      </c>
      <c r="D39" s="4" t="s">
        <v>820</v>
      </c>
      <c r="E39" s="4" t="s">
        <v>1616</v>
      </c>
      <c r="F39" s="4">
        <v>0</v>
      </c>
      <c r="G39" s="7">
        <v>0</v>
      </c>
    </row>
    <row r="40" spans="1:7">
      <c r="A40" s="4" t="s">
        <v>807</v>
      </c>
      <c r="B40" s="4" t="s">
        <v>825</v>
      </c>
      <c r="C40" s="4" t="s">
        <v>1617</v>
      </c>
      <c r="D40" s="4" t="s">
        <v>820</v>
      </c>
      <c r="E40" s="4" t="s">
        <v>1618</v>
      </c>
      <c r="F40" s="4">
        <v>0</v>
      </c>
      <c r="G40" s="7">
        <v>0</v>
      </c>
    </row>
    <row r="41" spans="1:7">
      <c r="A41" s="4" t="s">
        <v>807</v>
      </c>
      <c r="B41" s="4" t="s">
        <v>825</v>
      </c>
      <c r="C41" s="4" t="s">
        <v>1619</v>
      </c>
      <c r="D41" s="4" t="s">
        <v>820</v>
      </c>
      <c r="E41" s="4" t="s">
        <v>1620</v>
      </c>
      <c r="F41" s="4">
        <v>0</v>
      </c>
      <c r="G41" s="7">
        <v>0</v>
      </c>
    </row>
    <row r="42" spans="1:7">
      <c r="A42" s="4" t="s">
        <v>807</v>
      </c>
      <c r="B42" s="4" t="s">
        <v>808</v>
      </c>
      <c r="C42" s="4" t="s">
        <v>1621</v>
      </c>
      <c r="D42" s="4" t="s">
        <v>820</v>
      </c>
      <c r="E42" s="4" t="s">
        <v>1622</v>
      </c>
      <c r="F42" s="4">
        <v>0</v>
      </c>
      <c r="G42" s="7">
        <v>0</v>
      </c>
    </row>
    <row r="43" spans="1:7">
      <c r="A43" s="4" t="s">
        <v>807</v>
      </c>
      <c r="B43" s="4" t="s">
        <v>811</v>
      </c>
      <c r="C43" s="4" t="s">
        <v>1623</v>
      </c>
      <c r="D43" s="4" t="s">
        <v>820</v>
      </c>
      <c r="E43" s="4" t="s">
        <v>1624</v>
      </c>
      <c r="F43" s="4">
        <v>0</v>
      </c>
      <c r="G43" s="7">
        <v>0</v>
      </c>
    </row>
    <row r="44" spans="1:7">
      <c r="A44" s="4" t="s">
        <v>887</v>
      </c>
      <c r="B44" s="4" t="s">
        <v>811</v>
      </c>
      <c r="C44" s="4" t="s">
        <v>1625</v>
      </c>
      <c r="D44" s="4" t="s">
        <v>820</v>
      </c>
      <c r="E44" s="4" t="s">
        <v>1626</v>
      </c>
      <c r="F44" s="4">
        <v>0</v>
      </c>
      <c r="G44" s="7">
        <v>0</v>
      </c>
    </row>
    <row r="45" spans="1:7">
      <c r="A45" s="4" t="s">
        <v>1051</v>
      </c>
      <c r="B45" s="4" t="s">
        <v>1051</v>
      </c>
      <c r="C45" s="4" t="s">
        <v>1627</v>
      </c>
      <c r="D45" s="4" t="s">
        <v>820</v>
      </c>
      <c r="E45" s="4" t="s">
        <v>1628</v>
      </c>
      <c r="F45" s="4">
        <v>0</v>
      </c>
      <c r="G45" s="7">
        <v>0</v>
      </c>
    </row>
    <row r="46" spans="1:7">
      <c r="A46" s="4" t="s">
        <v>807</v>
      </c>
      <c r="B46" s="4" t="s">
        <v>811</v>
      </c>
      <c r="C46" s="4" t="s">
        <v>1629</v>
      </c>
      <c r="D46" s="4" t="s">
        <v>820</v>
      </c>
      <c r="E46" s="4" t="s">
        <v>1630</v>
      </c>
      <c r="F46" s="4">
        <v>0</v>
      </c>
      <c r="G46" s="7">
        <v>0</v>
      </c>
    </row>
    <row r="47" spans="1:7">
      <c r="A47" s="4" t="s">
        <v>807</v>
      </c>
      <c r="B47" s="4" t="s">
        <v>808</v>
      </c>
      <c r="C47" s="4" t="s">
        <v>1631</v>
      </c>
      <c r="D47" s="4" t="s">
        <v>820</v>
      </c>
      <c r="E47" s="4" t="s">
        <v>1632</v>
      </c>
      <c r="F47" s="4">
        <v>0</v>
      </c>
      <c r="G47" s="7">
        <v>0</v>
      </c>
    </row>
    <row r="48" spans="1:7">
      <c r="A48" s="4" t="s">
        <v>807</v>
      </c>
      <c r="B48" s="4" t="s">
        <v>825</v>
      </c>
      <c r="C48" s="4" t="s">
        <v>1633</v>
      </c>
      <c r="D48" s="4" t="s">
        <v>820</v>
      </c>
      <c r="E48" s="4" t="s">
        <v>1634</v>
      </c>
      <c r="F48" s="4">
        <v>0</v>
      </c>
      <c r="G48" s="7">
        <v>0</v>
      </c>
    </row>
    <row r="49" spans="1:7">
      <c r="A49" s="4" t="s">
        <v>807</v>
      </c>
      <c r="B49" s="4" t="s">
        <v>825</v>
      </c>
      <c r="C49" s="4" t="s">
        <v>1635</v>
      </c>
      <c r="D49" s="4" t="s">
        <v>820</v>
      </c>
      <c r="E49" s="4" t="s">
        <v>1636</v>
      </c>
      <c r="F49" s="4">
        <v>0</v>
      </c>
      <c r="G49" s="7">
        <v>0</v>
      </c>
    </row>
    <row r="50" spans="1:7">
      <c r="A50" s="4" t="s">
        <v>807</v>
      </c>
      <c r="B50" s="4" t="s">
        <v>825</v>
      </c>
      <c r="C50" s="4" t="s">
        <v>1637</v>
      </c>
      <c r="D50" s="4" t="s">
        <v>820</v>
      </c>
      <c r="E50" s="4" t="s">
        <v>1638</v>
      </c>
      <c r="F50" s="4">
        <v>0</v>
      </c>
      <c r="G50" s="7">
        <v>0</v>
      </c>
    </row>
    <row r="51" spans="1:7">
      <c r="A51" s="4" t="s">
        <v>807</v>
      </c>
      <c r="B51" s="4" t="s">
        <v>825</v>
      </c>
      <c r="C51" s="4" t="s">
        <v>1639</v>
      </c>
      <c r="D51" s="4" t="s">
        <v>820</v>
      </c>
      <c r="E51" s="4" t="s">
        <v>1640</v>
      </c>
      <c r="F51" s="4">
        <v>0</v>
      </c>
      <c r="G51" s="7">
        <v>0</v>
      </c>
    </row>
    <row r="52" spans="1:7">
      <c r="A52" s="4" t="s">
        <v>807</v>
      </c>
      <c r="B52" s="4" t="s">
        <v>825</v>
      </c>
      <c r="C52" s="4" t="s">
        <v>1641</v>
      </c>
      <c r="D52" s="4" t="s">
        <v>820</v>
      </c>
      <c r="E52" s="4" t="s">
        <v>1642</v>
      </c>
      <c r="F52" s="4">
        <v>0</v>
      </c>
      <c r="G52" s="7">
        <v>0</v>
      </c>
    </row>
    <row r="53" spans="1:7">
      <c r="A53" s="4" t="s">
        <v>807</v>
      </c>
      <c r="B53" s="4" t="s">
        <v>825</v>
      </c>
      <c r="C53" s="4" t="s">
        <v>1643</v>
      </c>
      <c r="D53" s="4" t="s">
        <v>820</v>
      </c>
      <c r="E53" s="4" t="s">
        <v>1644</v>
      </c>
      <c r="F53" s="4">
        <v>0</v>
      </c>
      <c r="G53" s="7">
        <v>0</v>
      </c>
    </row>
    <row r="54" spans="1:7">
      <c r="A54" s="4" t="s">
        <v>807</v>
      </c>
      <c r="B54" s="4" t="s">
        <v>808</v>
      </c>
      <c r="C54" s="4" t="s">
        <v>1645</v>
      </c>
      <c r="D54" s="4" t="s">
        <v>820</v>
      </c>
      <c r="E54" s="4" t="s">
        <v>1646</v>
      </c>
      <c r="F54" s="4">
        <v>0</v>
      </c>
      <c r="G54" s="7">
        <v>0</v>
      </c>
    </row>
    <row r="55" spans="1:7">
      <c r="A55" s="4" t="s">
        <v>807</v>
      </c>
      <c r="B55" s="4" t="s">
        <v>808</v>
      </c>
      <c r="C55" s="4" t="s">
        <v>1647</v>
      </c>
      <c r="D55" s="4" t="s">
        <v>820</v>
      </c>
      <c r="E55" s="4" t="s">
        <v>1648</v>
      </c>
      <c r="F55" s="4">
        <v>0</v>
      </c>
      <c r="G55" s="7">
        <v>0</v>
      </c>
    </row>
    <row r="56" spans="1:7">
      <c r="A56" s="4" t="s">
        <v>807</v>
      </c>
      <c r="B56" s="4" t="s">
        <v>808</v>
      </c>
      <c r="C56" s="4" t="s">
        <v>1649</v>
      </c>
      <c r="D56" s="4" t="s">
        <v>820</v>
      </c>
      <c r="E56" s="4" t="s">
        <v>1650</v>
      </c>
      <c r="F56" s="4">
        <v>0</v>
      </c>
      <c r="G56" s="7">
        <v>0</v>
      </c>
    </row>
    <row r="57" spans="1:7">
      <c r="A57" s="4" t="s">
        <v>807</v>
      </c>
      <c r="B57" s="4" t="s">
        <v>825</v>
      </c>
      <c r="C57" s="4" t="s">
        <v>1651</v>
      </c>
      <c r="D57" s="4" t="s">
        <v>820</v>
      </c>
      <c r="E57" s="4" t="s">
        <v>1652</v>
      </c>
      <c r="F57" s="4">
        <v>0</v>
      </c>
      <c r="G57" s="7">
        <v>0</v>
      </c>
    </row>
    <row r="58" spans="1:7">
      <c r="A58" s="4" t="s">
        <v>807</v>
      </c>
      <c r="B58" s="4" t="s">
        <v>811</v>
      </c>
      <c r="C58" s="4" t="s">
        <v>1653</v>
      </c>
      <c r="D58" s="4" t="s">
        <v>820</v>
      </c>
      <c r="E58" s="4" t="s">
        <v>1654</v>
      </c>
      <c r="F58" s="4">
        <v>0</v>
      </c>
      <c r="G58" s="7">
        <v>0</v>
      </c>
    </row>
    <row r="59" spans="1:7">
      <c r="A59" s="4" t="s">
        <v>807</v>
      </c>
      <c r="B59" s="4" t="s">
        <v>825</v>
      </c>
      <c r="C59" s="4" t="s">
        <v>1655</v>
      </c>
      <c r="D59" s="4" t="s">
        <v>820</v>
      </c>
      <c r="E59" s="4" t="s">
        <v>1656</v>
      </c>
      <c r="F59" s="4">
        <v>0</v>
      </c>
      <c r="G59" s="7">
        <v>0</v>
      </c>
    </row>
    <row r="60" spans="1:7">
      <c r="A60" s="4" t="s">
        <v>807</v>
      </c>
      <c r="B60" s="4" t="s">
        <v>825</v>
      </c>
      <c r="C60" s="4" t="s">
        <v>1657</v>
      </c>
      <c r="D60" s="4" t="s">
        <v>820</v>
      </c>
      <c r="E60" s="4" t="s">
        <v>1658</v>
      </c>
      <c r="F60" s="4">
        <v>0</v>
      </c>
      <c r="G60" s="7">
        <v>0</v>
      </c>
    </row>
    <row r="61" spans="1:7">
      <c r="A61" s="4" t="s">
        <v>807</v>
      </c>
      <c r="B61" s="4" t="s">
        <v>825</v>
      </c>
      <c r="C61" s="4" t="s">
        <v>1659</v>
      </c>
      <c r="D61" s="4" t="s">
        <v>820</v>
      </c>
      <c r="E61" s="4" t="s">
        <v>1660</v>
      </c>
      <c r="F61" s="4">
        <v>0</v>
      </c>
      <c r="G61" s="7">
        <v>0</v>
      </c>
    </row>
    <row r="62" spans="1:7">
      <c r="A62" s="4" t="s">
        <v>807</v>
      </c>
      <c r="B62" s="4" t="s">
        <v>811</v>
      </c>
      <c r="C62" s="4" t="s">
        <v>1661</v>
      </c>
      <c r="D62" s="4" t="s">
        <v>820</v>
      </c>
      <c r="E62" s="4" t="s">
        <v>1662</v>
      </c>
      <c r="F62" s="4">
        <v>0</v>
      </c>
      <c r="G62" s="7">
        <v>0</v>
      </c>
    </row>
    <row r="63" spans="1:7">
      <c r="A63" s="4" t="s">
        <v>807</v>
      </c>
      <c r="B63" s="4" t="s">
        <v>811</v>
      </c>
      <c r="C63" s="4" t="s">
        <v>1663</v>
      </c>
      <c r="D63" s="4" t="s">
        <v>820</v>
      </c>
      <c r="E63" s="4" t="s">
        <v>1664</v>
      </c>
      <c r="F63" s="4">
        <v>0</v>
      </c>
      <c r="G63" s="7">
        <v>0</v>
      </c>
    </row>
    <row r="64" spans="1:7">
      <c r="A64" s="4" t="s">
        <v>807</v>
      </c>
      <c r="B64" s="4" t="s">
        <v>811</v>
      </c>
      <c r="C64" s="4" t="s">
        <v>1665</v>
      </c>
      <c r="D64" s="4" t="s">
        <v>820</v>
      </c>
      <c r="E64" s="4" t="s">
        <v>1666</v>
      </c>
      <c r="F64" s="4">
        <v>0</v>
      </c>
      <c r="G64" s="7">
        <v>0</v>
      </c>
    </row>
    <row r="65" spans="1:7">
      <c r="A65" s="4" t="s">
        <v>807</v>
      </c>
      <c r="B65" s="4" t="s">
        <v>811</v>
      </c>
      <c r="C65" s="4" t="s">
        <v>1667</v>
      </c>
      <c r="D65" s="4" t="s">
        <v>820</v>
      </c>
      <c r="E65" s="4" t="s">
        <v>1668</v>
      </c>
      <c r="F65" s="4">
        <v>0</v>
      </c>
      <c r="G65" s="7">
        <v>0</v>
      </c>
    </row>
    <row r="66" spans="1:7">
      <c r="A66" s="4" t="s">
        <v>807</v>
      </c>
      <c r="B66" s="4" t="s">
        <v>811</v>
      </c>
      <c r="C66" s="4" t="s">
        <v>1669</v>
      </c>
      <c r="D66" s="4" t="s">
        <v>820</v>
      </c>
      <c r="E66" s="4" t="s">
        <v>1670</v>
      </c>
      <c r="F66" s="4">
        <v>0</v>
      </c>
      <c r="G66" s="7">
        <v>0</v>
      </c>
    </row>
    <row r="67" spans="1:7">
      <c r="A67" s="4" t="s">
        <v>807</v>
      </c>
      <c r="B67" s="4" t="s">
        <v>808</v>
      </c>
      <c r="C67" s="4" t="s">
        <v>1671</v>
      </c>
      <c r="D67" s="4" t="s">
        <v>820</v>
      </c>
      <c r="E67" s="4" t="s">
        <v>1672</v>
      </c>
      <c r="F67" s="4">
        <v>0</v>
      </c>
      <c r="G67" s="7">
        <v>0</v>
      </c>
    </row>
    <row r="68" spans="1:7">
      <c r="A68" s="4" t="s">
        <v>807</v>
      </c>
      <c r="B68" s="4" t="s">
        <v>808</v>
      </c>
      <c r="C68" s="4" t="s">
        <v>1673</v>
      </c>
      <c r="D68" s="4" t="s">
        <v>820</v>
      </c>
      <c r="E68" s="4" t="s">
        <v>1674</v>
      </c>
      <c r="F68" s="4">
        <v>0</v>
      </c>
      <c r="G68" s="7">
        <v>0</v>
      </c>
    </row>
    <row r="69" spans="1:7">
      <c r="A69" s="4" t="s">
        <v>807</v>
      </c>
      <c r="B69" s="4" t="s">
        <v>811</v>
      </c>
      <c r="C69" s="4" t="s">
        <v>1675</v>
      </c>
      <c r="D69" s="4" t="s">
        <v>820</v>
      </c>
      <c r="E69" s="4" t="s">
        <v>1676</v>
      </c>
      <c r="F69" s="4">
        <v>0</v>
      </c>
      <c r="G69" s="7">
        <v>0</v>
      </c>
    </row>
    <row r="70" spans="1:7">
      <c r="A70" s="4" t="s">
        <v>807</v>
      </c>
      <c r="B70" s="4" t="s">
        <v>808</v>
      </c>
      <c r="C70" s="4" t="s">
        <v>1677</v>
      </c>
      <c r="D70" s="4" t="s">
        <v>820</v>
      </c>
      <c r="E70" s="4" t="s">
        <v>1678</v>
      </c>
      <c r="F70" s="4">
        <v>0</v>
      </c>
      <c r="G70" s="7">
        <v>0</v>
      </c>
    </row>
    <row r="71" spans="1:7">
      <c r="A71" s="4" t="s">
        <v>807</v>
      </c>
      <c r="B71" s="4" t="s">
        <v>808</v>
      </c>
      <c r="C71" s="4" t="s">
        <v>1679</v>
      </c>
      <c r="D71" s="4" t="s">
        <v>820</v>
      </c>
      <c r="E71" s="4" t="s">
        <v>1680</v>
      </c>
      <c r="F71" s="4">
        <v>0</v>
      </c>
      <c r="G71" s="7">
        <v>0</v>
      </c>
    </row>
    <row r="72" spans="1:7">
      <c r="A72" s="4" t="s">
        <v>807</v>
      </c>
      <c r="B72" s="4" t="s">
        <v>808</v>
      </c>
      <c r="C72" s="4" t="s">
        <v>1681</v>
      </c>
      <c r="D72" s="4" t="s">
        <v>820</v>
      </c>
      <c r="E72" s="4" t="s">
        <v>1682</v>
      </c>
      <c r="F72" s="4">
        <v>0</v>
      </c>
      <c r="G72" s="7">
        <v>0</v>
      </c>
    </row>
    <row r="73" spans="1:7">
      <c r="A73" s="4" t="s">
        <v>807</v>
      </c>
      <c r="B73" s="4" t="s">
        <v>808</v>
      </c>
      <c r="C73" s="4" t="s">
        <v>1683</v>
      </c>
      <c r="D73" s="4" t="s">
        <v>820</v>
      </c>
      <c r="E73" s="4" t="s">
        <v>1684</v>
      </c>
      <c r="F73" s="4">
        <v>0</v>
      </c>
      <c r="G73" s="7">
        <v>0</v>
      </c>
    </row>
    <row r="74" spans="1:7">
      <c r="A74" s="4" t="s">
        <v>807</v>
      </c>
      <c r="B74" s="4" t="s">
        <v>811</v>
      </c>
      <c r="C74" s="4" t="s">
        <v>1685</v>
      </c>
      <c r="D74" s="4" t="s">
        <v>820</v>
      </c>
      <c r="E74" s="4" t="s">
        <v>1686</v>
      </c>
      <c r="F74" s="4">
        <v>0</v>
      </c>
      <c r="G74" s="7">
        <v>0</v>
      </c>
    </row>
    <row r="75" spans="1:7">
      <c r="A75" s="4" t="s">
        <v>807</v>
      </c>
      <c r="B75" s="4" t="s">
        <v>808</v>
      </c>
      <c r="C75" s="4" t="s">
        <v>1687</v>
      </c>
      <c r="D75" s="4" t="s">
        <v>820</v>
      </c>
      <c r="E75" s="4" t="s">
        <v>1688</v>
      </c>
      <c r="F75" s="4">
        <v>0</v>
      </c>
      <c r="G75" s="7">
        <v>0</v>
      </c>
    </row>
    <row r="76" spans="1:7">
      <c r="A76" s="4" t="s">
        <v>807</v>
      </c>
      <c r="B76" s="4" t="s">
        <v>808</v>
      </c>
      <c r="C76" s="4" t="s">
        <v>1689</v>
      </c>
      <c r="D76" s="4" t="s">
        <v>820</v>
      </c>
      <c r="E76" s="4" t="s">
        <v>1690</v>
      </c>
      <c r="F76" s="4">
        <v>0</v>
      </c>
      <c r="G76" s="7">
        <v>0</v>
      </c>
    </row>
    <row r="77" spans="1:7">
      <c r="A77" s="4" t="s">
        <v>807</v>
      </c>
      <c r="B77" s="4" t="s">
        <v>808</v>
      </c>
      <c r="C77" s="4" t="s">
        <v>1691</v>
      </c>
      <c r="D77" s="4" t="s">
        <v>820</v>
      </c>
      <c r="E77" s="4" t="s">
        <v>1692</v>
      </c>
      <c r="F77" s="4">
        <v>0</v>
      </c>
      <c r="G77" s="7">
        <v>0</v>
      </c>
    </row>
    <row r="78" spans="1:7">
      <c r="A78" s="4" t="s">
        <v>807</v>
      </c>
      <c r="B78" s="4" t="s">
        <v>808</v>
      </c>
      <c r="C78" s="4" t="s">
        <v>1693</v>
      </c>
      <c r="D78" s="4" t="s">
        <v>820</v>
      </c>
      <c r="E78" s="4" t="s">
        <v>1694</v>
      </c>
      <c r="F78" s="4">
        <v>0</v>
      </c>
      <c r="G78" s="7">
        <v>0</v>
      </c>
    </row>
    <row r="79" spans="1:7">
      <c r="A79" s="4" t="s">
        <v>807</v>
      </c>
      <c r="B79" s="4" t="s">
        <v>808</v>
      </c>
      <c r="C79" s="4" t="s">
        <v>1695</v>
      </c>
      <c r="D79" s="4" t="s">
        <v>820</v>
      </c>
      <c r="E79" s="4" t="s">
        <v>1696</v>
      </c>
      <c r="F79" s="4">
        <v>0</v>
      </c>
      <c r="G79" s="7">
        <v>0</v>
      </c>
    </row>
    <row r="80" spans="1:7">
      <c r="A80" s="4" t="s">
        <v>807</v>
      </c>
      <c r="B80" s="4" t="s">
        <v>808</v>
      </c>
      <c r="C80" s="4" t="s">
        <v>1697</v>
      </c>
      <c r="D80" s="4" t="s">
        <v>820</v>
      </c>
      <c r="E80" s="4" t="s">
        <v>1698</v>
      </c>
      <c r="F80" s="4">
        <v>0</v>
      </c>
      <c r="G80" s="7">
        <v>0</v>
      </c>
    </row>
    <row r="81" spans="1:7">
      <c r="A81" s="4" t="s">
        <v>807</v>
      </c>
      <c r="B81" s="4" t="s">
        <v>808</v>
      </c>
      <c r="C81" s="4" t="s">
        <v>1699</v>
      </c>
      <c r="D81" s="4" t="s">
        <v>820</v>
      </c>
      <c r="E81" s="4" t="s">
        <v>1700</v>
      </c>
      <c r="F81" s="4">
        <v>0</v>
      </c>
      <c r="G81" s="7">
        <v>0</v>
      </c>
    </row>
    <row r="82" spans="1:7">
      <c r="A82" s="4" t="s">
        <v>807</v>
      </c>
      <c r="B82" s="4" t="s">
        <v>808</v>
      </c>
      <c r="C82" s="4" t="s">
        <v>1701</v>
      </c>
      <c r="D82" s="4" t="s">
        <v>820</v>
      </c>
      <c r="E82" s="4" t="s">
        <v>1702</v>
      </c>
      <c r="F82" s="4">
        <v>0</v>
      </c>
      <c r="G82" s="7">
        <v>0</v>
      </c>
    </row>
    <row r="83" spans="1:7">
      <c r="A83" s="4" t="s">
        <v>807</v>
      </c>
      <c r="B83" s="4" t="s">
        <v>808</v>
      </c>
      <c r="C83" s="4" t="s">
        <v>1703</v>
      </c>
      <c r="D83" s="4" t="s">
        <v>820</v>
      </c>
      <c r="E83" s="4" t="s">
        <v>1704</v>
      </c>
      <c r="F83" s="4">
        <v>0</v>
      </c>
      <c r="G83" s="7">
        <v>0</v>
      </c>
    </row>
    <row r="84" spans="1:7">
      <c r="A84" s="4" t="s">
        <v>807</v>
      </c>
      <c r="B84" s="4" t="s">
        <v>808</v>
      </c>
      <c r="C84" s="4" t="s">
        <v>1705</v>
      </c>
      <c r="D84" s="4" t="s">
        <v>820</v>
      </c>
      <c r="E84" s="4" t="s">
        <v>1706</v>
      </c>
      <c r="F84" s="4">
        <v>0</v>
      </c>
      <c r="G84" s="7">
        <v>0</v>
      </c>
    </row>
    <row r="85" spans="1:7">
      <c r="A85" s="4" t="s">
        <v>807</v>
      </c>
      <c r="B85" s="4" t="s">
        <v>811</v>
      </c>
      <c r="C85" s="4" t="s">
        <v>1707</v>
      </c>
      <c r="D85" s="4" t="s">
        <v>820</v>
      </c>
      <c r="E85" s="4" t="s">
        <v>1708</v>
      </c>
      <c r="F85" s="4">
        <v>0</v>
      </c>
      <c r="G85" s="7">
        <v>0</v>
      </c>
    </row>
    <row r="86" spans="1:7">
      <c r="A86" s="4" t="s">
        <v>807</v>
      </c>
      <c r="B86" s="4" t="s">
        <v>808</v>
      </c>
      <c r="C86" s="4" t="s">
        <v>1709</v>
      </c>
      <c r="D86" s="4" t="s">
        <v>820</v>
      </c>
      <c r="E86" s="4" t="s">
        <v>1710</v>
      </c>
      <c r="F86" s="4">
        <v>0</v>
      </c>
      <c r="G86" s="7">
        <v>0</v>
      </c>
    </row>
    <row r="87" spans="1:7">
      <c r="A87" s="4" t="s">
        <v>807</v>
      </c>
      <c r="B87" s="4" t="s">
        <v>811</v>
      </c>
      <c r="C87" s="4" t="s">
        <v>1711</v>
      </c>
      <c r="D87" s="4" t="s">
        <v>820</v>
      </c>
      <c r="E87" s="4" t="s">
        <v>1712</v>
      </c>
      <c r="F87" s="4">
        <v>0</v>
      </c>
      <c r="G87" s="7">
        <v>0</v>
      </c>
    </row>
    <row r="88" spans="1:7">
      <c r="A88" s="4" t="s">
        <v>807</v>
      </c>
      <c r="B88" s="4" t="s">
        <v>808</v>
      </c>
      <c r="C88" s="4" t="s">
        <v>1713</v>
      </c>
      <c r="D88" s="4" t="s">
        <v>820</v>
      </c>
      <c r="E88" s="4" t="s">
        <v>1714</v>
      </c>
      <c r="F88" s="4">
        <v>0</v>
      </c>
      <c r="G88" s="7">
        <v>0</v>
      </c>
    </row>
    <row r="89" spans="1:7">
      <c r="A89" s="4" t="s">
        <v>807</v>
      </c>
      <c r="B89" s="4" t="s">
        <v>808</v>
      </c>
      <c r="C89" s="4" t="s">
        <v>1715</v>
      </c>
      <c r="D89" s="4" t="s">
        <v>820</v>
      </c>
      <c r="E89" s="4" t="s">
        <v>1716</v>
      </c>
      <c r="F89" s="4">
        <v>0</v>
      </c>
      <c r="G89" s="7">
        <v>0</v>
      </c>
    </row>
    <row r="90" spans="1:7">
      <c r="A90" s="4" t="s">
        <v>807</v>
      </c>
      <c r="B90" s="4" t="s">
        <v>811</v>
      </c>
      <c r="C90" s="4" t="s">
        <v>1717</v>
      </c>
      <c r="D90" s="4" t="s">
        <v>820</v>
      </c>
      <c r="E90" s="4" t="s">
        <v>1718</v>
      </c>
      <c r="F90" s="4">
        <v>0</v>
      </c>
      <c r="G90" s="7">
        <v>0</v>
      </c>
    </row>
    <row r="91" spans="1:7">
      <c r="A91" s="4" t="s">
        <v>807</v>
      </c>
      <c r="B91" s="4" t="s">
        <v>811</v>
      </c>
      <c r="C91" s="4" t="s">
        <v>1719</v>
      </c>
      <c r="D91" s="4" t="s">
        <v>820</v>
      </c>
      <c r="E91" s="4" t="s">
        <v>1720</v>
      </c>
      <c r="F91" s="4">
        <v>0</v>
      </c>
      <c r="G91" s="7">
        <v>0</v>
      </c>
    </row>
    <row r="92" spans="1:7">
      <c r="A92" s="4" t="s">
        <v>807</v>
      </c>
      <c r="B92" s="4" t="s">
        <v>811</v>
      </c>
      <c r="C92" s="4" t="s">
        <v>1721</v>
      </c>
      <c r="D92" s="4" t="s">
        <v>820</v>
      </c>
      <c r="E92" s="4" t="s">
        <v>1722</v>
      </c>
      <c r="F92" s="4">
        <v>0</v>
      </c>
      <c r="G92" s="7">
        <v>0</v>
      </c>
    </row>
    <row r="93" spans="1:7">
      <c r="A93" s="4" t="s">
        <v>807</v>
      </c>
      <c r="B93" s="4" t="s">
        <v>811</v>
      </c>
      <c r="C93" s="4" t="s">
        <v>1723</v>
      </c>
      <c r="D93" s="4" t="s">
        <v>820</v>
      </c>
      <c r="E93" s="4" t="s">
        <v>1724</v>
      </c>
      <c r="F93" s="4">
        <v>0</v>
      </c>
      <c r="G93" s="7">
        <v>0</v>
      </c>
    </row>
    <row r="94" spans="1:7">
      <c r="A94" s="4" t="s">
        <v>807</v>
      </c>
      <c r="B94" s="4" t="s">
        <v>811</v>
      </c>
      <c r="C94" s="4" t="s">
        <v>1725</v>
      </c>
      <c r="D94" s="4" t="s">
        <v>820</v>
      </c>
      <c r="E94" s="4" t="s">
        <v>1726</v>
      </c>
      <c r="F94" s="4">
        <v>0</v>
      </c>
      <c r="G94" s="7">
        <v>0</v>
      </c>
    </row>
    <row r="95" spans="1:7">
      <c r="A95" s="4" t="s">
        <v>807</v>
      </c>
      <c r="B95" s="4" t="s">
        <v>808</v>
      </c>
      <c r="C95" s="4" t="s">
        <v>1727</v>
      </c>
      <c r="D95" s="4" t="s">
        <v>820</v>
      </c>
      <c r="E95" s="4" t="s">
        <v>1728</v>
      </c>
      <c r="F95" s="4">
        <v>0</v>
      </c>
      <c r="G95" s="7">
        <v>0</v>
      </c>
    </row>
    <row r="96" spans="1:7">
      <c r="A96" s="4" t="s">
        <v>807</v>
      </c>
      <c r="B96" s="4" t="s">
        <v>811</v>
      </c>
      <c r="C96" s="4" t="s">
        <v>1729</v>
      </c>
      <c r="D96" s="4" t="s">
        <v>820</v>
      </c>
      <c r="E96" s="4" t="s">
        <v>1730</v>
      </c>
      <c r="F96" s="4">
        <v>0</v>
      </c>
      <c r="G96" s="7">
        <v>0</v>
      </c>
    </row>
    <row r="97" spans="1:7">
      <c r="A97" s="4" t="s">
        <v>807</v>
      </c>
      <c r="B97" s="4" t="s">
        <v>811</v>
      </c>
      <c r="C97" s="4" t="s">
        <v>1731</v>
      </c>
      <c r="D97" s="4" t="s">
        <v>820</v>
      </c>
      <c r="E97" s="4" t="s">
        <v>1732</v>
      </c>
      <c r="F97" s="4">
        <v>0</v>
      </c>
      <c r="G97" s="7">
        <v>0</v>
      </c>
    </row>
    <row r="98" spans="1:7">
      <c r="A98" s="4" t="s">
        <v>807</v>
      </c>
      <c r="B98" s="4" t="s">
        <v>811</v>
      </c>
      <c r="C98" s="4" t="s">
        <v>1733</v>
      </c>
      <c r="D98" s="4" t="s">
        <v>820</v>
      </c>
      <c r="E98" s="4" t="s">
        <v>1734</v>
      </c>
      <c r="F98" s="4">
        <v>0</v>
      </c>
      <c r="G98" s="7">
        <v>0</v>
      </c>
    </row>
    <row r="99" spans="1:7">
      <c r="A99" s="4" t="s">
        <v>807</v>
      </c>
      <c r="B99" s="4" t="s">
        <v>811</v>
      </c>
      <c r="C99" s="4" t="s">
        <v>1735</v>
      </c>
      <c r="D99" s="4" t="s">
        <v>820</v>
      </c>
      <c r="E99" s="4" t="s">
        <v>1630</v>
      </c>
      <c r="F99" s="4">
        <v>0</v>
      </c>
      <c r="G99" s="7">
        <v>0</v>
      </c>
    </row>
    <row r="100" spans="1:7">
      <c r="A100" s="4" t="s">
        <v>807</v>
      </c>
      <c r="B100" s="4" t="s">
        <v>811</v>
      </c>
      <c r="C100" s="4" t="s">
        <v>1736</v>
      </c>
      <c r="D100" s="4" t="s">
        <v>820</v>
      </c>
      <c r="E100" s="4" t="s">
        <v>1737</v>
      </c>
      <c r="F100" s="4">
        <v>0</v>
      </c>
      <c r="G100" s="7">
        <v>0</v>
      </c>
    </row>
    <row r="101" spans="1:7">
      <c r="A101" s="4" t="s">
        <v>807</v>
      </c>
      <c r="B101" s="4" t="s">
        <v>811</v>
      </c>
      <c r="C101" s="4" t="s">
        <v>1738</v>
      </c>
      <c r="D101" s="4" t="s">
        <v>820</v>
      </c>
      <c r="E101" s="4" t="s">
        <v>1739</v>
      </c>
      <c r="F101" s="4">
        <v>0</v>
      </c>
      <c r="G101" s="7">
        <v>0</v>
      </c>
    </row>
    <row r="102" spans="1:7">
      <c r="A102" s="4" t="s">
        <v>807</v>
      </c>
      <c r="B102" s="4" t="s">
        <v>811</v>
      </c>
      <c r="C102" s="4" t="s">
        <v>1740</v>
      </c>
      <c r="D102" s="4" t="s">
        <v>820</v>
      </c>
      <c r="E102" s="4" t="s">
        <v>1741</v>
      </c>
      <c r="F102" s="4">
        <v>0</v>
      </c>
      <c r="G102" s="7">
        <v>0</v>
      </c>
    </row>
    <row r="103" spans="1:7">
      <c r="A103" s="4" t="s">
        <v>807</v>
      </c>
      <c r="B103" s="4" t="s">
        <v>808</v>
      </c>
      <c r="C103" s="4" t="s">
        <v>1742</v>
      </c>
      <c r="D103" s="4" t="s">
        <v>820</v>
      </c>
      <c r="E103" s="4" t="s">
        <v>1743</v>
      </c>
      <c r="F103" s="4">
        <v>0</v>
      </c>
      <c r="G103" s="7">
        <v>0</v>
      </c>
    </row>
    <row r="104" spans="1:7">
      <c r="A104" s="4" t="s">
        <v>807</v>
      </c>
      <c r="B104" s="4" t="s">
        <v>808</v>
      </c>
      <c r="C104" s="4" t="s">
        <v>1744</v>
      </c>
      <c r="D104" s="4" t="s">
        <v>820</v>
      </c>
      <c r="E104" s="4" t="s">
        <v>1745</v>
      </c>
      <c r="F104" s="4">
        <v>0</v>
      </c>
      <c r="G104" s="7">
        <v>0</v>
      </c>
    </row>
    <row r="105" spans="1:7">
      <c r="A105" s="4" t="s">
        <v>807</v>
      </c>
      <c r="B105" s="4" t="s">
        <v>808</v>
      </c>
      <c r="C105" s="4" t="s">
        <v>1746</v>
      </c>
      <c r="D105" s="4" t="s">
        <v>820</v>
      </c>
      <c r="E105" s="4" t="s">
        <v>1747</v>
      </c>
      <c r="F105" s="4">
        <v>0</v>
      </c>
      <c r="G105" s="7">
        <v>0</v>
      </c>
    </row>
    <row r="106" spans="1:7">
      <c r="A106" s="4" t="s">
        <v>807</v>
      </c>
      <c r="B106" s="4" t="s">
        <v>808</v>
      </c>
      <c r="C106" s="4" t="s">
        <v>1748</v>
      </c>
      <c r="D106" s="4" t="s">
        <v>820</v>
      </c>
      <c r="E106" s="4" t="s">
        <v>1749</v>
      </c>
      <c r="F106" s="4">
        <v>0</v>
      </c>
      <c r="G106" s="7">
        <v>0</v>
      </c>
    </row>
    <row r="107" spans="1:7">
      <c r="A107" s="4" t="s">
        <v>807</v>
      </c>
      <c r="B107" s="4" t="s">
        <v>808</v>
      </c>
      <c r="C107" s="4" t="s">
        <v>1750</v>
      </c>
      <c r="D107" s="4" t="s">
        <v>820</v>
      </c>
      <c r="E107" s="4" t="s">
        <v>1751</v>
      </c>
      <c r="F107" s="4">
        <v>0</v>
      </c>
      <c r="G107" s="7">
        <v>0</v>
      </c>
    </row>
    <row r="108" spans="1:7">
      <c r="A108" s="4" t="s">
        <v>807</v>
      </c>
      <c r="B108" s="4" t="s">
        <v>811</v>
      </c>
      <c r="C108" s="4" t="s">
        <v>1752</v>
      </c>
      <c r="D108" s="4" t="s">
        <v>820</v>
      </c>
      <c r="E108" s="4" t="s">
        <v>1753</v>
      </c>
      <c r="F108" s="4">
        <v>0</v>
      </c>
      <c r="G108" s="7">
        <v>0</v>
      </c>
    </row>
    <row r="109" spans="1:7">
      <c r="A109" s="4" t="s">
        <v>807</v>
      </c>
      <c r="B109" s="4" t="s">
        <v>811</v>
      </c>
      <c r="C109" s="4" t="s">
        <v>1754</v>
      </c>
      <c r="D109" s="4" t="s">
        <v>820</v>
      </c>
      <c r="E109" s="4" t="s">
        <v>1755</v>
      </c>
      <c r="F109" s="4">
        <v>0</v>
      </c>
      <c r="G109" s="7">
        <v>0</v>
      </c>
    </row>
    <row r="110" spans="1:7">
      <c r="A110" s="4" t="s">
        <v>807</v>
      </c>
      <c r="B110" s="4" t="s">
        <v>808</v>
      </c>
      <c r="C110" s="4" t="s">
        <v>1756</v>
      </c>
      <c r="D110" s="4" t="s">
        <v>820</v>
      </c>
      <c r="E110" s="4" t="s">
        <v>1757</v>
      </c>
      <c r="F110" s="4">
        <v>0</v>
      </c>
      <c r="G110" s="7">
        <v>0</v>
      </c>
    </row>
    <row r="111" spans="1:7">
      <c r="A111" s="4" t="s">
        <v>807</v>
      </c>
      <c r="B111" s="4" t="s">
        <v>811</v>
      </c>
      <c r="C111" s="4" t="s">
        <v>1758</v>
      </c>
      <c r="D111" s="4" t="s">
        <v>820</v>
      </c>
      <c r="E111" s="4" t="s">
        <v>1759</v>
      </c>
      <c r="F111" s="4">
        <v>0</v>
      </c>
      <c r="G111" s="7">
        <v>0</v>
      </c>
    </row>
    <row r="112" spans="1:7">
      <c r="A112" s="4" t="s">
        <v>807</v>
      </c>
      <c r="B112" s="4" t="s">
        <v>808</v>
      </c>
      <c r="C112" s="4" t="s">
        <v>1760</v>
      </c>
      <c r="D112" s="4" t="s">
        <v>820</v>
      </c>
      <c r="E112" s="4" t="s">
        <v>1761</v>
      </c>
      <c r="F112" s="4">
        <v>0</v>
      </c>
      <c r="G112" s="7">
        <v>0</v>
      </c>
    </row>
    <row r="113" spans="1:7">
      <c r="A113" s="4" t="s">
        <v>807</v>
      </c>
      <c r="B113" s="4" t="s">
        <v>808</v>
      </c>
      <c r="C113" s="4" t="s">
        <v>1762</v>
      </c>
      <c r="D113" s="4" t="s">
        <v>820</v>
      </c>
      <c r="E113" s="4" t="s">
        <v>1763</v>
      </c>
      <c r="F113" s="4">
        <v>0</v>
      </c>
      <c r="G113" s="7">
        <v>0</v>
      </c>
    </row>
    <row r="114" spans="1:7">
      <c r="A114" s="4" t="s">
        <v>807</v>
      </c>
      <c r="B114" s="4" t="s">
        <v>808</v>
      </c>
      <c r="C114" s="4" t="s">
        <v>1764</v>
      </c>
      <c r="D114" s="4" t="s">
        <v>820</v>
      </c>
      <c r="E114" s="4" t="s">
        <v>1765</v>
      </c>
      <c r="F114" s="4">
        <v>0</v>
      </c>
      <c r="G114" s="7">
        <v>0</v>
      </c>
    </row>
    <row r="115" spans="1:7">
      <c r="A115" s="4" t="s">
        <v>807</v>
      </c>
      <c r="B115" s="4" t="s">
        <v>808</v>
      </c>
      <c r="C115" s="4" t="s">
        <v>1766</v>
      </c>
      <c r="D115" s="4" t="s">
        <v>820</v>
      </c>
      <c r="E115" s="4" t="s">
        <v>1767</v>
      </c>
      <c r="F115" s="4">
        <v>0</v>
      </c>
      <c r="G115" s="7">
        <v>0</v>
      </c>
    </row>
    <row r="116" spans="1:7">
      <c r="A116" s="4" t="s">
        <v>807</v>
      </c>
      <c r="B116" s="4" t="s">
        <v>808</v>
      </c>
      <c r="C116" s="4" t="s">
        <v>1768</v>
      </c>
      <c r="D116" s="4" t="s">
        <v>820</v>
      </c>
      <c r="E116" s="4" t="s">
        <v>1769</v>
      </c>
      <c r="F116" s="4">
        <v>0</v>
      </c>
      <c r="G116" s="7">
        <v>0</v>
      </c>
    </row>
    <row r="117" spans="1:7">
      <c r="A117" s="4" t="s">
        <v>807</v>
      </c>
      <c r="B117" s="4" t="s">
        <v>811</v>
      </c>
      <c r="C117" s="4" t="s">
        <v>1770</v>
      </c>
      <c r="D117" s="4" t="s">
        <v>820</v>
      </c>
      <c r="E117" s="4" t="s">
        <v>1771</v>
      </c>
      <c r="F117" s="4">
        <v>0</v>
      </c>
      <c r="G117" s="7">
        <v>0</v>
      </c>
    </row>
    <row r="118" spans="1:7">
      <c r="A118" s="4" t="s">
        <v>807</v>
      </c>
      <c r="B118" s="4" t="s">
        <v>811</v>
      </c>
      <c r="C118" s="4" t="s">
        <v>1772</v>
      </c>
      <c r="D118" s="4" t="s">
        <v>820</v>
      </c>
      <c r="E118" s="4" t="s">
        <v>1773</v>
      </c>
      <c r="F118" s="4">
        <v>0</v>
      </c>
      <c r="G118" s="7">
        <v>0</v>
      </c>
    </row>
    <row r="119" spans="1:7">
      <c r="A119" s="4" t="s">
        <v>807</v>
      </c>
      <c r="B119" s="4" t="s">
        <v>811</v>
      </c>
      <c r="C119" s="4" t="s">
        <v>1774</v>
      </c>
      <c r="D119" s="4" t="s">
        <v>820</v>
      </c>
      <c r="E119" s="4" t="s">
        <v>1775</v>
      </c>
      <c r="F119" s="4">
        <v>0</v>
      </c>
      <c r="G119" s="7">
        <v>0</v>
      </c>
    </row>
    <row r="120" spans="1:7">
      <c r="A120" s="4" t="s">
        <v>807</v>
      </c>
      <c r="B120" s="4" t="s">
        <v>811</v>
      </c>
      <c r="C120" s="4" t="s">
        <v>1776</v>
      </c>
      <c r="D120" s="4" t="s">
        <v>820</v>
      </c>
      <c r="E120" s="4" t="s">
        <v>1777</v>
      </c>
      <c r="F120" s="4">
        <v>0</v>
      </c>
      <c r="G120" s="7">
        <v>0</v>
      </c>
    </row>
    <row r="121" spans="1:7">
      <c r="A121" s="4" t="s">
        <v>807</v>
      </c>
      <c r="B121" s="4" t="s">
        <v>808</v>
      </c>
      <c r="C121" s="4" t="s">
        <v>1778</v>
      </c>
      <c r="D121" s="4" t="s">
        <v>820</v>
      </c>
      <c r="E121" s="4" t="s">
        <v>1779</v>
      </c>
      <c r="F121" s="4">
        <v>0</v>
      </c>
      <c r="G121" s="7">
        <v>0</v>
      </c>
    </row>
    <row r="122" spans="1:7">
      <c r="A122" s="4" t="s">
        <v>807</v>
      </c>
      <c r="B122" s="4" t="s">
        <v>808</v>
      </c>
      <c r="C122" s="4" t="s">
        <v>1780</v>
      </c>
      <c r="D122" s="4" t="s">
        <v>820</v>
      </c>
      <c r="E122" s="4" t="s">
        <v>1781</v>
      </c>
      <c r="F122" s="4">
        <v>0</v>
      </c>
      <c r="G122" s="7">
        <v>0</v>
      </c>
    </row>
    <row r="123" spans="1:7">
      <c r="A123" s="4" t="s">
        <v>807</v>
      </c>
      <c r="B123" s="4" t="s">
        <v>808</v>
      </c>
      <c r="C123" s="4" t="s">
        <v>1782</v>
      </c>
      <c r="D123" s="4" t="s">
        <v>820</v>
      </c>
      <c r="E123" s="4" t="s">
        <v>1783</v>
      </c>
      <c r="F123" s="4">
        <v>0</v>
      </c>
      <c r="G123" s="7">
        <v>0</v>
      </c>
    </row>
    <row r="124" spans="1:7">
      <c r="A124" s="4" t="s">
        <v>807</v>
      </c>
      <c r="B124" s="4" t="s">
        <v>808</v>
      </c>
      <c r="C124" s="4" t="s">
        <v>1784</v>
      </c>
      <c r="D124" s="4" t="s">
        <v>820</v>
      </c>
      <c r="E124" s="4" t="s">
        <v>1785</v>
      </c>
      <c r="F124" s="4">
        <v>0</v>
      </c>
      <c r="G124" s="7">
        <v>0</v>
      </c>
    </row>
    <row r="125" spans="1:7">
      <c r="A125" s="4" t="s">
        <v>807</v>
      </c>
      <c r="B125" s="4" t="s">
        <v>808</v>
      </c>
      <c r="C125" s="4" t="s">
        <v>1786</v>
      </c>
      <c r="D125" s="4" t="s">
        <v>820</v>
      </c>
      <c r="E125" s="4" t="s">
        <v>1787</v>
      </c>
      <c r="F125" s="4">
        <v>0</v>
      </c>
      <c r="G125" s="7">
        <v>0</v>
      </c>
    </row>
    <row r="126" spans="1:7">
      <c r="A126" s="4" t="s">
        <v>807</v>
      </c>
      <c r="B126" s="4" t="s">
        <v>808</v>
      </c>
      <c r="C126" s="4" t="s">
        <v>1788</v>
      </c>
      <c r="D126" s="4" t="s">
        <v>820</v>
      </c>
      <c r="E126" s="4" t="s">
        <v>1789</v>
      </c>
      <c r="F126" s="4">
        <v>0</v>
      </c>
      <c r="G126" s="7">
        <v>0</v>
      </c>
    </row>
    <row r="127" spans="1:7">
      <c r="A127" s="4" t="s">
        <v>807</v>
      </c>
      <c r="B127" s="4" t="s">
        <v>811</v>
      </c>
      <c r="C127" s="4" t="s">
        <v>1790</v>
      </c>
      <c r="D127" s="4" t="s">
        <v>820</v>
      </c>
      <c r="E127" s="4" t="s">
        <v>1791</v>
      </c>
      <c r="F127" s="4">
        <v>0</v>
      </c>
      <c r="G127" s="7">
        <v>0</v>
      </c>
    </row>
    <row r="128" spans="1:7">
      <c r="A128" s="4" t="s">
        <v>807</v>
      </c>
      <c r="B128" s="4" t="s">
        <v>811</v>
      </c>
      <c r="C128" s="4" t="s">
        <v>1792</v>
      </c>
      <c r="D128" s="4" t="s">
        <v>820</v>
      </c>
      <c r="E128" s="4" t="s">
        <v>1793</v>
      </c>
      <c r="F128" s="4">
        <v>0</v>
      </c>
      <c r="G128" s="7">
        <v>0</v>
      </c>
    </row>
    <row r="129" spans="1:7">
      <c r="A129" s="4" t="s">
        <v>807</v>
      </c>
      <c r="B129" s="4" t="s">
        <v>808</v>
      </c>
      <c r="C129" s="4" t="s">
        <v>1794</v>
      </c>
      <c r="D129" s="4" t="s">
        <v>820</v>
      </c>
      <c r="E129" s="4" t="s">
        <v>1795</v>
      </c>
      <c r="F129" s="4">
        <v>0</v>
      </c>
      <c r="G129" s="7">
        <v>0</v>
      </c>
    </row>
    <row r="130" spans="1:7">
      <c r="A130" s="4" t="s">
        <v>807</v>
      </c>
      <c r="B130" s="4" t="s">
        <v>808</v>
      </c>
      <c r="C130" s="4" t="s">
        <v>1796</v>
      </c>
      <c r="D130" s="4" t="s">
        <v>820</v>
      </c>
      <c r="E130" s="4" t="s">
        <v>1797</v>
      </c>
      <c r="F130" s="4">
        <v>0</v>
      </c>
      <c r="G130" s="7">
        <v>0</v>
      </c>
    </row>
    <row r="131" spans="1:7">
      <c r="A131" s="4" t="s">
        <v>807</v>
      </c>
      <c r="B131" s="4" t="s">
        <v>811</v>
      </c>
      <c r="C131" s="4" t="s">
        <v>1798</v>
      </c>
      <c r="D131" s="4" t="s">
        <v>820</v>
      </c>
      <c r="E131" s="4" t="s">
        <v>1799</v>
      </c>
      <c r="F131" s="4">
        <v>0</v>
      </c>
      <c r="G131" s="7">
        <v>0</v>
      </c>
    </row>
    <row r="132" spans="1:7">
      <c r="A132" s="4" t="s">
        <v>807</v>
      </c>
      <c r="B132" s="4" t="s">
        <v>808</v>
      </c>
      <c r="C132" s="4" t="s">
        <v>1800</v>
      </c>
      <c r="D132" s="4" t="s">
        <v>820</v>
      </c>
      <c r="E132" s="4" t="s">
        <v>1801</v>
      </c>
      <c r="F132" s="4">
        <v>0</v>
      </c>
      <c r="G132" s="7">
        <v>0</v>
      </c>
    </row>
    <row r="133" spans="1:7">
      <c r="A133" s="4" t="s">
        <v>807</v>
      </c>
      <c r="B133" s="4" t="s">
        <v>808</v>
      </c>
      <c r="C133" s="4" t="s">
        <v>1802</v>
      </c>
      <c r="D133" s="4" t="s">
        <v>820</v>
      </c>
      <c r="E133" s="4" t="s">
        <v>1803</v>
      </c>
      <c r="F133" s="4">
        <v>0</v>
      </c>
      <c r="G133" s="7">
        <v>0</v>
      </c>
    </row>
    <row r="134" spans="1:7">
      <c r="A134" s="4" t="s">
        <v>807</v>
      </c>
      <c r="B134" s="4" t="s">
        <v>808</v>
      </c>
      <c r="C134" s="4" t="s">
        <v>1804</v>
      </c>
      <c r="D134" s="4" t="s">
        <v>820</v>
      </c>
      <c r="E134" s="4" t="s">
        <v>1805</v>
      </c>
      <c r="F134" s="4">
        <v>0</v>
      </c>
      <c r="G134" s="7">
        <v>0</v>
      </c>
    </row>
    <row r="135" spans="1:7">
      <c r="A135" s="4" t="s">
        <v>807</v>
      </c>
      <c r="B135" s="4" t="s">
        <v>808</v>
      </c>
      <c r="C135" s="4" t="s">
        <v>1806</v>
      </c>
      <c r="D135" s="4" t="s">
        <v>820</v>
      </c>
      <c r="E135" s="4" t="s">
        <v>1807</v>
      </c>
      <c r="F135" s="4">
        <v>0</v>
      </c>
      <c r="G135" s="7">
        <v>0</v>
      </c>
    </row>
    <row r="136" spans="1:7">
      <c r="A136" s="4" t="s">
        <v>807</v>
      </c>
      <c r="B136" s="4" t="s">
        <v>811</v>
      </c>
      <c r="C136" s="4" t="s">
        <v>1808</v>
      </c>
      <c r="D136" s="4" t="s">
        <v>820</v>
      </c>
      <c r="E136" s="4" t="s">
        <v>1809</v>
      </c>
      <c r="F136" s="4">
        <v>0</v>
      </c>
      <c r="G136" s="7">
        <v>0</v>
      </c>
    </row>
    <row r="137" spans="1:7">
      <c r="A137" s="4" t="s">
        <v>807</v>
      </c>
      <c r="B137" s="4" t="s">
        <v>808</v>
      </c>
      <c r="C137" s="4" t="s">
        <v>1810</v>
      </c>
      <c r="D137" s="4" t="s">
        <v>820</v>
      </c>
      <c r="E137" s="4" t="s">
        <v>1811</v>
      </c>
      <c r="F137" s="4">
        <v>0</v>
      </c>
      <c r="G137" s="7">
        <v>0</v>
      </c>
    </row>
    <row r="138" spans="1:7">
      <c r="A138" s="4" t="s">
        <v>807</v>
      </c>
      <c r="B138" s="4" t="s">
        <v>811</v>
      </c>
      <c r="C138" s="4" t="s">
        <v>1812</v>
      </c>
      <c r="D138" s="4" t="s">
        <v>820</v>
      </c>
      <c r="E138" s="4" t="s">
        <v>1813</v>
      </c>
      <c r="F138" s="4">
        <v>0</v>
      </c>
      <c r="G138" s="7">
        <v>0</v>
      </c>
    </row>
    <row r="139" spans="1:7">
      <c r="A139" s="4" t="s">
        <v>807</v>
      </c>
      <c r="B139" s="4" t="s">
        <v>811</v>
      </c>
      <c r="C139" s="4" t="s">
        <v>1814</v>
      </c>
      <c r="D139" s="4" t="s">
        <v>820</v>
      </c>
      <c r="E139" s="4" t="s">
        <v>1815</v>
      </c>
      <c r="F139" s="4">
        <v>0</v>
      </c>
      <c r="G139" s="7">
        <v>0</v>
      </c>
    </row>
    <row r="140" spans="1:7">
      <c r="A140" s="4" t="s">
        <v>807</v>
      </c>
      <c r="B140" s="4" t="s">
        <v>811</v>
      </c>
      <c r="C140" s="4" t="s">
        <v>1816</v>
      </c>
      <c r="D140" s="4" t="s">
        <v>820</v>
      </c>
      <c r="E140" s="4" t="s">
        <v>1817</v>
      </c>
      <c r="F140" s="4">
        <v>0</v>
      </c>
      <c r="G140" s="7">
        <v>0</v>
      </c>
    </row>
    <row r="141" spans="1:7">
      <c r="A141" s="4" t="s">
        <v>807</v>
      </c>
      <c r="B141" s="4" t="s">
        <v>811</v>
      </c>
      <c r="C141" s="4" t="s">
        <v>1818</v>
      </c>
      <c r="D141" s="4" t="s">
        <v>820</v>
      </c>
      <c r="E141" s="4" t="s">
        <v>1819</v>
      </c>
      <c r="F141" s="4">
        <v>0</v>
      </c>
      <c r="G141" s="7">
        <v>0</v>
      </c>
    </row>
    <row r="142" spans="1:7">
      <c r="A142" s="4" t="s">
        <v>807</v>
      </c>
      <c r="B142" s="4" t="s">
        <v>808</v>
      </c>
      <c r="C142" s="4" t="s">
        <v>1820</v>
      </c>
      <c r="D142" s="4" t="s">
        <v>820</v>
      </c>
      <c r="E142" s="4" t="s">
        <v>1821</v>
      </c>
      <c r="F142" s="4">
        <v>0</v>
      </c>
      <c r="G142" s="7">
        <v>0</v>
      </c>
    </row>
    <row r="143" spans="1:7">
      <c r="A143" s="4" t="s">
        <v>807</v>
      </c>
      <c r="B143" s="4" t="s">
        <v>811</v>
      </c>
      <c r="C143" s="4" t="s">
        <v>1822</v>
      </c>
      <c r="D143" s="4" t="s">
        <v>820</v>
      </c>
      <c r="E143" s="4" t="s">
        <v>1823</v>
      </c>
      <c r="F143" s="4">
        <v>0</v>
      </c>
      <c r="G143" s="7">
        <v>0</v>
      </c>
    </row>
    <row r="144" spans="1:7">
      <c r="A144" s="4" t="s">
        <v>807</v>
      </c>
      <c r="B144" s="4" t="s">
        <v>808</v>
      </c>
      <c r="C144" s="4" t="s">
        <v>1824</v>
      </c>
      <c r="D144" s="4" t="s">
        <v>820</v>
      </c>
      <c r="E144" s="4" t="s">
        <v>1825</v>
      </c>
      <c r="F144" s="4">
        <v>0</v>
      </c>
      <c r="G144" s="7">
        <v>0</v>
      </c>
    </row>
    <row r="145" spans="1:7">
      <c r="A145" s="4" t="s">
        <v>807</v>
      </c>
      <c r="B145" s="4" t="s">
        <v>811</v>
      </c>
      <c r="C145" s="4" t="s">
        <v>1826</v>
      </c>
      <c r="D145" s="4" t="s">
        <v>820</v>
      </c>
      <c r="E145" s="4" t="s">
        <v>1827</v>
      </c>
      <c r="F145" s="4">
        <v>0</v>
      </c>
      <c r="G145" s="7">
        <v>0</v>
      </c>
    </row>
    <row r="146" spans="1:7">
      <c r="A146" s="4" t="s">
        <v>807</v>
      </c>
      <c r="B146" s="4" t="s">
        <v>811</v>
      </c>
      <c r="C146" s="4" t="s">
        <v>1828</v>
      </c>
      <c r="D146" s="4" t="s">
        <v>820</v>
      </c>
      <c r="E146" s="4" t="s">
        <v>1829</v>
      </c>
      <c r="F146" s="4">
        <v>0</v>
      </c>
      <c r="G146" s="7">
        <v>0</v>
      </c>
    </row>
    <row r="147" spans="1:7">
      <c r="A147" s="4" t="s">
        <v>807</v>
      </c>
      <c r="B147" s="4" t="s">
        <v>811</v>
      </c>
      <c r="C147" s="4" t="s">
        <v>1830</v>
      </c>
      <c r="D147" s="4" t="s">
        <v>820</v>
      </c>
      <c r="E147" s="4" t="s">
        <v>1831</v>
      </c>
      <c r="F147" s="4">
        <v>0</v>
      </c>
      <c r="G147" s="7">
        <v>0</v>
      </c>
    </row>
    <row r="148" spans="1:7">
      <c r="A148" s="4" t="s">
        <v>807</v>
      </c>
      <c r="B148" s="4" t="s">
        <v>811</v>
      </c>
      <c r="C148" s="4" t="s">
        <v>1832</v>
      </c>
      <c r="D148" s="4" t="s">
        <v>820</v>
      </c>
      <c r="E148" s="4" t="s">
        <v>1833</v>
      </c>
      <c r="F148" s="4">
        <v>0</v>
      </c>
      <c r="G148" s="7">
        <v>0</v>
      </c>
    </row>
    <row r="149" spans="1:7">
      <c r="A149" s="4" t="s">
        <v>807</v>
      </c>
      <c r="B149" s="4" t="s">
        <v>811</v>
      </c>
      <c r="C149" s="4" t="s">
        <v>1834</v>
      </c>
      <c r="D149" s="4" t="s">
        <v>820</v>
      </c>
      <c r="E149" s="4" t="s">
        <v>1835</v>
      </c>
      <c r="F149" s="4">
        <v>0</v>
      </c>
      <c r="G149" s="7">
        <v>0</v>
      </c>
    </row>
    <row r="150" spans="1:7">
      <c r="A150" s="4" t="s">
        <v>807</v>
      </c>
      <c r="B150" s="4" t="s">
        <v>811</v>
      </c>
      <c r="C150" s="4" t="s">
        <v>1836</v>
      </c>
      <c r="D150" s="4" t="s">
        <v>820</v>
      </c>
      <c r="E150" s="4" t="s">
        <v>1837</v>
      </c>
      <c r="F150" s="4">
        <v>0</v>
      </c>
      <c r="G150" s="7">
        <v>0</v>
      </c>
    </row>
    <row r="151" spans="1:7">
      <c r="A151" s="4" t="s">
        <v>807</v>
      </c>
      <c r="B151" s="4" t="s">
        <v>811</v>
      </c>
      <c r="C151" s="4" t="s">
        <v>1838</v>
      </c>
      <c r="D151" s="4" t="s">
        <v>820</v>
      </c>
      <c r="E151" s="4" t="s">
        <v>1839</v>
      </c>
      <c r="F151" s="4">
        <v>0</v>
      </c>
      <c r="G151" s="7">
        <v>0</v>
      </c>
    </row>
    <row r="152" spans="1:7">
      <c r="A152" s="4" t="s">
        <v>807</v>
      </c>
      <c r="B152" s="4" t="s">
        <v>811</v>
      </c>
      <c r="C152" s="4" t="s">
        <v>1840</v>
      </c>
      <c r="D152" s="4" t="s">
        <v>820</v>
      </c>
      <c r="E152" s="4" t="s">
        <v>1841</v>
      </c>
      <c r="F152" s="4">
        <v>0</v>
      </c>
      <c r="G152" s="7">
        <v>0</v>
      </c>
    </row>
    <row r="153" spans="1:7">
      <c r="A153" s="4" t="s">
        <v>807</v>
      </c>
      <c r="B153" s="4" t="s">
        <v>811</v>
      </c>
      <c r="C153" s="4" t="s">
        <v>1842</v>
      </c>
      <c r="D153" s="4" t="s">
        <v>820</v>
      </c>
      <c r="E153" s="4" t="s">
        <v>1843</v>
      </c>
      <c r="F153" s="4">
        <v>0</v>
      </c>
      <c r="G153" s="7">
        <v>0</v>
      </c>
    </row>
    <row r="154" spans="1:7">
      <c r="A154" s="4" t="s">
        <v>807</v>
      </c>
      <c r="B154" s="4" t="s">
        <v>811</v>
      </c>
      <c r="C154" s="4" t="s">
        <v>1844</v>
      </c>
      <c r="D154" s="4" t="s">
        <v>820</v>
      </c>
      <c r="E154" s="4" t="s">
        <v>1845</v>
      </c>
      <c r="F154" s="4">
        <v>0</v>
      </c>
      <c r="G154" s="7">
        <v>0</v>
      </c>
    </row>
    <row r="155" spans="1:7">
      <c r="A155" s="4" t="s">
        <v>807</v>
      </c>
      <c r="B155" s="4" t="s">
        <v>811</v>
      </c>
      <c r="C155" s="4" t="s">
        <v>1846</v>
      </c>
      <c r="D155" s="4" t="s">
        <v>820</v>
      </c>
      <c r="E155" s="4" t="s">
        <v>1847</v>
      </c>
      <c r="F155" s="4">
        <v>0</v>
      </c>
      <c r="G155" s="7">
        <v>0</v>
      </c>
    </row>
    <row r="156" spans="1:7">
      <c r="A156" s="4" t="s">
        <v>807</v>
      </c>
      <c r="B156" s="4" t="s">
        <v>808</v>
      </c>
      <c r="C156" s="4" t="s">
        <v>1848</v>
      </c>
      <c r="D156" s="4" t="s">
        <v>820</v>
      </c>
      <c r="E156" s="4" t="s">
        <v>1849</v>
      </c>
      <c r="F156" s="4">
        <v>0</v>
      </c>
      <c r="G156" s="7">
        <v>0</v>
      </c>
    </row>
    <row r="157" spans="1:7">
      <c r="A157" s="4" t="s">
        <v>807</v>
      </c>
      <c r="B157" s="4" t="s">
        <v>808</v>
      </c>
      <c r="C157" s="4" t="s">
        <v>1850</v>
      </c>
      <c r="D157" s="4" t="s">
        <v>820</v>
      </c>
      <c r="E157" s="4" t="s">
        <v>1851</v>
      </c>
      <c r="F157" s="4">
        <v>0</v>
      </c>
      <c r="G157" s="7">
        <v>0</v>
      </c>
    </row>
    <row r="158" spans="1:7">
      <c r="A158" s="4" t="s">
        <v>807</v>
      </c>
      <c r="B158" s="4" t="s">
        <v>808</v>
      </c>
      <c r="C158" s="4" t="s">
        <v>1852</v>
      </c>
      <c r="D158" s="4" t="s">
        <v>820</v>
      </c>
      <c r="E158" s="4" t="s">
        <v>1853</v>
      </c>
      <c r="F158" s="4">
        <v>0</v>
      </c>
      <c r="G158" s="7">
        <v>0</v>
      </c>
    </row>
    <row r="159" spans="1:7">
      <c r="A159" s="4" t="s">
        <v>807</v>
      </c>
      <c r="B159" s="4" t="s">
        <v>825</v>
      </c>
      <c r="C159" s="4" t="s">
        <v>1854</v>
      </c>
      <c r="D159" s="4" t="s">
        <v>820</v>
      </c>
      <c r="E159" s="4" t="s">
        <v>1855</v>
      </c>
      <c r="F159" s="4">
        <v>0</v>
      </c>
      <c r="G159" s="7">
        <v>0</v>
      </c>
    </row>
    <row r="160" spans="1:7">
      <c r="A160" s="4" t="s">
        <v>807</v>
      </c>
      <c r="B160" s="4" t="s">
        <v>825</v>
      </c>
      <c r="C160" s="4" t="s">
        <v>1856</v>
      </c>
      <c r="D160" s="4" t="s">
        <v>820</v>
      </c>
      <c r="E160" s="4" t="s">
        <v>1857</v>
      </c>
      <c r="F160" s="4">
        <v>0</v>
      </c>
      <c r="G160" s="7">
        <v>0</v>
      </c>
    </row>
    <row r="161" spans="1:7">
      <c r="A161" s="4" t="s">
        <v>807</v>
      </c>
      <c r="B161" s="4" t="s">
        <v>808</v>
      </c>
      <c r="C161" s="4" t="s">
        <v>1858</v>
      </c>
      <c r="D161" s="4" t="s">
        <v>820</v>
      </c>
      <c r="E161" s="4" t="s">
        <v>1859</v>
      </c>
      <c r="F161" s="4">
        <v>0</v>
      </c>
      <c r="G161" s="7">
        <v>0</v>
      </c>
    </row>
    <row r="162" spans="1:7" hidden="1">
      <c r="A162" s="4" t="s">
        <v>807</v>
      </c>
      <c r="B162" s="4" t="s">
        <v>811</v>
      </c>
      <c r="C162" s="4" t="s">
        <v>822</v>
      </c>
      <c r="D162" s="4" t="s">
        <v>830</v>
      </c>
      <c r="E162" s="4" t="s">
        <v>824</v>
      </c>
      <c r="F162" s="4">
        <v>0</v>
      </c>
      <c r="G162" s="7">
        <v>0</v>
      </c>
    </row>
    <row r="163" spans="1:7" hidden="1">
      <c r="A163" s="4" t="s">
        <v>807</v>
      </c>
      <c r="B163" s="4" t="s">
        <v>811</v>
      </c>
      <c r="C163" s="4" t="s">
        <v>1860</v>
      </c>
      <c r="D163" s="4" t="s">
        <v>833</v>
      </c>
      <c r="E163" s="4" t="s">
        <v>1861</v>
      </c>
      <c r="F163" s="4">
        <v>0</v>
      </c>
      <c r="G163" s="7">
        <v>0</v>
      </c>
    </row>
    <row r="164" spans="1:7" hidden="1">
      <c r="A164" s="4" t="s">
        <v>807</v>
      </c>
      <c r="B164" s="4" t="s">
        <v>811</v>
      </c>
      <c r="C164" s="4" t="s">
        <v>1860</v>
      </c>
      <c r="D164" s="4" t="s">
        <v>835</v>
      </c>
      <c r="E164" s="4" t="s">
        <v>1861</v>
      </c>
      <c r="F164" s="4">
        <v>0</v>
      </c>
      <c r="G164" s="7">
        <v>0</v>
      </c>
    </row>
    <row r="165" spans="1:7" hidden="1">
      <c r="A165" s="4" t="s">
        <v>807</v>
      </c>
      <c r="B165" s="4" t="s">
        <v>811</v>
      </c>
      <c r="C165" s="4" t="s">
        <v>1862</v>
      </c>
      <c r="D165" s="4" t="s">
        <v>837</v>
      </c>
      <c r="E165" s="4" t="s">
        <v>1863</v>
      </c>
      <c r="F165" s="4">
        <v>0</v>
      </c>
      <c r="G165" s="7">
        <v>0</v>
      </c>
    </row>
    <row r="166" spans="1:7" hidden="1">
      <c r="A166" s="4" t="s">
        <v>807</v>
      </c>
      <c r="B166" s="4" t="s">
        <v>811</v>
      </c>
      <c r="C166" s="4" t="s">
        <v>1864</v>
      </c>
      <c r="D166" s="4" t="s">
        <v>837</v>
      </c>
      <c r="E166" s="4" t="s">
        <v>1865</v>
      </c>
      <c r="F166" s="4">
        <v>0</v>
      </c>
      <c r="G166" s="7">
        <v>0</v>
      </c>
    </row>
    <row r="167" spans="1:7" hidden="1">
      <c r="A167" s="4" t="s">
        <v>807</v>
      </c>
      <c r="B167" s="4" t="s">
        <v>825</v>
      </c>
      <c r="C167" s="4" t="s">
        <v>829</v>
      </c>
      <c r="D167" s="4" t="s">
        <v>839</v>
      </c>
      <c r="E167" s="4" t="s">
        <v>831</v>
      </c>
      <c r="F167" s="4">
        <v>0</v>
      </c>
      <c r="G167" s="7">
        <v>0</v>
      </c>
    </row>
    <row r="168" spans="1:7" hidden="1">
      <c r="A168" s="4" t="s">
        <v>807</v>
      </c>
      <c r="B168" s="4" t="s">
        <v>811</v>
      </c>
      <c r="C168" s="4" t="s">
        <v>1864</v>
      </c>
      <c r="D168" s="4" t="s">
        <v>839</v>
      </c>
      <c r="E168" s="4" t="s">
        <v>1865</v>
      </c>
      <c r="F168" s="4">
        <v>0</v>
      </c>
      <c r="G168" s="7">
        <v>0</v>
      </c>
    </row>
    <row r="169" spans="1:7" hidden="1">
      <c r="A169" s="4" t="s">
        <v>807</v>
      </c>
      <c r="B169" s="4" t="s">
        <v>811</v>
      </c>
      <c r="C169" s="4" t="s">
        <v>1866</v>
      </c>
      <c r="D169" s="4" t="s">
        <v>841</v>
      </c>
      <c r="E169" s="4" t="s">
        <v>1867</v>
      </c>
      <c r="F169" s="4">
        <v>0</v>
      </c>
      <c r="G169" s="7">
        <v>0</v>
      </c>
    </row>
    <row r="170" spans="1:7" hidden="1">
      <c r="A170" s="4" t="s">
        <v>807</v>
      </c>
      <c r="B170" s="4" t="s">
        <v>811</v>
      </c>
      <c r="C170" s="4" t="s">
        <v>843</v>
      </c>
      <c r="D170" s="4" t="s">
        <v>842</v>
      </c>
      <c r="E170" s="4" t="s">
        <v>845</v>
      </c>
      <c r="F170" s="4">
        <v>0</v>
      </c>
      <c r="G170" s="7">
        <v>0</v>
      </c>
    </row>
    <row r="171" spans="1:7" hidden="1">
      <c r="A171" s="4" t="s">
        <v>807</v>
      </c>
      <c r="B171" s="4" t="s">
        <v>825</v>
      </c>
      <c r="C171" s="4" t="s">
        <v>829</v>
      </c>
      <c r="D171" s="4" t="s">
        <v>867</v>
      </c>
      <c r="E171" s="4" t="s">
        <v>831</v>
      </c>
      <c r="F171" s="4">
        <v>0</v>
      </c>
      <c r="G171" s="7">
        <v>0</v>
      </c>
    </row>
    <row r="172" spans="1:7" hidden="1">
      <c r="A172" s="4" t="s">
        <v>807</v>
      </c>
      <c r="B172" s="4" t="s">
        <v>811</v>
      </c>
      <c r="C172" s="4" t="s">
        <v>1868</v>
      </c>
      <c r="D172" s="4" t="s">
        <v>878</v>
      </c>
      <c r="E172" s="4" t="s">
        <v>1869</v>
      </c>
      <c r="F172" s="4">
        <v>0</v>
      </c>
      <c r="G172" s="7">
        <v>0</v>
      </c>
    </row>
    <row r="173" spans="1:7" hidden="1">
      <c r="A173" s="4" t="s">
        <v>807</v>
      </c>
      <c r="B173" s="4" t="s">
        <v>811</v>
      </c>
      <c r="C173" s="4" t="s">
        <v>883</v>
      </c>
      <c r="D173" s="4" t="s">
        <v>911</v>
      </c>
      <c r="E173" s="4" t="s">
        <v>885</v>
      </c>
      <c r="F173" s="4">
        <v>0</v>
      </c>
      <c r="G173" s="7">
        <v>0</v>
      </c>
    </row>
    <row r="174" spans="1:7" hidden="1">
      <c r="A174" s="4" t="s">
        <v>807</v>
      </c>
      <c r="B174" s="4" t="s">
        <v>811</v>
      </c>
      <c r="C174" s="4" t="s">
        <v>883</v>
      </c>
      <c r="D174" s="4" t="s">
        <v>913</v>
      </c>
      <c r="E174" s="4" t="s">
        <v>885</v>
      </c>
      <c r="F174" s="4">
        <v>0</v>
      </c>
      <c r="G174" s="7">
        <v>0</v>
      </c>
    </row>
    <row r="175" spans="1:7" hidden="1">
      <c r="A175" s="4" t="s">
        <v>807</v>
      </c>
      <c r="B175" s="4" t="s">
        <v>811</v>
      </c>
      <c r="C175" s="4" t="s">
        <v>883</v>
      </c>
      <c r="D175" s="4" t="s">
        <v>914</v>
      </c>
      <c r="E175" s="4" t="s">
        <v>885</v>
      </c>
      <c r="F175" s="4">
        <v>0</v>
      </c>
      <c r="G175" s="7">
        <v>0</v>
      </c>
    </row>
    <row r="176" spans="1:7" hidden="1">
      <c r="A176" s="4" t="s">
        <v>915</v>
      </c>
      <c r="B176" s="4"/>
      <c r="C176" s="4">
        <v>54006522</v>
      </c>
      <c r="D176" s="4" t="s">
        <v>916</v>
      </c>
      <c r="E176" s="4" t="s">
        <v>1870</v>
      </c>
      <c r="F176" s="4">
        <v>0</v>
      </c>
      <c r="G176" s="7">
        <v>0</v>
      </c>
    </row>
    <row r="177" spans="1:7" hidden="1">
      <c r="A177" s="4" t="s">
        <v>807</v>
      </c>
      <c r="B177" s="4" t="s">
        <v>825</v>
      </c>
      <c r="C177" s="4" t="s">
        <v>920</v>
      </c>
      <c r="D177" s="4" t="s">
        <v>916</v>
      </c>
      <c r="E177" s="4" t="s">
        <v>922</v>
      </c>
      <c r="F177" s="4">
        <v>0</v>
      </c>
      <c r="G177" s="7">
        <v>0</v>
      </c>
    </row>
    <row r="178" spans="1:7" hidden="1">
      <c r="A178" s="4" t="s">
        <v>887</v>
      </c>
      <c r="B178" s="4" t="s">
        <v>811</v>
      </c>
      <c r="C178" s="4" t="s">
        <v>1871</v>
      </c>
      <c r="D178" s="4" t="s">
        <v>916</v>
      </c>
      <c r="E178" s="4" t="s">
        <v>1872</v>
      </c>
      <c r="F178" s="4">
        <v>0</v>
      </c>
      <c r="G178" s="7">
        <v>0</v>
      </c>
    </row>
    <row r="179" spans="1:7" hidden="1">
      <c r="A179" s="4" t="s">
        <v>807</v>
      </c>
      <c r="B179" s="4" t="s">
        <v>825</v>
      </c>
      <c r="C179" s="4" t="s">
        <v>920</v>
      </c>
      <c r="D179" s="4" t="s">
        <v>918</v>
      </c>
      <c r="E179" s="4" t="s">
        <v>922</v>
      </c>
      <c r="F179" s="4">
        <v>0</v>
      </c>
      <c r="G179" s="7">
        <v>0</v>
      </c>
    </row>
    <row r="180" spans="1:7" hidden="1">
      <c r="A180" s="4" t="s">
        <v>887</v>
      </c>
      <c r="B180" s="4" t="s">
        <v>811</v>
      </c>
      <c r="C180" s="4" t="s">
        <v>1873</v>
      </c>
      <c r="D180" s="4" t="s">
        <v>918</v>
      </c>
      <c r="E180" s="4" t="s">
        <v>1874</v>
      </c>
      <c r="F180" s="4">
        <v>0</v>
      </c>
      <c r="G180" s="7">
        <v>0</v>
      </c>
    </row>
    <row r="181" spans="1:7" hidden="1">
      <c r="A181" s="4" t="s">
        <v>887</v>
      </c>
      <c r="B181" s="4" t="s">
        <v>811</v>
      </c>
      <c r="C181" s="4" t="s">
        <v>1875</v>
      </c>
      <c r="D181" s="4" t="s">
        <v>921</v>
      </c>
      <c r="E181" s="4" t="s">
        <v>1876</v>
      </c>
      <c r="F181" s="4">
        <v>0</v>
      </c>
      <c r="G181" s="7">
        <v>0</v>
      </c>
    </row>
    <row r="182" spans="1:7" hidden="1">
      <c r="A182" s="4" t="s">
        <v>887</v>
      </c>
      <c r="B182" s="4" t="s">
        <v>808</v>
      </c>
      <c r="C182" s="4" t="s">
        <v>1877</v>
      </c>
      <c r="D182" s="4" t="s">
        <v>923</v>
      </c>
      <c r="E182" s="4" t="s">
        <v>1878</v>
      </c>
      <c r="F182" s="4">
        <v>0</v>
      </c>
      <c r="G182" s="7">
        <v>0</v>
      </c>
    </row>
    <row r="183" spans="1:7" hidden="1">
      <c r="A183" s="4" t="s">
        <v>915</v>
      </c>
      <c r="B183" s="4"/>
      <c r="C183" s="4">
        <v>54005696</v>
      </c>
      <c r="D183" s="4" t="s">
        <v>973</v>
      </c>
      <c r="E183" s="4" t="s">
        <v>1879</v>
      </c>
      <c r="F183" s="4">
        <v>0</v>
      </c>
      <c r="G183" s="7">
        <v>0</v>
      </c>
    </row>
    <row r="184" spans="1:7" hidden="1">
      <c r="A184" s="4" t="s">
        <v>915</v>
      </c>
      <c r="B184" s="4"/>
      <c r="C184" s="4">
        <v>54005884</v>
      </c>
      <c r="D184" s="4" t="s">
        <v>973</v>
      </c>
      <c r="E184" s="4" t="s">
        <v>1880</v>
      </c>
      <c r="F184" s="4">
        <v>0</v>
      </c>
      <c r="G184" s="7">
        <v>0</v>
      </c>
    </row>
    <row r="185" spans="1:7" hidden="1">
      <c r="A185" s="4" t="s">
        <v>915</v>
      </c>
      <c r="B185" s="4"/>
      <c r="C185" s="4">
        <v>54006460</v>
      </c>
      <c r="D185" s="4" t="s">
        <v>1010</v>
      </c>
      <c r="E185" s="4" t="s">
        <v>1881</v>
      </c>
      <c r="F185" s="4">
        <v>0</v>
      </c>
      <c r="G185" s="7">
        <v>0</v>
      </c>
    </row>
    <row r="186" spans="1:7" hidden="1">
      <c r="A186" s="4" t="s">
        <v>915</v>
      </c>
      <c r="B186" s="4"/>
      <c r="C186" s="4">
        <v>54006523</v>
      </c>
      <c r="D186" s="4" t="s">
        <v>1010</v>
      </c>
      <c r="E186" s="4" t="s">
        <v>1882</v>
      </c>
      <c r="F186" s="4">
        <v>0</v>
      </c>
      <c r="G186" s="7">
        <v>0</v>
      </c>
    </row>
    <row r="187" spans="1:7" hidden="1">
      <c r="A187" s="4" t="s">
        <v>807</v>
      </c>
      <c r="B187" s="4" t="s">
        <v>825</v>
      </c>
      <c r="C187" s="4" t="s">
        <v>1516</v>
      </c>
      <c r="D187" s="4" t="s">
        <v>1013</v>
      </c>
      <c r="E187" s="4" t="s">
        <v>1518</v>
      </c>
      <c r="F187" s="4">
        <v>0</v>
      </c>
      <c r="G187" s="7">
        <v>0</v>
      </c>
    </row>
    <row r="188" spans="1:7" hidden="1">
      <c r="A188" s="4" t="s">
        <v>807</v>
      </c>
      <c r="B188" s="4" t="s">
        <v>811</v>
      </c>
      <c r="C188" s="4" t="s">
        <v>969</v>
      </c>
      <c r="D188" s="4" t="s">
        <v>1013</v>
      </c>
      <c r="E188" s="4" t="s">
        <v>971</v>
      </c>
      <c r="F188" s="4">
        <v>0</v>
      </c>
      <c r="G188" s="7">
        <v>0</v>
      </c>
    </row>
    <row r="189" spans="1:7" hidden="1">
      <c r="A189" s="4" t="s">
        <v>807</v>
      </c>
      <c r="B189" s="4" t="s">
        <v>1883</v>
      </c>
      <c r="C189" s="4" t="s">
        <v>1884</v>
      </c>
      <c r="D189" s="4" t="s">
        <v>1026</v>
      </c>
      <c r="E189" s="4" t="s">
        <v>1885</v>
      </c>
      <c r="F189" s="4">
        <v>0</v>
      </c>
      <c r="G189" s="7">
        <v>0</v>
      </c>
    </row>
    <row r="190" spans="1:7" hidden="1">
      <c r="A190" s="4" t="s">
        <v>807</v>
      </c>
      <c r="B190" s="4" t="s">
        <v>811</v>
      </c>
      <c r="C190" s="4" t="s">
        <v>969</v>
      </c>
      <c r="D190" s="4" t="s">
        <v>1028</v>
      </c>
      <c r="E190" s="4" t="s">
        <v>971</v>
      </c>
      <c r="F190" s="4">
        <v>0</v>
      </c>
      <c r="G190" s="7">
        <v>0</v>
      </c>
    </row>
    <row r="191" spans="1:7" hidden="1">
      <c r="A191" s="4" t="s">
        <v>807</v>
      </c>
      <c r="B191" s="4" t="s">
        <v>811</v>
      </c>
      <c r="C191" s="4" t="s">
        <v>877</v>
      </c>
      <c r="D191" s="4" t="s">
        <v>1028</v>
      </c>
      <c r="E191" s="4" t="s">
        <v>879</v>
      </c>
      <c r="F191" s="4">
        <v>0</v>
      </c>
      <c r="G191" s="7">
        <v>0</v>
      </c>
    </row>
    <row r="192" spans="1:7" hidden="1">
      <c r="A192" s="4" t="s">
        <v>807</v>
      </c>
      <c r="B192" s="4" t="s">
        <v>808</v>
      </c>
      <c r="C192" s="4" t="s">
        <v>1886</v>
      </c>
      <c r="D192" s="4" t="s">
        <v>1036</v>
      </c>
      <c r="E192" s="4" t="s">
        <v>1033</v>
      </c>
      <c r="F192" s="4">
        <v>0</v>
      </c>
      <c r="G192" s="7">
        <v>0</v>
      </c>
    </row>
    <row r="193" spans="1:7" hidden="1">
      <c r="A193" s="4" t="s">
        <v>807</v>
      </c>
      <c r="B193" s="4" t="s">
        <v>962</v>
      </c>
      <c r="C193" s="4" t="s">
        <v>1007</v>
      </c>
      <c r="D193" s="4" t="s">
        <v>1036</v>
      </c>
      <c r="E193" s="4" t="s">
        <v>1009</v>
      </c>
      <c r="F193" s="4">
        <v>0</v>
      </c>
      <c r="G193" s="7">
        <v>0</v>
      </c>
    </row>
    <row r="194" spans="1:7" hidden="1">
      <c r="A194" s="4" t="s">
        <v>915</v>
      </c>
      <c r="B194" s="4" t="s">
        <v>915</v>
      </c>
      <c r="C194" s="4">
        <v>54005267</v>
      </c>
      <c r="D194" s="4" t="s">
        <v>1038</v>
      </c>
      <c r="E194" s="4" t="s">
        <v>1887</v>
      </c>
      <c r="F194" s="4">
        <v>0</v>
      </c>
      <c r="G194" s="7">
        <v>0</v>
      </c>
    </row>
    <row r="195" spans="1:7" hidden="1">
      <c r="A195" s="4" t="s">
        <v>915</v>
      </c>
      <c r="B195" s="4" t="s">
        <v>915</v>
      </c>
      <c r="C195" s="4">
        <v>54005395</v>
      </c>
      <c r="D195" s="4" t="s">
        <v>1038</v>
      </c>
      <c r="E195" s="4" t="s">
        <v>1888</v>
      </c>
      <c r="F195" s="4">
        <v>0</v>
      </c>
      <c r="G195" s="7">
        <v>0</v>
      </c>
    </row>
    <row r="196" spans="1:7" hidden="1">
      <c r="A196" s="4" t="s">
        <v>915</v>
      </c>
      <c r="B196" s="4" t="s">
        <v>915</v>
      </c>
      <c r="C196" s="4">
        <v>54005530</v>
      </c>
      <c r="D196" s="4" t="s">
        <v>1038</v>
      </c>
      <c r="E196" s="4" t="s">
        <v>1889</v>
      </c>
      <c r="F196" s="4">
        <v>0</v>
      </c>
      <c r="G196" s="7">
        <v>0</v>
      </c>
    </row>
    <row r="197" spans="1:7" hidden="1">
      <c r="A197" s="4" t="s">
        <v>915</v>
      </c>
      <c r="B197" s="4" t="s">
        <v>915</v>
      </c>
      <c r="C197" s="4">
        <v>54005566</v>
      </c>
      <c r="D197" s="4" t="s">
        <v>1038</v>
      </c>
      <c r="E197" s="4" t="s">
        <v>1890</v>
      </c>
      <c r="F197" s="4">
        <v>0</v>
      </c>
      <c r="G197" s="7">
        <v>0</v>
      </c>
    </row>
    <row r="198" spans="1:7" hidden="1">
      <c r="A198" s="4" t="s">
        <v>915</v>
      </c>
      <c r="B198" s="4" t="s">
        <v>915</v>
      </c>
      <c r="C198" s="4">
        <v>54005785</v>
      </c>
      <c r="D198" s="4" t="s">
        <v>1038</v>
      </c>
      <c r="E198" s="4" t="s">
        <v>1891</v>
      </c>
      <c r="F198" s="4">
        <v>0</v>
      </c>
      <c r="G198" s="7">
        <v>0</v>
      </c>
    </row>
    <row r="199" spans="1:7" hidden="1">
      <c r="A199" s="4" t="s">
        <v>915</v>
      </c>
      <c r="B199" s="4" t="s">
        <v>915</v>
      </c>
      <c r="C199" s="4">
        <v>54005832</v>
      </c>
      <c r="D199" s="4" t="s">
        <v>1038</v>
      </c>
      <c r="E199" s="4" t="s">
        <v>1892</v>
      </c>
      <c r="F199" s="4">
        <v>0</v>
      </c>
      <c r="G199" s="7">
        <v>0</v>
      </c>
    </row>
    <row r="200" spans="1:7" hidden="1">
      <c r="A200" s="4" t="s">
        <v>915</v>
      </c>
      <c r="B200" s="4" t="s">
        <v>915</v>
      </c>
      <c r="C200" s="4">
        <v>54006104</v>
      </c>
      <c r="D200" s="4" t="s">
        <v>1038</v>
      </c>
      <c r="E200" s="4" t="s">
        <v>1893</v>
      </c>
      <c r="F200" s="4">
        <v>0</v>
      </c>
      <c r="G200" s="7">
        <v>0</v>
      </c>
    </row>
    <row r="201" spans="1:7" hidden="1">
      <c r="A201" s="4" t="s">
        <v>807</v>
      </c>
      <c r="B201" s="4" t="s">
        <v>808</v>
      </c>
      <c r="C201" s="4" t="s">
        <v>1894</v>
      </c>
      <c r="D201" s="4" t="s">
        <v>1046</v>
      </c>
      <c r="E201" s="4" t="s">
        <v>1895</v>
      </c>
      <c r="F201" s="4">
        <v>0</v>
      </c>
      <c r="G201" s="7">
        <v>0</v>
      </c>
    </row>
    <row r="202" spans="1:7" hidden="1">
      <c r="A202" s="4" t="s">
        <v>807</v>
      </c>
      <c r="B202" s="4" t="s">
        <v>1883</v>
      </c>
      <c r="C202" s="4" t="s">
        <v>1896</v>
      </c>
      <c r="D202" s="4" t="s">
        <v>1046</v>
      </c>
      <c r="E202" s="4" t="s">
        <v>1897</v>
      </c>
      <c r="F202" s="4">
        <v>0</v>
      </c>
      <c r="G202" s="7">
        <v>0</v>
      </c>
    </row>
    <row r="203" spans="1:7" hidden="1">
      <c r="A203" s="4" t="s">
        <v>815</v>
      </c>
      <c r="B203" s="4" t="s">
        <v>816</v>
      </c>
      <c r="C203" s="4" t="s">
        <v>1898</v>
      </c>
      <c r="D203" s="4" t="s">
        <v>1053</v>
      </c>
      <c r="E203" s="4"/>
      <c r="F203" s="4">
        <v>0</v>
      </c>
      <c r="G203" s="7">
        <v>0</v>
      </c>
    </row>
    <row r="204" spans="1:7" hidden="1">
      <c r="A204" s="4" t="s">
        <v>815</v>
      </c>
      <c r="B204" s="4" t="s">
        <v>1020</v>
      </c>
      <c r="C204" s="4" t="s">
        <v>1461</v>
      </c>
      <c r="D204" s="4" t="s">
        <v>1062</v>
      </c>
      <c r="E204" s="4" t="s">
        <v>1463</v>
      </c>
      <c r="F204" s="4">
        <v>0</v>
      </c>
      <c r="G204" s="7">
        <v>0</v>
      </c>
    </row>
    <row r="205" spans="1:7" hidden="1">
      <c r="A205" s="4" t="s">
        <v>807</v>
      </c>
      <c r="B205" s="4" t="s">
        <v>808</v>
      </c>
      <c r="C205" s="4" t="s">
        <v>1100</v>
      </c>
      <c r="D205" s="4" t="s">
        <v>1066</v>
      </c>
      <c r="E205" s="4" t="s">
        <v>1102</v>
      </c>
      <c r="F205" s="4">
        <v>0</v>
      </c>
      <c r="G205" s="7">
        <v>0</v>
      </c>
    </row>
    <row r="206" spans="1:7" hidden="1">
      <c r="A206" s="4" t="s">
        <v>807</v>
      </c>
      <c r="B206" s="4" t="s">
        <v>808</v>
      </c>
      <c r="C206" s="4" t="s">
        <v>1899</v>
      </c>
      <c r="D206" s="4" t="s">
        <v>1078</v>
      </c>
      <c r="E206" s="4" t="s">
        <v>1900</v>
      </c>
      <c r="F206" s="4">
        <v>0</v>
      </c>
      <c r="G206" s="7">
        <v>0</v>
      </c>
    </row>
    <row r="207" spans="1:7" hidden="1">
      <c r="A207" s="4" t="s">
        <v>807</v>
      </c>
      <c r="B207" s="4" t="s">
        <v>808</v>
      </c>
      <c r="C207" s="4" t="s">
        <v>1901</v>
      </c>
      <c r="D207" s="4" t="s">
        <v>1078</v>
      </c>
      <c r="E207" s="4" t="s">
        <v>1902</v>
      </c>
      <c r="F207" s="4">
        <v>0</v>
      </c>
      <c r="G207" s="7">
        <v>0</v>
      </c>
    </row>
    <row r="208" spans="1:7" hidden="1">
      <c r="A208" s="4" t="s">
        <v>807</v>
      </c>
      <c r="B208" s="4" t="s">
        <v>808</v>
      </c>
      <c r="C208" s="4" t="s">
        <v>1903</v>
      </c>
      <c r="D208" s="4" t="s">
        <v>1078</v>
      </c>
      <c r="E208" s="4" t="s">
        <v>1904</v>
      </c>
      <c r="F208" s="4">
        <v>0</v>
      </c>
      <c r="G208" s="7">
        <v>0</v>
      </c>
    </row>
    <row r="209" spans="1:7" hidden="1">
      <c r="A209" s="4" t="s">
        <v>807</v>
      </c>
      <c r="B209" s="4" t="s">
        <v>808</v>
      </c>
      <c r="C209" s="4" t="s">
        <v>1905</v>
      </c>
      <c r="D209" s="4" t="s">
        <v>1081</v>
      </c>
      <c r="E209" s="4" t="s">
        <v>1906</v>
      </c>
      <c r="F209" s="4">
        <v>0</v>
      </c>
      <c r="G209" s="7">
        <v>0</v>
      </c>
    </row>
    <row r="210" spans="1:7" hidden="1">
      <c r="A210" s="4" t="s">
        <v>807</v>
      </c>
      <c r="B210" s="4" t="s">
        <v>808</v>
      </c>
      <c r="C210" s="4" t="s">
        <v>1907</v>
      </c>
      <c r="D210" s="4" t="s">
        <v>1081</v>
      </c>
      <c r="E210" s="4" t="s">
        <v>1908</v>
      </c>
      <c r="F210" s="4">
        <v>0</v>
      </c>
      <c r="G210" s="7">
        <v>0</v>
      </c>
    </row>
    <row r="211" spans="1:7" hidden="1">
      <c r="A211" s="4" t="s">
        <v>807</v>
      </c>
      <c r="B211" s="4" t="s">
        <v>808</v>
      </c>
      <c r="C211" s="4" t="s">
        <v>1909</v>
      </c>
      <c r="D211" s="4" t="s">
        <v>1081</v>
      </c>
      <c r="E211" s="4" t="s">
        <v>1910</v>
      </c>
      <c r="F211" s="4">
        <v>0</v>
      </c>
      <c r="G211" s="7">
        <v>0</v>
      </c>
    </row>
    <row r="212" spans="1:7" hidden="1">
      <c r="A212" s="4" t="s">
        <v>807</v>
      </c>
      <c r="B212" s="4" t="s">
        <v>808</v>
      </c>
      <c r="C212" s="4" t="s">
        <v>1911</v>
      </c>
      <c r="D212" s="4" t="s">
        <v>1081</v>
      </c>
      <c r="E212" s="4" t="s">
        <v>1912</v>
      </c>
      <c r="F212" s="4">
        <v>0</v>
      </c>
      <c r="G212" s="7">
        <v>0</v>
      </c>
    </row>
    <row r="213" spans="1:7" hidden="1">
      <c r="A213" s="4" t="s">
        <v>807</v>
      </c>
      <c r="B213" s="4" t="s">
        <v>808</v>
      </c>
      <c r="C213" s="4" t="s">
        <v>1913</v>
      </c>
      <c r="D213" s="4" t="s">
        <v>1084</v>
      </c>
      <c r="E213" s="4" t="s">
        <v>1914</v>
      </c>
      <c r="F213" s="4">
        <v>0</v>
      </c>
      <c r="G213" s="7">
        <v>0</v>
      </c>
    </row>
    <row r="214" spans="1:7" hidden="1">
      <c r="A214" s="4" t="s">
        <v>807</v>
      </c>
      <c r="B214" s="4" t="s">
        <v>808</v>
      </c>
      <c r="C214" s="4" t="s">
        <v>1915</v>
      </c>
      <c r="D214" s="4" t="s">
        <v>1084</v>
      </c>
      <c r="E214" s="4" t="s">
        <v>1916</v>
      </c>
      <c r="F214" s="4">
        <v>0</v>
      </c>
      <c r="G214" s="7">
        <v>0</v>
      </c>
    </row>
    <row r="215" spans="1:7" hidden="1">
      <c r="A215" s="4" t="s">
        <v>807</v>
      </c>
      <c r="B215" s="4" t="s">
        <v>808</v>
      </c>
      <c r="C215" s="4" t="s">
        <v>1917</v>
      </c>
      <c r="D215" s="4" t="s">
        <v>1084</v>
      </c>
      <c r="E215" s="4" t="s">
        <v>1918</v>
      </c>
      <c r="F215" s="4">
        <v>0</v>
      </c>
      <c r="G215" s="7">
        <v>0</v>
      </c>
    </row>
    <row r="216" spans="1:7" hidden="1">
      <c r="A216" s="4" t="s">
        <v>807</v>
      </c>
      <c r="B216" s="4" t="s">
        <v>808</v>
      </c>
      <c r="C216" s="4" t="s">
        <v>1919</v>
      </c>
      <c r="D216" s="4" t="s">
        <v>1091</v>
      </c>
      <c r="E216" s="4" t="s">
        <v>1920</v>
      </c>
      <c r="F216" s="4">
        <v>0</v>
      </c>
      <c r="G216" s="7">
        <v>0</v>
      </c>
    </row>
    <row r="217" spans="1:7" hidden="1">
      <c r="A217" s="4" t="s">
        <v>807</v>
      </c>
      <c r="B217" s="4" t="s">
        <v>808</v>
      </c>
      <c r="C217" s="4" t="s">
        <v>1921</v>
      </c>
      <c r="D217" s="4" t="s">
        <v>1091</v>
      </c>
      <c r="E217" s="4" t="s">
        <v>1922</v>
      </c>
      <c r="F217" s="4">
        <v>0</v>
      </c>
      <c r="G217" s="7">
        <v>0</v>
      </c>
    </row>
    <row r="218" spans="1:7" hidden="1">
      <c r="A218" s="4" t="s">
        <v>807</v>
      </c>
      <c r="B218" s="4" t="s">
        <v>808</v>
      </c>
      <c r="C218" s="4" t="s">
        <v>1923</v>
      </c>
      <c r="D218" s="4" t="s">
        <v>1091</v>
      </c>
      <c r="E218" s="4" t="s">
        <v>1924</v>
      </c>
      <c r="F218" s="4">
        <v>0</v>
      </c>
      <c r="G218" s="7">
        <v>0</v>
      </c>
    </row>
    <row r="219" spans="1:7" hidden="1">
      <c r="A219" s="4" t="s">
        <v>807</v>
      </c>
      <c r="B219" s="4" t="s">
        <v>808</v>
      </c>
      <c r="C219" s="4" t="s">
        <v>1925</v>
      </c>
      <c r="D219" s="4" t="s">
        <v>1091</v>
      </c>
      <c r="E219" s="4" t="s">
        <v>1926</v>
      </c>
      <c r="F219" s="4">
        <v>0</v>
      </c>
      <c r="G219" s="7">
        <v>0</v>
      </c>
    </row>
    <row r="220" spans="1:7" hidden="1">
      <c r="A220" s="4" t="s">
        <v>807</v>
      </c>
      <c r="B220" s="4" t="s">
        <v>808</v>
      </c>
      <c r="C220" s="4" t="s">
        <v>1927</v>
      </c>
      <c r="D220" s="4" t="s">
        <v>1091</v>
      </c>
      <c r="E220" s="4" t="s">
        <v>1928</v>
      </c>
      <c r="F220" s="4">
        <v>0</v>
      </c>
      <c r="G220" s="7">
        <v>0</v>
      </c>
    </row>
    <row r="221" spans="1:7" hidden="1">
      <c r="A221" s="4" t="s">
        <v>807</v>
      </c>
      <c r="B221" s="4" t="s">
        <v>808</v>
      </c>
      <c r="C221" s="4" t="s">
        <v>1929</v>
      </c>
      <c r="D221" s="4" t="s">
        <v>1091</v>
      </c>
      <c r="E221" s="4" t="s">
        <v>1930</v>
      </c>
      <c r="F221" s="4">
        <v>0</v>
      </c>
      <c r="G221" s="7">
        <v>0</v>
      </c>
    </row>
    <row r="222" spans="1:7" hidden="1">
      <c r="A222" s="4" t="s">
        <v>807</v>
      </c>
      <c r="B222" s="4" t="s">
        <v>808</v>
      </c>
      <c r="C222" s="4" t="s">
        <v>1931</v>
      </c>
      <c r="D222" s="4" t="s">
        <v>1094</v>
      </c>
      <c r="E222" s="4" t="s">
        <v>1932</v>
      </c>
      <c r="F222" s="4">
        <v>0</v>
      </c>
      <c r="G222" s="7">
        <v>0</v>
      </c>
    </row>
    <row r="223" spans="1:7" hidden="1">
      <c r="A223" s="4" t="s">
        <v>807</v>
      </c>
      <c r="B223" s="4" t="s">
        <v>808</v>
      </c>
      <c r="C223" s="4" t="s">
        <v>1933</v>
      </c>
      <c r="D223" s="4" t="s">
        <v>1094</v>
      </c>
      <c r="E223" s="4" t="s">
        <v>1934</v>
      </c>
      <c r="F223" s="4">
        <v>0</v>
      </c>
      <c r="G223" s="7">
        <v>0</v>
      </c>
    </row>
    <row r="224" spans="1:7" hidden="1">
      <c r="A224" s="4" t="s">
        <v>807</v>
      </c>
      <c r="B224" s="4" t="s">
        <v>808</v>
      </c>
      <c r="C224" s="4" t="s">
        <v>1935</v>
      </c>
      <c r="D224" s="4" t="s">
        <v>1094</v>
      </c>
      <c r="E224" s="4" t="s">
        <v>1936</v>
      </c>
      <c r="F224" s="4">
        <v>0</v>
      </c>
      <c r="G224" s="7">
        <v>0</v>
      </c>
    </row>
    <row r="225" spans="1:7" hidden="1">
      <c r="A225" s="4" t="s">
        <v>807</v>
      </c>
      <c r="B225" s="4" t="s">
        <v>808</v>
      </c>
      <c r="C225" s="4" t="s">
        <v>1937</v>
      </c>
      <c r="D225" s="4" t="s">
        <v>1098</v>
      </c>
      <c r="E225" s="4" t="s">
        <v>1938</v>
      </c>
      <c r="F225" s="4">
        <v>0</v>
      </c>
      <c r="G225" s="7">
        <v>0</v>
      </c>
    </row>
    <row r="226" spans="1:7" hidden="1">
      <c r="A226" s="4" t="s">
        <v>807</v>
      </c>
      <c r="B226" s="4" t="s">
        <v>808</v>
      </c>
      <c r="C226" s="4" t="s">
        <v>1939</v>
      </c>
      <c r="D226" s="4" t="s">
        <v>1098</v>
      </c>
      <c r="E226" s="4" t="s">
        <v>1940</v>
      </c>
      <c r="F226" s="4">
        <v>0</v>
      </c>
      <c r="G226" s="7">
        <v>0</v>
      </c>
    </row>
    <row r="227" spans="1:7" hidden="1">
      <c r="A227" s="4" t="s">
        <v>807</v>
      </c>
      <c r="B227" s="4" t="s">
        <v>808</v>
      </c>
      <c r="C227" s="4" t="s">
        <v>1941</v>
      </c>
      <c r="D227" s="4" t="s">
        <v>1098</v>
      </c>
      <c r="E227" s="4" t="s">
        <v>1942</v>
      </c>
      <c r="F227" s="4">
        <v>0</v>
      </c>
      <c r="G227" s="7">
        <v>0</v>
      </c>
    </row>
    <row r="228" spans="1:7" hidden="1">
      <c r="A228" s="4" t="s">
        <v>807</v>
      </c>
      <c r="B228" s="4" t="s">
        <v>808</v>
      </c>
      <c r="C228" s="4" t="s">
        <v>1943</v>
      </c>
      <c r="D228" s="4" t="s">
        <v>1104</v>
      </c>
      <c r="E228" s="4" t="s">
        <v>1944</v>
      </c>
      <c r="F228" s="4">
        <v>0</v>
      </c>
      <c r="G228" s="7">
        <v>0</v>
      </c>
    </row>
    <row r="229" spans="1:7" hidden="1">
      <c r="A229" s="4" t="s">
        <v>807</v>
      </c>
      <c r="B229" s="4" t="s">
        <v>808</v>
      </c>
      <c r="C229" s="4" t="s">
        <v>1945</v>
      </c>
      <c r="D229" s="4" t="s">
        <v>1104</v>
      </c>
      <c r="E229" s="4" t="s">
        <v>1946</v>
      </c>
      <c r="F229" s="4">
        <v>0</v>
      </c>
      <c r="G229" s="7">
        <v>0</v>
      </c>
    </row>
    <row r="230" spans="1:7" hidden="1">
      <c r="A230" s="4" t="s">
        <v>807</v>
      </c>
      <c r="B230" s="4" t="s">
        <v>808</v>
      </c>
      <c r="C230" s="4" t="s">
        <v>1947</v>
      </c>
      <c r="D230" s="4" t="s">
        <v>1104</v>
      </c>
      <c r="E230" s="4" t="s">
        <v>1948</v>
      </c>
      <c r="F230" s="4">
        <v>0</v>
      </c>
      <c r="G230" s="7">
        <v>0</v>
      </c>
    </row>
    <row r="231" spans="1:7" hidden="1">
      <c r="A231" s="4" t="s">
        <v>807</v>
      </c>
      <c r="B231" s="4" t="s">
        <v>808</v>
      </c>
      <c r="C231" s="4" t="s">
        <v>1949</v>
      </c>
      <c r="D231" s="4" t="s">
        <v>1107</v>
      </c>
      <c r="E231" s="4" t="s">
        <v>1950</v>
      </c>
      <c r="F231" s="4">
        <v>0</v>
      </c>
      <c r="G231" s="7">
        <v>0</v>
      </c>
    </row>
    <row r="232" spans="1:7" hidden="1">
      <c r="A232" s="4" t="s">
        <v>807</v>
      </c>
      <c r="B232" s="4" t="s">
        <v>808</v>
      </c>
      <c r="C232" s="4" t="s">
        <v>1951</v>
      </c>
      <c r="D232" s="4" t="s">
        <v>1107</v>
      </c>
      <c r="E232" s="4" t="s">
        <v>1952</v>
      </c>
      <c r="F232" s="4">
        <v>0</v>
      </c>
      <c r="G232" s="7">
        <v>0</v>
      </c>
    </row>
    <row r="233" spans="1:7" hidden="1">
      <c r="A233" s="4" t="s">
        <v>807</v>
      </c>
      <c r="B233" s="4" t="s">
        <v>808</v>
      </c>
      <c r="C233" s="4" t="s">
        <v>1953</v>
      </c>
      <c r="D233" s="4" t="s">
        <v>1107</v>
      </c>
      <c r="E233" s="4" t="s">
        <v>1954</v>
      </c>
      <c r="F233" s="4">
        <v>0</v>
      </c>
      <c r="G233" s="7">
        <v>0</v>
      </c>
    </row>
    <row r="234" spans="1:7" hidden="1">
      <c r="A234" s="4" t="s">
        <v>807</v>
      </c>
      <c r="B234" s="4" t="s">
        <v>808</v>
      </c>
      <c r="C234" s="4" t="s">
        <v>1109</v>
      </c>
      <c r="D234" s="4" t="s">
        <v>1116</v>
      </c>
      <c r="E234" s="4" t="s">
        <v>1111</v>
      </c>
      <c r="F234" s="4">
        <v>0</v>
      </c>
      <c r="G234" s="7">
        <v>0</v>
      </c>
    </row>
    <row r="235" spans="1:7" hidden="1">
      <c r="A235" s="4" t="s">
        <v>807</v>
      </c>
      <c r="B235" s="4"/>
      <c r="C235" s="4" t="s">
        <v>1955</v>
      </c>
      <c r="D235" s="4" t="s">
        <v>1127</v>
      </c>
      <c r="E235" s="4" t="s">
        <v>1956</v>
      </c>
      <c r="F235" s="4">
        <v>0</v>
      </c>
      <c r="G235" s="7">
        <v>0</v>
      </c>
    </row>
    <row r="236" spans="1:7" hidden="1">
      <c r="A236" s="4" t="s">
        <v>807</v>
      </c>
      <c r="B236" s="4" t="s">
        <v>808</v>
      </c>
      <c r="C236" s="4" t="s">
        <v>1957</v>
      </c>
      <c r="D236" s="4" t="s">
        <v>1132</v>
      </c>
      <c r="E236" s="4" t="s">
        <v>1958</v>
      </c>
      <c r="F236" s="4">
        <v>0</v>
      </c>
      <c r="G236" s="7">
        <v>0</v>
      </c>
    </row>
    <row r="237" spans="1:7" hidden="1">
      <c r="A237" s="4" t="s">
        <v>807</v>
      </c>
      <c r="B237" s="4" t="s">
        <v>808</v>
      </c>
      <c r="C237" s="4" t="s">
        <v>1100</v>
      </c>
      <c r="D237" s="4" t="s">
        <v>1132</v>
      </c>
      <c r="E237" s="4" t="s">
        <v>1102</v>
      </c>
      <c r="F237" s="4">
        <v>0</v>
      </c>
      <c r="G237" s="7">
        <v>0</v>
      </c>
    </row>
    <row r="238" spans="1:7" hidden="1">
      <c r="A238" s="4" t="s">
        <v>807</v>
      </c>
      <c r="B238" s="4" t="s">
        <v>808</v>
      </c>
      <c r="C238" s="4" t="s">
        <v>1959</v>
      </c>
      <c r="D238" s="4" t="s">
        <v>1132</v>
      </c>
      <c r="E238" s="4" t="s">
        <v>1960</v>
      </c>
      <c r="F238" s="4">
        <v>0</v>
      </c>
      <c r="G238" s="7">
        <v>0</v>
      </c>
    </row>
    <row r="239" spans="1:7" hidden="1">
      <c r="A239" s="4" t="s">
        <v>807</v>
      </c>
      <c r="B239" s="4" t="s">
        <v>808</v>
      </c>
      <c r="C239" s="4" t="s">
        <v>1961</v>
      </c>
      <c r="D239" s="4" t="s">
        <v>1132</v>
      </c>
      <c r="E239" s="4" t="s">
        <v>1962</v>
      </c>
      <c r="F239" s="4">
        <v>0</v>
      </c>
      <c r="G239" s="7">
        <v>0</v>
      </c>
    </row>
    <row r="240" spans="1:7" hidden="1">
      <c r="A240" s="4" t="s">
        <v>807</v>
      </c>
      <c r="B240" s="4" t="s">
        <v>808</v>
      </c>
      <c r="C240" s="4" t="s">
        <v>1963</v>
      </c>
      <c r="D240" s="4" t="s">
        <v>1172</v>
      </c>
      <c r="E240" s="4" t="s">
        <v>1964</v>
      </c>
      <c r="F240" s="4">
        <v>0</v>
      </c>
      <c r="G240" s="7">
        <v>0</v>
      </c>
    </row>
    <row r="241" spans="1:7" hidden="1">
      <c r="A241" s="4" t="s">
        <v>807</v>
      </c>
      <c r="B241" s="4" t="s">
        <v>808</v>
      </c>
      <c r="C241" s="4" t="s">
        <v>1965</v>
      </c>
      <c r="D241" s="4" t="s">
        <v>1172</v>
      </c>
      <c r="E241" s="4" t="s">
        <v>1966</v>
      </c>
      <c r="F241" s="4">
        <v>0</v>
      </c>
      <c r="G241" s="7">
        <v>0</v>
      </c>
    </row>
    <row r="242" spans="1:7" hidden="1">
      <c r="A242" s="4" t="s">
        <v>807</v>
      </c>
      <c r="B242" s="4" t="s">
        <v>811</v>
      </c>
      <c r="C242" s="4" t="s">
        <v>1967</v>
      </c>
      <c r="D242" s="4" t="s">
        <v>1172</v>
      </c>
      <c r="E242" s="4" t="s">
        <v>1968</v>
      </c>
      <c r="F242" s="4">
        <v>0</v>
      </c>
      <c r="G242" s="7">
        <v>0</v>
      </c>
    </row>
    <row r="243" spans="1:7" hidden="1">
      <c r="A243" s="4" t="s">
        <v>807</v>
      </c>
      <c r="B243" s="4" t="s">
        <v>945</v>
      </c>
      <c r="C243" s="4" t="s">
        <v>1136</v>
      </c>
      <c r="D243" s="4" t="s">
        <v>1172</v>
      </c>
      <c r="E243" s="4" t="s">
        <v>1138</v>
      </c>
      <c r="F243" s="4">
        <v>0</v>
      </c>
      <c r="G243" s="7">
        <v>0</v>
      </c>
    </row>
    <row r="244" spans="1:7" hidden="1">
      <c r="A244" s="4" t="s">
        <v>807</v>
      </c>
      <c r="B244" s="4" t="s">
        <v>811</v>
      </c>
      <c r="C244" s="4" t="s">
        <v>1969</v>
      </c>
      <c r="D244" s="4" t="s">
        <v>1172</v>
      </c>
      <c r="E244" s="4" t="s">
        <v>1970</v>
      </c>
      <c r="F244" s="4">
        <v>0</v>
      </c>
      <c r="G244" s="7">
        <v>0</v>
      </c>
    </row>
    <row r="245" spans="1:7" hidden="1">
      <c r="A245" s="4" t="s">
        <v>807</v>
      </c>
      <c r="B245" s="4" t="s">
        <v>808</v>
      </c>
      <c r="C245" s="4" t="s">
        <v>1971</v>
      </c>
      <c r="D245" s="4" t="s">
        <v>1179</v>
      </c>
      <c r="E245" s="4" t="s">
        <v>1972</v>
      </c>
      <c r="F245" s="4">
        <v>0</v>
      </c>
      <c r="G245" s="7">
        <v>0</v>
      </c>
    </row>
    <row r="246" spans="1:7" hidden="1">
      <c r="A246" s="4" t="s">
        <v>807</v>
      </c>
      <c r="B246" s="4" t="s">
        <v>811</v>
      </c>
      <c r="C246" s="4" t="s">
        <v>1973</v>
      </c>
      <c r="D246" s="4" t="s">
        <v>1179</v>
      </c>
      <c r="E246" s="4" t="s">
        <v>1972</v>
      </c>
      <c r="F246" s="4">
        <v>0</v>
      </c>
      <c r="G246" s="7">
        <v>0</v>
      </c>
    </row>
    <row r="247" spans="1:7" hidden="1">
      <c r="A247" s="4" t="s">
        <v>807</v>
      </c>
      <c r="B247" s="4" t="s">
        <v>811</v>
      </c>
      <c r="C247" s="4" t="s">
        <v>1974</v>
      </c>
      <c r="D247" s="4" t="s">
        <v>1179</v>
      </c>
      <c r="E247" s="4" t="s">
        <v>1972</v>
      </c>
      <c r="F247" s="4">
        <v>0</v>
      </c>
      <c r="G247" s="7">
        <v>0</v>
      </c>
    </row>
    <row r="248" spans="1:7" hidden="1">
      <c r="A248" s="4" t="s">
        <v>1051</v>
      </c>
      <c r="B248" s="4"/>
      <c r="C248" s="4" t="s">
        <v>1975</v>
      </c>
      <c r="D248" s="4" t="s">
        <v>1179</v>
      </c>
      <c r="E248" s="4" t="s">
        <v>1976</v>
      </c>
      <c r="F248" s="4">
        <v>0</v>
      </c>
      <c r="G248" s="7">
        <v>0</v>
      </c>
    </row>
    <row r="249" spans="1:7" hidden="1">
      <c r="A249" s="4" t="s">
        <v>815</v>
      </c>
      <c r="B249" s="4" t="s">
        <v>816</v>
      </c>
      <c r="C249" s="4" t="s">
        <v>1004</v>
      </c>
      <c r="D249" s="4" t="s">
        <v>1179</v>
      </c>
      <c r="E249" s="4" t="s">
        <v>1006</v>
      </c>
      <c r="F249" s="4">
        <v>0</v>
      </c>
      <c r="G249" s="7">
        <v>0</v>
      </c>
    </row>
    <row r="250" spans="1:7" hidden="1">
      <c r="A250" s="4" t="s">
        <v>807</v>
      </c>
      <c r="B250" s="4" t="s">
        <v>811</v>
      </c>
      <c r="C250" s="4" t="s">
        <v>1977</v>
      </c>
      <c r="D250" s="4" t="s">
        <v>1187</v>
      </c>
      <c r="E250" s="4" t="s">
        <v>1978</v>
      </c>
      <c r="F250" s="4">
        <v>0</v>
      </c>
      <c r="G250" s="7">
        <v>0</v>
      </c>
    </row>
    <row r="251" spans="1:7" hidden="1">
      <c r="A251" s="4" t="s">
        <v>1051</v>
      </c>
      <c r="B251" s="4"/>
      <c r="C251" s="4" t="s">
        <v>1979</v>
      </c>
      <c r="D251" s="4" t="s">
        <v>1187</v>
      </c>
      <c r="E251" s="4" t="s">
        <v>1980</v>
      </c>
      <c r="F251" s="4">
        <v>0</v>
      </c>
      <c r="G251" s="7">
        <v>0</v>
      </c>
    </row>
    <row r="252" spans="1:7" hidden="1">
      <c r="A252" s="4" t="s">
        <v>807</v>
      </c>
      <c r="B252" s="4" t="s">
        <v>811</v>
      </c>
      <c r="C252" s="4" t="s">
        <v>1981</v>
      </c>
      <c r="D252" s="4" t="s">
        <v>1196</v>
      </c>
      <c r="E252" s="4" t="s">
        <v>1982</v>
      </c>
      <c r="F252" s="4">
        <v>0</v>
      </c>
      <c r="G252" s="7">
        <v>0</v>
      </c>
    </row>
    <row r="253" spans="1:7" hidden="1">
      <c r="A253" s="4" t="s">
        <v>807</v>
      </c>
      <c r="B253" s="4" t="s">
        <v>808</v>
      </c>
      <c r="C253" s="4" t="s">
        <v>1100</v>
      </c>
      <c r="D253" s="4" t="s">
        <v>1208</v>
      </c>
      <c r="E253" s="4" t="s">
        <v>1102</v>
      </c>
      <c r="F253" s="4">
        <v>0</v>
      </c>
      <c r="G253" s="7">
        <v>0</v>
      </c>
    </row>
    <row r="254" spans="1:7" hidden="1">
      <c r="A254" s="4" t="s">
        <v>807</v>
      </c>
      <c r="B254" s="4" t="s">
        <v>1883</v>
      </c>
      <c r="C254" s="4" t="s">
        <v>1983</v>
      </c>
      <c r="D254" s="4" t="s">
        <v>1227</v>
      </c>
      <c r="E254" s="4" t="s">
        <v>1984</v>
      </c>
      <c r="F254" s="4">
        <v>0</v>
      </c>
      <c r="G254" s="7">
        <v>0</v>
      </c>
    </row>
    <row r="255" spans="1:7" hidden="1">
      <c r="A255" s="4" t="s">
        <v>815</v>
      </c>
      <c r="B255" s="4" t="s">
        <v>1020</v>
      </c>
      <c r="C255" s="4" t="s">
        <v>1985</v>
      </c>
      <c r="D255" s="4" t="s">
        <v>1233</v>
      </c>
      <c r="E255" s="4" t="s">
        <v>1986</v>
      </c>
      <c r="F255" s="4">
        <v>0</v>
      </c>
      <c r="G255" s="7">
        <v>0</v>
      </c>
    </row>
    <row r="256" spans="1:7" hidden="1">
      <c r="A256" s="4" t="s">
        <v>815</v>
      </c>
      <c r="B256" s="4" t="s">
        <v>816</v>
      </c>
      <c r="C256" s="4" t="s">
        <v>1898</v>
      </c>
      <c r="D256" s="4" t="s">
        <v>1233</v>
      </c>
      <c r="E256" s="4"/>
      <c r="F256" s="4">
        <v>0</v>
      </c>
      <c r="G256" s="7">
        <v>0</v>
      </c>
    </row>
    <row r="257" spans="1:7" hidden="1">
      <c r="A257" s="4" t="s">
        <v>807</v>
      </c>
      <c r="B257" s="4" t="s">
        <v>945</v>
      </c>
      <c r="C257" s="4" t="s">
        <v>1270</v>
      </c>
      <c r="D257" s="4" t="s">
        <v>1280</v>
      </c>
      <c r="E257" s="4" t="s">
        <v>1272</v>
      </c>
      <c r="F257" s="4">
        <v>0</v>
      </c>
      <c r="G257" s="7">
        <v>0</v>
      </c>
    </row>
    <row r="258" spans="1:7" hidden="1">
      <c r="A258" s="4" t="s">
        <v>915</v>
      </c>
      <c r="B258" s="4" t="s">
        <v>915</v>
      </c>
      <c r="C258" s="4">
        <v>54004443</v>
      </c>
      <c r="D258" s="4" t="s">
        <v>1307</v>
      </c>
      <c r="E258" s="4" t="s">
        <v>1987</v>
      </c>
      <c r="F258" s="4">
        <v>0</v>
      </c>
      <c r="G258" s="7">
        <v>0</v>
      </c>
    </row>
    <row r="259" spans="1:7" hidden="1">
      <c r="A259" s="4" t="s">
        <v>915</v>
      </c>
      <c r="B259" s="4" t="s">
        <v>915</v>
      </c>
      <c r="C259" s="4">
        <v>54004838</v>
      </c>
      <c r="D259" s="4" t="s">
        <v>1307</v>
      </c>
      <c r="E259" s="4" t="s">
        <v>1988</v>
      </c>
      <c r="F259" s="4">
        <v>0</v>
      </c>
      <c r="G259" s="7">
        <v>0</v>
      </c>
    </row>
    <row r="260" spans="1:7" hidden="1">
      <c r="A260" s="4" t="s">
        <v>915</v>
      </c>
      <c r="B260" s="4" t="s">
        <v>915</v>
      </c>
      <c r="C260" s="4">
        <v>54004919</v>
      </c>
      <c r="D260" s="4" t="s">
        <v>1307</v>
      </c>
      <c r="E260" s="4" t="s">
        <v>1989</v>
      </c>
      <c r="F260" s="4">
        <v>0</v>
      </c>
      <c r="G260" s="7">
        <v>0</v>
      </c>
    </row>
    <row r="261" spans="1:7" hidden="1">
      <c r="A261" s="4" t="s">
        <v>915</v>
      </c>
      <c r="B261" s="4" t="s">
        <v>915</v>
      </c>
      <c r="C261" s="4">
        <v>54005415</v>
      </c>
      <c r="D261" s="4" t="s">
        <v>1307</v>
      </c>
      <c r="E261" s="4" t="s">
        <v>1990</v>
      </c>
      <c r="F261" s="4">
        <v>0</v>
      </c>
      <c r="G261" s="7">
        <v>0</v>
      </c>
    </row>
    <row r="262" spans="1:7" hidden="1">
      <c r="A262" s="4" t="s">
        <v>915</v>
      </c>
      <c r="B262" s="4" t="s">
        <v>915</v>
      </c>
      <c r="C262" s="4">
        <v>54005589</v>
      </c>
      <c r="D262" s="4" t="s">
        <v>1307</v>
      </c>
      <c r="E262" s="4" t="s">
        <v>1991</v>
      </c>
      <c r="F262" s="4">
        <v>0</v>
      </c>
      <c r="G262" s="7">
        <v>0</v>
      </c>
    </row>
    <row r="263" spans="1:7" hidden="1">
      <c r="A263" s="4" t="s">
        <v>915</v>
      </c>
      <c r="B263" s="4" t="s">
        <v>915</v>
      </c>
      <c r="C263" s="4">
        <v>54005592</v>
      </c>
      <c r="D263" s="4" t="s">
        <v>1307</v>
      </c>
      <c r="E263" s="4" t="s">
        <v>1992</v>
      </c>
      <c r="F263" s="4">
        <v>0</v>
      </c>
      <c r="G263" s="7">
        <v>0</v>
      </c>
    </row>
    <row r="264" spans="1:7" hidden="1">
      <c r="A264" s="4" t="s">
        <v>915</v>
      </c>
      <c r="B264" s="4" t="s">
        <v>915</v>
      </c>
      <c r="C264" s="4">
        <v>54005676</v>
      </c>
      <c r="D264" s="4" t="s">
        <v>1307</v>
      </c>
      <c r="E264" s="4" t="s">
        <v>1993</v>
      </c>
      <c r="F264" s="4">
        <v>0</v>
      </c>
      <c r="G264" s="7">
        <v>0</v>
      </c>
    </row>
    <row r="265" spans="1:7" hidden="1">
      <c r="A265" s="4" t="s">
        <v>915</v>
      </c>
      <c r="B265" s="4" t="s">
        <v>915</v>
      </c>
      <c r="C265" s="4">
        <v>54005677</v>
      </c>
      <c r="D265" s="4" t="s">
        <v>1307</v>
      </c>
      <c r="E265" s="4" t="s">
        <v>1994</v>
      </c>
      <c r="F265" s="4">
        <v>0</v>
      </c>
      <c r="G265" s="7">
        <v>0</v>
      </c>
    </row>
    <row r="266" spans="1:7" hidden="1">
      <c r="A266" s="4" t="s">
        <v>1051</v>
      </c>
      <c r="B266" s="4"/>
      <c r="C266" s="4" t="s">
        <v>1995</v>
      </c>
      <c r="D266" s="4" t="s">
        <v>1317</v>
      </c>
      <c r="E266" s="4" t="s">
        <v>1996</v>
      </c>
      <c r="F266" s="4">
        <v>0</v>
      </c>
      <c r="G266" s="7">
        <v>0</v>
      </c>
    </row>
    <row r="267" spans="1:7" hidden="1">
      <c r="A267" s="4" t="s">
        <v>1051</v>
      </c>
      <c r="B267" s="4"/>
      <c r="C267" s="4" t="s">
        <v>1997</v>
      </c>
      <c r="D267" s="4" t="s">
        <v>1325</v>
      </c>
      <c r="E267" s="4" t="s">
        <v>1998</v>
      </c>
      <c r="F267" s="4">
        <v>0</v>
      </c>
      <c r="G267" s="7">
        <v>0</v>
      </c>
    </row>
    <row r="268" spans="1:7" hidden="1">
      <c r="A268" s="4" t="s">
        <v>807</v>
      </c>
      <c r="B268" s="4" t="s">
        <v>825</v>
      </c>
      <c r="C268" s="4" t="s">
        <v>1999</v>
      </c>
      <c r="D268" s="4" t="s">
        <v>1328</v>
      </c>
      <c r="E268" s="4" t="s">
        <v>1287</v>
      </c>
      <c r="F268" s="4">
        <v>0</v>
      </c>
      <c r="G268" s="7">
        <v>0</v>
      </c>
    </row>
    <row r="269" spans="1:7" hidden="1">
      <c r="A269" s="4" t="s">
        <v>807</v>
      </c>
      <c r="B269" s="4" t="s">
        <v>825</v>
      </c>
      <c r="C269" s="4" t="s">
        <v>2000</v>
      </c>
      <c r="D269" s="4" t="s">
        <v>1332</v>
      </c>
      <c r="E269" s="4" t="s">
        <v>1287</v>
      </c>
      <c r="F269" s="4">
        <v>0</v>
      </c>
      <c r="G269" s="7">
        <v>0</v>
      </c>
    </row>
    <row r="270" spans="1:7" hidden="1">
      <c r="A270" s="4" t="s">
        <v>807</v>
      </c>
      <c r="B270" s="4" t="s">
        <v>825</v>
      </c>
      <c r="C270" s="4" t="s">
        <v>2001</v>
      </c>
      <c r="D270" s="4" t="s">
        <v>1336</v>
      </c>
      <c r="E270" s="4" t="s">
        <v>1320</v>
      </c>
      <c r="F270" s="4">
        <v>0</v>
      </c>
      <c r="G270" s="7">
        <v>0</v>
      </c>
    </row>
    <row r="271" spans="1:7" hidden="1">
      <c r="A271" s="4" t="s">
        <v>1535</v>
      </c>
      <c r="B271" s="4" t="s">
        <v>1536</v>
      </c>
      <c r="C271" s="4" t="s">
        <v>2002</v>
      </c>
      <c r="D271" s="4" t="s">
        <v>1358</v>
      </c>
      <c r="E271" s="4" t="s">
        <v>2003</v>
      </c>
      <c r="F271" s="4">
        <v>0</v>
      </c>
      <c r="G271" s="7">
        <v>0</v>
      </c>
    </row>
    <row r="272" spans="1:7" hidden="1">
      <c r="A272" s="4" t="s">
        <v>807</v>
      </c>
      <c r="B272" s="4" t="s">
        <v>937</v>
      </c>
      <c r="C272" s="4" t="s">
        <v>2004</v>
      </c>
      <c r="D272" s="4" t="s">
        <v>1358</v>
      </c>
      <c r="E272" s="4" t="s">
        <v>2005</v>
      </c>
      <c r="F272" s="4">
        <v>0</v>
      </c>
      <c r="G272" s="7">
        <v>0</v>
      </c>
    </row>
    <row r="273" spans="1:7" hidden="1">
      <c r="A273" s="4" t="s">
        <v>807</v>
      </c>
      <c r="B273" s="4" t="s">
        <v>937</v>
      </c>
      <c r="C273" s="4" t="s">
        <v>2006</v>
      </c>
      <c r="D273" s="4" t="s">
        <v>1358</v>
      </c>
      <c r="E273" s="4" t="s">
        <v>1400</v>
      </c>
      <c r="F273" s="4">
        <v>0</v>
      </c>
      <c r="G273" s="7">
        <v>0</v>
      </c>
    </row>
    <row r="274" spans="1:7" hidden="1">
      <c r="A274" s="4" t="s">
        <v>1051</v>
      </c>
      <c r="B274" s="4"/>
      <c r="C274" s="4" t="s">
        <v>2007</v>
      </c>
      <c r="D274" s="4" t="s">
        <v>1358</v>
      </c>
      <c r="E274" s="4" t="s">
        <v>2008</v>
      </c>
      <c r="F274" s="4">
        <v>0</v>
      </c>
      <c r="G274" s="7">
        <v>0</v>
      </c>
    </row>
    <row r="275" spans="1:7" hidden="1">
      <c r="A275" s="4" t="s">
        <v>807</v>
      </c>
      <c r="B275" s="4" t="s">
        <v>811</v>
      </c>
      <c r="C275" s="4" t="s">
        <v>2009</v>
      </c>
      <c r="D275" s="4" t="s">
        <v>1358</v>
      </c>
      <c r="E275" s="4" t="s">
        <v>2010</v>
      </c>
      <c r="F275" s="4">
        <v>0</v>
      </c>
      <c r="G275" s="7">
        <v>0</v>
      </c>
    </row>
    <row r="276" spans="1:7" hidden="1">
      <c r="A276" s="4" t="s">
        <v>807</v>
      </c>
      <c r="B276" s="4" t="s">
        <v>808</v>
      </c>
      <c r="C276" s="4" t="s">
        <v>2011</v>
      </c>
      <c r="D276" s="4" t="s">
        <v>1366</v>
      </c>
      <c r="E276" s="4" t="s">
        <v>2012</v>
      </c>
      <c r="F276" s="4">
        <v>0</v>
      </c>
      <c r="G276" s="7">
        <v>0</v>
      </c>
    </row>
    <row r="277" spans="1:7" hidden="1">
      <c r="A277" s="4" t="s">
        <v>807</v>
      </c>
      <c r="B277" s="4" t="s">
        <v>811</v>
      </c>
      <c r="C277" s="4" t="s">
        <v>2013</v>
      </c>
      <c r="D277" s="4" t="s">
        <v>1366</v>
      </c>
      <c r="E277" s="4" t="s">
        <v>2014</v>
      </c>
      <c r="F277" s="4">
        <v>0</v>
      </c>
      <c r="G277" s="7">
        <v>0</v>
      </c>
    </row>
    <row r="278" spans="1:7" hidden="1">
      <c r="A278" s="4" t="s">
        <v>807</v>
      </c>
      <c r="B278" s="4" t="s">
        <v>811</v>
      </c>
      <c r="C278" s="4" t="s">
        <v>2015</v>
      </c>
      <c r="D278" s="4" t="s">
        <v>1369</v>
      </c>
      <c r="E278" s="4" t="s">
        <v>2016</v>
      </c>
      <c r="F278" s="4">
        <v>0</v>
      </c>
      <c r="G278" s="7">
        <v>0</v>
      </c>
    </row>
    <row r="279" spans="1:7" hidden="1">
      <c r="A279" s="4" t="s">
        <v>807</v>
      </c>
      <c r="B279" s="4" t="s">
        <v>811</v>
      </c>
      <c r="C279" s="4" t="s">
        <v>2017</v>
      </c>
      <c r="D279" s="4" t="s">
        <v>1369</v>
      </c>
      <c r="E279" s="4" t="s">
        <v>2018</v>
      </c>
      <c r="F279" s="4">
        <v>0</v>
      </c>
      <c r="G279" s="7">
        <v>0</v>
      </c>
    </row>
    <row r="280" spans="1:7" hidden="1">
      <c r="A280" s="4" t="s">
        <v>807</v>
      </c>
      <c r="B280" s="4" t="s">
        <v>811</v>
      </c>
      <c r="C280" s="4" t="s">
        <v>2019</v>
      </c>
      <c r="D280" s="4" t="s">
        <v>1369</v>
      </c>
      <c r="E280" s="4" t="s">
        <v>2020</v>
      </c>
      <c r="F280" s="4">
        <v>0</v>
      </c>
      <c r="G280" s="7">
        <v>0</v>
      </c>
    </row>
    <row r="281" spans="1:7" hidden="1">
      <c r="A281" s="4" t="s">
        <v>807</v>
      </c>
      <c r="B281" s="4" t="s">
        <v>811</v>
      </c>
      <c r="C281" s="4" t="s">
        <v>2021</v>
      </c>
      <c r="D281" s="4" t="s">
        <v>1369</v>
      </c>
      <c r="E281" s="4" t="s">
        <v>2022</v>
      </c>
      <c r="F281" s="4">
        <v>0</v>
      </c>
      <c r="G281" s="7">
        <v>0</v>
      </c>
    </row>
    <row r="282" spans="1:7" hidden="1">
      <c r="A282" s="4" t="s">
        <v>807</v>
      </c>
      <c r="B282" s="4" t="s">
        <v>811</v>
      </c>
      <c r="C282" s="4" t="s">
        <v>2023</v>
      </c>
      <c r="D282" s="4" t="s">
        <v>1369</v>
      </c>
      <c r="E282" s="4" t="s">
        <v>2024</v>
      </c>
      <c r="F282" s="4">
        <v>0</v>
      </c>
      <c r="G282" s="7">
        <v>0</v>
      </c>
    </row>
    <row r="283" spans="1:7" hidden="1">
      <c r="A283" s="4" t="s">
        <v>807</v>
      </c>
      <c r="B283" s="4" t="s">
        <v>811</v>
      </c>
      <c r="C283" s="4" t="s">
        <v>2025</v>
      </c>
      <c r="D283" s="4" t="s">
        <v>1369</v>
      </c>
      <c r="E283" s="4" t="s">
        <v>2026</v>
      </c>
      <c r="F283" s="4">
        <v>0</v>
      </c>
      <c r="G283" s="7">
        <v>0</v>
      </c>
    </row>
    <row r="284" spans="1:7" hidden="1">
      <c r="A284" s="4" t="s">
        <v>1051</v>
      </c>
      <c r="B284" s="4"/>
      <c r="C284" s="4" t="s">
        <v>2027</v>
      </c>
      <c r="D284" s="4" t="s">
        <v>1372</v>
      </c>
      <c r="E284" s="4" t="s">
        <v>2028</v>
      </c>
      <c r="F284" s="4">
        <v>0</v>
      </c>
      <c r="G284" s="7">
        <v>0</v>
      </c>
    </row>
    <row r="285" spans="1:7" hidden="1">
      <c r="A285" s="4" t="s">
        <v>807</v>
      </c>
      <c r="B285" s="4" t="s">
        <v>825</v>
      </c>
      <c r="C285" s="4" t="s">
        <v>2029</v>
      </c>
      <c r="D285" s="4" t="s">
        <v>1372</v>
      </c>
      <c r="E285" s="4" t="s">
        <v>2030</v>
      </c>
      <c r="F285" s="4">
        <v>0</v>
      </c>
      <c r="G285" s="7">
        <v>0</v>
      </c>
    </row>
    <row r="286" spans="1:7" hidden="1">
      <c r="A286" s="4" t="s">
        <v>1051</v>
      </c>
      <c r="B286" s="4" t="s">
        <v>1051</v>
      </c>
      <c r="C286" s="4" t="s">
        <v>2031</v>
      </c>
      <c r="D286" s="4" t="s">
        <v>1372</v>
      </c>
      <c r="E286" s="4" t="s">
        <v>2032</v>
      </c>
      <c r="F286" s="4">
        <v>0</v>
      </c>
      <c r="G286" s="7">
        <v>0</v>
      </c>
    </row>
    <row r="287" spans="1:7" hidden="1">
      <c r="A287" s="4" t="s">
        <v>1051</v>
      </c>
      <c r="B287" s="4" t="s">
        <v>1051</v>
      </c>
      <c r="C287" s="4" t="s">
        <v>2033</v>
      </c>
      <c r="D287" s="4" t="s">
        <v>1372</v>
      </c>
      <c r="E287" s="4" t="s">
        <v>2034</v>
      </c>
      <c r="F287" s="4">
        <v>0</v>
      </c>
      <c r="G287" s="7">
        <v>0</v>
      </c>
    </row>
    <row r="288" spans="1:7" hidden="1">
      <c r="A288" s="4" t="s">
        <v>915</v>
      </c>
      <c r="B288" s="4"/>
      <c r="C288" s="4" t="s">
        <v>2035</v>
      </c>
      <c r="D288" s="4" t="s">
        <v>1372</v>
      </c>
      <c r="E288" s="4" t="s">
        <v>2036</v>
      </c>
      <c r="F288" s="4">
        <v>0</v>
      </c>
      <c r="G288" s="7">
        <v>0</v>
      </c>
    </row>
    <row r="289" spans="1:7" hidden="1">
      <c r="A289" s="4" t="s">
        <v>915</v>
      </c>
      <c r="B289" s="4"/>
      <c r="C289" s="4" t="s">
        <v>2037</v>
      </c>
      <c r="D289" s="4" t="s">
        <v>1372</v>
      </c>
      <c r="E289" s="4" t="s">
        <v>2038</v>
      </c>
      <c r="F289" s="4">
        <v>0</v>
      </c>
      <c r="G289" s="7">
        <v>0</v>
      </c>
    </row>
    <row r="290" spans="1:7" hidden="1">
      <c r="A290" s="4" t="s">
        <v>915</v>
      </c>
      <c r="B290" s="4" t="s">
        <v>915</v>
      </c>
      <c r="C290" s="4" t="s">
        <v>2039</v>
      </c>
      <c r="D290" s="4" t="s">
        <v>1372</v>
      </c>
      <c r="E290" s="4" t="s">
        <v>2040</v>
      </c>
      <c r="F290" s="4">
        <v>0</v>
      </c>
      <c r="G290" s="7">
        <v>0</v>
      </c>
    </row>
    <row r="291" spans="1:7" hidden="1">
      <c r="A291" s="4" t="s">
        <v>807</v>
      </c>
      <c r="B291" s="4" t="s">
        <v>811</v>
      </c>
      <c r="C291" s="4" t="s">
        <v>1566</v>
      </c>
      <c r="D291" s="4" t="s">
        <v>1379</v>
      </c>
      <c r="E291" s="4" t="s">
        <v>1567</v>
      </c>
      <c r="F291" s="4">
        <v>0</v>
      </c>
      <c r="G291" s="7">
        <v>0</v>
      </c>
    </row>
    <row r="292" spans="1:7" hidden="1">
      <c r="A292" s="4" t="s">
        <v>807</v>
      </c>
      <c r="B292" s="4" t="s">
        <v>811</v>
      </c>
      <c r="C292" s="4" t="s">
        <v>2017</v>
      </c>
      <c r="D292" s="4" t="s">
        <v>1379</v>
      </c>
      <c r="E292" s="4" t="s">
        <v>2018</v>
      </c>
      <c r="F292" s="4">
        <v>0</v>
      </c>
      <c r="G292" s="7">
        <v>0</v>
      </c>
    </row>
    <row r="293" spans="1:7" hidden="1">
      <c r="A293" s="4" t="s">
        <v>807</v>
      </c>
      <c r="B293" s="4" t="s">
        <v>811</v>
      </c>
      <c r="C293" s="4" t="s">
        <v>2041</v>
      </c>
      <c r="D293" s="4" t="s">
        <v>1379</v>
      </c>
      <c r="E293" s="4" t="s">
        <v>1380</v>
      </c>
      <c r="F293" s="4">
        <v>0</v>
      </c>
      <c r="G293" s="7">
        <v>0</v>
      </c>
    </row>
    <row r="294" spans="1:7" hidden="1">
      <c r="A294" s="4" t="s">
        <v>807</v>
      </c>
      <c r="B294" s="4" t="s">
        <v>811</v>
      </c>
      <c r="C294" s="4" t="s">
        <v>2042</v>
      </c>
      <c r="D294" s="4" t="s">
        <v>1379</v>
      </c>
      <c r="E294" s="4" t="s">
        <v>2043</v>
      </c>
      <c r="F294" s="4">
        <v>0</v>
      </c>
      <c r="G294" s="7">
        <v>0</v>
      </c>
    </row>
    <row r="295" spans="1:7" hidden="1">
      <c r="A295" s="4" t="s">
        <v>807</v>
      </c>
      <c r="B295" s="4" t="s">
        <v>811</v>
      </c>
      <c r="C295" s="4" t="s">
        <v>2044</v>
      </c>
      <c r="D295" s="4" t="s">
        <v>1379</v>
      </c>
      <c r="E295" s="4" t="s">
        <v>2045</v>
      </c>
      <c r="F295" s="4">
        <v>0</v>
      </c>
      <c r="G295" s="7">
        <v>0</v>
      </c>
    </row>
    <row r="296" spans="1:7" hidden="1">
      <c r="A296" s="4" t="s">
        <v>807</v>
      </c>
      <c r="B296" s="4" t="s">
        <v>811</v>
      </c>
      <c r="C296" s="4" t="s">
        <v>2046</v>
      </c>
      <c r="D296" s="4" t="s">
        <v>1384</v>
      </c>
      <c r="E296" s="4" t="s">
        <v>2047</v>
      </c>
      <c r="F296" s="4">
        <v>0</v>
      </c>
      <c r="G296" s="7">
        <v>0</v>
      </c>
    </row>
    <row r="297" spans="1:7" hidden="1">
      <c r="A297" s="4" t="s">
        <v>807</v>
      </c>
      <c r="B297" s="4" t="s">
        <v>811</v>
      </c>
      <c r="C297" s="4" t="s">
        <v>2048</v>
      </c>
      <c r="D297" s="4" t="s">
        <v>1384</v>
      </c>
      <c r="E297" s="4" t="s">
        <v>2049</v>
      </c>
      <c r="F297" s="4">
        <v>0</v>
      </c>
      <c r="G297" s="7">
        <v>0</v>
      </c>
    </row>
    <row r="298" spans="1:7" hidden="1">
      <c r="A298" s="4" t="s">
        <v>807</v>
      </c>
      <c r="B298" s="4" t="s">
        <v>811</v>
      </c>
      <c r="C298" s="4" t="s">
        <v>1568</v>
      </c>
      <c r="D298" s="4" t="s">
        <v>1384</v>
      </c>
      <c r="E298" s="4" t="s">
        <v>1191</v>
      </c>
      <c r="F298" s="4">
        <v>0</v>
      </c>
      <c r="G298" s="7">
        <v>0</v>
      </c>
    </row>
    <row r="299" spans="1:7" hidden="1">
      <c r="A299" s="4" t="s">
        <v>807</v>
      </c>
      <c r="B299" s="4" t="s">
        <v>811</v>
      </c>
      <c r="C299" s="4" t="s">
        <v>1189</v>
      </c>
      <c r="D299" s="4" t="s">
        <v>1384</v>
      </c>
      <c r="E299" s="4" t="s">
        <v>1191</v>
      </c>
      <c r="F299" s="4">
        <v>0</v>
      </c>
      <c r="G299" s="7">
        <v>0</v>
      </c>
    </row>
    <row r="300" spans="1:7" hidden="1">
      <c r="A300" s="4" t="s">
        <v>807</v>
      </c>
      <c r="B300" s="4" t="s">
        <v>811</v>
      </c>
      <c r="C300" s="4" t="s">
        <v>2050</v>
      </c>
      <c r="D300" s="4" t="s">
        <v>1384</v>
      </c>
      <c r="E300" s="4" t="s">
        <v>2051</v>
      </c>
      <c r="F300" s="4">
        <v>0</v>
      </c>
      <c r="G300" s="7">
        <v>0</v>
      </c>
    </row>
    <row r="301" spans="1:7" hidden="1">
      <c r="A301" s="4" t="s">
        <v>807</v>
      </c>
      <c r="B301" s="4" t="s">
        <v>808</v>
      </c>
      <c r="C301" s="4" t="s">
        <v>2052</v>
      </c>
      <c r="D301" s="4" t="s">
        <v>1419</v>
      </c>
      <c r="E301" s="4" t="s">
        <v>2053</v>
      </c>
      <c r="F301" s="4">
        <v>0</v>
      </c>
      <c r="G301" s="7">
        <v>0</v>
      </c>
    </row>
    <row r="302" spans="1:7" hidden="1">
      <c r="A302" s="4" t="s">
        <v>807</v>
      </c>
      <c r="B302" s="4" t="s">
        <v>1430</v>
      </c>
      <c r="C302" s="4" t="s">
        <v>2054</v>
      </c>
      <c r="D302" s="4" t="s">
        <v>1432</v>
      </c>
      <c r="E302" s="4" t="s">
        <v>2055</v>
      </c>
      <c r="F302" s="4">
        <v>0</v>
      </c>
      <c r="G302" s="7">
        <v>0</v>
      </c>
    </row>
    <row r="303" spans="1:7" hidden="1">
      <c r="A303" s="4" t="s">
        <v>807</v>
      </c>
      <c r="B303" s="4" t="s">
        <v>1430</v>
      </c>
      <c r="C303" s="4" t="s">
        <v>2056</v>
      </c>
      <c r="D303" s="4" t="s">
        <v>1432</v>
      </c>
      <c r="E303" s="4" t="s">
        <v>2057</v>
      </c>
      <c r="F303" s="4">
        <v>0</v>
      </c>
      <c r="G303" s="7">
        <v>0</v>
      </c>
    </row>
    <row r="304" spans="1:7" hidden="1">
      <c r="A304" s="4" t="s">
        <v>807</v>
      </c>
      <c r="B304" s="4" t="s">
        <v>1430</v>
      </c>
      <c r="C304" s="4" t="s">
        <v>2058</v>
      </c>
      <c r="D304" s="4" t="s">
        <v>1432</v>
      </c>
      <c r="E304" s="4" t="s">
        <v>2059</v>
      </c>
      <c r="F304" s="4">
        <v>0</v>
      </c>
      <c r="G304" s="7">
        <v>0</v>
      </c>
    </row>
    <row r="305" spans="1:7" hidden="1">
      <c r="A305" s="4" t="s">
        <v>1535</v>
      </c>
      <c r="B305" s="4" t="s">
        <v>1536</v>
      </c>
      <c r="C305" s="4" t="s">
        <v>2060</v>
      </c>
      <c r="D305" s="4" t="s">
        <v>1432</v>
      </c>
      <c r="E305" s="4" t="s">
        <v>2061</v>
      </c>
      <c r="F305" s="4">
        <v>0</v>
      </c>
      <c r="G305" s="7">
        <v>0</v>
      </c>
    </row>
    <row r="306" spans="1:7" hidden="1">
      <c r="A306" s="4" t="s">
        <v>807</v>
      </c>
      <c r="B306" s="4" t="s">
        <v>808</v>
      </c>
      <c r="C306" s="4" t="s">
        <v>2062</v>
      </c>
      <c r="D306" s="4" t="s">
        <v>1446</v>
      </c>
      <c r="E306" s="4" t="s">
        <v>1447</v>
      </c>
      <c r="F306" s="4">
        <v>0</v>
      </c>
      <c r="G306" s="7">
        <v>0</v>
      </c>
    </row>
    <row r="307" spans="1:7" hidden="1">
      <c r="A307" s="4" t="s">
        <v>807</v>
      </c>
      <c r="B307" s="4" t="s">
        <v>808</v>
      </c>
      <c r="C307" s="4" t="s">
        <v>2063</v>
      </c>
      <c r="D307" s="4" t="s">
        <v>1446</v>
      </c>
      <c r="E307" s="4" t="s">
        <v>2064</v>
      </c>
      <c r="F307" s="4">
        <v>0</v>
      </c>
      <c r="G307" s="7">
        <v>0</v>
      </c>
    </row>
    <row r="308" spans="1:7" hidden="1">
      <c r="A308" s="4" t="s">
        <v>807</v>
      </c>
      <c r="B308" s="4" t="s">
        <v>808</v>
      </c>
      <c r="C308" s="4" t="s">
        <v>2065</v>
      </c>
      <c r="D308" s="4" t="s">
        <v>1446</v>
      </c>
      <c r="E308" s="4" t="s">
        <v>2066</v>
      </c>
      <c r="F308" s="4">
        <v>0</v>
      </c>
      <c r="G308" s="7">
        <v>0</v>
      </c>
    </row>
    <row r="309" spans="1:7" hidden="1">
      <c r="A309" s="4" t="s">
        <v>807</v>
      </c>
      <c r="B309" s="4" t="s">
        <v>808</v>
      </c>
      <c r="C309" s="4" t="s">
        <v>2067</v>
      </c>
      <c r="D309" s="4" t="s">
        <v>1453</v>
      </c>
      <c r="E309" s="4" t="s">
        <v>2068</v>
      </c>
      <c r="F309" s="4">
        <v>0</v>
      </c>
      <c r="G309" s="7">
        <v>0</v>
      </c>
    </row>
    <row r="310" spans="1:7" hidden="1">
      <c r="A310" s="4" t="s">
        <v>807</v>
      </c>
      <c r="B310" s="4" t="s">
        <v>808</v>
      </c>
      <c r="C310" s="4" t="s">
        <v>2069</v>
      </c>
      <c r="D310" s="4" t="s">
        <v>1453</v>
      </c>
      <c r="E310" s="4" t="s">
        <v>2070</v>
      </c>
      <c r="F310" s="4">
        <v>0</v>
      </c>
      <c r="G310" s="7">
        <v>0</v>
      </c>
    </row>
    <row r="311" spans="1:7" hidden="1">
      <c r="A311" s="4" t="s">
        <v>807</v>
      </c>
      <c r="B311" s="4" t="s">
        <v>808</v>
      </c>
      <c r="C311" s="4" t="s">
        <v>2071</v>
      </c>
      <c r="D311" s="4" t="s">
        <v>1453</v>
      </c>
      <c r="E311" s="4" t="s">
        <v>2072</v>
      </c>
      <c r="F311" s="4">
        <v>0</v>
      </c>
      <c r="G311" s="7">
        <v>0</v>
      </c>
    </row>
    <row r="312" spans="1:7" hidden="1">
      <c r="A312" s="4" t="s">
        <v>807</v>
      </c>
      <c r="B312" s="4" t="s">
        <v>811</v>
      </c>
      <c r="C312" s="4" t="s">
        <v>2073</v>
      </c>
      <c r="D312" s="4" t="s">
        <v>1465</v>
      </c>
      <c r="E312" s="4" t="s">
        <v>2074</v>
      </c>
      <c r="F312" s="4">
        <v>0</v>
      </c>
      <c r="G312" s="7">
        <v>0</v>
      </c>
    </row>
    <row r="313" spans="1:7" hidden="1">
      <c r="A313" s="4" t="s">
        <v>807</v>
      </c>
      <c r="B313" s="4" t="s">
        <v>962</v>
      </c>
      <c r="C313" s="4" t="s">
        <v>1147</v>
      </c>
      <c r="D313" s="4" t="s">
        <v>1470</v>
      </c>
      <c r="E313" s="4" t="s">
        <v>1149</v>
      </c>
      <c r="F313" s="4">
        <v>0</v>
      </c>
      <c r="G313" s="7">
        <v>0</v>
      </c>
    </row>
    <row r="314" spans="1:7" hidden="1">
      <c r="A314" s="4" t="s">
        <v>807</v>
      </c>
      <c r="B314" s="4" t="s">
        <v>811</v>
      </c>
      <c r="C314" s="4" t="s">
        <v>2075</v>
      </c>
      <c r="D314" s="4" t="s">
        <v>1475</v>
      </c>
      <c r="E314" s="4" t="s">
        <v>2076</v>
      </c>
      <c r="F314" s="4">
        <v>0</v>
      </c>
      <c r="G314" s="7">
        <v>0</v>
      </c>
    </row>
    <row r="315" spans="1:7" hidden="1">
      <c r="A315" s="4" t="s">
        <v>807</v>
      </c>
      <c r="B315" s="4" t="s">
        <v>808</v>
      </c>
      <c r="C315" s="4" t="s">
        <v>2077</v>
      </c>
      <c r="D315" s="4" t="s">
        <v>1476</v>
      </c>
      <c r="E315" s="4" t="s">
        <v>2078</v>
      </c>
      <c r="F315" s="4">
        <v>0</v>
      </c>
      <c r="G315" s="7">
        <v>0</v>
      </c>
    </row>
    <row r="316" spans="1:7" hidden="1">
      <c r="A316" s="4" t="s">
        <v>807</v>
      </c>
      <c r="B316" s="4" t="s">
        <v>808</v>
      </c>
      <c r="C316" s="4" t="s">
        <v>2079</v>
      </c>
      <c r="D316" s="4" t="s">
        <v>1479</v>
      </c>
      <c r="E316" s="4" t="s">
        <v>2080</v>
      </c>
      <c r="F316" s="4">
        <v>0</v>
      </c>
      <c r="G316" s="7">
        <v>0</v>
      </c>
    </row>
    <row r="317" spans="1:7" hidden="1">
      <c r="A317" s="4" t="s">
        <v>807</v>
      </c>
      <c r="B317" s="4" t="s">
        <v>811</v>
      </c>
      <c r="C317" s="4" t="s">
        <v>2081</v>
      </c>
      <c r="D317" s="4" t="s">
        <v>1479</v>
      </c>
      <c r="E317" s="4" t="s">
        <v>2082</v>
      </c>
      <c r="F317" s="4">
        <v>0</v>
      </c>
      <c r="G317" s="7">
        <v>0</v>
      </c>
    </row>
    <row r="318" spans="1:7" hidden="1">
      <c r="A318" s="4" t="s">
        <v>807</v>
      </c>
      <c r="B318" s="4" t="s">
        <v>811</v>
      </c>
      <c r="C318" s="4" t="s">
        <v>979</v>
      </c>
      <c r="D318" s="4" t="s">
        <v>1485</v>
      </c>
      <c r="E318" s="4" t="s">
        <v>981</v>
      </c>
      <c r="F318" s="4">
        <v>0</v>
      </c>
      <c r="G318" s="7">
        <v>0</v>
      </c>
    </row>
    <row r="319" spans="1:7" hidden="1">
      <c r="A319" s="4" t="s">
        <v>1051</v>
      </c>
      <c r="B319" s="4"/>
      <c r="C319" s="4" t="s">
        <v>2083</v>
      </c>
      <c r="D319" s="4" t="s">
        <v>1485</v>
      </c>
      <c r="E319" s="4" t="s">
        <v>2084</v>
      </c>
      <c r="F319" s="4">
        <v>0</v>
      </c>
      <c r="G319" s="7">
        <v>0</v>
      </c>
    </row>
    <row r="320" spans="1:7" hidden="1">
      <c r="A320" s="4" t="s">
        <v>807</v>
      </c>
      <c r="B320" s="4" t="s">
        <v>825</v>
      </c>
      <c r="C320" s="4" t="s">
        <v>2085</v>
      </c>
      <c r="D320" s="4" t="s">
        <v>1485</v>
      </c>
      <c r="E320" s="4" t="s">
        <v>831</v>
      </c>
      <c r="F320" s="4">
        <v>0</v>
      </c>
      <c r="G320" s="7">
        <v>0</v>
      </c>
    </row>
    <row r="321" spans="1:7" hidden="1">
      <c r="A321" s="4" t="s">
        <v>807</v>
      </c>
      <c r="B321" s="4" t="s">
        <v>811</v>
      </c>
      <c r="C321" s="4" t="s">
        <v>2086</v>
      </c>
      <c r="D321" s="4" t="s">
        <v>1494</v>
      </c>
      <c r="E321" s="4" t="s">
        <v>2087</v>
      </c>
      <c r="F321" s="4">
        <v>0</v>
      </c>
      <c r="G321" s="7">
        <v>0</v>
      </c>
    </row>
    <row r="322" spans="1:7" hidden="1">
      <c r="A322" s="4" t="s">
        <v>807</v>
      </c>
      <c r="B322" s="4" t="s">
        <v>825</v>
      </c>
      <c r="C322" s="4" t="s">
        <v>2088</v>
      </c>
      <c r="D322" s="4" t="s">
        <v>1513</v>
      </c>
      <c r="E322" s="4" t="s">
        <v>1518</v>
      </c>
      <c r="F322" s="4">
        <v>0</v>
      </c>
      <c r="G322" s="7">
        <v>0</v>
      </c>
    </row>
    <row r="323" spans="1:7" hidden="1">
      <c r="A323" s="4" t="s">
        <v>807</v>
      </c>
      <c r="B323" s="4" t="s">
        <v>808</v>
      </c>
      <c r="C323" s="4" t="s">
        <v>1031</v>
      </c>
      <c r="D323" s="4" t="s">
        <v>1513</v>
      </c>
      <c r="E323" s="4" t="s">
        <v>1033</v>
      </c>
      <c r="F323" s="4">
        <v>0</v>
      </c>
      <c r="G323" s="7">
        <v>0</v>
      </c>
    </row>
    <row r="324" spans="1:7" hidden="1">
      <c r="A324" s="4" t="s">
        <v>807</v>
      </c>
      <c r="B324" s="4" t="s">
        <v>811</v>
      </c>
      <c r="C324" s="4" t="s">
        <v>2089</v>
      </c>
      <c r="D324" s="4" t="s">
        <v>1513</v>
      </c>
      <c r="E324" s="4" t="s">
        <v>2090</v>
      </c>
      <c r="F324" s="4">
        <v>0</v>
      </c>
      <c r="G324" s="7">
        <v>0</v>
      </c>
    </row>
    <row r="325" spans="1:7" hidden="1">
      <c r="A325" s="4" t="s">
        <v>807</v>
      </c>
      <c r="B325" s="4" t="s">
        <v>811</v>
      </c>
      <c r="C325" s="4" t="s">
        <v>2091</v>
      </c>
      <c r="D325" s="4" t="s">
        <v>1520</v>
      </c>
      <c r="E325" s="4" t="s">
        <v>2092</v>
      </c>
      <c r="F325" s="4">
        <v>0</v>
      </c>
      <c r="G325" s="7">
        <v>0</v>
      </c>
    </row>
    <row r="326" spans="1:7" hidden="1">
      <c r="A326" s="4" t="s">
        <v>807</v>
      </c>
      <c r="B326" s="4" t="s">
        <v>811</v>
      </c>
      <c r="C326" s="4" t="s">
        <v>2089</v>
      </c>
      <c r="D326" s="4" t="s">
        <v>1520</v>
      </c>
      <c r="E326" s="4" t="s">
        <v>2090</v>
      </c>
      <c r="F326" s="4">
        <v>0</v>
      </c>
      <c r="G326" s="7">
        <v>0</v>
      </c>
    </row>
    <row r="327" spans="1:7" hidden="1">
      <c r="A327" s="4" t="s">
        <v>807</v>
      </c>
      <c r="B327" s="4" t="s">
        <v>808</v>
      </c>
      <c r="C327" s="4" t="s">
        <v>1484</v>
      </c>
      <c r="D327" s="4" t="s">
        <v>1522</v>
      </c>
      <c r="E327" s="4" t="s">
        <v>1486</v>
      </c>
      <c r="F327" s="4">
        <v>0</v>
      </c>
      <c r="G327" s="7">
        <v>0</v>
      </c>
    </row>
    <row r="328" spans="1:7" hidden="1">
      <c r="A328" s="4" t="s">
        <v>807</v>
      </c>
      <c r="B328" s="4" t="s">
        <v>811</v>
      </c>
      <c r="C328" s="4" t="s">
        <v>2093</v>
      </c>
      <c r="D328" s="4" t="s">
        <v>1522</v>
      </c>
      <c r="E328" s="4" t="s">
        <v>2094</v>
      </c>
      <c r="F328" s="4">
        <v>0</v>
      </c>
      <c r="G328" s="7">
        <v>0</v>
      </c>
    </row>
    <row r="329" spans="1:7" hidden="1">
      <c r="A329" s="4" t="s">
        <v>807</v>
      </c>
      <c r="B329" s="4" t="s">
        <v>811</v>
      </c>
      <c r="C329" s="4" t="s">
        <v>2095</v>
      </c>
      <c r="D329" s="4" t="s">
        <v>1532</v>
      </c>
      <c r="E329" s="4" t="s">
        <v>2096</v>
      </c>
      <c r="F329" s="4">
        <v>0</v>
      </c>
      <c r="G329" s="7">
        <v>0</v>
      </c>
    </row>
    <row r="330" spans="1:7" hidden="1">
      <c r="A330" s="4" t="s">
        <v>807</v>
      </c>
      <c r="B330" s="4" t="s">
        <v>811</v>
      </c>
      <c r="C330" s="4" t="s">
        <v>2097</v>
      </c>
      <c r="D330" s="4" t="s">
        <v>1532</v>
      </c>
      <c r="E330" s="4" t="s">
        <v>2098</v>
      </c>
      <c r="F330" s="4">
        <v>0</v>
      </c>
      <c r="G330" s="7">
        <v>0</v>
      </c>
    </row>
    <row r="331" spans="1:7" hidden="1">
      <c r="A331" s="4" t="s">
        <v>807</v>
      </c>
      <c r="B331" s="4" t="s">
        <v>811</v>
      </c>
      <c r="C331" s="4" t="s">
        <v>2099</v>
      </c>
      <c r="D331" s="4" t="s">
        <v>1532</v>
      </c>
      <c r="E331" s="4" t="s">
        <v>2100</v>
      </c>
      <c r="F331" s="4">
        <v>0</v>
      </c>
      <c r="G331" s="7">
        <v>0</v>
      </c>
    </row>
    <row r="332" spans="1:7" hidden="1">
      <c r="A332" s="4" t="s">
        <v>807</v>
      </c>
      <c r="B332" s="4" t="s">
        <v>811</v>
      </c>
      <c r="C332" s="4" t="s">
        <v>2101</v>
      </c>
      <c r="D332" s="4" t="s">
        <v>1532</v>
      </c>
      <c r="E332" s="4" t="s">
        <v>2102</v>
      </c>
      <c r="F332" s="4">
        <v>0</v>
      </c>
      <c r="G332" s="7">
        <v>0</v>
      </c>
    </row>
    <row r="333" spans="1:7" hidden="1">
      <c r="A333" s="4" t="s">
        <v>807</v>
      </c>
      <c r="B333" s="4" t="s">
        <v>811</v>
      </c>
      <c r="C333" s="4" t="s">
        <v>2103</v>
      </c>
      <c r="D333" s="4" t="s">
        <v>1532</v>
      </c>
      <c r="E333" s="4" t="s">
        <v>2104</v>
      </c>
      <c r="F333" s="4">
        <v>0</v>
      </c>
      <c r="G333" s="7">
        <v>0</v>
      </c>
    </row>
    <row r="334" spans="1:7" hidden="1">
      <c r="A334" s="4" t="s">
        <v>915</v>
      </c>
      <c r="B334" s="4" t="s">
        <v>915</v>
      </c>
      <c r="C334" s="4" t="s">
        <v>1245</v>
      </c>
      <c r="D334" s="4" t="s">
        <v>1532</v>
      </c>
      <c r="E334" s="4" t="s">
        <v>1247</v>
      </c>
      <c r="F334" s="4">
        <v>0</v>
      </c>
      <c r="G334" s="7">
        <v>0</v>
      </c>
    </row>
    <row r="335" spans="1:7" hidden="1">
      <c r="A335" s="4" t="s">
        <v>915</v>
      </c>
      <c r="B335" s="4" t="s">
        <v>915</v>
      </c>
      <c r="C335" s="4" t="s">
        <v>2105</v>
      </c>
      <c r="D335" s="4" t="s">
        <v>1532</v>
      </c>
      <c r="E335" s="4" t="s">
        <v>2106</v>
      </c>
      <c r="F335" s="4">
        <v>0</v>
      </c>
      <c r="G335" s="7">
        <v>0</v>
      </c>
    </row>
    <row r="336" spans="1:7" hidden="1">
      <c r="A336" s="4" t="s">
        <v>807</v>
      </c>
      <c r="B336" s="4" t="s">
        <v>808</v>
      </c>
      <c r="C336" s="4" t="s">
        <v>1229</v>
      </c>
      <c r="D336" s="4" t="s">
        <v>1532</v>
      </c>
      <c r="E336" s="4" t="s">
        <v>840</v>
      </c>
      <c r="F336" s="4">
        <v>0</v>
      </c>
      <c r="G336" s="7">
        <v>0</v>
      </c>
    </row>
    <row r="337" spans="1:7" hidden="1">
      <c r="A337" s="4" t="s">
        <v>807</v>
      </c>
      <c r="B337" s="4" t="s">
        <v>808</v>
      </c>
      <c r="C337" s="4" t="s">
        <v>1176</v>
      </c>
      <c r="D337" s="4" t="s">
        <v>1532</v>
      </c>
      <c r="E337" s="4" t="s">
        <v>840</v>
      </c>
      <c r="F337" s="4">
        <v>0</v>
      </c>
      <c r="G337" s="7">
        <v>0</v>
      </c>
    </row>
    <row r="338" spans="1:7" hidden="1">
      <c r="A338" s="4" t="s">
        <v>807</v>
      </c>
      <c r="B338" s="4" t="s">
        <v>811</v>
      </c>
      <c r="C338" s="4" t="s">
        <v>2107</v>
      </c>
      <c r="D338" s="4" t="s">
        <v>1532</v>
      </c>
      <c r="E338" s="4" t="s">
        <v>840</v>
      </c>
      <c r="F338" s="4">
        <v>0</v>
      </c>
      <c r="G338" s="7">
        <v>0</v>
      </c>
    </row>
    <row r="339" spans="1:7" hidden="1">
      <c r="A339" s="4" t="s">
        <v>807</v>
      </c>
      <c r="B339" s="4" t="s">
        <v>808</v>
      </c>
      <c r="C339" s="4" t="s">
        <v>2108</v>
      </c>
      <c r="D339" s="4" t="s">
        <v>1532</v>
      </c>
      <c r="E339" s="4" t="s">
        <v>2109</v>
      </c>
      <c r="F339" s="4">
        <v>0</v>
      </c>
      <c r="G339" s="7">
        <v>0</v>
      </c>
    </row>
    <row r="340" spans="1:7" hidden="1">
      <c r="A340" s="4" t="s">
        <v>807</v>
      </c>
      <c r="B340" s="4" t="s">
        <v>808</v>
      </c>
      <c r="C340" s="4" t="s">
        <v>2110</v>
      </c>
      <c r="D340" s="4" t="s">
        <v>1532</v>
      </c>
      <c r="E340" s="4" t="s">
        <v>2111</v>
      </c>
      <c r="F340" s="4">
        <v>0</v>
      </c>
      <c r="G340" s="7">
        <v>0</v>
      </c>
    </row>
    <row r="341" spans="1:7" hidden="1">
      <c r="A341" s="4" t="s">
        <v>807</v>
      </c>
      <c r="B341" s="4" t="s">
        <v>808</v>
      </c>
      <c r="C341" s="4" t="s">
        <v>2112</v>
      </c>
      <c r="D341" s="4" t="s">
        <v>1532</v>
      </c>
      <c r="E341" s="4" t="s">
        <v>885</v>
      </c>
      <c r="F341" s="4">
        <v>0</v>
      </c>
      <c r="G341" s="7">
        <v>0</v>
      </c>
    </row>
    <row r="342" spans="1:7" hidden="1">
      <c r="A342" s="4" t="s">
        <v>807</v>
      </c>
      <c r="B342" s="4" t="s">
        <v>808</v>
      </c>
      <c r="C342" s="4" t="s">
        <v>2113</v>
      </c>
      <c r="D342" s="4" t="s">
        <v>1532</v>
      </c>
      <c r="E342" s="4" t="s">
        <v>2114</v>
      </c>
      <c r="F342" s="4">
        <v>0</v>
      </c>
      <c r="G342" s="7">
        <v>0</v>
      </c>
    </row>
    <row r="343" spans="1:7" hidden="1">
      <c r="A343" s="4" t="s">
        <v>807</v>
      </c>
      <c r="B343" s="4" t="s">
        <v>808</v>
      </c>
      <c r="C343" s="4" t="s">
        <v>2115</v>
      </c>
      <c r="D343" s="4" t="s">
        <v>1532</v>
      </c>
      <c r="E343" s="4" t="s">
        <v>2116</v>
      </c>
      <c r="F343" s="4">
        <v>0</v>
      </c>
      <c r="G343" s="7">
        <v>0</v>
      </c>
    </row>
    <row r="344" spans="1:7" hidden="1">
      <c r="A344" s="4" t="s">
        <v>807</v>
      </c>
      <c r="B344" s="4" t="s">
        <v>808</v>
      </c>
      <c r="C344" s="4" t="s">
        <v>2117</v>
      </c>
      <c r="D344" s="4" t="s">
        <v>1532</v>
      </c>
      <c r="E344" s="4" t="s">
        <v>2118</v>
      </c>
      <c r="F344" s="4">
        <v>0</v>
      </c>
      <c r="G344" s="7">
        <v>0</v>
      </c>
    </row>
    <row r="345" spans="1:7" hidden="1">
      <c r="A345" s="4" t="s">
        <v>2119</v>
      </c>
      <c r="B345" s="4" t="s">
        <v>808</v>
      </c>
      <c r="C345" s="4" t="s">
        <v>2120</v>
      </c>
      <c r="D345" s="4" t="s">
        <v>1532</v>
      </c>
      <c r="E345" s="4" t="s">
        <v>2121</v>
      </c>
      <c r="F345" s="4">
        <v>0</v>
      </c>
      <c r="G345" s="7">
        <v>0</v>
      </c>
    </row>
    <row r="346" spans="1:7" hidden="1">
      <c r="A346" s="4" t="s">
        <v>807</v>
      </c>
      <c r="B346" s="4" t="s">
        <v>808</v>
      </c>
      <c r="C346" s="4" t="s">
        <v>2122</v>
      </c>
      <c r="D346" s="4" t="s">
        <v>1532</v>
      </c>
      <c r="E346" s="4" t="s">
        <v>2123</v>
      </c>
      <c r="F346" s="4">
        <v>0</v>
      </c>
      <c r="G346" s="7">
        <v>0</v>
      </c>
    </row>
    <row r="347" spans="1:7" hidden="1">
      <c r="A347" s="4" t="s">
        <v>2119</v>
      </c>
      <c r="B347" s="4" t="s">
        <v>808</v>
      </c>
      <c r="C347" s="4" t="s">
        <v>2124</v>
      </c>
      <c r="D347" s="4" t="s">
        <v>1532</v>
      </c>
      <c r="E347" s="4" t="s">
        <v>2125</v>
      </c>
      <c r="F347" s="4">
        <v>0</v>
      </c>
      <c r="G347" s="7">
        <v>0</v>
      </c>
    </row>
    <row r="348" spans="1:7" hidden="1">
      <c r="A348" s="4" t="s">
        <v>2119</v>
      </c>
      <c r="B348" s="4" t="s">
        <v>808</v>
      </c>
      <c r="C348" s="4" t="s">
        <v>2126</v>
      </c>
      <c r="D348" s="4" t="s">
        <v>1532</v>
      </c>
      <c r="E348" s="4" t="s">
        <v>2127</v>
      </c>
      <c r="F348" s="4">
        <v>0</v>
      </c>
      <c r="G348" s="7">
        <v>0</v>
      </c>
    </row>
    <row r="349" spans="1:7" hidden="1">
      <c r="A349" s="4" t="s">
        <v>2119</v>
      </c>
      <c r="B349" s="4" t="s">
        <v>808</v>
      </c>
      <c r="C349" s="4" t="s">
        <v>2128</v>
      </c>
      <c r="D349" s="4" t="s">
        <v>1532</v>
      </c>
      <c r="E349" s="4" t="s">
        <v>2129</v>
      </c>
      <c r="F349" s="4">
        <v>0</v>
      </c>
      <c r="G349" s="7">
        <v>0</v>
      </c>
    </row>
    <row r="350" spans="1:7" hidden="1">
      <c r="A350" s="4" t="s">
        <v>807</v>
      </c>
      <c r="B350" s="4" t="s">
        <v>808</v>
      </c>
      <c r="C350" s="4" t="s">
        <v>2130</v>
      </c>
      <c r="D350" s="4" t="s">
        <v>1532</v>
      </c>
      <c r="E350" s="4" t="s">
        <v>2131</v>
      </c>
      <c r="F350" s="4">
        <v>0</v>
      </c>
      <c r="G350" s="7">
        <v>0</v>
      </c>
    </row>
    <row r="351" spans="1:7" hidden="1">
      <c r="A351" s="4" t="s">
        <v>2119</v>
      </c>
      <c r="B351" s="4" t="s">
        <v>808</v>
      </c>
      <c r="C351" s="4" t="s">
        <v>2132</v>
      </c>
      <c r="D351" s="4" t="s">
        <v>1532</v>
      </c>
      <c r="E351" s="4" t="s">
        <v>2133</v>
      </c>
      <c r="F351" s="4">
        <v>0</v>
      </c>
      <c r="G351" s="7">
        <v>0</v>
      </c>
    </row>
    <row r="352" spans="1:7" hidden="1">
      <c r="A352" s="4" t="s">
        <v>807</v>
      </c>
      <c r="B352" s="4" t="s">
        <v>808</v>
      </c>
      <c r="C352" s="4" t="s">
        <v>2134</v>
      </c>
      <c r="D352" s="4" t="s">
        <v>1532</v>
      </c>
      <c r="E352" s="4" t="s">
        <v>2135</v>
      </c>
      <c r="F352" s="4">
        <v>0</v>
      </c>
      <c r="G352" s="7">
        <v>0</v>
      </c>
    </row>
    <row r="353" spans="1:7" hidden="1">
      <c r="A353" s="4" t="s">
        <v>807</v>
      </c>
      <c r="B353" s="4" t="s">
        <v>808</v>
      </c>
      <c r="C353" s="4" t="s">
        <v>2136</v>
      </c>
      <c r="D353" s="4" t="s">
        <v>1532</v>
      </c>
      <c r="E353" s="4" t="s">
        <v>2137</v>
      </c>
      <c r="F353" s="4">
        <v>0</v>
      </c>
      <c r="G353" s="7">
        <v>0</v>
      </c>
    </row>
    <row r="354" spans="1:7" hidden="1">
      <c r="A354" s="4" t="s">
        <v>2119</v>
      </c>
      <c r="B354" s="4" t="s">
        <v>808</v>
      </c>
      <c r="C354" s="4" t="s">
        <v>2138</v>
      </c>
      <c r="D354" s="4" t="s">
        <v>1532</v>
      </c>
      <c r="E354" s="4" t="s">
        <v>2139</v>
      </c>
      <c r="F354" s="4">
        <v>0</v>
      </c>
      <c r="G354" s="7">
        <v>0</v>
      </c>
    </row>
    <row r="355" spans="1:7" hidden="1">
      <c r="A355" s="4" t="s">
        <v>2119</v>
      </c>
      <c r="B355" s="4" t="s">
        <v>808</v>
      </c>
      <c r="C355" s="4" t="s">
        <v>2140</v>
      </c>
      <c r="D355" s="4" t="s">
        <v>1532</v>
      </c>
      <c r="E355" s="4" t="s">
        <v>2141</v>
      </c>
      <c r="F355" s="4">
        <v>0</v>
      </c>
      <c r="G355" s="7">
        <v>0</v>
      </c>
    </row>
    <row r="356" spans="1:7" hidden="1">
      <c r="A356" s="4" t="s">
        <v>2119</v>
      </c>
      <c r="B356" s="4" t="s">
        <v>808</v>
      </c>
      <c r="C356" s="4" t="s">
        <v>2142</v>
      </c>
      <c r="D356" s="4" t="s">
        <v>1532</v>
      </c>
      <c r="E356" s="4" t="s">
        <v>2143</v>
      </c>
      <c r="F356" s="4">
        <v>0</v>
      </c>
      <c r="G356" s="7">
        <v>0</v>
      </c>
    </row>
    <row r="357" spans="1:7" hidden="1">
      <c r="A357" s="4" t="s">
        <v>2119</v>
      </c>
      <c r="B357" s="4" t="s">
        <v>808</v>
      </c>
      <c r="C357" s="4" t="s">
        <v>2144</v>
      </c>
      <c r="D357" s="4" t="s">
        <v>1532</v>
      </c>
      <c r="E357" s="4" t="s">
        <v>2145</v>
      </c>
      <c r="F357" s="4">
        <v>0</v>
      </c>
      <c r="G357" s="7">
        <v>0</v>
      </c>
    </row>
    <row r="358" spans="1:7" hidden="1">
      <c r="A358" s="4" t="s">
        <v>2119</v>
      </c>
      <c r="B358" s="4" t="s">
        <v>808</v>
      </c>
      <c r="C358" s="4" t="s">
        <v>2146</v>
      </c>
      <c r="D358" s="4" t="s">
        <v>1532</v>
      </c>
      <c r="E358" s="4" t="s">
        <v>2147</v>
      </c>
      <c r="F358" s="4">
        <v>0</v>
      </c>
      <c r="G358" s="7">
        <v>0</v>
      </c>
    </row>
    <row r="359" spans="1:7" hidden="1">
      <c r="A359" s="4" t="s">
        <v>2119</v>
      </c>
      <c r="B359" s="4" t="s">
        <v>808</v>
      </c>
      <c r="C359" s="4" t="s">
        <v>2148</v>
      </c>
      <c r="D359" s="4" t="s">
        <v>1532</v>
      </c>
      <c r="E359" s="4" t="s">
        <v>2149</v>
      </c>
      <c r="F359" s="4">
        <v>0</v>
      </c>
      <c r="G359" s="7">
        <v>0</v>
      </c>
    </row>
    <row r="360" spans="1:7" hidden="1">
      <c r="A360" s="4" t="s">
        <v>807</v>
      </c>
      <c r="B360" s="4" t="s">
        <v>2119</v>
      </c>
      <c r="C360" s="4" t="s">
        <v>2150</v>
      </c>
      <c r="D360" s="4" t="s">
        <v>1532</v>
      </c>
      <c r="E360" s="4" t="s">
        <v>2151</v>
      </c>
      <c r="F360" s="4">
        <v>0</v>
      </c>
      <c r="G360" s="7">
        <v>0</v>
      </c>
    </row>
    <row r="361" spans="1:7" hidden="1">
      <c r="A361" s="4" t="s">
        <v>807</v>
      </c>
      <c r="B361" s="4" t="s">
        <v>2119</v>
      </c>
      <c r="C361" s="4" t="s">
        <v>2152</v>
      </c>
      <c r="D361" s="4" t="s">
        <v>1532</v>
      </c>
      <c r="E361" s="4" t="s">
        <v>2153</v>
      </c>
      <c r="F361" s="4">
        <v>0</v>
      </c>
      <c r="G361" s="7">
        <v>0</v>
      </c>
    </row>
    <row r="362" spans="1:7" hidden="1">
      <c r="A362" s="4" t="s">
        <v>807</v>
      </c>
      <c r="B362" s="4" t="s">
        <v>2119</v>
      </c>
      <c r="C362" s="4" t="s">
        <v>2154</v>
      </c>
      <c r="D362" s="4" t="s">
        <v>1532</v>
      </c>
      <c r="E362" s="4" t="s">
        <v>2155</v>
      </c>
      <c r="F362" s="4">
        <v>0</v>
      </c>
      <c r="G362" s="7">
        <v>0</v>
      </c>
    </row>
    <row r="363" spans="1:7" hidden="1">
      <c r="A363" s="4" t="s">
        <v>807</v>
      </c>
      <c r="B363" s="4" t="s">
        <v>825</v>
      </c>
      <c r="C363" s="4" t="s">
        <v>2156</v>
      </c>
      <c r="D363" s="4" t="s">
        <v>1532</v>
      </c>
      <c r="E363" s="4" t="s">
        <v>2157</v>
      </c>
      <c r="F363" s="4">
        <v>0</v>
      </c>
      <c r="G363" s="7">
        <v>0</v>
      </c>
    </row>
    <row r="364" spans="1:7" hidden="1">
      <c r="A364" s="4" t="s">
        <v>807</v>
      </c>
      <c r="B364" s="4" t="s">
        <v>811</v>
      </c>
      <c r="C364" s="4" t="s">
        <v>2158</v>
      </c>
      <c r="D364" s="4" t="s">
        <v>1532</v>
      </c>
      <c r="E364" s="4" t="s">
        <v>2159</v>
      </c>
      <c r="F364" s="4">
        <v>0</v>
      </c>
      <c r="G364" s="7">
        <v>0</v>
      </c>
    </row>
    <row r="365" spans="1:7" hidden="1">
      <c r="A365" s="4" t="s">
        <v>807</v>
      </c>
      <c r="B365" s="4" t="s">
        <v>811</v>
      </c>
      <c r="C365" s="4" t="s">
        <v>2160</v>
      </c>
      <c r="D365" s="4" t="s">
        <v>1532</v>
      </c>
      <c r="E365" s="4" t="s">
        <v>2161</v>
      </c>
      <c r="F365" s="4">
        <v>0</v>
      </c>
      <c r="G365" s="7">
        <v>0</v>
      </c>
    </row>
    <row r="366" spans="1:7" hidden="1">
      <c r="A366" s="4" t="s">
        <v>807</v>
      </c>
      <c r="B366" s="4" t="s">
        <v>811</v>
      </c>
      <c r="C366" s="4" t="s">
        <v>2162</v>
      </c>
      <c r="D366" s="4" t="s">
        <v>1532</v>
      </c>
      <c r="E366" s="4" t="s">
        <v>2163</v>
      </c>
      <c r="F366" s="4">
        <v>0</v>
      </c>
      <c r="G366" s="7">
        <v>0</v>
      </c>
    </row>
    <row r="367" spans="1:7" hidden="1">
      <c r="A367" s="4" t="s">
        <v>807</v>
      </c>
      <c r="B367" s="4" t="s">
        <v>811</v>
      </c>
      <c r="C367" s="4" t="s">
        <v>2164</v>
      </c>
      <c r="D367" s="4" t="s">
        <v>1532</v>
      </c>
      <c r="E367" s="4" t="s">
        <v>2165</v>
      </c>
      <c r="F367" s="4">
        <v>0</v>
      </c>
      <c r="G367" s="7">
        <v>0</v>
      </c>
    </row>
    <row r="368" spans="1:7" hidden="1">
      <c r="A368" s="4" t="s">
        <v>807</v>
      </c>
      <c r="B368" s="4" t="s">
        <v>811</v>
      </c>
      <c r="C368" s="4" t="s">
        <v>2166</v>
      </c>
      <c r="D368" s="4" t="s">
        <v>1532</v>
      </c>
      <c r="E368" s="4" t="s">
        <v>2167</v>
      </c>
      <c r="F368" s="4">
        <v>0</v>
      </c>
      <c r="G368" s="7">
        <v>0</v>
      </c>
    </row>
    <row r="369" spans="1:7" hidden="1">
      <c r="A369" s="4" t="s">
        <v>807</v>
      </c>
      <c r="B369" s="4" t="s">
        <v>811</v>
      </c>
      <c r="C369" s="4" t="s">
        <v>2168</v>
      </c>
      <c r="D369" s="4" t="s">
        <v>1532</v>
      </c>
      <c r="E369" s="4" t="s">
        <v>2169</v>
      </c>
      <c r="F369" s="4">
        <v>0</v>
      </c>
      <c r="G369" s="7">
        <v>0</v>
      </c>
    </row>
    <row r="370" spans="1:7" hidden="1">
      <c r="A370" s="4" t="s">
        <v>807</v>
      </c>
      <c r="B370" s="4" t="s">
        <v>811</v>
      </c>
      <c r="C370" s="4" t="s">
        <v>2170</v>
      </c>
      <c r="D370" s="4" t="s">
        <v>1532</v>
      </c>
      <c r="E370" s="4" t="s">
        <v>2171</v>
      </c>
      <c r="F370" s="4">
        <v>0</v>
      </c>
      <c r="G370" s="7">
        <v>0</v>
      </c>
    </row>
    <row r="371" spans="1:7" hidden="1">
      <c r="A371" s="4" t="s">
        <v>807</v>
      </c>
      <c r="B371" s="4" t="s">
        <v>811</v>
      </c>
      <c r="C371" s="4" t="s">
        <v>2172</v>
      </c>
      <c r="D371" s="4" t="s">
        <v>1532</v>
      </c>
      <c r="E371" s="4" t="s">
        <v>2173</v>
      </c>
      <c r="F371" s="4">
        <v>0</v>
      </c>
      <c r="G371" s="7">
        <v>0</v>
      </c>
    </row>
    <row r="372" spans="1:7" hidden="1">
      <c r="A372" s="4" t="s">
        <v>807</v>
      </c>
      <c r="B372" s="4" t="s">
        <v>811</v>
      </c>
      <c r="C372" s="4" t="s">
        <v>2174</v>
      </c>
      <c r="D372" s="4" t="s">
        <v>1532</v>
      </c>
      <c r="E372" s="4" t="s">
        <v>2175</v>
      </c>
      <c r="F372" s="4">
        <v>0</v>
      </c>
      <c r="G372" s="7">
        <v>0</v>
      </c>
    </row>
    <row r="373" spans="1:7" hidden="1">
      <c r="A373" s="4" t="s">
        <v>807</v>
      </c>
      <c r="B373" s="4" t="s">
        <v>811</v>
      </c>
      <c r="C373" s="4" t="s">
        <v>2176</v>
      </c>
      <c r="D373" s="4" t="s">
        <v>1532</v>
      </c>
      <c r="E373" s="4" t="s">
        <v>2177</v>
      </c>
      <c r="F373" s="4">
        <v>0</v>
      </c>
      <c r="G373" s="7">
        <v>0</v>
      </c>
    </row>
    <row r="374" spans="1:7" hidden="1">
      <c r="A374" s="4" t="s">
        <v>807</v>
      </c>
      <c r="B374" s="4" t="s">
        <v>811</v>
      </c>
      <c r="C374" s="4" t="s">
        <v>2178</v>
      </c>
      <c r="D374" s="4" t="s">
        <v>1532</v>
      </c>
      <c r="E374" s="4" t="s">
        <v>2179</v>
      </c>
      <c r="F374" s="4">
        <v>0</v>
      </c>
      <c r="G374" s="7">
        <v>0</v>
      </c>
    </row>
    <row r="375" spans="1:7" hidden="1">
      <c r="A375" s="4" t="s">
        <v>807</v>
      </c>
      <c r="B375" s="4" t="s">
        <v>811</v>
      </c>
      <c r="C375" s="4" t="s">
        <v>2180</v>
      </c>
      <c r="D375" s="4" t="s">
        <v>1532</v>
      </c>
      <c r="E375" s="4" t="s">
        <v>2181</v>
      </c>
      <c r="F375" s="4">
        <v>0</v>
      </c>
      <c r="G375" s="7">
        <v>0</v>
      </c>
    </row>
    <row r="376" spans="1:7" hidden="1">
      <c r="A376" s="4" t="s">
        <v>807</v>
      </c>
      <c r="B376" s="4" t="s">
        <v>811</v>
      </c>
      <c r="C376" s="4" t="s">
        <v>2182</v>
      </c>
      <c r="D376" s="4" t="s">
        <v>1532</v>
      </c>
      <c r="E376" s="4" t="s">
        <v>2183</v>
      </c>
      <c r="F376" s="4">
        <v>0</v>
      </c>
      <c r="G376" s="7">
        <v>0</v>
      </c>
    </row>
    <row r="377" spans="1:7" hidden="1">
      <c r="A377" s="4" t="s">
        <v>807</v>
      </c>
      <c r="B377" s="4" t="s">
        <v>811</v>
      </c>
      <c r="C377" s="4" t="s">
        <v>2184</v>
      </c>
      <c r="D377" s="4" t="s">
        <v>1532</v>
      </c>
      <c r="E377" s="4" t="s">
        <v>2185</v>
      </c>
      <c r="F377" s="4">
        <v>0</v>
      </c>
      <c r="G377" s="7">
        <v>0</v>
      </c>
    </row>
    <row r="378" spans="1:7" hidden="1">
      <c r="A378" s="4" t="s">
        <v>807</v>
      </c>
      <c r="B378" s="4" t="s">
        <v>811</v>
      </c>
      <c r="C378" s="4" t="s">
        <v>2186</v>
      </c>
      <c r="D378" s="4" t="s">
        <v>1532</v>
      </c>
      <c r="E378" s="4" t="s">
        <v>2187</v>
      </c>
      <c r="F378" s="4">
        <v>0</v>
      </c>
      <c r="G378" s="7">
        <v>0</v>
      </c>
    </row>
    <row r="379" spans="1:7" hidden="1">
      <c r="A379" s="4" t="s">
        <v>807</v>
      </c>
      <c r="B379" s="4" t="s">
        <v>811</v>
      </c>
      <c r="C379" s="4" t="s">
        <v>2188</v>
      </c>
      <c r="D379" s="4" t="s">
        <v>1532</v>
      </c>
      <c r="E379" s="4" t="s">
        <v>2189</v>
      </c>
      <c r="F379" s="4">
        <v>0</v>
      </c>
      <c r="G379" s="7">
        <v>0</v>
      </c>
    </row>
    <row r="380" spans="1:7" hidden="1">
      <c r="A380" s="4" t="s">
        <v>807</v>
      </c>
      <c r="B380" s="4" t="s">
        <v>811</v>
      </c>
      <c r="C380" s="4" t="s">
        <v>2190</v>
      </c>
      <c r="D380" s="4" t="s">
        <v>1532</v>
      </c>
      <c r="E380" s="4" t="s">
        <v>2191</v>
      </c>
      <c r="F380" s="4">
        <v>0</v>
      </c>
      <c r="G380" s="7">
        <v>0</v>
      </c>
    </row>
    <row r="381" spans="1:7" hidden="1">
      <c r="A381" s="4" t="s">
        <v>807</v>
      </c>
      <c r="B381" s="4" t="s">
        <v>811</v>
      </c>
      <c r="C381" s="4" t="s">
        <v>2192</v>
      </c>
      <c r="D381" s="4" t="s">
        <v>1532</v>
      </c>
      <c r="E381" s="4" t="s">
        <v>2193</v>
      </c>
      <c r="F381" s="4">
        <v>0</v>
      </c>
      <c r="G381" s="7">
        <v>0</v>
      </c>
    </row>
    <row r="382" spans="1:7" hidden="1">
      <c r="A382" s="4" t="s">
        <v>807</v>
      </c>
      <c r="B382" s="4" t="s">
        <v>811</v>
      </c>
      <c r="C382" s="4" t="s">
        <v>2194</v>
      </c>
      <c r="D382" s="4" t="s">
        <v>1532</v>
      </c>
      <c r="E382" s="4" t="s">
        <v>2195</v>
      </c>
      <c r="F382" s="4">
        <v>0</v>
      </c>
      <c r="G382" s="7">
        <v>0</v>
      </c>
    </row>
    <row r="383" spans="1:7" hidden="1">
      <c r="A383" s="4" t="s">
        <v>807</v>
      </c>
      <c r="B383" s="4" t="s">
        <v>811</v>
      </c>
      <c r="C383" s="4" t="s">
        <v>2196</v>
      </c>
      <c r="D383" s="4" t="s">
        <v>1532</v>
      </c>
      <c r="E383" s="4" t="s">
        <v>2197</v>
      </c>
      <c r="F383" s="4">
        <v>0</v>
      </c>
      <c r="G383" s="7">
        <v>0</v>
      </c>
    </row>
    <row r="384" spans="1:7" hidden="1">
      <c r="A384" s="4" t="s">
        <v>807</v>
      </c>
      <c r="B384" s="4" t="s">
        <v>811</v>
      </c>
      <c r="C384" s="4" t="s">
        <v>2198</v>
      </c>
      <c r="D384" s="4" t="s">
        <v>1532</v>
      </c>
      <c r="E384" s="4" t="s">
        <v>2199</v>
      </c>
      <c r="F384" s="4">
        <v>0</v>
      </c>
      <c r="G384" s="7">
        <v>0</v>
      </c>
    </row>
    <row r="385" spans="1:7" hidden="1">
      <c r="A385" s="4" t="s">
        <v>807</v>
      </c>
      <c r="B385" s="4" t="s">
        <v>811</v>
      </c>
      <c r="C385" s="4" t="s">
        <v>2200</v>
      </c>
      <c r="D385" s="4" t="s">
        <v>1532</v>
      </c>
      <c r="E385" s="4" t="s">
        <v>2201</v>
      </c>
      <c r="F385" s="4">
        <v>0</v>
      </c>
      <c r="G385" s="7">
        <v>0</v>
      </c>
    </row>
    <row r="386" spans="1:7" hidden="1">
      <c r="A386" s="4" t="s">
        <v>807</v>
      </c>
      <c r="B386" s="4" t="s">
        <v>811</v>
      </c>
      <c r="C386" s="4" t="s">
        <v>2202</v>
      </c>
      <c r="D386" s="4" t="s">
        <v>1532</v>
      </c>
      <c r="E386" s="4" t="s">
        <v>2203</v>
      </c>
      <c r="F386" s="4">
        <v>0</v>
      </c>
      <c r="G386" s="7">
        <v>0</v>
      </c>
    </row>
    <row r="387" spans="1:7" hidden="1">
      <c r="A387" s="4" t="s">
        <v>807</v>
      </c>
      <c r="B387" s="4" t="s">
        <v>811</v>
      </c>
      <c r="C387" s="4" t="s">
        <v>2204</v>
      </c>
      <c r="D387" s="4" t="s">
        <v>1532</v>
      </c>
      <c r="E387" s="4" t="s">
        <v>2203</v>
      </c>
      <c r="F387" s="4">
        <v>0</v>
      </c>
      <c r="G387" s="7">
        <v>0</v>
      </c>
    </row>
    <row r="388" spans="1:7" hidden="1">
      <c r="A388" s="4" t="s">
        <v>807</v>
      </c>
      <c r="B388" s="4" t="s">
        <v>811</v>
      </c>
      <c r="C388" s="4" t="s">
        <v>2205</v>
      </c>
      <c r="D388" s="4" t="s">
        <v>1532</v>
      </c>
      <c r="E388" s="4" t="s">
        <v>2206</v>
      </c>
      <c r="F388" s="4">
        <v>0</v>
      </c>
      <c r="G388" s="7">
        <v>0</v>
      </c>
    </row>
    <row r="389" spans="1:7" hidden="1">
      <c r="A389" s="4" t="s">
        <v>807</v>
      </c>
      <c r="B389" s="4" t="s">
        <v>811</v>
      </c>
      <c r="C389" s="4" t="s">
        <v>2207</v>
      </c>
      <c r="D389" s="4" t="s">
        <v>1532</v>
      </c>
      <c r="E389" s="4" t="s">
        <v>2208</v>
      </c>
      <c r="F389" s="4">
        <v>0</v>
      </c>
      <c r="G389" s="7">
        <v>0</v>
      </c>
    </row>
    <row r="390" spans="1:7" hidden="1">
      <c r="A390" s="4" t="s">
        <v>807</v>
      </c>
      <c r="B390" s="4" t="s">
        <v>811</v>
      </c>
      <c r="C390" s="4" t="s">
        <v>2209</v>
      </c>
      <c r="D390" s="4" t="s">
        <v>1532</v>
      </c>
      <c r="E390" s="4" t="s">
        <v>2210</v>
      </c>
      <c r="F390" s="4">
        <v>0</v>
      </c>
      <c r="G390" s="7">
        <v>0</v>
      </c>
    </row>
    <row r="391" spans="1:7" hidden="1">
      <c r="A391" s="4" t="s">
        <v>807</v>
      </c>
      <c r="B391" s="4" t="s">
        <v>811</v>
      </c>
      <c r="C391" s="4" t="s">
        <v>2211</v>
      </c>
      <c r="D391" s="4" t="s">
        <v>1532</v>
      </c>
      <c r="E391" s="4" t="s">
        <v>2212</v>
      </c>
      <c r="F391" s="4">
        <v>0</v>
      </c>
      <c r="G391" s="7">
        <v>0</v>
      </c>
    </row>
    <row r="392" spans="1:7" hidden="1">
      <c r="A392" s="4" t="s">
        <v>807</v>
      </c>
      <c r="B392" s="4" t="s">
        <v>811</v>
      </c>
      <c r="C392" s="4" t="s">
        <v>2213</v>
      </c>
      <c r="D392" s="4" t="s">
        <v>1532</v>
      </c>
      <c r="E392" s="4" t="s">
        <v>2214</v>
      </c>
      <c r="F392" s="4">
        <v>0</v>
      </c>
      <c r="G392" s="7">
        <v>0</v>
      </c>
    </row>
    <row r="393" spans="1:7" hidden="1">
      <c r="A393" s="4" t="s">
        <v>807</v>
      </c>
      <c r="B393" s="4" t="s">
        <v>811</v>
      </c>
      <c r="C393" s="4" t="s">
        <v>2215</v>
      </c>
      <c r="D393" s="4" t="s">
        <v>1532</v>
      </c>
      <c r="E393" s="4" t="s">
        <v>2216</v>
      </c>
      <c r="F393" s="4">
        <v>0</v>
      </c>
      <c r="G393" s="7">
        <v>0</v>
      </c>
    </row>
    <row r="394" spans="1:7" hidden="1">
      <c r="A394" s="4" t="s">
        <v>807</v>
      </c>
      <c r="B394" s="4" t="s">
        <v>811</v>
      </c>
      <c r="C394" s="4" t="s">
        <v>2217</v>
      </c>
      <c r="D394" s="4" t="s">
        <v>1532</v>
      </c>
      <c r="E394" s="4" t="s">
        <v>2218</v>
      </c>
      <c r="F394" s="4">
        <v>0</v>
      </c>
      <c r="G394" s="7">
        <v>0</v>
      </c>
    </row>
    <row r="395" spans="1:7" hidden="1">
      <c r="A395" s="4" t="s">
        <v>807</v>
      </c>
      <c r="B395" s="4" t="s">
        <v>811</v>
      </c>
      <c r="C395" s="4" t="s">
        <v>2219</v>
      </c>
      <c r="D395" s="4" t="s">
        <v>1532</v>
      </c>
      <c r="E395" s="4" t="s">
        <v>2220</v>
      </c>
      <c r="F395" s="4">
        <v>0</v>
      </c>
      <c r="G395" s="7">
        <v>0</v>
      </c>
    </row>
    <row r="396" spans="1:7" hidden="1">
      <c r="A396" s="4" t="s">
        <v>807</v>
      </c>
      <c r="B396" s="4" t="s">
        <v>811</v>
      </c>
      <c r="C396" s="4" t="s">
        <v>2221</v>
      </c>
      <c r="D396" s="4" t="s">
        <v>1532</v>
      </c>
      <c r="E396" s="4" t="s">
        <v>2222</v>
      </c>
      <c r="F396" s="4">
        <v>0</v>
      </c>
      <c r="G396" s="7">
        <v>0</v>
      </c>
    </row>
    <row r="397" spans="1:7" hidden="1">
      <c r="A397" s="4" t="s">
        <v>807</v>
      </c>
      <c r="B397" s="4" t="s">
        <v>811</v>
      </c>
      <c r="C397" s="4" t="s">
        <v>2223</v>
      </c>
      <c r="D397" s="4" t="s">
        <v>1532</v>
      </c>
      <c r="E397" s="4" t="s">
        <v>2224</v>
      </c>
      <c r="F397" s="4">
        <v>0</v>
      </c>
      <c r="G397" s="7">
        <v>0</v>
      </c>
    </row>
    <row r="398" spans="1:7" hidden="1">
      <c r="A398" s="4" t="s">
        <v>807</v>
      </c>
      <c r="B398" s="4" t="s">
        <v>811</v>
      </c>
      <c r="C398" s="4" t="s">
        <v>2089</v>
      </c>
      <c r="D398" s="4" t="s">
        <v>1532</v>
      </c>
      <c r="E398" s="4" t="s">
        <v>2090</v>
      </c>
      <c r="F398" s="4">
        <v>0</v>
      </c>
      <c r="G398" s="7">
        <v>0</v>
      </c>
    </row>
    <row r="399" spans="1:7" hidden="1">
      <c r="A399" s="4" t="s">
        <v>807</v>
      </c>
      <c r="B399" s="4" t="s">
        <v>811</v>
      </c>
      <c r="C399" s="4" t="s">
        <v>2225</v>
      </c>
      <c r="D399" s="4" t="s">
        <v>1532</v>
      </c>
      <c r="E399" s="4" t="s">
        <v>2226</v>
      </c>
      <c r="F399" s="4">
        <v>0</v>
      </c>
      <c r="G399" s="7">
        <v>0</v>
      </c>
    </row>
    <row r="400" spans="1:7" hidden="1">
      <c r="A400" s="4" t="s">
        <v>807</v>
      </c>
      <c r="B400" s="4" t="s">
        <v>811</v>
      </c>
      <c r="C400" s="4" t="s">
        <v>883</v>
      </c>
      <c r="D400" s="4" t="s">
        <v>1532</v>
      </c>
      <c r="E400" s="4" t="s">
        <v>885</v>
      </c>
      <c r="F400" s="4">
        <v>0</v>
      </c>
      <c r="G400" s="7">
        <v>0</v>
      </c>
    </row>
    <row r="401" spans="1:7" hidden="1">
      <c r="A401" s="4" t="s">
        <v>807</v>
      </c>
      <c r="B401" s="4" t="s">
        <v>811</v>
      </c>
      <c r="C401" s="4" t="s">
        <v>2227</v>
      </c>
      <c r="D401" s="4" t="s">
        <v>1532</v>
      </c>
      <c r="E401" s="4" t="s">
        <v>2228</v>
      </c>
      <c r="F401" s="4">
        <v>0</v>
      </c>
      <c r="G401" s="7">
        <v>0</v>
      </c>
    </row>
    <row r="402" spans="1:7" hidden="1">
      <c r="A402" s="4" t="s">
        <v>807</v>
      </c>
      <c r="B402" s="4" t="s">
        <v>811</v>
      </c>
      <c r="C402" s="4" t="s">
        <v>2229</v>
      </c>
      <c r="D402" s="4" t="s">
        <v>1532</v>
      </c>
      <c r="E402" s="4" t="s">
        <v>2230</v>
      </c>
      <c r="F402" s="4">
        <v>0</v>
      </c>
      <c r="G402" s="7">
        <v>0</v>
      </c>
    </row>
    <row r="403" spans="1:7" hidden="1">
      <c r="A403" s="4" t="s">
        <v>807</v>
      </c>
      <c r="B403" s="4" t="s">
        <v>811</v>
      </c>
      <c r="C403" s="4" t="s">
        <v>2231</v>
      </c>
      <c r="D403" s="4" t="s">
        <v>1532</v>
      </c>
      <c r="E403" s="4" t="s">
        <v>2232</v>
      </c>
      <c r="F403" s="4">
        <v>0</v>
      </c>
      <c r="G403" s="7">
        <v>0</v>
      </c>
    </row>
    <row r="404" spans="1:7" hidden="1">
      <c r="A404" s="4" t="s">
        <v>807</v>
      </c>
      <c r="B404" s="4" t="s">
        <v>811</v>
      </c>
      <c r="C404" s="4" t="s">
        <v>2233</v>
      </c>
      <c r="D404" s="4" t="s">
        <v>1532</v>
      </c>
      <c r="E404" s="4" t="s">
        <v>2234</v>
      </c>
      <c r="F404" s="4">
        <v>0</v>
      </c>
      <c r="G404" s="7">
        <v>0</v>
      </c>
    </row>
    <row r="405" spans="1:7" hidden="1">
      <c r="A405" s="4" t="s">
        <v>807</v>
      </c>
      <c r="B405" s="4" t="s">
        <v>811</v>
      </c>
      <c r="C405" s="4" t="s">
        <v>2235</v>
      </c>
      <c r="D405" s="4" t="s">
        <v>1532</v>
      </c>
      <c r="E405" s="4" t="s">
        <v>2236</v>
      </c>
      <c r="F405" s="4">
        <v>0</v>
      </c>
      <c r="G405" s="7">
        <v>0</v>
      </c>
    </row>
    <row r="406" spans="1:7" hidden="1">
      <c r="A406" s="4" t="s">
        <v>807</v>
      </c>
      <c r="B406" s="4" t="s">
        <v>811</v>
      </c>
      <c r="C406" s="4" t="s">
        <v>2237</v>
      </c>
      <c r="D406" s="4" t="s">
        <v>1532</v>
      </c>
      <c r="E406" s="4" t="s">
        <v>2238</v>
      </c>
      <c r="F406" s="4">
        <v>0</v>
      </c>
      <c r="G406" s="7">
        <v>0</v>
      </c>
    </row>
    <row r="407" spans="1:7" hidden="1">
      <c r="A407" s="4" t="s">
        <v>807</v>
      </c>
      <c r="B407" s="4" t="s">
        <v>811</v>
      </c>
      <c r="C407" s="4" t="s">
        <v>2239</v>
      </c>
      <c r="D407" s="4" t="s">
        <v>1532</v>
      </c>
      <c r="E407" s="4" t="s">
        <v>2240</v>
      </c>
      <c r="F407" s="4">
        <v>0</v>
      </c>
      <c r="G407" s="7">
        <v>0</v>
      </c>
    </row>
    <row r="408" spans="1:7" hidden="1">
      <c r="A408" s="4" t="s">
        <v>807</v>
      </c>
      <c r="B408" s="4" t="s">
        <v>811</v>
      </c>
      <c r="C408" s="4" t="s">
        <v>2241</v>
      </c>
      <c r="D408" s="4" t="s">
        <v>1532</v>
      </c>
      <c r="E408" s="4" t="s">
        <v>2242</v>
      </c>
      <c r="F408" s="4">
        <v>0</v>
      </c>
      <c r="G408" s="7">
        <v>0</v>
      </c>
    </row>
    <row r="409" spans="1:7" hidden="1">
      <c r="A409" s="4" t="s">
        <v>807</v>
      </c>
      <c r="B409" s="4" t="s">
        <v>811</v>
      </c>
      <c r="C409" s="4" t="s">
        <v>2243</v>
      </c>
      <c r="D409" s="4" t="s">
        <v>1532</v>
      </c>
      <c r="E409" s="4" t="s">
        <v>2244</v>
      </c>
      <c r="F409" s="4">
        <v>0</v>
      </c>
      <c r="G409" s="7">
        <v>0</v>
      </c>
    </row>
    <row r="410" spans="1:7" hidden="1">
      <c r="A410" s="4" t="s">
        <v>807</v>
      </c>
      <c r="B410" s="4" t="s">
        <v>811</v>
      </c>
      <c r="C410" s="4" t="s">
        <v>2245</v>
      </c>
      <c r="D410" s="4" t="s">
        <v>1532</v>
      </c>
      <c r="E410" s="4" t="s">
        <v>2246</v>
      </c>
      <c r="F410" s="4">
        <v>0</v>
      </c>
      <c r="G410" s="7">
        <v>0</v>
      </c>
    </row>
    <row r="411" spans="1:7" hidden="1">
      <c r="A411" s="4" t="s">
        <v>807</v>
      </c>
      <c r="B411" s="4" t="s">
        <v>811</v>
      </c>
      <c r="C411" s="4" t="s">
        <v>1860</v>
      </c>
      <c r="D411" s="4" t="s">
        <v>1532</v>
      </c>
      <c r="E411" s="4" t="s">
        <v>1861</v>
      </c>
      <c r="F411" s="4">
        <v>0</v>
      </c>
      <c r="G411" s="7">
        <v>0</v>
      </c>
    </row>
    <row r="412" spans="1:7" hidden="1">
      <c r="A412" s="4" t="s">
        <v>807</v>
      </c>
      <c r="B412" s="4" t="s">
        <v>811</v>
      </c>
      <c r="C412" s="4" t="s">
        <v>2247</v>
      </c>
      <c r="D412" s="4" t="s">
        <v>1532</v>
      </c>
      <c r="E412" s="4" t="s">
        <v>2248</v>
      </c>
      <c r="F412" s="4">
        <v>0</v>
      </c>
      <c r="G412" s="7">
        <v>0</v>
      </c>
    </row>
    <row r="413" spans="1:7" hidden="1">
      <c r="A413" s="4" t="s">
        <v>807</v>
      </c>
      <c r="B413" s="4" t="s">
        <v>811</v>
      </c>
      <c r="C413" s="4" t="s">
        <v>2249</v>
      </c>
      <c r="D413" s="4" t="s">
        <v>1532</v>
      </c>
      <c r="E413" s="4" t="s">
        <v>2250</v>
      </c>
      <c r="F413" s="4">
        <v>0</v>
      </c>
      <c r="G413" s="7">
        <v>0</v>
      </c>
    </row>
    <row r="414" spans="1:7" hidden="1">
      <c r="A414" s="4" t="s">
        <v>807</v>
      </c>
      <c r="B414" s="4" t="s">
        <v>811</v>
      </c>
      <c r="C414" s="4" t="s">
        <v>2251</v>
      </c>
      <c r="D414" s="4" t="s">
        <v>1532</v>
      </c>
      <c r="E414" s="4" t="s">
        <v>2252</v>
      </c>
      <c r="F414" s="4">
        <v>0</v>
      </c>
      <c r="G414" s="7">
        <v>0</v>
      </c>
    </row>
    <row r="415" spans="1:7" hidden="1">
      <c r="A415" s="4" t="s">
        <v>807</v>
      </c>
      <c r="B415" s="4" t="s">
        <v>811</v>
      </c>
      <c r="C415" s="4" t="s">
        <v>2253</v>
      </c>
      <c r="D415" s="4" t="s">
        <v>1532</v>
      </c>
      <c r="E415" s="4" t="s">
        <v>2254</v>
      </c>
      <c r="F415" s="4">
        <v>0</v>
      </c>
      <c r="G415" s="7">
        <v>0</v>
      </c>
    </row>
    <row r="416" spans="1:7" hidden="1">
      <c r="A416" s="4" t="s">
        <v>807</v>
      </c>
      <c r="B416" s="4" t="s">
        <v>811</v>
      </c>
      <c r="C416" s="4" t="s">
        <v>2255</v>
      </c>
      <c r="D416" s="4" t="s">
        <v>1532</v>
      </c>
      <c r="E416" s="4" t="s">
        <v>2256</v>
      </c>
      <c r="F416" s="4">
        <v>0</v>
      </c>
      <c r="G416" s="7">
        <v>0</v>
      </c>
    </row>
    <row r="417" spans="1:7" hidden="1">
      <c r="A417" s="4" t="s">
        <v>807</v>
      </c>
      <c r="B417" s="4" t="s">
        <v>811</v>
      </c>
      <c r="C417" s="4" t="s">
        <v>2257</v>
      </c>
      <c r="D417" s="4" t="s">
        <v>1532</v>
      </c>
      <c r="E417" s="4" t="s">
        <v>2258</v>
      </c>
      <c r="F417" s="4">
        <v>0</v>
      </c>
      <c r="G417" s="7">
        <v>0</v>
      </c>
    </row>
    <row r="418" spans="1:7" hidden="1">
      <c r="A418" s="4" t="s">
        <v>807</v>
      </c>
      <c r="B418" s="4" t="s">
        <v>811</v>
      </c>
      <c r="C418" s="4" t="s">
        <v>2259</v>
      </c>
      <c r="D418" s="4" t="s">
        <v>1532</v>
      </c>
      <c r="E418" s="4" t="s">
        <v>2260</v>
      </c>
      <c r="F418" s="4">
        <v>0</v>
      </c>
      <c r="G418" s="7">
        <v>0</v>
      </c>
    </row>
    <row r="419" spans="1:7" hidden="1">
      <c r="A419" s="4" t="s">
        <v>807</v>
      </c>
      <c r="B419" s="4" t="s">
        <v>811</v>
      </c>
      <c r="C419" s="4" t="s">
        <v>2261</v>
      </c>
      <c r="D419" s="4" t="s">
        <v>1532</v>
      </c>
      <c r="E419" s="4" t="s">
        <v>2262</v>
      </c>
      <c r="F419" s="4">
        <v>0</v>
      </c>
      <c r="G419" s="7">
        <v>0</v>
      </c>
    </row>
    <row r="420" spans="1:7" hidden="1">
      <c r="A420" s="4" t="s">
        <v>807</v>
      </c>
      <c r="B420" s="4" t="s">
        <v>811</v>
      </c>
      <c r="C420" s="4" t="s">
        <v>2263</v>
      </c>
      <c r="D420" s="4" t="s">
        <v>1532</v>
      </c>
      <c r="E420" s="4" t="s">
        <v>2141</v>
      </c>
      <c r="F420" s="4">
        <v>0</v>
      </c>
      <c r="G420" s="7">
        <v>0</v>
      </c>
    </row>
    <row r="421" spans="1:7" hidden="1">
      <c r="A421" s="4" t="s">
        <v>807</v>
      </c>
      <c r="B421" s="4" t="s">
        <v>811</v>
      </c>
      <c r="C421" s="4" t="s">
        <v>2264</v>
      </c>
      <c r="D421" s="4" t="s">
        <v>1532</v>
      </c>
      <c r="E421" s="4" t="s">
        <v>2265</v>
      </c>
      <c r="F421" s="4">
        <v>0</v>
      </c>
      <c r="G421" s="7">
        <v>0</v>
      </c>
    </row>
    <row r="422" spans="1:7" hidden="1">
      <c r="A422" s="4" t="s">
        <v>807</v>
      </c>
      <c r="B422" s="4" t="s">
        <v>811</v>
      </c>
      <c r="C422" s="4" t="s">
        <v>2266</v>
      </c>
      <c r="D422" s="4" t="s">
        <v>694</v>
      </c>
      <c r="E422" s="4" t="s">
        <v>2267</v>
      </c>
      <c r="F422" s="4">
        <v>0</v>
      </c>
      <c r="G422" s="7">
        <v>0</v>
      </c>
    </row>
    <row r="423" spans="1:7" hidden="1">
      <c r="A423" s="4" t="s">
        <v>1535</v>
      </c>
      <c r="B423" s="4" t="s">
        <v>1536</v>
      </c>
      <c r="C423" s="4" t="s">
        <v>2268</v>
      </c>
      <c r="D423" s="4" t="s">
        <v>1538</v>
      </c>
      <c r="E423" s="4" t="s">
        <v>2269</v>
      </c>
      <c r="F423" s="4">
        <v>0</v>
      </c>
      <c r="G423" s="7">
        <v>0</v>
      </c>
    </row>
    <row r="424" spans="1:7" hidden="1">
      <c r="A424" s="4" t="s">
        <v>807</v>
      </c>
      <c r="B424" s="4" t="s">
        <v>808</v>
      </c>
      <c r="C424" s="4" t="s">
        <v>809</v>
      </c>
      <c r="D424" s="4" t="s">
        <v>649</v>
      </c>
      <c r="E424" s="4" t="s">
        <v>810</v>
      </c>
      <c r="F424" s="4">
        <v>1</v>
      </c>
      <c r="G424" s="7">
        <v>8.99</v>
      </c>
    </row>
    <row r="425" spans="1:7" hidden="1">
      <c r="A425" s="4" t="s">
        <v>807</v>
      </c>
      <c r="B425" s="4" t="s">
        <v>811</v>
      </c>
      <c r="C425" s="4" t="s">
        <v>812</v>
      </c>
      <c r="D425" s="4" t="s">
        <v>813</v>
      </c>
      <c r="E425" s="4" t="s">
        <v>814</v>
      </c>
      <c r="F425" s="4">
        <v>1</v>
      </c>
      <c r="G425" s="7">
        <v>8.99</v>
      </c>
    </row>
    <row r="426" spans="1:7" hidden="1">
      <c r="A426" s="4" t="s">
        <v>815</v>
      </c>
      <c r="B426" s="4" t="s">
        <v>816</v>
      </c>
      <c r="C426" s="4" t="s">
        <v>817</v>
      </c>
      <c r="D426" s="4" t="s">
        <v>818</v>
      </c>
      <c r="E426" s="4" t="s">
        <v>819</v>
      </c>
      <c r="F426" s="4">
        <v>1</v>
      </c>
      <c r="G426" s="7">
        <v>8.99</v>
      </c>
    </row>
    <row r="427" spans="1:7">
      <c r="A427" s="4" t="s">
        <v>807</v>
      </c>
      <c r="B427" s="4" t="s">
        <v>811</v>
      </c>
      <c r="C427" s="4">
        <v>20525.099999999999</v>
      </c>
      <c r="D427" s="4" t="s">
        <v>820</v>
      </c>
      <c r="E427" s="4" t="s">
        <v>821</v>
      </c>
      <c r="F427" s="4">
        <v>1</v>
      </c>
      <c r="G427" s="7">
        <v>8.99</v>
      </c>
    </row>
    <row r="428" spans="1:7" hidden="1">
      <c r="A428" s="4" t="s">
        <v>807</v>
      </c>
      <c r="B428" s="4" t="s">
        <v>811</v>
      </c>
      <c r="C428" s="4" t="s">
        <v>822</v>
      </c>
      <c r="D428" s="4" t="s">
        <v>823</v>
      </c>
      <c r="E428" s="4" t="s">
        <v>824</v>
      </c>
      <c r="F428" s="4">
        <v>1</v>
      </c>
      <c r="G428" s="7">
        <v>8.99</v>
      </c>
    </row>
    <row r="429" spans="1:7" hidden="1">
      <c r="A429" s="4" t="s">
        <v>807</v>
      </c>
      <c r="B429" s="4" t="s">
        <v>825</v>
      </c>
      <c r="C429" s="4" t="s">
        <v>826</v>
      </c>
      <c r="D429" s="4" t="s">
        <v>827</v>
      </c>
      <c r="E429" s="4" t="s">
        <v>828</v>
      </c>
      <c r="F429" s="4">
        <v>1</v>
      </c>
      <c r="G429" s="7">
        <v>8.99</v>
      </c>
    </row>
    <row r="430" spans="1:7" hidden="1">
      <c r="A430" s="4" t="s">
        <v>807</v>
      </c>
      <c r="B430" s="4" t="s">
        <v>825</v>
      </c>
      <c r="C430" s="4" t="s">
        <v>829</v>
      </c>
      <c r="D430" s="4" t="s">
        <v>830</v>
      </c>
      <c r="E430" s="4" t="s">
        <v>831</v>
      </c>
      <c r="F430" s="4">
        <v>1</v>
      </c>
      <c r="G430" s="7">
        <v>8.99</v>
      </c>
    </row>
    <row r="431" spans="1:7" hidden="1">
      <c r="A431" s="4" t="s">
        <v>807</v>
      </c>
      <c r="B431" s="4" t="s">
        <v>825</v>
      </c>
      <c r="C431" s="4" t="s">
        <v>826</v>
      </c>
      <c r="D431" s="4" t="s">
        <v>832</v>
      </c>
      <c r="E431" s="4" t="s">
        <v>828</v>
      </c>
      <c r="F431" s="4">
        <v>1</v>
      </c>
      <c r="G431" s="7">
        <v>8.99</v>
      </c>
    </row>
    <row r="432" spans="1:7" hidden="1">
      <c r="A432" s="4" t="s">
        <v>807</v>
      </c>
      <c r="B432" s="4" t="s">
        <v>825</v>
      </c>
      <c r="C432" s="4" t="s">
        <v>829</v>
      </c>
      <c r="D432" s="4" t="s">
        <v>833</v>
      </c>
      <c r="E432" s="4" t="s">
        <v>831</v>
      </c>
      <c r="F432" s="4">
        <v>1</v>
      </c>
      <c r="G432" s="7">
        <v>8.99</v>
      </c>
    </row>
    <row r="433" spans="1:7" hidden="1">
      <c r="A433" s="4" t="s">
        <v>807</v>
      </c>
      <c r="B433" s="4" t="s">
        <v>825</v>
      </c>
      <c r="C433" s="4" t="s">
        <v>826</v>
      </c>
      <c r="D433" s="4" t="s">
        <v>834</v>
      </c>
      <c r="E433" s="4" t="s">
        <v>828</v>
      </c>
      <c r="F433" s="4">
        <v>1</v>
      </c>
      <c r="G433" s="7">
        <v>8.99</v>
      </c>
    </row>
    <row r="434" spans="1:7" hidden="1">
      <c r="A434" s="4" t="s">
        <v>807</v>
      </c>
      <c r="B434" s="4" t="s">
        <v>825</v>
      </c>
      <c r="C434" s="4" t="s">
        <v>829</v>
      </c>
      <c r="D434" s="4" t="s">
        <v>835</v>
      </c>
      <c r="E434" s="4" t="s">
        <v>831</v>
      </c>
      <c r="F434" s="4">
        <v>1</v>
      </c>
      <c r="G434" s="7">
        <v>8.99</v>
      </c>
    </row>
    <row r="435" spans="1:7" hidden="1">
      <c r="A435" s="4" t="s">
        <v>807</v>
      </c>
      <c r="B435" s="4" t="s">
        <v>825</v>
      </c>
      <c r="C435" s="4" t="s">
        <v>826</v>
      </c>
      <c r="D435" s="4" t="s">
        <v>836</v>
      </c>
      <c r="E435" s="4" t="s">
        <v>828</v>
      </c>
      <c r="F435" s="4">
        <v>1</v>
      </c>
      <c r="G435" s="7">
        <v>8.99</v>
      </c>
    </row>
    <row r="436" spans="1:7" hidden="1">
      <c r="A436" s="4" t="s">
        <v>807</v>
      </c>
      <c r="B436" s="4" t="s">
        <v>825</v>
      </c>
      <c r="C436" s="4" t="s">
        <v>829</v>
      </c>
      <c r="D436" s="4" t="s">
        <v>837</v>
      </c>
      <c r="E436" s="4" t="s">
        <v>831</v>
      </c>
      <c r="F436" s="4">
        <v>1</v>
      </c>
      <c r="G436" s="7">
        <v>8.99</v>
      </c>
    </row>
    <row r="437" spans="1:7" hidden="1">
      <c r="A437" s="4" t="s">
        <v>807</v>
      </c>
      <c r="B437" s="4" t="s">
        <v>811</v>
      </c>
      <c r="C437" s="4" t="s">
        <v>838</v>
      </c>
      <c r="D437" s="4" t="s">
        <v>839</v>
      </c>
      <c r="E437" s="4" t="s">
        <v>840</v>
      </c>
      <c r="F437" s="4">
        <v>1</v>
      </c>
      <c r="G437" s="7">
        <v>8.99</v>
      </c>
    </row>
    <row r="438" spans="1:7" hidden="1">
      <c r="A438" s="4" t="s">
        <v>807</v>
      </c>
      <c r="B438" s="4" t="s">
        <v>825</v>
      </c>
      <c r="C438" s="4" t="s">
        <v>829</v>
      </c>
      <c r="D438" s="4" t="s">
        <v>841</v>
      </c>
      <c r="E438" s="4" t="s">
        <v>831</v>
      </c>
      <c r="F438" s="4">
        <v>1</v>
      </c>
      <c r="G438" s="7">
        <v>8.99</v>
      </c>
    </row>
    <row r="439" spans="1:7" hidden="1">
      <c r="A439" s="4" t="s">
        <v>807</v>
      </c>
      <c r="B439" s="4" t="s">
        <v>825</v>
      </c>
      <c r="C439" s="4" t="s">
        <v>829</v>
      </c>
      <c r="D439" s="4" t="s">
        <v>842</v>
      </c>
      <c r="E439" s="4" t="s">
        <v>831</v>
      </c>
      <c r="F439" s="4">
        <v>1</v>
      </c>
      <c r="G439" s="7">
        <v>8.99</v>
      </c>
    </row>
    <row r="440" spans="1:7" hidden="1">
      <c r="A440" s="4" t="s">
        <v>807</v>
      </c>
      <c r="B440" s="4" t="s">
        <v>811</v>
      </c>
      <c r="C440" s="4" t="s">
        <v>843</v>
      </c>
      <c r="D440" s="4" t="s">
        <v>844</v>
      </c>
      <c r="E440" s="4" t="s">
        <v>845</v>
      </c>
      <c r="F440" s="4">
        <v>1</v>
      </c>
      <c r="G440" s="7">
        <v>8.99</v>
      </c>
    </row>
    <row r="441" spans="1:7" hidden="1">
      <c r="A441" s="4" t="s">
        <v>807</v>
      </c>
      <c r="B441" s="4" t="s">
        <v>811</v>
      </c>
      <c r="C441" s="4" t="s">
        <v>843</v>
      </c>
      <c r="D441" s="4" t="s">
        <v>846</v>
      </c>
      <c r="E441" s="4" t="s">
        <v>845</v>
      </c>
      <c r="F441" s="4">
        <v>1</v>
      </c>
      <c r="G441" s="7">
        <v>8.99</v>
      </c>
    </row>
    <row r="442" spans="1:7" hidden="1">
      <c r="A442" s="4" t="s">
        <v>807</v>
      </c>
      <c r="B442" s="4" t="s">
        <v>811</v>
      </c>
      <c r="C442" s="4" t="s">
        <v>847</v>
      </c>
      <c r="D442" s="4" t="s">
        <v>848</v>
      </c>
      <c r="E442" s="4" t="s">
        <v>849</v>
      </c>
      <c r="F442" s="4">
        <v>1</v>
      </c>
      <c r="G442" s="7">
        <v>8.99</v>
      </c>
    </row>
    <row r="443" spans="1:7" hidden="1">
      <c r="A443" s="4" t="s">
        <v>807</v>
      </c>
      <c r="B443" s="4" t="s">
        <v>811</v>
      </c>
      <c r="C443" s="4" t="s">
        <v>847</v>
      </c>
      <c r="D443" s="4" t="s">
        <v>850</v>
      </c>
      <c r="E443" s="4" t="s">
        <v>849</v>
      </c>
      <c r="F443" s="4">
        <v>1</v>
      </c>
      <c r="G443" s="7">
        <v>8.99</v>
      </c>
    </row>
    <row r="444" spans="1:7" hidden="1">
      <c r="A444" s="4" t="s">
        <v>807</v>
      </c>
      <c r="B444" s="4" t="s">
        <v>811</v>
      </c>
      <c r="C444" s="4" t="s">
        <v>847</v>
      </c>
      <c r="D444" s="4" t="s">
        <v>851</v>
      </c>
      <c r="E444" s="4" t="s">
        <v>849</v>
      </c>
      <c r="F444" s="4">
        <v>1</v>
      </c>
      <c r="G444" s="7">
        <v>8.99</v>
      </c>
    </row>
    <row r="445" spans="1:7" hidden="1">
      <c r="A445" s="4" t="s">
        <v>807</v>
      </c>
      <c r="B445" s="4" t="s">
        <v>808</v>
      </c>
      <c r="C445" s="4" t="s">
        <v>852</v>
      </c>
      <c r="D445" s="4" t="s">
        <v>853</v>
      </c>
      <c r="E445" s="4" t="s">
        <v>854</v>
      </c>
      <c r="F445" s="4">
        <v>1</v>
      </c>
      <c r="G445" s="7">
        <v>8.99</v>
      </c>
    </row>
    <row r="446" spans="1:7" hidden="1">
      <c r="A446" s="4" t="s">
        <v>807</v>
      </c>
      <c r="B446" s="4" t="s">
        <v>811</v>
      </c>
      <c r="C446" s="4" t="s">
        <v>855</v>
      </c>
      <c r="D446" s="4" t="s">
        <v>856</v>
      </c>
      <c r="E446" s="4" t="s">
        <v>857</v>
      </c>
      <c r="F446" s="4">
        <v>1</v>
      </c>
      <c r="G446" s="7">
        <v>8.99</v>
      </c>
    </row>
    <row r="447" spans="1:7" hidden="1">
      <c r="A447" s="4" t="s">
        <v>807</v>
      </c>
      <c r="B447" s="4" t="s">
        <v>808</v>
      </c>
      <c r="C447" s="4" t="s">
        <v>852</v>
      </c>
      <c r="D447" s="4" t="s">
        <v>858</v>
      </c>
      <c r="E447" s="4" t="s">
        <v>854</v>
      </c>
      <c r="F447" s="4">
        <v>1</v>
      </c>
      <c r="G447" s="7">
        <v>8.99</v>
      </c>
    </row>
    <row r="448" spans="1:7" hidden="1">
      <c r="A448" s="4" t="s">
        <v>807</v>
      </c>
      <c r="B448" s="4" t="s">
        <v>811</v>
      </c>
      <c r="C448" s="4" t="s">
        <v>855</v>
      </c>
      <c r="D448" s="4" t="s">
        <v>859</v>
      </c>
      <c r="E448" s="4" t="s">
        <v>857</v>
      </c>
      <c r="F448" s="4">
        <v>1</v>
      </c>
      <c r="G448" s="7">
        <v>8.99</v>
      </c>
    </row>
    <row r="449" spans="1:7" hidden="1">
      <c r="A449" s="4" t="s">
        <v>807</v>
      </c>
      <c r="B449" s="4" t="s">
        <v>808</v>
      </c>
      <c r="C449" s="4" t="s">
        <v>852</v>
      </c>
      <c r="D449" s="4" t="s">
        <v>860</v>
      </c>
      <c r="E449" s="4" t="s">
        <v>854</v>
      </c>
      <c r="F449" s="4">
        <v>1</v>
      </c>
      <c r="G449" s="7">
        <v>8.99</v>
      </c>
    </row>
    <row r="450" spans="1:7" hidden="1">
      <c r="A450" s="4" t="s">
        <v>807</v>
      </c>
      <c r="B450" s="4" t="s">
        <v>811</v>
      </c>
      <c r="C450" s="4" t="s">
        <v>855</v>
      </c>
      <c r="D450" s="4" t="s">
        <v>861</v>
      </c>
      <c r="E450" s="4" t="s">
        <v>857</v>
      </c>
      <c r="F450" s="4">
        <v>1</v>
      </c>
      <c r="G450" s="7">
        <v>8.99</v>
      </c>
    </row>
    <row r="451" spans="1:7" hidden="1">
      <c r="A451" s="4" t="s">
        <v>807</v>
      </c>
      <c r="B451" s="4" t="s">
        <v>808</v>
      </c>
      <c r="C451" s="4" t="s">
        <v>852</v>
      </c>
      <c r="D451" s="4" t="s">
        <v>862</v>
      </c>
      <c r="E451" s="4" t="s">
        <v>854</v>
      </c>
      <c r="F451" s="4">
        <v>1</v>
      </c>
      <c r="G451" s="7">
        <v>8.99</v>
      </c>
    </row>
    <row r="452" spans="1:7" hidden="1">
      <c r="A452" s="4" t="s">
        <v>807</v>
      </c>
      <c r="B452" s="4" t="s">
        <v>808</v>
      </c>
      <c r="C452" s="4" t="s">
        <v>863</v>
      </c>
      <c r="D452" s="4" t="s">
        <v>864</v>
      </c>
      <c r="E452" s="4" t="s">
        <v>865</v>
      </c>
      <c r="F452" s="4">
        <v>1</v>
      </c>
      <c r="G452" s="7">
        <v>8.99</v>
      </c>
    </row>
    <row r="453" spans="1:7" hidden="1">
      <c r="A453" s="4" t="s">
        <v>807</v>
      </c>
      <c r="B453" s="4" t="s">
        <v>808</v>
      </c>
      <c r="C453" s="4" t="s">
        <v>852</v>
      </c>
      <c r="D453" s="4" t="s">
        <v>866</v>
      </c>
      <c r="E453" s="4" t="s">
        <v>854</v>
      </c>
      <c r="F453" s="4">
        <v>1</v>
      </c>
      <c r="G453" s="7">
        <v>8.99</v>
      </c>
    </row>
    <row r="454" spans="1:7" hidden="1">
      <c r="A454" s="4" t="s">
        <v>807</v>
      </c>
      <c r="B454" s="4" t="s">
        <v>808</v>
      </c>
      <c r="C454" s="4" t="s">
        <v>863</v>
      </c>
      <c r="D454" s="4" t="s">
        <v>867</v>
      </c>
      <c r="E454" s="4" t="s">
        <v>865</v>
      </c>
      <c r="F454" s="4">
        <v>1</v>
      </c>
      <c r="G454" s="7">
        <v>8.99</v>
      </c>
    </row>
    <row r="455" spans="1:7" hidden="1">
      <c r="A455" s="4" t="s">
        <v>807</v>
      </c>
      <c r="B455" s="4" t="s">
        <v>808</v>
      </c>
      <c r="C455" s="4" t="s">
        <v>852</v>
      </c>
      <c r="D455" s="4" t="s">
        <v>868</v>
      </c>
      <c r="E455" s="4" t="s">
        <v>854</v>
      </c>
      <c r="F455" s="4">
        <v>1</v>
      </c>
      <c r="G455" s="7">
        <v>8.99</v>
      </c>
    </row>
    <row r="456" spans="1:7" hidden="1">
      <c r="A456" s="4" t="s">
        <v>807</v>
      </c>
      <c r="B456" s="4" t="s">
        <v>811</v>
      </c>
      <c r="C456" s="4" t="s">
        <v>869</v>
      </c>
      <c r="D456" s="4" t="s">
        <v>870</v>
      </c>
      <c r="E456" s="4" t="s">
        <v>865</v>
      </c>
      <c r="F456" s="4">
        <v>1</v>
      </c>
      <c r="G456" s="7">
        <v>8.99</v>
      </c>
    </row>
    <row r="457" spans="1:7" hidden="1">
      <c r="A457" s="4" t="s">
        <v>807</v>
      </c>
      <c r="B457" s="4" t="s">
        <v>808</v>
      </c>
      <c r="C457" s="4" t="s">
        <v>852</v>
      </c>
      <c r="D457" s="4" t="s">
        <v>871</v>
      </c>
      <c r="E457" s="4" t="s">
        <v>854</v>
      </c>
      <c r="F457" s="4">
        <v>1</v>
      </c>
      <c r="G457" s="7">
        <v>8.99</v>
      </c>
    </row>
    <row r="458" spans="1:7" hidden="1">
      <c r="A458" s="4" t="s">
        <v>807</v>
      </c>
      <c r="B458" s="4" t="s">
        <v>811</v>
      </c>
      <c r="C458" s="4" t="s">
        <v>869</v>
      </c>
      <c r="D458" s="4" t="s">
        <v>872</v>
      </c>
      <c r="E458" s="4" t="s">
        <v>865</v>
      </c>
      <c r="F458" s="4">
        <v>1</v>
      </c>
      <c r="G458" s="7">
        <v>8.99</v>
      </c>
    </row>
    <row r="459" spans="1:7" hidden="1">
      <c r="A459" s="4" t="s">
        <v>807</v>
      </c>
      <c r="B459" s="4" t="s">
        <v>808</v>
      </c>
      <c r="C459" s="4" t="s">
        <v>852</v>
      </c>
      <c r="D459" s="4" t="s">
        <v>873</v>
      </c>
      <c r="E459" s="4" t="s">
        <v>854</v>
      </c>
      <c r="F459" s="4">
        <v>1</v>
      </c>
      <c r="G459" s="7">
        <v>8.99</v>
      </c>
    </row>
    <row r="460" spans="1:7" hidden="1">
      <c r="A460" s="4" t="s">
        <v>807</v>
      </c>
      <c r="B460" s="4" t="s">
        <v>811</v>
      </c>
      <c r="C460" s="4" t="s">
        <v>874</v>
      </c>
      <c r="D460" s="4" t="s">
        <v>875</v>
      </c>
      <c r="E460" s="4" t="s">
        <v>876</v>
      </c>
      <c r="F460" s="4">
        <v>1</v>
      </c>
      <c r="G460" s="7">
        <v>8.99</v>
      </c>
    </row>
    <row r="461" spans="1:7" hidden="1">
      <c r="A461" s="4" t="s">
        <v>807</v>
      </c>
      <c r="B461" s="4" t="s">
        <v>811</v>
      </c>
      <c r="C461" s="4" t="s">
        <v>877</v>
      </c>
      <c r="D461" s="4" t="s">
        <v>878</v>
      </c>
      <c r="E461" s="4" t="s">
        <v>879</v>
      </c>
      <c r="F461" s="4">
        <v>1</v>
      </c>
      <c r="G461" s="7">
        <v>8.99</v>
      </c>
    </row>
    <row r="462" spans="1:7" hidden="1">
      <c r="A462" s="4" t="s">
        <v>807</v>
      </c>
      <c r="B462" s="4" t="s">
        <v>811</v>
      </c>
      <c r="C462" s="4" t="s">
        <v>880</v>
      </c>
      <c r="D462" s="4" t="s">
        <v>881</v>
      </c>
      <c r="E462" s="4" t="s">
        <v>882</v>
      </c>
      <c r="F462" s="4">
        <v>1</v>
      </c>
      <c r="G462" s="7">
        <v>8.99</v>
      </c>
    </row>
    <row r="463" spans="1:7" hidden="1">
      <c r="A463" s="4" t="s">
        <v>807</v>
      </c>
      <c r="B463" s="4" t="s">
        <v>811</v>
      </c>
      <c r="C463" s="4" t="s">
        <v>883</v>
      </c>
      <c r="D463" s="4" t="s">
        <v>884</v>
      </c>
      <c r="E463" s="4" t="s">
        <v>885</v>
      </c>
      <c r="F463" s="4">
        <v>1</v>
      </c>
      <c r="G463" s="7">
        <v>8.99</v>
      </c>
    </row>
    <row r="464" spans="1:7" hidden="1">
      <c r="A464" s="4" t="s">
        <v>807</v>
      </c>
      <c r="B464" s="4" t="s">
        <v>811</v>
      </c>
      <c r="C464" s="4" t="s">
        <v>883</v>
      </c>
      <c r="D464" s="4" t="s">
        <v>886</v>
      </c>
      <c r="E464" s="4" t="s">
        <v>885</v>
      </c>
      <c r="F464" s="4">
        <v>1</v>
      </c>
      <c r="G464" s="7">
        <v>8.99</v>
      </c>
    </row>
    <row r="465" spans="1:7" hidden="1">
      <c r="A465" s="4" t="s">
        <v>887</v>
      </c>
      <c r="B465" s="4" t="s">
        <v>808</v>
      </c>
      <c r="C465" s="4" t="s">
        <v>888</v>
      </c>
      <c r="D465" s="4" t="s">
        <v>889</v>
      </c>
      <c r="E465" s="4" t="s">
        <v>890</v>
      </c>
      <c r="F465" s="4">
        <v>1</v>
      </c>
      <c r="G465" s="7">
        <v>8.99</v>
      </c>
    </row>
    <row r="466" spans="1:7" hidden="1">
      <c r="A466" s="4" t="s">
        <v>807</v>
      </c>
      <c r="B466" s="4" t="s">
        <v>811</v>
      </c>
      <c r="C466" s="4" t="s">
        <v>883</v>
      </c>
      <c r="D466" s="4" t="s">
        <v>891</v>
      </c>
      <c r="E466" s="4" t="s">
        <v>885</v>
      </c>
      <c r="F466" s="4">
        <v>1</v>
      </c>
      <c r="G466" s="7">
        <v>8.99</v>
      </c>
    </row>
    <row r="467" spans="1:7" hidden="1">
      <c r="A467" s="4" t="s">
        <v>887</v>
      </c>
      <c r="B467" s="4" t="s">
        <v>808</v>
      </c>
      <c r="C467" s="4" t="s">
        <v>892</v>
      </c>
      <c r="D467" s="4" t="s">
        <v>893</v>
      </c>
      <c r="E467" s="4" t="s">
        <v>894</v>
      </c>
      <c r="F467" s="4">
        <v>1</v>
      </c>
      <c r="G467" s="7">
        <v>8.99</v>
      </c>
    </row>
    <row r="468" spans="1:7" hidden="1">
      <c r="A468" s="4" t="s">
        <v>887</v>
      </c>
      <c r="B468" s="4" t="s">
        <v>808</v>
      </c>
      <c r="C468" s="4" t="s">
        <v>895</v>
      </c>
      <c r="D468" s="4" t="s">
        <v>896</v>
      </c>
      <c r="E468" s="4" t="s">
        <v>897</v>
      </c>
      <c r="F468" s="4">
        <v>1</v>
      </c>
      <c r="G468" s="7">
        <v>8.99</v>
      </c>
    </row>
    <row r="469" spans="1:7" hidden="1">
      <c r="A469" s="4" t="s">
        <v>887</v>
      </c>
      <c r="B469" s="4" t="s">
        <v>811</v>
      </c>
      <c r="C469" s="4" t="s">
        <v>898</v>
      </c>
      <c r="D469" s="4" t="s">
        <v>899</v>
      </c>
      <c r="E469" s="4" t="s">
        <v>900</v>
      </c>
      <c r="F469" s="4">
        <v>1</v>
      </c>
      <c r="G469" s="7">
        <v>8.99</v>
      </c>
    </row>
    <row r="470" spans="1:7" hidden="1">
      <c r="A470" s="4" t="s">
        <v>887</v>
      </c>
      <c r="B470" s="4" t="s">
        <v>811</v>
      </c>
      <c r="C470" s="4" t="s">
        <v>901</v>
      </c>
      <c r="D470" s="4" t="s">
        <v>902</v>
      </c>
      <c r="E470" s="4" t="s">
        <v>900</v>
      </c>
      <c r="F470" s="4">
        <v>1</v>
      </c>
      <c r="G470" s="7">
        <v>8.99</v>
      </c>
    </row>
    <row r="471" spans="1:7" hidden="1">
      <c r="A471" s="4" t="s">
        <v>887</v>
      </c>
      <c r="B471" s="4" t="s">
        <v>811</v>
      </c>
      <c r="C471" s="4" t="s">
        <v>903</v>
      </c>
      <c r="D471" s="4" t="s">
        <v>904</v>
      </c>
      <c r="E471" s="4" t="s">
        <v>905</v>
      </c>
      <c r="F471" s="4">
        <v>1</v>
      </c>
      <c r="G471" s="7">
        <v>8.99</v>
      </c>
    </row>
    <row r="472" spans="1:7" hidden="1">
      <c r="A472" s="4" t="s">
        <v>807</v>
      </c>
      <c r="B472" s="4" t="s">
        <v>811</v>
      </c>
      <c r="C472" s="4" t="s">
        <v>883</v>
      </c>
      <c r="D472" s="4" t="s">
        <v>906</v>
      </c>
      <c r="E472" s="4" t="s">
        <v>885</v>
      </c>
      <c r="F472" s="4">
        <v>1</v>
      </c>
      <c r="G472" s="7">
        <v>8.99</v>
      </c>
    </row>
    <row r="473" spans="1:7" hidden="1">
      <c r="A473" s="4" t="s">
        <v>807</v>
      </c>
      <c r="B473" s="4" t="s">
        <v>808</v>
      </c>
      <c r="C473" s="4" t="s">
        <v>852</v>
      </c>
      <c r="D473" s="4" t="s">
        <v>907</v>
      </c>
      <c r="E473" s="4" t="s">
        <v>854</v>
      </c>
      <c r="F473" s="4">
        <v>1</v>
      </c>
      <c r="G473" s="7">
        <v>8.99</v>
      </c>
    </row>
    <row r="474" spans="1:7" hidden="1">
      <c r="A474" s="4" t="s">
        <v>887</v>
      </c>
      <c r="B474" s="4" t="s">
        <v>808</v>
      </c>
      <c r="C474" s="4" t="s">
        <v>888</v>
      </c>
      <c r="D474" s="4" t="s">
        <v>908</v>
      </c>
      <c r="E474" s="4" t="s">
        <v>890</v>
      </c>
      <c r="F474" s="4">
        <v>1</v>
      </c>
      <c r="G474" s="7">
        <v>8.99</v>
      </c>
    </row>
    <row r="475" spans="1:7" hidden="1">
      <c r="A475" s="4" t="s">
        <v>807</v>
      </c>
      <c r="B475" s="4" t="s">
        <v>811</v>
      </c>
      <c r="C475" s="4" t="s">
        <v>883</v>
      </c>
      <c r="D475" s="4" t="s">
        <v>909</v>
      </c>
      <c r="E475" s="4" t="s">
        <v>885</v>
      </c>
      <c r="F475" s="4">
        <v>1</v>
      </c>
      <c r="G475" s="7">
        <v>8.99</v>
      </c>
    </row>
    <row r="476" spans="1:7" hidden="1">
      <c r="A476" s="4" t="s">
        <v>807</v>
      </c>
      <c r="B476" s="4" t="s">
        <v>808</v>
      </c>
      <c r="C476" s="4" t="s">
        <v>852</v>
      </c>
      <c r="D476" s="4" t="s">
        <v>910</v>
      </c>
      <c r="E476" s="4" t="s">
        <v>854</v>
      </c>
      <c r="F476" s="4">
        <v>1</v>
      </c>
      <c r="G476" s="7">
        <v>8.99</v>
      </c>
    </row>
    <row r="477" spans="1:7" hidden="1">
      <c r="A477" s="4" t="s">
        <v>807</v>
      </c>
      <c r="B477" s="4" t="s">
        <v>825</v>
      </c>
      <c r="C477" s="4" t="s">
        <v>826</v>
      </c>
      <c r="D477" s="4" t="s">
        <v>911</v>
      </c>
      <c r="E477" s="4" t="s">
        <v>828</v>
      </c>
      <c r="F477" s="4">
        <v>1</v>
      </c>
      <c r="G477" s="7">
        <v>8.99</v>
      </c>
    </row>
    <row r="478" spans="1:7" hidden="1">
      <c r="A478" s="4" t="s">
        <v>807</v>
      </c>
      <c r="B478" s="4" t="s">
        <v>808</v>
      </c>
      <c r="C478" s="4" t="s">
        <v>852</v>
      </c>
      <c r="D478" s="4" t="s">
        <v>912</v>
      </c>
      <c r="E478" s="4" t="s">
        <v>854</v>
      </c>
      <c r="F478" s="4">
        <v>1</v>
      </c>
      <c r="G478" s="7">
        <v>8.99</v>
      </c>
    </row>
    <row r="479" spans="1:7" hidden="1">
      <c r="A479" s="4" t="s">
        <v>807</v>
      </c>
      <c r="B479" s="4" t="s">
        <v>825</v>
      </c>
      <c r="C479" s="4" t="s">
        <v>826</v>
      </c>
      <c r="D479" s="4" t="s">
        <v>913</v>
      </c>
      <c r="E479" s="4" t="s">
        <v>828</v>
      </c>
      <c r="F479" s="4">
        <v>1</v>
      </c>
      <c r="G479" s="7">
        <v>8.99</v>
      </c>
    </row>
    <row r="480" spans="1:7" hidden="1">
      <c r="A480" s="4" t="s">
        <v>807</v>
      </c>
      <c r="B480" s="4" t="s">
        <v>825</v>
      </c>
      <c r="C480" s="4" t="s">
        <v>826</v>
      </c>
      <c r="D480" s="4" t="s">
        <v>914</v>
      </c>
      <c r="E480" s="4" t="s">
        <v>828</v>
      </c>
      <c r="F480" s="4">
        <v>1</v>
      </c>
      <c r="G480" s="7">
        <v>8.99</v>
      </c>
    </row>
    <row r="481" spans="1:7" hidden="1">
      <c r="A481" s="4" t="s">
        <v>915</v>
      </c>
      <c r="B481" s="4"/>
      <c r="C481" s="4">
        <v>54005814</v>
      </c>
      <c r="D481" s="4" t="s">
        <v>916</v>
      </c>
      <c r="E481" s="4" t="s">
        <v>917</v>
      </c>
      <c r="F481" s="4">
        <v>1</v>
      </c>
      <c r="G481" s="7">
        <v>8.99</v>
      </c>
    </row>
    <row r="482" spans="1:7" hidden="1">
      <c r="A482" s="4" t="s">
        <v>915</v>
      </c>
      <c r="B482" s="4"/>
      <c r="C482" s="4">
        <v>54004449</v>
      </c>
      <c r="D482" s="4" t="s">
        <v>918</v>
      </c>
      <c r="E482" s="4" t="s">
        <v>919</v>
      </c>
      <c r="F482" s="4">
        <v>1</v>
      </c>
      <c r="G482" s="7">
        <v>8.99</v>
      </c>
    </row>
    <row r="483" spans="1:7" hidden="1">
      <c r="A483" s="4" t="s">
        <v>807</v>
      </c>
      <c r="B483" s="4" t="s">
        <v>825</v>
      </c>
      <c r="C483" s="4" t="s">
        <v>920</v>
      </c>
      <c r="D483" s="4" t="s">
        <v>921</v>
      </c>
      <c r="E483" s="4" t="s">
        <v>922</v>
      </c>
      <c r="F483" s="4">
        <v>1</v>
      </c>
      <c r="G483" s="7">
        <v>8.99</v>
      </c>
    </row>
    <row r="484" spans="1:7" hidden="1">
      <c r="A484" s="4" t="s">
        <v>807</v>
      </c>
      <c r="B484" s="4" t="s">
        <v>825</v>
      </c>
      <c r="C484" s="4" t="s">
        <v>920</v>
      </c>
      <c r="D484" s="4" t="s">
        <v>923</v>
      </c>
      <c r="E484" s="4" t="s">
        <v>922</v>
      </c>
      <c r="F484" s="4">
        <v>1</v>
      </c>
      <c r="G484" s="7">
        <v>8.99</v>
      </c>
    </row>
    <row r="485" spans="1:7" hidden="1">
      <c r="A485" s="4" t="s">
        <v>807</v>
      </c>
      <c r="B485" s="4" t="s">
        <v>811</v>
      </c>
      <c r="C485" s="4" t="s">
        <v>924</v>
      </c>
      <c r="D485" s="4" t="s">
        <v>925</v>
      </c>
      <c r="E485" s="4" t="s">
        <v>926</v>
      </c>
      <c r="F485" s="4">
        <v>1</v>
      </c>
      <c r="G485" s="7">
        <v>8.99</v>
      </c>
    </row>
    <row r="486" spans="1:7" hidden="1">
      <c r="A486" s="4" t="s">
        <v>807</v>
      </c>
      <c r="B486" s="4" t="s">
        <v>811</v>
      </c>
      <c r="C486" s="4" t="s">
        <v>924</v>
      </c>
      <c r="D486" s="4" t="s">
        <v>927</v>
      </c>
      <c r="E486" s="4" t="s">
        <v>926</v>
      </c>
      <c r="F486" s="4">
        <v>1</v>
      </c>
      <c r="G486" s="7">
        <v>8.99</v>
      </c>
    </row>
    <row r="487" spans="1:7" hidden="1">
      <c r="A487" s="4" t="s">
        <v>807</v>
      </c>
      <c r="B487" s="4" t="s">
        <v>825</v>
      </c>
      <c r="C487" s="4" t="s">
        <v>826</v>
      </c>
      <c r="D487" s="4" t="s">
        <v>928</v>
      </c>
      <c r="E487" s="4" t="s">
        <v>828</v>
      </c>
      <c r="F487" s="4">
        <v>1</v>
      </c>
      <c r="G487" s="7">
        <v>8.99</v>
      </c>
    </row>
    <row r="488" spans="1:7" hidden="1">
      <c r="A488" s="4" t="s">
        <v>807</v>
      </c>
      <c r="B488" s="4" t="s">
        <v>825</v>
      </c>
      <c r="C488" s="4" t="s">
        <v>826</v>
      </c>
      <c r="D488" s="4" t="s">
        <v>929</v>
      </c>
      <c r="E488" s="4" t="s">
        <v>828</v>
      </c>
      <c r="F488" s="4">
        <v>1</v>
      </c>
      <c r="G488" s="7">
        <v>8.99</v>
      </c>
    </row>
    <row r="489" spans="1:7" hidden="1">
      <c r="A489" s="4" t="s">
        <v>807</v>
      </c>
      <c r="B489" s="4" t="s">
        <v>825</v>
      </c>
      <c r="C489" s="4" t="s">
        <v>826</v>
      </c>
      <c r="D489" s="4" t="s">
        <v>930</v>
      </c>
      <c r="E489" s="4" t="s">
        <v>828</v>
      </c>
      <c r="F489" s="4">
        <v>1</v>
      </c>
      <c r="G489" s="7">
        <v>8.99</v>
      </c>
    </row>
    <row r="490" spans="1:7" hidden="1">
      <c r="A490" s="4" t="s">
        <v>807</v>
      </c>
      <c r="B490" s="4" t="s">
        <v>811</v>
      </c>
      <c r="C490" s="4" t="s">
        <v>931</v>
      </c>
      <c r="D490" s="4" t="s">
        <v>932</v>
      </c>
      <c r="E490" s="4" t="s">
        <v>933</v>
      </c>
      <c r="F490" s="4">
        <v>1</v>
      </c>
      <c r="G490" s="7">
        <v>8.99</v>
      </c>
    </row>
    <row r="491" spans="1:7" hidden="1">
      <c r="A491" s="4" t="s">
        <v>807</v>
      </c>
      <c r="B491" s="4" t="s">
        <v>811</v>
      </c>
      <c r="C491" s="4" t="s">
        <v>934</v>
      </c>
      <c r="D491" s="4" t="s">
        <v>935</v>
      </c>
      <c r="E491" s="4" t="s">
        <v>936</v>
      </c>
      <c r="F491" s="4">
        <v>1</v>
      </c>
      <c r="G491" s="7">
        <v>8.99</v>
      </c>
    </row>
    <row r="492" spans="1:7" hidden="1">
      <c r="A492" s="4" t="s">
        <v>807</v>
      </c>
      <c r="B492" s="4" t="s">
        <v>937</v>
      </c>
      <c r="C492" s="4" t="s">
        <v>938</v>
      </c>
      <c r="D492" s="4" t="s">
        <v>939</v>
      </c>
      <c r="E492" s="4" t="s">
        <v>940</v>
      </c>
      <c r="F492" s="4">
        <v>1</v>
      </c>
      <c r="G492" s="7">
        <v>8.99</v>
      </c>
    </row>
    <row r="493" spans="1:7" hidden="1">
      <c r="A493" s="4" t="s">
        <v>807</v>
      </c>
      <c r="B493" s="4" t="s">
        <v>937</v>
      </c>
      <c r="C493" s="4" t="s">
        <v>938</v>
      </c>
      <c r="D493" s="4" t="s">
        <v>941</v>
      </c>
      <c r="E493" s="4" t="s">
        <v>940</v>
      </c>
      <c r="F493" s="4">
        <v>1</v>
      </c>
      <c r="G493" s="7">
        <v>8.99</v>
      </c>
    </row>
    <row r="494" spans="1:7" hidden="1">
      <c r="A494" s="4" t="s">
        <v>807</v>
      </c>
      <c r="B494" s="4" t="s">
        <v>811</v>
      </c>
      <c r="C494" s="4" t="s">
        <v>942</v>
      </c>
      <c r="D494" s="4" t="s">
        <v>943</v>
      </c>
      <c r="E494" s="4" t="s">
        <v>944</v>
      </c>
      <c r="F494" s="4">
        <v>1</v>
      </c>
      <c r="G494" s="7">
        <v>8.99</v>
      </c>
    </row>
    <row r="495" spans="1:7" hidden="1">
      <c r="A495" s="4" t="s">
        <v>807</v>
      </c>
      <c r="B495" s="4" t="s">
        <v>945</v>
      </c>
      <c r="C495" s="4" t="s">
        <v>946</v>
      </c>
      <c r="D495" s="4" t="s">
        <v>947</v>
      </c>
      <c r="E495" s="4" t="s">
        <v>948</v>
      </c>
      <c r="F495" s="4">
        <v>1</v>
      </c>
      <c r="G495" s="7">
        <v>8.99</v>
      </c>
    </row>
    <row r="496" spans="1:7" hidden="1">
      <c r="A496" s="4" t="s">
        <v>807</v>
      </c>
      <c r="B496" s="4" t="s">
        <v>945</v>
      </c>
      <c r="C496" s="4">
        <v>1449</v>
      </c>
      <c r="D496" s="4" t="s">
        <v>949</v>
      </c>
      <c r="E496" s="4" t="s">
        <v>950</v>
      </c>
      <c r="F496" s="4">
        <v>1</v>
      </c>
      <c r="G496" s="7">
        <v>8.99</v>
      </c>
    </row>
    <row r="497" spans="1:7" hidden="1">
      <c r="A497" s="4" t="s">
        <v>807</v>
      </c>
      <c r="B497" s="4" t="s">
        <v>825</v>
      </c>
      <c r="C497" s="4">
        <v>260225.2</v>
      </c>
      <c r="D497" s="4" t="s">
        <v>951</v>
      </c>
      <c r="E497" s="4" t="s">
        <v>952</v>
      </c>
      <c r="F497" s="4">
        <v>1</v>
      </c>
      <c r="G497" s="7">
        <v>8.99</v>
      </c>
    </row>
    <row r="498" spans="1:7" hidden="1">
      <c r="A498" s="4" t="s">
        <v>807</v>
      </c>
      <c r="B498" s="4" t="s">
        <v>825</v>
      </c>
      <c r="C498" s="4">
        <v>260225.2</v>
      </c>
      <c r="D498" s="4" t="s">
        <v>953</v>
      </c>
      <c r="E498" s="4" t="s">
        <v>952</v>
      </c>
      <c r="F498" s="4">
        <v>1</v>
      </c>
      <c r="G498" s="7">
        <v>8.99</v>
      </c>
    </row>
    <row r="499" spans="1:7" hidden="1">
      <c r="A499" s="4" t="s">
        <v>807</v>
      </c>
      <c r="B499" s="4" t="s">
        <v>811</v>
      </c>
      <c r="C499" s="4" t="s">
        <v>954</v>
      </c>
      <c r="D499" s="4" t="s">
        <v>955</v>
      </c>
      <c r="E499" s="4" t="s">
        <v>956</v>
      </c>
      <c r="F499" s="4">
        <v>1</v>
      </c>
      <c r="G499" s="7">
        <v>8.99</v>
      </c>
    </row>
    <row r="500" spans="1:7" hidden="1">
      <c r="A500" s="4" t="s">
        <v>807</v>
      </c>
      <c r="B500" s="4"/>
      <c r="C500" s="4">
        <v>27072022</v>
      </c>
      <c r="D500" s="4" t="s">
        <v>957</v>
      </c>
      <c r="E500" s="4" t="s">
        <v>958</v>
      </c>
      <c r="F500" s="4">
        <v>1</v>
      </c>
      <c r="G500" s="7">
        <v>8.99</v>
      </c>
    </row>
    <row r="501" spans="1:7" hidden="1">
      <c r="A501" s="4" t="s">
        <v>807</v>
      </c>
      <c r="B501" s="4" t="s">
        <v>937</v>
      </c>
      <c r="C501" s="4" t="s">
        <v>959</v>
      </c>
      <c r="D501" s="4" t="s">
        <v>960</v>
      </c>
      <c r="E501" s="4" t="s">
        <v>961</v>
      </c>
      <c r="F501" s="4">
        <v>1</v>
      </c>
      <c r="G501" s="7">
        <v>8.99</v>
      </c>
    </row>
    <row r="502" spans="1:7" hidden="1">
      <c r="A502" s="4" t="s">
        <v>807</v>
      </c>
      <c r="B502" s="4" t="s">
        <v>962</v>
      </c>
      <c r="C502" s="4" t="s">
        <v>963</v>
      </c>
      <c r="D502" s="4" t="s">
        <v>964</v>
      </c>
      <c r="E502" s="4" t="s">
        <v>965</v>
      </c>
      <c r="F502" s="4">
        <v>1</v>
      </c>
      <c r="G502" s="7">
        <v>8.99</v>
      </c>
    </row>
    <row r="503" spans="1:7" hidden="1">
      <c r="A503" s="4" t="s">
        <v>807</v>
      </c>
      <c r="B503" s="4" t="s">
        <v>808</v>
      </c>
      <c r="C503" s="4" t="s">
        <v>966</v>
      </c>
      <c r="D503" s="4" t="s">
        <v>967</v>
      </c>
      <c r="E503" s="4" t="s">
        <v>968</v>
      </c>
      <c r="F503" s="4">
        <v>1</v>
      </c>
      <c r="G503" s="7">
        <v>8.99</v>
      </c>
    </row>
    <row r="504" spans="1:7" hidden="1">
      <c r="A504" s="4" t="s">
        <v>807</v>
      </c>
      <c r="B504" s="4" t="s">
        <v>811</v>
      </c>
      <c r="C504" s="4" t="s">
        <v>969</v>
      </c>
      <c r="D504" s="4" t="s">
        <v>970</v>
      </c>
      <c r="E504" s="4" t="s">
        <v>971</v>
      </c>
      <c r="F504" s="4">
        <v>1</v>
      </c>
      <c r="G504" s="7">
        <v>8.99</v>
      </c>
    </row>
    <row r="505" spans="1:7" hidden="1">
      <c r="A505" s="4" t="s">
        <v>807</v>
      </c>
      <c r="B505" s="4" t="s">
        <v>811</v>
      </c>
      <c r="C505" s="4" t="s">
        <v>969</v>
      </c>
      <c r="D505" s="4" t="s">
        <v>972</v>
      </c>
      <c r="E505" s="4" t="s">
        <v>971</v>
      </c>
      <c r="F505" s="4">
        <v>1</v>
      </c>
      <c r="G505" s="7">
        <v>8.99</v>
      </c>
    </row>
    <row r="506" spans="1:7" hidden="1">
      <c r="A506" s="4" t="s">
        <v>915</v>
      </c>
      <c r="B506" s="4" t="s">
        <v>915</v>
      </c>
      <c r="C506" s="4">
        <v>54005262</v>
      </c>
      <c r="D506" s="4" t="s">
        <v>973</v>
      </c>
      <c r="E506" s="4" t="s">
        <v>974</v>
      </c>
      <c r="F506" s="4">
        <v>1</v>
      </c>
      <c r="G506" s="7">
        <v>8.99</v>
      </c>
    </row>
    <row r="507" spans="1:7" hidden="1">
      <c r="A507" s="4" t="s">
        <v>807</v>
      </c>
      <c r="B507" s="4" t="s">
        <v>825</v>
      </c>
      <c r="C507" s="4" t="s">
        <v>975</v>
      </c>
      <c r="D507" s="4" t="s">
        <v>976</v>
      </c>
      <c r="E507" s="4" t="s">
        <v>977</v>
      </c>
      <c r="F507" s="4">
        <v>1</v>
      </c>
      <c r="G507" s="7">
        <v>8.99</v>
      </c>
    </row>
    <row r="508" spans="1:7" hidden="1">
      <c r="A508" s="4" t="s">
        <v>807</v>
      </c>
      <c r="B508" s="4" t="s">
        <v>825</v>
      </c>
      <c r="C508" s="4" t="s">
        <v>975</v>
      </c>
      <c r="D508" s="4" t="s">
        <v>978</v>
      </c>
      <c r="E508" s="4" t="s">
        <v>977</v>
      </c>
      <c r="F508" s="4">
        <v>1</v>
      </c>
      <c r="G508" s="7">
        <v>8.99</v>
      </c>
    </row>
    <row r="509" spans="1:7" hidden="1">
      <c r="A509" s="4" t="s">
        <v>807</v>
      </c>
      <c r="B509" s="4" t="s">
        <v>811</v>
      </c>
      <c r="C509" s="4" t="s">
        <v>979</v>
      </c>
      <c r="D509" s="4" t="s">
        <v>980</v>
      </c>
      <c r="E509" s="4" t="s">
        <v>981</v>
      </c>
      <c r="F509" s="4">
        <v>1</v>
      </c>
      <c r="G509" s="7">
        <v>8.99</v>
      </c>
    </row>
    <row r="510" spans="1:7" hidden="1">
      <c r="A510" s="4" t="s">
        <v>807</v>
      </c>
      <c r="B510" s="4" t="s">
        <v>811</v>
      </c>
      <c r="C510" s="4" t="s">
        <v>979</v>
      </c>
      <c r="D510" s="4" t="s">
        <v>982</v>
      </c>
      <c r="E510" s="4" t="s">
        <v>981</v>
      </c>
      <c r="F510" s="4">
        <v>1</v>
      </c>
      <c r="G510" s="7">
        <v>8.99</v>
      </c>
    </row>
    <row r="511" spans="1:7" hidden="1">
      <c r="A511" s="4" t="s">
        <v>807</v>
      </c>
      <c r="B511" s="4" t="s">
        <v>962</v>
      </c>
      <c r="C511" s="4" t="s">
        <v>983</v>
      </c>
      <c r="D511" s="4" t="s">
        <v>984</v>
      </c>
      <c r="E511" s="4" t="s">
        <v>985</v>
      </c>
      <c r="F511" s="4">
        <v>1</v>
      </c>
      <c r="G511" s="7">
        <v>8.99</v>
      </c>
    </row>
    <row r="512" spans="1:7" hidden="1">
      <c r="A512" s="4" t="s">
        <v>807</v>
      </c>
      <c r="B512" s="4" t="s">
        <v>962</v>
      </c>
      <c r="C512" s="4" t="s">
        <v>983</v>
      </c>
      <c r="D512" s="4" t="s">
        <v>986</v>
      </c>
      <c r="E512" s="4" t="s">
        <v>985</v>
      </c>
      <c r="F512" s="4">
        <v>1</v>
      </c>
      <c r="G512" s="7">
        <v>8.99</v>
      </c>
    </row>
    <row r="513" spans="1:7" hidden="1">
      <c r="A513" s="4" t="s">
        <v>807</v>
      </c>
      <c r="B513" s="4" t="s">
        <v>962</v>
      </c>
      <c r="C513" s="4" t="s">
        <v>983</v>
      </c>
      <c r="D513" s="4" t="s">
        <v>987</v>
      </c>
      <c r="E513" s="4" t="s">
        <v>985</v>
      </c>
      <c r="F513" s="4">
        <v>1</v>
      </c>
      <c r="G513" s="7">
        <v>8.99</v>
      </c>
    </row>
    <row r="514" spans="1:7" hidden="1">
      <c r="A514" s="4" t="s">
        <v>807</v>
      </c>
      <c r="B514" s="4" t="s">
        <v>962</v>
      </c>
      <c r="C514" s="4" t="s">
        <v>988</v>
      </c>
      <c r="D514" s="4" t="s">
        <v>989</v>
      </c>
      <c r="E514" s="4" t="s">
        <v>990</v>
      </c>
      <c r="F514" s="4">
        <v>1</v>
      </c>
      <c r="G514" s="7">
        <v>8.99</v>
      </c>
    </row>
    <row r="515" spans="1:7" hidden="1">
      <c r="A515" s="4" t="s">
        <v>807</v>
      </c>
      <c r="B515" s="4" t="s">
        <v>962</v>
      </c>
      <c r="C515" s="4" t="s">
        <v>983</v>
      </c>
      <c r="D515" s="4" t="s">
        <v>991</v>
      </c>
      <c r="E515" s="4" t="s">
        <v>985</v>
      </c>
      <c r="F515" s="4">
        <v>1</v>
      </c>
      <c r="G515" s="7">
        <v>8.99</v>
      </c>
    </row>
    <row r="516" spans="1:7" hidden="1">
      <c r="A516" s="4" t="s">
        <v>807</v>
      </c>
      <c r="B516" s="4" t="s">
        <v>962</v>
      </c>
      <c r="C516" s="4" t="s">
        <v>992</v>
      </c>
      <c r="D516" s="4" t="s">
        <v>993</v>
      </c>
      <c r="E516" s="4" t="s">
        <v>994</v>
      </c>
      <c r="F516" s="4">
        <v>1</v>
      </c>
      <c r="G516" s="7">
        <v>8.99</v>
      </c>
    </row>
    <row r="517" spans="1:7" hidden="1">
      <c r="A517" s="4" t="s">
        <v>807</v>
      </c>
      <c r="B517" s="4" t="s">
        <v>962</v>
      </c>
      <c r="C517" s="4" t="s">
        <v>983</v>
      </c>
      <c r="D517" s="4" t="s">
        <v>995</v>
      </c>
      <c r="E517" s="4" t="s">
        <v>985</v>
      </c>
      <c r="F517" s="4">
        <v>1</v>
      </c>
      <c r="G517" s="7">
        <v>8.99</v>
      </c>
    </row>
    <row r="518" spans="1:7" hidden="1">
      <c r="A518" s="4" t="s">
        <v>807</v>
      </c>
      <c r="B518" s="4" t="s">
        <v>962</v>
      </c>
      <c r="C518" s="4" t="s">
        <v>988</v>
      </c>
      <c r="D518" s="4" t="s">
        <v>996</v>
      </c>
      <c r="E518" s="4" t="s">
        <v>990</v>
      </c>
      <c r="F518" s="4">
        <v>1</v>
      </c>
      <c r="G518" s="7">
        <v>8.99</v>
      </c>
    </row>
    <row r="519" spans="1:7" hidden="1">
      <c r="A519" s="4" t="s">
        <v>807</v>
      </c>
      <c r="B519" s="4" t="s">
        <v>962</v>
      </c>
      <c r="C519" s="4" t="s">
        <v>988</v>
      </c>
      <c r="D519" s="4" t="s">
        <v>997</v>
      </c>
      <c r="E519" s="4" t="s">
        <v>990</v>
      </c>
      <c r="F519" s="4">
        <v>1</v>
      </c>
      <c r="G519" s="7">
        <v>8.99</v>
      </c>
    </row>
    <row r="520" spans="1:7" hidden="1">
      <c r="A520" s="4" t="s">
        <v>807</v>
      </c>
      <c r="B520" s="4" t="s">
        <v>962</v>
      </c>
      <c r="C520" s="4" t="s">
        <v>988</v>
      </c>
      <c r="D520" s="4" t="s">
        <v>998</v>
      </c>
      <c r="E520" s="4" t="s">
        <v>990</v>
      </c>
      <c r="F520" s="4">
        <v>1</v>
      </c>
      <c r="G520" s="7">
        <v>8.99</v>
      </c>
    </row>
    <row r="521" spans="1:7" hidden="1">
      <c r="A521" s="4" t="s">
        <v>807</v>
      </c>
      <c r="B521" s="4" t="s">
        <v>962</v>
      </c>
      <c r="C521" s="4" t="s">
        <v>988</v>
      </c>
      <c r="D521" s="4" t="s">
        <v>999</v>
      </c>
      <c r="E521" s="4" t="s">
        <v>990</v>
      </c>
      <c r="F521" s="4">
        <v>1</v>
      </c>
      <c r="G521" s="7">
        <v>8.99</v>
      </c>
    </row>
    <row r="522" spans="1:7" hidden="1">
      <c r="A522" s="4" t="s">
        <v>807</v>
      </c>
      <c r="B522" s="4" t="s">
        <v>962</v>
      </c>
      <c r="C522" s="4" t="s">
        <v>992</v>
      </c>
      <c r="D522" s="4" t="s">
        <v>1000</v>
      </c>
      <c r="E522" s="4" t="s">
        <v>994</v>
      </c>
      <c r="F522" s="4">
        <v>1</v>
      </c>
      <c r="G522" s="7">
        <v>8.99</v>
      </c>
    </row>
    <row r="523" spans="1:7" hidden="1">
      <c r="A523" s="4" t="s">
        <v>807</v>
      </c>
      <c r="B523" s="4" t="s">
        <v>962</v>
      </c>
      <c r="C523" s="4" t="s">
        <v>992</v>
      </c>
      <c r="D523" s="4" t="s">
        <v>1001</v>
      </c>
      <c r="E523" s="4" t="s">
        <v>994</v>
      </c>
      <c r="F523" s="4">
        <v>1</v>
      </c>
      <c r="G523" s="7">
        <v>8.99</v>
      </c>
    </row>
    <row r="524" spans="1:7" hidden="1">
      <c r="A524" s="4" t="s">
        <v>807</v>
      </c>
      <c r="B524" s="4" t="s">
        <v>962</v>
      </c>
      <c r="C524" s="4" t="s">
        <v>992</v>
      </c>
      <c r="D524" s="4" t="s">
        <v>1002</v>
      </c>
      <c r="E524" s="4" t="s">
        <v>994</v>
      </c>
      <c r="F524" s="4">
        <v>1</v>
      </c>
      <c r="G524" s="7">
        <v>8.99</v>
      </c>
    </row>
    <row r="525" spans="1:7" hidden="1">
      <c r="A525" s="4" t="s">
        <v>807</v>
      </c>
      <c r="B525" s="4" t="s">
        <v>962</v>
      </c>
      <c r="C525" s="4" t="s">
        <v>992</v>
      </c>
      <c r="D525" s="4" t="s">
        <v>1003</v>
      </c>
      <c r="E525" s="4" t="s">
        <v>994</v>
      </c>
      <c r="F525" s="4">
        <v>1</v>
      </c>
      <c r="G525" s="7">
        <v>8.99</v>
      </c>
    </row>
    <row r="526" spans="1:7" hidden="1">
      <c r="A526" s="4" t="s">
        <v>815</v>
      </c>
      <c r="B526" s="4" t="s">
        <v>816</v>
      </c>
      <c r="C526" s="4" t="s">
        <v>1004</v>
      </c>
      <c r="D526" s="4" t="s">
        <v>1005</v>
      </c>
      <c r="E526" s="4" t="s">
        <v>1006</v>
      </c>
      <c r="F526" s="4">
        <v>1</v>
      </c>
      <c r="G526" s="7">
        <v>8.99</v>
      </c>
    </row>
    <row r="527" spans="1:7" hidden="1">
      <c r="A527" s="4" t="s">
        <v>807</v>
      </c>
      <c r="B527" s="4" t="s">
        <v>962</v>
      </c>
      <c r="C527" s="4" t="s">
        <v>1007</v>
      </c>
      <c r="D527" s="4" t="s">
        <v>1008</v>
      </c>
      <c r="E527" s="4" t="s">
        <v>1009</v>
      </c>
      <c r="F527" s="4">
        <v>1</v>
      </c>
      <c r="G527" s="7">
        <v>8.99</v>
      </c>
    </row>
    <row r="528" spans="1:7" hidden="1">
      <c r="A528" s="4" t="s">
        <v>915</v>
      </c>
      <c r="B528" s="4"/>
      <c r="C528" s="4">
        <v>54006459</v>
      </c>
      <c r="D528" s="4" t="s">
        <v>1010</v>
      </c>
      <c r="E528" s="4" t="s">
        <v>1011</v>
      </c>
      <c r="F528" s="4">
        <v>1</v>
      </c>
      <c r="G528" s="7">
        <v>8.99</v>
      </c>
    </row>
    <row r="529" spans="1:7" hidden="1">
      <c r="A529" s="4" t="s">
        <v>807</v>
      </c>
      <c r="B529" s="4" t="s">
        <v>808</v>
      </c>
      <c r="C529" s="4" t="s">
        <v>1012</v>
      </c>
      <c r="D529" s="4" t="s">
        <v>1013</v>
      </c>
      <c r="E529" s="4" t="s">
        <v>1014</v>
      </c>
      <c r="F529" s="4">
        <v>1</v>
      </c>
      <c r="G529" s="7">
        <v>8.99</v>
      </c>
    </row>
    <row r="530" spans="1:7" hidden="1">
      <c r="A530" s="4" t="s">
        <v>807</v>
      </c>
      <c r="B530" s="4" t="s">
        <v>962</v>
      </c>
      <c r="C530" s="4" t="s">
        <v>1007</v>
      </c>
      <c r="D530" s="4" t="s">
        <v>1015</v>
      </c>
      <c r="E530" s="4" t="s">
        <v>1009</v>
      </c>
      <c r="F530" s="4">
        <v>1</v>
      </c>
      <c r="G530" s="7">
        <v>8.99</v>
      </c>
    </row>
    <row r="531" spans="1:7" hidden="1">
      <c r="A531" s="4" t="s">
        <v>807</v>
      </c>
      <c r="B531" s="4" t="s">
        <v>1016</v>
      </c>
      <c r="C531" s="4" t="s">
        <v>1017</v>
      </c>
      <c r="D531" s="4" t="s">
        <v>1018</v>
      </c>
      <c r="E531" s="4" t="s">
        <v>1019</v>
      </c>
      <c r="F531" s="4">
        <v>1</v>
      </c>
      <c r="G531" s="7">
        <v>8.99</v>
      </c>
    </row>
    <row r="532" spans="1:7" hidden="1">
      <c r="A532" s="4" t="s">
        <v>815</v>
      </c>
      <c r="B532" s="4" t="s">
        <v>1020</v>
      </c>
      <c r="C532" s="4" t="s">
        <v>1021</v>
      </c>
      <c r="D532" s="4" t="s">
        <v>1022</v>
      </c>
      <c r="E532" s="4" t="s">
        <v>1023</v>
      </c>
      <c r="F532" s="4">
        <v>1</v>
      </c>
      <c r="G532" s="7">
        <v>8.99</v>
      </c>
    </row>
    <row r="533" spans="1:7" hidden="1">
      <c r="A533" s="4" t="s">
        <v>807</v>
      </c>
      <c r="B533" s="4" t="s">
        <v>825</v>
      </c>
      <c r="C533" s="4">
        <v>260225.2</v>
      </c>
      <c r="D533" s="4" t="s">
        <v>1024</v>
      </c>
      <c r="E533" s="4" t="s">
        <v>952</v>
      </c>
      <c r="F533" s="4">
        <v>1</v>
      </c>
      <c r="G533" s="7">
        <v>8.99</v>
      </c>
    </row>
    <row r="534" spans="1:7" hidden="1">
      <c r="A534" s="4" t="s">
        <v>807</v>
      </c>
      <c r="B534" s="4" t="s">
        <v>808</v>
      </c>
      <c r="C534" s="4" t="s">
        <v>1025</v>
      </c>
      <c r="D534" s="4" t="s">
        <v>1026</v>
      </c>
      <c r="E534" s="4" t="s">
        <v>1027</v>
      </c>
      <c r="F534" s="4">
        <v>1</v>
      </c>
      <c r="G534" s="7">
        <v>8.99</v>
      </c>
    </row>
    <row r="535" spans="1:7" hidden="1">
      <c r="A535" s="4" t="s">
        <v>807</v>
      </c>
      <c r="B535" s="4" t="s">
        <v>808</v>
      </c>
      <c r="C535" s="4" t="s">
        <v>1012</v>
      </c>
      <c r="D535" s="4" t="s">
        <v>1028</v>
      </c>
      <c r="E535" s="4" t="s">
        <v>1014</v>
      </c>
      <c r="F535" s="4">
        <v>1</v>
      </c>
      <c r="G535" s="7">
        <v>8.99</v>
      </c>
    </row>
    <row r="536" spans="1:7" hidden="1">
      <c r="A536" s="4" t="s">
        <v>807</v>
      </c>
      <c r="B536" s="4" t="s">
        <v>808</v>
      </c>
      <c r="C536" s="4" t="s">
        <v>1029</v>
      </c>
      <c r="D536" s="4" t="s">
        <v>1030</v>
      </c>
      <c r="E536" s="4" t="s">
        <v>840</v>
      </c>
      <c r="F536" s="4">
        <v>1</v>
      </c>
      <c r="G536" s="7">
        <v>8.99</v>
      </c>
    </row>
    <row r="537" spans="1:7" hidden="1">
      <c r="A537" s="4" t="s">
        <v>807</v>
      </c>
      <c r="B537" s="4" t="s">
        <v>808</v>
      </c>
      <c r="C537" s="4" t="s">
        <v>1031</v>
      </c>
      <c r="D537" s="4" t="s">
        <v>1032</v>
      </c>
      <c r="E537" s="4" t="s">
        <v>1033</v>
      </c>
      <c r="F537" s="4">
        <v>1</v>
      </c>
      <c r="G537" s="7">
        <v>8.99</v>
      </c>
    </row>
    <row r="538" spans="1:7" hidden="1">
      <c r="A538" s="4" t="s">
        <v>915</v>
      </c>
      <c r="B538" s="4"/>
      <c r="C538" s="4">
        <v>54006462</v>
      </c>
      <c r="D538" s="4" t="s">
        <v>1034</v>
      </c>
      <c r="E538" s="4" t="s">
        <v>1035</v>
      </c>
      <c r="F538" s="4">
        <v>1</v>
      </c>
      <c r="G538" s="7">
        <v>8.99</v>
      </c>
    </row>
    <row r="539" spans="1:7" hidden="1">
      <c r="A539" s="4" t="s">
        <v>807</v>
      </c>
      <c r="B539" s="4" t="s">
        <v>945</v>
      </c>
      <c r="C539" s="4">
        <v>1788</v>
      </c>
      <c r="D539" s="4" t="s">
        <v>1036</v>
      </c>
      <c r="E539" s="4" t="s">
        <v>1037</v>
      </c>
      <c r="F539" s="4">
        <v>1</v>
      </c>
      <c r="G539" s="7">
        <v>8.99</v>
      </c>
    </row>
    <row r="540" spans="1:7" hidden="1">
      <c r="A540" s="4" t="s">
        <v>915</v>
      </c>
      <c r="B540" s="4" t="s">
        <v>915</v>
      </c>
      <c r="C540" s="4">
        <v>54005258</v>
      </c>
      <c r="D540" s="4" t="s">
        <v>1038</v>
      </c>
      <c r="E540" s="4" t="s">
        <v>1039</v>
      </c>
      <c r="F540" s="4">
        <v>1</v>
      </c>
      <c r="G540" s="7">
        <v>8.99</v>
      </c>
    </row>
    <row r="541" spans="1:7" hidden="1">
      <c r="A541" s="4" t="s">
        <v>807</v>
      </c>
      <c r="B541" s="4" t="s">
        <v>811</v>
      </c>
      <c r="C541" s="4" t="s">
        <v>1040</v>
      </c>
      <c r="D541" s="4" t="s">
        <v>1041</v>
      </c>
      <c r="E541" s="4" t="s">
        <v>1042</v>
      </c>
      <c r="F541" s="4">
        <v>1</v>
      </c>
      <c r="G541" s="7">
        <v>8.99</v>
      </c>
    </row>
    <row r="542" spans="1:7" hidden="1">
      <c r="A542" s="4" t="s">
        <v>807</v>
      </c>
      <c r="B542" s="4" t="s">
        <v>825</v>
      </c>
      <c r="C542" s="4">
        <v>150525.20000000001</v>
      </c>
      <c r="D542" s="4" t="s">
        <v>1043</v>
      </c>
      <c r="E542" s="4" t="s">
        <v>1044</v>
      </c>
      <c r="F542" s="4">
        <v>1</v>
      </c>
      <c r="G542" s="7">
        <v>8.99</v>
      </c>
    </row>
    <row r="543" spans="1:7" hidden="1">
      <c r="A543" s="4" t="s">
        <v>807</v>
      </c>
      <c r="B543" s="4" t="s">
        <v>808</v>
      </c>
      <c r="C543" s="4" t="s">
        <v>1045</v>
      </c>
      <c r="D543" s="4" t="s">
        <v>1046</v>
      </c>
      <c r="E543" s="4" t="s">
        <v>1047</v>
      </c>
      <c r="F543" s="4">
        <v>1</v>
      </c>
      <c r="G543" s="7">
        <v>8.99</v>
      </c>
    </row>
    <row r="544" spans="1:7" hidden="1">
      <c r="A544" s="4" t="s">
        <v>815</v>
      </c>
      <c r="B544" s="4" t="s">
        <v>816</v>
      </c>
      <c r="C544" s="4" t="s">
        <v>1048</v>
      </c>
      <c r="D544" s="4" t="s">
        <v>1049</v>
      </c>
      <c r="E544" s="4" t="s">
        <v>1050</v>
      </c>
      <c r="F544" s="4">
        <v>1</v>
      </c>
      <c r="G544" s="7">
        <v>8.99</v>
      </c>
    </row>
    <row r="545" spans="1:7" hidden="1">
      <c r="A545" s="4" t="s">
        <v>1051</v>
      </c>
      <c r="B545" s="4" t="s">
        <v>1051</v>
      </c>
      <c r="C545" s="4" t="s">
        <v>1052</v>
      </c>
      <c r="D545" s="4" t="s">
        <v>1053</v>
      </c>
      <c r="E545" s="4" t="s">
        <v>1054</v>
      </c>
      <c r="F545" s="4">
        <v>1</v>
      </c>
      <c r="G545" s="7">
        <v>8.99</v>
      </c>
    </row>
    <row r="546" spans="1:7" hidden="1">
      <c r="A546" s="4" t="s">
        <v>807</v>
      </c>
      <c r="B546" s="4" t="s">
        <v>825</v>
      </c>
      <c r="C546" s="4">
        <v>29101798000</v>
      </c>
      <c r="D546" s="4" t="s">
        <v>1055</v>
      </c>
      <c r="E546" s="4" t="s">
        <v>1056</v>
      </c>
      <c r="F546" s="4">
        <v>1</v>
      </c>
      <c r="G546" s="7">
        <v>8.99</v>
      </c>
    </row>
    <row r="547" spans="1:7" hidden="1">
      <c r="A547" s="4" t="s">
        <v>807</v>
      </c>
      <c r="B547" s="4" t="s">
        <v>808</v>
      </c>
      <c r="C547" s="4" t="s">
        <v>1057</v>
      </c>
      <c r="D547" s="4" t="s">
        <v>1058</v>
      </c>
      <c r="E547" s="4" t="s">
        <v>1059</v>
      </c>
      <c r="F547" s="4">
        <v>1</v>
      </c>
      <c r="G547" s="7">
        <v>8.99</v>
      </c>
    </row>
    <row r="548" spans="1:7" hidden="1">
      <c r="A548" s="4" t="s">
        <v>807</v>
      </c>
      <c r="B548" s="4" t="s">
        <v>825</v>
      </c>
      <c r="C548" s="4">
        <v>29101798000</v>
      </c>
      <c r="D548" s="4" t="s">
        <v>1060</v>
      </c>
      <c r="E548" s="4" t="s">
        <v>1056</v>
      </c>
      <c r="F548" s="4">
        <v>1</v>
      </c>
      <c r="G548" s="7">
        <v>8.99</v>
      </c>
    </row>
    <row r="549" spans="1:7" hidden="1">
      <c r="A549" s="4" t="s">
        <v>815</v>
      </c>
      <c r="B549" s="4" t="s">
        <v>1020</v>
      </c>
      <c r="C549" s="4" t="s">
        <v>1061</v>
      </c>
      <c r="D549" s="4" t="s">
        <v>1062</v>
      </c>
      <c r="E549" s="4" t="s">
        <v>1063</v>
      </c>
      <c r="F549" s="4">
        <v>1</v>
      </c>
      <c r="G549" s="7">
        <v>8.99</v>
      </c>
    </row>
    <row r="550" spans="1:7" hidden="1">
      <c r="A550" s="4" t="s">
        <v>807</v>
      </c>
      <c r="B550" s="4" t="s">
        <v>825</v>
      </c>
      <c r="C550" s="4">
        <v>29101774000</v>
      </c>
      <c r="D550" s="4" t="s">
        <v>1064</v>
      </c>
      <c r="E550" s="4" t="s">
        <v>1065</v>
      </c>
      <c r="F550" s="4">
        <v>1</v>
      </c>
      <c r="G550" s="7">
        <v>8.99</v>
      </c>
    </row>
    <row r="551" spans="1:7" hidden="1">
      <c r="A551" s="4" t="s">
        <v>807</v>
      </c>
      <c r="B551" s="4" t="s">
        <v>808</v>
      </c>
      <c r="C551" s="4" t="s">
        <v>1057</v>
      </c>
      <c r="D551" s="4" t="s">
        <v>1066</v>
      </c>
      <c r="E551" s="4" t="s">
        <v>1059</v>
      </c>
      <c r="F551" s="4">
        <v>1</v>
      </c>
      <c r="G551" s="7">
        <v>8.99</v>
      </c>
    </row>
    <row r="552" spans="1:7" hidden="1">
      <c r="A552" s="4" t="s">
        <v>807</v>
      </c>
      <c r="B552" s="4" t="s">
        <v>811</v>
      </c>
      <c r="C552" s="4">
        <v>17058508</v>
      </c>
      <c r="D552" s="4" t="s">
        <v>1067</v>
      </c>
      <c r="E552" s="4" t="s">
        <v>1068</v>
      </c>
      <c r="F552" s="4">
        <v>1</v>
      </c>
      <c r="G552" s="7">
        <v>8.99</v>
      </c>
    </row>
    <row r="553" spans="1:7" hidden="1">
      <c r="A553" s="4" t="s">
        <v>807</v>
      </c>
      <c r="B553" s="4" t="s">
        <v>808</v>
      </c>
      <c r="C553" s="4">
        <v>99240116681</v>
      </c>
      <c r="D553" s="4" t="s">
        <v>1069</v>
      </c>
      <c r="E553" s="4" t="s">
        <v>1070</v>
      </c>
      <c r="F553" s="4">
        <v>1</v>
      </c>
      <c r="G553" s="7">
        <v>8.99</v>
      </c>
    </row>
    <row r="554" spans="1:7" hidden="1">
      <c r="A554" s="4" t="s">
        <v>807</v>
      </c>
      <c r="B554" s="4" t="s">
        <v>811</v>
      </c>
      <c r="C554" s="4" t="s">
        <v>1071</v>
      </c>
      <c r="D554" s="4" t="s">
        <v>1072</v>
      </c>
      <c r="E554" s="4" t="s">
        <v>1073</v>
      </c>
      <c r="F554" s="4">
        <v>1</v>
      </c>
      <c r="G554" s="7">
        <v>8.99</v>
      </c>
    </row>
    <row r="555" spans="1:7" hidden="1">
      <c r="A555" s="4" t="s">
        <v>815</v>
      </c>
      <c r="B555" s="4" t="s">
        <v>816</v>
      </c>
      <c r="C555" s="4" t="s">
        <v>1048</v>
      </c>
      <c r="D555" s="4" t="s">
        <v>1074</v>
      </c>
      <c r="E555" s="4" t="s">
        <v>1050</v>
      </c>
      <c r="F555" s="4">
        <v>1</v>
      </c>
      <c r="G555" s="7">
        <v>8.99</v>
      </c>
    </row>
    <row r="556" spans="1:7" hidden="1">
      <c r="A556" s="4" t="s">
        <v>807</v>
      </c>
      <c r="B556" s="4" t="s">
        <v>825</v>
      </c>
      <c r="C556" s="4">
        <v>29101803000</v>
      </c>
      <c r="D556" s="4" t="s">
        <v>1075</v>
      </c>
      <c r="E556" s="4" t="s">
        <v>1076</v>
      </c>
      <c r="F556" s="4">
        <v>1</v>
      </c>
      <c r="G556" s="7">
        <v>8.99</v>
      </c>
    </row>
    <row r="557" spans="1:7" hidden="1">
      <c r="A557" s="4" t="s">
        <v>807</v>
      </c>
      <c r="B557" s="4" t="s">
        <v>808</v>
      </c>
      <c r="C557" s="4" t="s">
        <v>1077</v>
      </c>
      <c r="D557" s="4" t="s">
        <v>1078</v>
      </c>
      <c r="E557" s="4" t="s">
        <v>1079</v>
      </c>
      <c r="F557" s="4">
        <v>1</v>
      </c>
      <c r="G557" s="7">
        <v>8.99</v>
      </c>
    </row>
    <row r="558" spans="1:7" hidden="1">
      <c r="A558" s="4" t="s">
        <v>807</v>
      </c>
      <c r="B558" s="4" t="s">
        <v>808</v>
      </c>
      <c r="C558" s="4" t="s">
        <v>1080</v>
      </c>
      <c r="D558" s="4" t="s">
        <v>1081</v>
      </c>
      <c r="E558" s="4" t="s">
        <v>1082</v>
      </c>
      <c r="F558" s="4">
        <v>1</v>
      </c>
      <c r="G558" s="7">
        <v>8.99</v>
      </c>
    </row>
    <row r="559" spans="1:7" hidden="1">
      <c r="A559" s="4" t="s">
        <v>807</v>
      </c>
      <c r="B559" s="4" t="s">
        <v>808</v>
      </c>
      <c r="C559" s="4" t="s">
        <v>1083</v>
      </c>
      <c r="D559" s="4" t="s">
        <v>1084</v>
      </c>
      <c r="E559" s="4" t="s">
        <v>1085</v>
      </c>
      <c r="F559" s="4">
        <v>1</v>
      </c>
      <c r="G559" s="7">
        <v>8.99</v>
      </c>
    </row>
    <row r="560" spans="1:7" hidden="1">
      <c r="A560" s="4" t="s">
        <v>807</v>
      </c>
      <c r="B560" s="4" t="s">
        <v>1086</v>
      </c>
      <c r="C560" s="4" t="s">
        <v>1087</v>
      </c>
      <c r="D560" s="4" t="s">
        <v>1088</v>
      </c>
      <c r="E560" s="4" t="s">
        <v>1089</v>
      </c>
      <c r="F560" s="4">
        <v>1</v>
      </c>
      <c r="G560" s="7">
        <v>8.99</v>
      </c>
    </row>
    <row r="561" spans="1:7" hidden="1">
      <c r="A561" s="4" t="s">
        <v>807</v>
      </c>
      <c r="B561" s="4" t="s">
        <v>808</v>
      </c>
      <c r="C561" s="4" t="s">
        <v>1090</v>
      </c>
      <c r="D561" s="4" t="s">
        <v>1091</v>
      </c>
      <c r="E561" s="4" t="s">
        <v>1092</v>
      </c>
      <c r="F561" s="4">
        <v>1</v>
      </c>
      <c r="G561" s="7">
        <v>8.99</v>
      </c>
    </row>
    <row r="562" spans="1:7" hidden="1">
      <c r="A562" s="4" t="s">
        <v>807</v>
      </c>
      <c r="B562" s="4" t="s">
        <v>808</v>
      </c>
      <c r="C562" s="4" t="s">
        <v>1093</v>
      </c>
      <c r="D562" s="4" t="s">
        <v>1094</v>
      </c>
      <c r="E562" s="4" t="s">
        <v>1095</v>
      </c>
      <c r="F562" s="4">
        <v>1</v>
      </c>
      <c r="G562" s="7">
        <v>8.99</v>
      </c>
    </row>
    <row r="563" spans="1:7" hidden="1">
      <c r="A563" s="4" t="s">
        <v>807</v>
      </c>
      <c r="B563" s="4" t="s">
        <v>1086</v>
      </c>
      <c r="C563" s="4" t="s">
        <v>1087</v>
      </c>
      <c r="D563" s="4" t="s">
        <v>1096</v>
      </c>
      <c r="E563" s="4" t="s">
        <v>1089</v>
      </c>
      <c r="F563" s="4">
        <v>1</v>
      </c>
      <c r="G563" s="7">
        <v>8.99</v>
      </c>
    </row>
    <row r="564" spans="1:7" hidden="1">
      <c r="A564" s="4" t="s">
        <v>807</v>
      </c>
      <c r="B564" s="4" t="s">
        <v>808</v>
      </c>
      <c r="C564" s="4" t="s">
        <v>1097</v>
      </c>
      <c r="D564" s="4" t="s">
        <v>1098</v>
      </c>
      <c r="E564" s="4" t="s">
        <v>1099</v>
      </c>
      <c r="F564" s="4">
        <v>1</v>
      </c>
      <c r="G564" s="7">
        <v>8.99</v>
      </c>
    </row>
    <row r="565" spans="1:7" hidden="1">
      <c r="A565" s="4" t="s">
        <v>807</v>
      </c>
      <c r="B565" s="4" t="s">
        <v>808</v>
      </c>
      <c r="C565" s="4" t="s">
        <v>1100</v>
      </c>
      <c r="D565" s="4" t="s">
        <v>1101</v>
      </c>
      <c r="E565" s="4" t="s">
        <v>1102</v>
      </c>
      <c r="F565" s="4">
        <v>1</v>
      </c>
      <c r="G565" s="7">
        <v>8.99</v>
      </c>
    </row>
    <row r="566" spans="1:7" hidden="1">
      <c r="A566" s="4" t="s">
        <v>807</v>
      </c>
      <c r="B566" s="4" t="s">
        <v>808</v>
      </c>
      <c r="C566" s="4" t="s">
        <v>1103</v>
      </c>
      <c r="D566" s="4" t="s">
        <v>1104</v>
      </c>
      <c r="E566" s="4" t="s">
        <v>1105</v>
      </c>
      <c r="F566" s="4">
        <v>1</v>
      </c>
      <c r="G566" s="7">
        <v>8.99</v>
      </c>
    </row>
    <row r="567" spans="1:7" hidden="1">
      <c r="A567" s="4" t="s">
        <v>807</v>
      </c>
      <c r="B567" s="4" t="s">
        <v>808</v>
      </c>
      <c r="C567" s="4" t="s">
        <v>1106</v>
      </c>
      <c r="D567" s="4" t="s">
        <v>1107</v>
      </c>
      <c r="E567" s="4" t="s">
        <v>1108</v>
      </c>
      <c r="F567" s="4">
        <v>1</v>
      </c>
      <c r="G567" s="7">
        <v>8.99</v>
      </c>
    </row>
    <row r="568" spans="1:7" hidden="1">
      <c r="A568" s="4" t="s">
        <v>807</v>
      </c>
      <c r="B568" s="4" t="s">
        <v>808</v>
      </c>
      <c r="C568" s="4" t="s">
        <v>1109</v>
      </c>
      <c r="D568" s="4" t="s">
        <v>1110</v>
      </c>
      <c r="E568" s="4" t="s">
        <v>1111</v>
      </c>
      <c r="F568" s="4">
        <v>1</v>
      </c>
      <c r="G568" s="7">
        <v>8.99</v>
      </c>
    </row>
    <row r="569" spans="1:7" hidden="1">
      <c r="A569" s="4" t="s">
        <v>807</v>
      </c>
      <c r="B569" s="4" t="s">
        <v>945</v>
      </c>
      <c r="C569" s="4">
        <v>11111</v>
      </c>
      <c r="D569" s="4" t="s">
        <v>1112</v>
      </c>
      <c r="E569" s="4" t="s">
        <v>1113</v>
      </c>
      <c r="F569" s="4">
        <v>1</v>
      </c>
      <c r="G569" s="7">
        <v>8.99</v>
      </c>
    </row>
    <row r="570" spans="1:7" hidden="1">
      <c r="A570" s="4" t="s">
        <v>807</v>
      </c>
      <c r="B570" s="4" t="s">
        <v>825</v>
      </c>
      <c r="C570" s="4">
        <v>29110002000</v>
      </c>
      <c r="D570" s="4" t="s">
        <v>1114</v>
      </c>
      <c r="E570" s="4" t="s">
        <v>1115</v>
      </c>
      <c r="F570" s="4">
        <v>1</v>
      </c>
      <c r="G570" s="7">
        <v>8.99</v>
      </c>
    </row>
    <row r="571" spans="1:7" hidden="1">
      <c r="A571" s="4" t="s">
        <v>807</v>
      </c>
      <c r="B571" s="4" t="s">
        <v>808</v>
      </c>
      <c r="C571" s="4" t="s">
        <v>1100</v>
      </c>
      <c r="D571" s="4" t="s">
        <v>1116</v>
      </c>
      <c r="E571" s="4" t="s">
        <v>1102</v>
      </c>
      <c r="F571" s="4">
        <v>1</v>
      </c>
      <c r="G571" s="7">
        <v>8.99</v>
      </c>
    </row>
    <row r="572" spans="1:7" hidden="1">
      <c r="A572" s="4" t="s">
        <v>807</v>
      </c>
      <c r="B572" s="4" t="s">
        <v>808</v>
      </c>
      <c r="C572" s="4">
        <v>81624316</v>
      </c>
      <c r="D572" s="4" t="s">
        <v>1117</v>
      </c>
      <c r="E572" s="4" t="s">
        <v>1118</v>
      </c>
      <c r="F572" s="4">
        <v>1</v>
      </c>
      <c r="G572" s="7">
        <v>8.99</v>
      </c>
    </row>
    <row r="573" spans="1:7" hidden="1">
      <c r="A573" s="4" t="s">
        <v>807</v>
      </c>
      <c r="B573" s="4" t="s">
        <v>825</v>
      </c>
      <c r="C573" s="4">
        <v>29101801000</v>
      </c>
      <c r="D573" s="4" t="s">
        <v>1119</v>
      </c>
      <c r="E573" s="4" t="s">
        <v>1120</v>
      </c>
      <c r="F573" s="4">
        <v>1</v>
      </c>
      <c r="G573" s="7">
        <v>8.99</v>
      </c>
    </row>
    <row r="574" spans="1:7" hidden="1">
      <c r="A574" s="4" t="s">
        <v>807</v>
      </c>
      <c r="B574" s="4" t="s">
        <v>808</v>
      </c>
      <c r="C574" s="4" t="s">
        <v>1121</v>
      </c>
      <c r="D574" s="4" t="s">
        <v>1122</v>
      </c>
      <c r="E574" s="4" t="s">
        <v>1123</v>
      </c>
      <c r="F574" s="4">
        <v>1</v>
      </c>
      <c r="G574" s="7">
        <v>8.99</v>
      </c>
    </row>
    <row r="575" spans="1:7" hidden="1">
      <c r="A575" s="4" t="s">
        <v>807</v>
      </c>
      <c r="B575" s="4" t="s">
        <v>825</v>
      </c>
      <c r="C575" s="4">
        <v>1104</v>
      </c>
      <c r="D575" s="4" t="s">
        <v>1124</v>
      </c>
      <c r="E575" s="4" t="s">
        <v>1125</v>
      </c>
      <c r="F575" s="4">
        <v>1</v>
      </c>
      <c r="G575" s="7">
        <v>8.99</v>
      </c>
    </row>
    <row r="576" spans="1:7" hidden="1">
      <c r="A576" s="4" t="s">
        <v>807</v>
      </c>
      <c r="B576" s="4"/>
      <c r="C576" s="4" t="s">
        <v>1126</v>
      </c>
      <c r="D576" s="4" t="s">
        <v>1127</v>
      </c>
      <c r="E576" s="4" t="s">
        <v>1128</v>
      </c>
      <c r="F576" s="4">
        <v>1</v>
      </c>
      <c r="G576" s="7">
        <v>8.99</v>
      </c>
    </row>
    <row r="577" spans="1:7" hidden="1">
      <c r="A577" s="4" t="s">
        <v>807</v>
      </c>
      <c r="B577" s="4" t="s">
        <v>808</v>
      </c>
      <c r="C577" s="4" t="s">
        <v>1100</v>
      </c>
      <c r="D577" s="4" t="s">
        <v>1129</v>
      </c>
      <c r="E577" s="4" t="s">
        <v>1102</v>
      </c>
      <c r="F577" s="4">
        <v>1</v>
      </c>
      <c r="G577" s="7">
        <v>8.99</v>
      </c>
    </row>
    <row r="578" spans="1:7" hidden="1">
      <c r="A578" s="4" t="s">
        <v>807</v>
      </c>
      <c r="B578" s="4" t="s">
        <v>825</v>
      </c>
      <c r="C578" s="4">
        <v>29101779000</v>
      </c>
      <c r="D578" s="4" t="s">
        <v>1130</v>
      </c>
      <c r="E578" s="4" t="s">
        <v>1131</v>
      </c>
      <c r="F578" s="4">
        <v>1</v>
      </c>
      <c r="G578" s="7">
        <v>8.99</v>
      </c>
    </row>
    <row r="579" spans="1:7" hidden="1">
      <c r="A579" s="4" t="s">
        <v>807</v>
      </c>
      <c r="B579" s="4" t="s">
        <v>808</v>
      </c>
      <c r="C579" s="4" t="s">
        <v>1057</v>
      </c>
      <c r="D579" s="4" t="s">
        <v>1132</v>
      </c>
      <c r="E579" s="4" t="s">
        <v>1059</v>
      </c>
      <c r="F579" s="4">
        <v>1</v>
      </c>
      <c r="G579" s="7">
        <v>8.99</v>
      </c>
    </row>
    <row r="580" spans="1:7" hidden="1">
      <c r="A580" s="4" t="s">
        <v>807</v>
      </c>
      <c r="B580" s="4" t="s">
        <v>808</v>
      </c>
      <c r="C580" s="4" t="s">
        <v>1133</v>
      </c>
      <c r="D580" s="4" t="s">
        <v>1134</v>
      </c>
      <c r="E580" s="4" t="s">
        <v>1135</v>
      </c>
      <c r="F580" s="4">
        <v>1</v>
      </c>
      <c r="G580" s="7">
        <v>8.99</v>
      </c>
    </row>
    <row r="581" spans="1:7" hidden="1">
      <c r="A581" s="4" t="s">
        <v>807</v>
      </c>
      <c r="B581" s="4" t="s">
        <v>945</v>
      </c>
      <c r="C581" s="4" t="s">
        <v>1136</v>
      </c>
      <c r="D581" s="4" t="s">
        <v>1137</v>
      </c>
      <c r="E581" s="4" t="s">
        <v>1138</v>
      </c>
      <c r="F581" s="4">
        <v>1</v>
      </c>
      <c r="G581" s="7">
        <v>8.99</v>
      </c>
    </row>
    <row r="582" spans="1:7" hidden="1">
      <c r="A582" s="4" t="s">
        <v>807</v>
      </c>
      <c r="B582" s="4" t="s">
        <v>808</v>
      </c>
      <c r="C582" s="4" t="s">
        <v>1139</v>
      </c>
      <c r="D582" s="4" t="s">
        <v>1140</v>
      </c>
      <c r="E582" s="4" t="s">
        <v>1141</v>
      </c>
      <c r="F582" s="4">
        <v>1</v>
      </c>
      <c r="G582" s="7">
        <v>8.99</v>
      </c>
    </row>
    <row r="583" spans="1:7" hidden="1">
      <c r="A583" s="4" t="s">
        <v>807</v>
      </c>
      <c r="B583" s="4" t="s">
        <v>808</v>
      </c>
      <c r="C583" s="4" t="s">
        <v>1139</v>
      </c>
      <c r="D583" s="4" t="s">
        <v>1142</v>
      </c>
      <c r="E583" s="4" t="s">
        <v>1141</v>
      </c>
      <c r="F583" s="4">
        <v>1</v>
      </c>
      <c r="G583" s="7">
        <v>8.99</v>
      </c>
    </row>
    <row r="584" spans="1:7" hidden="1">
      <c r="A584" s="4" t="s">
        <v>807</v>
      </c>
      <c r="B584" s="4" t="s">
        <v>811</v>
      </c>
      <c r="C584" s="4" t="s">
        <v>1143</v>
      </c>
      <c r="D584" s="4" t="s">
        <v>1144</v>
      </c>
      <c r="E584" s="4" t="s">
        <v>1145</v>
      </c>
      <c r="F584" s="4">
        <v>1</v>
      </c>
      <c r="G584" s="7">
        <v>8.99</v>
      </c>
    </row>
    <row r="585" spans="1:7" hidden="1">
      <c r="A585" s="4" t="s">
        <v>807</v>
      </c>
      <c r="B585" s="4" t="s">
        <v>811</v>
      </c>
      <c r="C585" s="4" t="s">
        <v>1143</v>
      </c>
      <c r="D585" s="4" t="s">
        <v>1146</v>
      </c>
      <c r="E585" s="4" t="s">
        <v>1145</v>
      </c>
      <c r="F585" s="4">
        <v>1</v>
      </c>
      <c r="G585" s="7">
        <v>8.99</v>
      </c>
    </row>
    <row r="586" spans="1:7" hidden="1">
      <c r="A586" s="4" t="s">
        <v>807</v>
      </c>
      <c r="B586" s="4" t="s">
        <v>962</v>
      </c>
      <c r="C586" s="4" t="s">
        <v>1147</v>
      </c>
      <c r="D586" s="4" t="s">
        <v>1148</v>
      </c>
      <c r="E586" s="4" t="s">
        <v>1149</v>
      </c>
      <c r="F586" s="4">
        <v>1</v>
      </c>
      <c r="G586" s="7">
        <v>8.99</v>
      </c>
    </row>
    <row r="587" spans="1:7" hidden="1">
      <c r="A587" s="4" t="s">
        <v>807</v>
      </c>
      <c r="B587" s="4" t="s">
        <v>962</v>
      </c>
      <c r="C587" s="4" t="s">
        <v>1150</v>
      </c>
      <c r="D587" s="4" t="s">
        <v>1151</v>
      </c>
      <c r="E587" s="4" t="s">
        <v>1152</v>
      </c>
      <c r="F587" s="4">
        <v>1</v>
      </c>
      <c r="G587" s="7">
        <v>8.99</v>
      </c>
    </row>
    <row r="588" spans="1:7" hidden="1">
      <c r="A588" s="4" t="s">
        <v>807</v>
      </c>
      <c r="B588" s="4" t="s">
        <v>962</v>
      </c>
      <c r="C588" s="4" t="s">
        <v>1153</v>
      </c>
      <c r="D588" s="4" t="s">
        <v>1154</v>
      </c>
      <c r="E588" s="4" t="s">
        <v>1155</v>
      </c>
      <c r="F588" s="4">
        <v>1</v>
      </c>
      <c r="G588" s="7">
        <v>8.99</v>
      </c>
    </row>
    <row r="589" spans="1:7" hidden="1">
      <c r="A589" s="4" t="s">
        <v>807</v>
      </c>
      <c r="B589" s="4" t="s">
        <v>962</v>
      </c>
      <c r="C589" s="4" t="s">
        <v>1153</v>
      </c>
      <c r="D589" s="4" t="s">
        <v>1156</v>
      </c>
      <c r="E589" s="4" t="s">
        <v>1155</v>
      </c>
      <c r="F589" s="4">
        <v>1</v>
      </c>
      <c r="G589" s="7">
        <v>8.99</v>
      </c>
    </row>
    <row r="590" spans="1:7" hidden="1">
      <c r="A590" s="4" t="s">
        <v>807</v>
      </c>
      <c r="B590" s="4" t="s">
        <v>962</v>
      </c>
      <c r="C590" s="4" t="s">
        <v>1153</v>
      </c>
      <c r="D590" s="4" t="s">
        <v>1157</v>
      </c>
      <c r="E590" s="4" t="s">
        <v>1155</v>
      </c>
      <c r="F590" s="4">
        <v>1</v>
      </c>
      <c r="G590" s="7">
        <v>8.99</v>
      </c>
    </row>
    <row r="591" spans="1:7" hidden="1">
      <c r="A591" s="4" t="s">
        <v>807</v>
      </c>
      <c r="B591" s="4" t="s">
        <v>962</v>
      </c>
      <c r="C591" s="4" t="s">
        <v>1153</v>
      </c>
      <c r="D591" s="4" t="s">
        <v>1158</v>
      </c>
      <c r="E591" s="4" t="s">
        <v>1155</v>
      </c>
      <c r="F591" s="4">
        <v>1</v>
      </c>
      <c r="G591" s="7">
        <v>8.99</v>
      </c>
    </row>
    <row r="592" spans="1:7" hidden="1">
      <c r="A592" s="4" t="s">
        <v>807</v>
      </c>
      <c r="B592" s="4" t="s">
        <v>962</v>
      </c>
      <c r="C592" s="4" t="s">
        <v>1150</v>
      </c>
      <c r="D592" s="4" t="s">
        <v>1159</v>
      </c>
      <c r="E592" s="4" t="s">
        <v>1152</v>
      </c>
      <c r="F592" s="4">
        <v>1</v>
      </c>
      <c r="G592" s="7">
        <v>8.99</v>
      </c>
    </row>
    <row r="593" spans="1:7" hidden="1">
      <c r="A593" s="4" t="s">
        <v>807</v>
      </c>
      <c r="B593" s="4" t="s">
        <v>962</v>
      </c>
      <c r="C593" s="4" t="s">
        <v>1153</v>
      </c>
      <c r="D593" s="4" t="s">
        <v>1160</v>
      </c>
      <c r="E593" s="4" t="s">
        <v>1155</v>
      </c>
      <c r="F593" s="4">
        <v>1</v>
      </c>
      <c r="G593" s="7">
        <v>8.99</v>
      </c>
    </row>
    <row r="594" spans="1:7" hidden="1">
      <c r="A594" s="4" t="s">
        <v>807</v>
      </c>
      <c r="B594" s="4" t="s">
        <v>962</v>
      </c>
      <c r="C594" s="4" t="s">
        <v>1153</v>
      </c>
      <c r="D594" s="4" t="s">
        <v>1161</v>
      </c>
      <c r="E594" s="4" t="s">
        <v>1155</v>
      </c>
      <c r="F594" s="4">
        <v>1</v>
      </c>
      <c r="G594" s="7">
        <v>8.99</v>
      </c>
    </row>
    <row r="595" spans="1:7" hidden="1">
      <c r="A595" s="4" t="s">
        <v>807</v>
      </c>
      <c r="B595" s="4" t="s">
        <v>962</v>
      </c>
      <c r="C595" s="4" t="s">
        <v>1153</v>
      </c>
      <c r="D595" s="4" t="s">
        <v>1162</v>
      </c>
      <c r="E595" s="4" t="s">
        <v>1155</v>
      </c>
      <c r="F595" s="4">
        <v>1</v>
      </c>
      <c r="G595" s="7">
        <v>8.99</v>
      </c>
    </row>
    <row r="596" spans="1:7" hidden="1">
      <c r="A596" s="4" t="s">
        <v>807</v>
      </c>
      <c r="B596" s="4" t="s">
        <v>962</v>
      </c>
      <c r="C596" s="4" t="s">
        <v>1153</v>
      </c>
      <c r="D596" s="4" t="s">
        <v>1163</v>
      </c>
      <c r="E596" s="4" t="s">
        <v>1155</v>
      </c>
      <c r="F596" s="4">
        <v>1</v>
      </c>
      <c r="G596" s="7">
        <v>8.99</v>
      </c>
    </row>
    <row r="597" spans="1:7" hidden="1">
      <c r="A597" s="4" t="s">
        <v>807</v>
      </c>
      <c r="B597" s="4" t="s">
        <v>962</v>
      </c>
      <c r="C597" s="4" t="s">
        <v>1153</v>
      </c>
      <c r="D597" s="4" t="s">
        <v>1164</v>
      </c>
      <c r="E597" s="4" t="s">
        <v>1155</v>
      </c>
      <c r="F597" s="4">
        <v>1</v>
      </c>
      <c r="G597" s="7">
        <v>8.99</v>
      </c>
    </row>
    <row r="598" spans="1:7" hidden="1">
      <c r="A598" s="4" t="s">
        <v>807</v>
      </c>
      <c r="B598" s="4" t="s">
        <v>811</v>
      </c>
      <c r="C598" s="4" t="s">
        <v>1165</v>
      </c>
      <c r="D598" s="4" t="s">
        <v>1166</v>
      </c>
      <c r="E598" s="4" t="s">
        <v>1167</v>
      </c>
      <c r="F598" s="4">
        <v>1</v>
      </c>
      <c r="G598" s="7">
        <v>8.99</v>
      </c>
    </row>
    <row r="599" spans="1:7" hidden="1">
      <c r="A599" s="4" t="s">
        <v>807</v>
      </c>
      <c r="B599" s="4" t="s">
        <v>811</v>
      </c>
      <c r="C599" s="4" t="s">
        <v>1168</v>
      </c>
      <c r="D599" s="4" t="s">
        <v>1169</v>
      </c>
      <c r="E599" s="4" t="s">
        <v>1170</v>
      </c>
      <c r="F599" s="4">
        <v>1</v>
      </c>
      <c r="G599" s="7">
        <v>8.99</v>
      </c>
    </row>
    <row r="600" spans="1:7" hidden="1">
      <c r="A600" s="4" t="s">
        <v>807</v>
      </c>
      <c r="B600" s="4" t="s">
        <v>808</v>
      </c>
      <c r="C600" s="4" t="s">
        <v>1171</v>
      </c>
      <c r="D600" s="4" t="s">
        <v>1172</v>
      </c>
      <c r="E600" s="4" t="s">
        <v>1173</v>
      </c>
      <c r="F600" s="4">
        <v>1</v>
      </c>
      <c r="G600" s="7">
        <v>8.99</v>
      </c>
    </row>
    <row r="601" spans="1:7" hidden="1">
      <c r="A601" s="4" t="s">
        <v>807</v>
      </c>
      <c r="B601" s="4" t="s">
        <v>945</v>
      </c>
      <c r="C601" s="4">
        <v>17058504</v>
      </c>
      <c r="D601" s="4" t="s">
        <v>1174</v>
      </c>
      <c r="E601" s="4" t="s">
        <v>1175</v>
      </c>
      <c r="F601" s="4">
        <v>1</v>
      </c>
      <c r="G601" s="7">
        <v>8.99</v>
      </c>
    </row>
    <row r="602" spans="1:7" hidden="1">
      <c r="A602" s="4" t="s">
        <v>807</v>
      </c>
      <c r="B602" s="4" t="s">
        <v>808</v>
      </c>
      <c r="C602" s="4" t="s">
        <v>1176</v>
      </c>
      <c r="D602" s="4" t="s">
        <v>1177</v>
      </c>
      <c r="E602" s="4" t="s">
        <v>840</v>
      </c>
      <c r="F602" s="4">
        <v>1</v>
      </c>
      <c r="G602" s="7">
        <v>8.99</v>
      </c>
    </row>
    <row r="603" spans="1:7" hidden="1">
      <c r="A603" s="4" t="s">
        <v>807</v>
      </c>
      <c r="B603" s="4" t="s">
        <v>962</v>
      </c>
      <c r="C603" s="4" t="s">
        <v>1178</v>
      </c>
      <c r="D603" s="4" t="s">
        <v>1179</v>
      </c>
      <c r="E603" s="4" t="s">
        <v>1180</v>
      </c>
      <c r="F603" s="4">
        <v>1</v>
      </c>
      <c r="G603" s="7">
        <v>8.99</v>
      </c>
    </row>
    <row r="604" spans="1:7" hidden="1">
      <c r="A604" s="4" t="s">
        <v>807</v>
      </c>
      <c r="B604" s="4" t="s">
        <v>937</v>
      </c>
      <c r="C604" s="4" t="s">
        <v>1181</v>
      </c>
      <c r="D604" s="4" t="s">
        <v>1182</v>
      </c>
      <c r="E604" s="4" t="s">
        <v>1183</v>
      </c>
      <c r="F604" s="4">
        <v>1</v>
      </c>
      <c r="G604" s="7">
        <v>8.99</v>
      </c>
    </row>
    <row r="605" spans="1:7" hidden="1">
      <c r="A605" s="4" t="s">
        <v>807</v>
      </c>
      <c r="B605" s="4" t="s">
        <v>811</v>
      </c>
      <c r="C605" s="4" t="s">
        <v>1184</v>
      </c>
      <c r="D605" s="4" t="s">
        <v>1185</v>
      </c>
      <c r="E605" s="4" t="s">
        <v>840</v>
      </c>
      <c r="F605" s="4">
        <v>1</v>
      </c>
      <c r="G605" s="7">
        <v>8.99</v>
      </c>
    </row>
    <row r="606" spans="1:7" hidden="1">
      <c r="A606" s="4" t="s">
        <v>807</v>
      </c>
      <c r="B606" s="4" t="s">
        <v>808</v>
      </c>
      <c r="C606" s="4" t="s">
        <v>1186</v>
      </c>
      <c r="D606" s="4" t="s">
        <v>1187</v>
      </c>
      <c r="E606" s="4" t="s">
        <v>1188</v>
      </c>
      <c r="F606" s="4">
        <v>1</v>
      </c>
      <c r="G606" s="7">
        <v>8.99</v>
      </c>
    </row>
    <row r="607" spans="1:7" hidden="1">
      <c r="A607" s="4" t="s">
        <v>807</v>
      </c>
      <c r="B607" s="4" t="s">
        <v>811</v>
      </c>
      <c r="C607" s="4" t="s">
        <v>1189</v>
      </c>
      <c r="D607" s="4" t="s">
        <v>1190</v>
      </c>
      <c r="E607" s="4" t="s">
        <v>1191</v>
      </c>
      <c r="F607" s="4">
        <v>1</v>
      </c>
      <c r="G607" s="7">
        <v>8.99</v>
      </c>
    </row>
    <row r="608" spans="1:7" hidden="1">
      <c r="A608" s="4" t="s">
        <v>807</v>
      </c>
      <c r="B608" s="4" t="s">
        <v>937</v>
      </c>
      <c r="C608" s="4" t="s">
        <v>1192</v>
      </c>
      <c r="D608" s="4" t="s">
        <v>1193</v>
      </c>
      <c r="E608" s="4" t="s">
        <v>1194</v>
      </c>
      <c r="F608" s="4">
        <v>1</v>
      </c>
      <c r="G608" s="7">
        <v>8.99</v>
      </c>
    </row>
    <row r="609" spans="1:7" hidden="1">
      <c r="A609" s="4" t="s">
        <v>807</v>
      </c>
      <c r="B609" s="4" t="s">
        <v>808</v>
      </c>
      <c r="C609" s="4" t="s">
        <v>1195</v>
      </c>
      <c r="D609" s="4" t="s">
        <v>1196</v>
      </c>
      <c r="E609" s="4" t="s">
        <v>1197</v>
      </c>
      <c r="F609" s="4">
        <v>1</v>
      </c>
      <c r="G609" s="7">
        <v>8.99</v>
      </c>
    </row>
    <row r="610" spans="1:7" hidden="1">
      <c r="A610" s="4" t="s">
        <v>807</v>
      </c>
      <c r="B610" s="4" t="s">
        <v>811</v>
      </c>
      <c r="C610" s="4" t="s">
        <v>1198</v>
      </c>
      <c r="D610" s="4" t="s">
        <v>1199</v>
      </c>
      <c r="E610" s="4" t="s">
        <v>1200</v>
      </c>
      <c r="F610" s="4">
        <v>1</v>
      </c>
      <c r="G610" s="7">
        <v>8.99</v>
      </c>
    </row>
    <row r="611" spans="1:7" hidden="1">
      <c r="A611" s="4" t="s">
        <v>807</v>
      </c>
      <c r="B611" s="4" t="s">
        <v>937</v>
      </c>
      <c r="C611" s="4" t="s">
        <v>1192</v>
      </c>
      <c r="D611" s="4" t="s">
        <v>1201</v>
      </c>
      <c r="E611" s="4" t="s">
        <v>1194</v>
      </c>
      <c r="F611" s="4">
        <v>1</v>
      </c>
      <c r="G611" s="7">
        <v>8.99</v>
      </c>
    </row>
    <row r="612" spans="1:7" hidden="1">
      <c r="A612" s="4" t="s">
        <v>807</v>
      </c>
      <c r="B612" s="4" t="s">
        <v>937</v>
      </c>
      <c r="C612" s="4" t="s">
        <v>1202</v>
      </c>
      <c r="D612" s="4" t="s">
        <v>1203</v>
      </c>
      <c r="E612" s="4" t="s">
        <v>1204</v>
      </c>
      <c r="F612" s="4">
        <v>1</v>
      </c>
      <c r="G612" s="7">
        <v>8.99</v>
      </c>
    </row>
    <row r="613" spans="1:7" hidden="1">
      <c r="A613" s="4" t="s">
        <v>815</v>
      </c>
      <c r="B613" s="4" t="s">
        <v>816</v>
      </c>
      <c r="C613" s="4" t="s">
        <v>1205</v>
      </c>
      <c r="D613" s="4" t="s">
        <v>1206</v>
      </c>
      <c r="E613" s="4" t="s">
        <v>1207</v>
      </c>
      <c r="F613" s="4">
        <v>1</v>
      </c>
      <c r="G613" s="7">
        <v>8.99</v>
      </c>
    </row>
    <row r="614" spans="1:7" hidden="1">
      <c r="A614" s="4" t="s">
        <v>807</v>
      </c>
      <c r="B614" s="4" t="s">
        <v>808</v>
      </c>
      <c r="C614" s="4" t="s">
        <v>1057</v>
      </c>
      <c r="D614" s="4" t="s">
        <v>1208</v>
      </c>
      <c r="E614" s="4" t="s">
        <v>1059</v>
      </c>
      <c r="F614" s="4">
        <v>1</v>
      </c>
      <c r="G614" s="7">
        <v>8.99</v>
      </c>
    </row>
    <row r="615" spans="1:7" hidden="1">
      <c r="A615" s="4" t="s">
        <v>807</v>
      </c>
      <c r="B615" s="4" t="s">
        <v>811</v>
      </c>
      <c r="C615" s="4" t="s">
        <v>1143</v>
      </c>
      <c r="D615" s="4" t="s">
        <v>1209</v>
      </c>
      <c r="E615" s="4" t="s">
        <v>1145</v>
      </c>
      <c r="F615" s="4">
        <v>1</v>
      </c>
      <c r="G615" s="7">
        <v>8.99</v>
      </c>
    </row>
    <row r="616" spans="1:7" hidden="1">
      <c r="A616" s="4" t="s">
        <v>807</v>
      </c>
      <c r="B616" s="4" t="s">
        <v>937</v>
      </c>
      <c r="C616" s="4" t="s">
        <v>1192</v>
      </c>
      <c r="D616" s="4" t="s">
        <v>1210</v>
      </c>
      <c r="E616" s="4" t="s">
        <v>1194</v>
      </c>
      <c r="F616" s="4">
        <v>1</v>
      </c>
      <c r="G616" s="7">
        <v>8.99</v>
      </c>
    </row>
    <row r="617" spans="1:7" hidden="1">
      <c r="A617" s="4" t="s">
        <v>807</v>
      </c>
      <c r="B617" s="4" t="s">
        <v>937</v>
      </c>
      <c r="C617" s="4" t="s">
        <v>1211</v>
      </c>
      <c r="D617" s="4" t="s">
        <v>1212</v>
      </c>
      <c r="E617" s="4" t="s">
        <v>1213</v>
      </c>
      <c r="F617" s="4">
        <v>1</v>
      </c>
      <c r="G617" s="7">
        <v>8.99</v>
      </c>
    </row>
    <row r="618" spans="1:7" hidden="1">
      <c r="A618" s="4" t="s">
        <v>807</v>
      </c>
      <c r="B618" s="4" t="s">
        <v>945</v>
      </c>
      <c r="C618" s="4" t="s">
        <v>1214</v>
      </c>
      <c r="D618" s="4" t="s">
        <v>1215</v>
      </c>
      <c r="E618" s="4" t="s">
        <v>1216</v>
      </c>
      <c r="F618" s="4">
        <v>1</v>
      </c>
      <c r="G618" s="7">
        <v>8.99</v>
      </c>
    </row>
    <row r="619" spans="1:7" hidden="1">
      <c r="A619" s="4" t="s">
        <v>807</v>
      </c>
      <c r="B619" s="4" t="s">
        <v>962</v>
      </c>
      <c r="C619" s="4">
        <v>99350044319</v>
      </c>
      <c r="D619" s="4" t="s">
        <v>1217</v>
      </c>
      <c r="E619" s="4" t="s">
        <v>1218</v>
      </c>
      <c r="F619" s="4">
        <v>1</v>
      </c>
      <c r="G619" s="7">
        <v>8.99</v>
      </c>
    </row>
    <row r="620" spans="1:7" hidden="1">
      <c r="A620" s="4" t="s">
        <v>807</v>
      </c>
      <c r="B620" s="4" t="s">
        <v>937</v>
      </c>
      <c r="C620" s="4" t="s">
        <v>1219</v>
      </c>
      <c r="D620" s="4" t="s">
        <v>1220</v>
      </c>
      <c r="E620" s="4" t="s">
        <v>1221</v>
      </c>
      <c r="F620" s="4">
        <v>1</v>
      </c>
      <c r="G620" s="7">
        <v>8.99</v>
      </c>
    </row>
    <row r="621" spans="1:7" hidden="1">
      <c r="A621" s="4" t="s">
        <v>807</v>
      </c>
      <c r="B621" s="4" t="s">
        <v>808</v>
      </c>
      <c r="C621" s="4" t="s">
        <v>1222</v>
      </c>
      <c r="D621" s="4" t="s">
        <v>1223</v>
      </c>
      <c r="E621" s="4" t="s">
        <v>1224</v>
      </c>
      <c r="F621" s="4">
        <v>1</v>
      </c>
      <c r="G621" s="7">
        <v>8.99</v>
      </c>
    </row>
    <row r="622" spans="1:7" hidden="1">
      <c r="A622" s="4" t="s">
        <v>807</v>
      </c>
      <c r="B622" s="4" t="s">
        <v>808</v>
      </c>
      <c r="C622" s="4" t="s">
        <v>1195</v>
      </c>
      <c r="D622" s="4" t="s">
        <v>1225</v>
      </c>
      <c r="E622" s="4" t="s">
        <v>1197</v>
      </c>
      <c r="F622" s="4">
        <v>1</v>
      </c>
      <c r="G622" s="7">
        <v>8.99</v>
      </c>
    </row>
    <row r="623" spans="1:7" hidden="1">
      <c r="A623" s="4" t="s">
        <v>807</v>
      </c>
      <c r="B623" s="4" t="s">
        <v>808</v>
      </c>
      <c r="C623" s="4" t="s">
        <v>1226</v>
      </c>
      <c r="D623" s="4" t="s">
        <v>1227</v>
      </c>
      <c r="E623" s="4" t="s">
        <v>1228</v>
      </c>
      <c r="F623" s="4">
        <v>1</v>
      </c>
      <c r="G623" s="7">
        <v>8.99</v>
      </c>
    </row>
    <row r="624" spans="1:7" hidden="1">
      <c r="A624" s="4" t="s">
        <v>807</v>
      </c>
      <c r="B624" s="4" t="s">
        <v>808</v>
      </c>
      <c r="C624" s="4" t="s">
        <v>1229</v>
      </c>
      <c r="D624" s="4" t="s">
        <v>1230</v>
      </c>
      <c r="E624" s="4" t="s">
        <v>840</v>
      </c>
      <c r="F624" s="4">
        <v>1</v>
      </c>
      <c r="G624" s="7">
        <v>8.99</v>
      </c>
    </row>
    <row r="625" spans="1:7" hidden="1">
      <c r="A625" s="4" t="s">
        <v>807</v>
      </c>
      <c r="B625" s="4" t="s">
        <v>945</v>
      </c>
      <c r="C625" s="4">
        <v>11111</v>
      </c>
      <c r="D625" s="4" t="s">
        <v>1231</v>
      </c>
      <c r="E625" s="4" t="s">
        <v>1113</v>
      </c>
      <c r="F625" s="4">
        <v>1</v>
      </c>
      <c r="G625" s="7">
        <v>8.99</v>
      </c>
    </row>
    <row r="626" spans="1:7" hidden="1">
      <c r="A626" s="4" t="s">
        <v>815</v>
      </c>
      <c r="B626" s="4" t="s">
        <v>1020</v>
      </c>
      <c r="C626" s="4" t="s">
        <v>1232</v>
      </c>
      <c r="D626" s="4" t="s">
        <v>1233</v>
      </c>
      <c r="E626" s="4" t="s">
        <v>1234</v>
      </c>
      <c r="F626" s="4">
        <v>1</v>
      </c>
      <c r="G626" s="7">
        <v>8.99</v>
      </c>
    </row>
    <row r="627" spans="1:7" hidden="1">
      <c r="A627" s="4" t="s">
        <v>807</v>
      </c>
      <c r="B627" s="4" t="s">
        <v>811</v>
      </c>
      <c r="C627" s="4" t="s">
        <v>1235</v>
      </c>
      <c r="D627" s="4" t="s">
        <v>1236</v>
      </c>
      <c r="E627" s="4" t="s">
        <v>840</v>
      </c>
      <c r="F627" s="4">
        <v>1</v>
      </c>
      <c r="G627" s="7">
        <v>8.99</v>
      </c>
    </row>
    <row r="628" spans="1:7" hidden="1">
      <c r="A628" s="4" t="s">
        <v>807</v>
      </c>
      <c r="B628" s="4" t="s">
        <v>808</v>
      </c>
      <c r="C628" s="4" t="s">
        <v>1237</v>
      </c>
      <c r="D628" s="4" t="s">
        <v>1238</v>
      </c>
      <c r="E628" s="4" t="s">
        <v>1239</v>
      </c>
      <c r="F628" s="4">
        <v>1</v>
      </c>
      <c r="G628" s="7">
        <v>8.99</v>
      </c>
    </row>
    <row r="629" spans="1:7" hidden="1">
      <c r="A629" s="4" t="s">
        <v>807</v>
      </c>
      <c r="B629" s="4" t="s">
        <v>811</v>
      </c>
      <c r="C629" s="4">
        <v>99350139274</v>
      </c>
      <c r="D629" s="4" t="s">
        <v>1240</v>
      </c>
      <c r="E629" s="4" t="s">
        <v>1241</v>
      </c>
      <c r="F629" s="4">
        <v>1</v>
      </c>
      <c r="G629" s="7">
        <v>8.99</v>
      </c>
    </row>
    <row r="630" spans="1:7" hidden="1">
      <c r="A630" s="4" t="s">
        <v>807</v>
      </c>
      <c r="B630" s="4" t="s">
        <v>945</v>
      </c>
      <c r="C630" s="4" t="s">
        <v>1242</v>
      </c>
      <c r="D630" s="4" t="s">
        <v>1243</v>
      </c>
      <c r="E630" s="4" t="s">
        <v>1244</v>
      </c>
      <c r="F630" s="4">
        <v>1</v>
      </c>
      <c r="G630" s="7">
        <v>8.99</v>
      </c>
    </row>
    <row r="631" spans="1:7" hidden="1">
      <c r="A631" s="4" t="s">
        <v>915</v>
      </c>
      <c r="B631" s="4" t="s">
        <v>915</v>
      </c>
      <c r="C631" s="4" t="s">
        <v>1245</v>
      </c>
      <c r="D631" s="4" t="s">
        <v>1246</v>
      </c>
      <c r="E631" s="4" t="s">
        <v>1247</v>
      </c>
      <c r="F631" s="4">
        <v>1</v>
      </c>
      <c r="G631" s="7">
        <v>8.99</v>
      </c>
    </row>
    <row r="632" spans="1:7" hidden="1">
      <c r="A632" s="4" t="s">
        <v>807</v>
      </c>
      <c r="B632" s="4" t="s">
        <v>825</v>
      </c>
      <c r="C632" s="4">
        <v>29101277000</v>
      </c>
      <c r="D632" s="4" t="s">
        <v>1248</v>
      </c>
      <c r="E632" s="4" t="s">
        <v>1249</v>
      </c>
      <c r="F632" s="4">
        <v>1</v>
      </c>
      <c r="G632" s="7">
        <v>8.99</v>
      </c>
    </row>
    <row r="633" spans="1:7" hidden="1">
      <c r="A633" s="4" t="s">
        <v>915</v>
      </c>
      <c r="B633" s="4" t="s">
        <v>915</v>
      </c>
      <c r="C633" s="4" t="s">
        <v>1250</v>
      </c>
      <c r="D633" s="4" t="s">
        <v>1251</v>
      </c>
      <c r="E633" s="4" t="s">
        <v>1252</v>
      </c>
      <c r="F633" s="4">
        <v>1</v>
      </c>
      <c r="G633" s="7">
        <v>8.99</v>
      </c>
    </row>
    <row r="634" spans="1:7" hidden="1">
      <c r="A634" s="4" t="s">
        <v>807</v>
      </c>
      <c r="B634" s="4" t="s">
        <v>825</v>
      </c>
      <c r="C634" s="4">
        <v>29100588000</v>
      </c>
      <c r="D634" s="4" t="s">
        <v>1253</v>
      </c>
      <c r="E634" s="4" t="s">
        <v>1254</v>
      </c>
      <c r="F634" s="4">
        <v>1</v>
      </c>
      <c r="G634" s="7">
        <v>8.99</v>
      </c>
    </row>
    <row r="635" spans="1:7" hidden="1">
      <c r="A635" s="4" t="s">
        <v>807</v>
      </c>
      <c r="B635" s="4" t="s">
        <v>808</v>
      </c>
      <c r="C635" s="4" t="s">
        <v>1255</v>
      </c>
      <c r="D635" s="4" t="s">
        <v>1256</v>
      </c>
      <c r="E635" s="4" t="s">
        <v>1257</v>
      </c>
      <c r="F635" s="4">
        <v>1</v>
      </c>
      <c r="G635" s="7">
        <v>8.99</v>
      </c>
    </row>
    <row r="636" spans="1:7" hidden="1">
      <c r="A636" s="4" t="s">
        <v>807</v>
      </c>
      <c r="B636" s="4" t="s">
        <v>962</v>
      </c>
      <c r="C636" s="4" t="s">
        <v>1258</v>
      </c>
      <c r="D636" s="4" t="s">
        <v>1259</v>
      </c>
      <c r="E636" s="4" t="s">
        <v>1260</v>
      </c>
      <c r="F636" s="4">
        <v>1</v>
      </c>
      <c r="G636" s="7">
        <v>8.99</v>
      </c>
    </row>
    <row r="637" spans="1:7" hidden="1">
      <c r="A637" s="4" t="s">
        <v>1261</v>
      </c>
      <c r="B637" s="4"/>
      <c r="C637" s="4" t="s">
        <v>1262</v>
      </c>
      <c r="D637" s="4" t="s">
        <v>1263</v>
      </c>
      <c r="E637" s="4" t="s">
        <v>1264</v>
      </c>
      <c r="F637" s="4">
        <v>1</v>
      </c>
      <c r="G637" s="7">
        <v>8.99</v>
      </c>
    </row>
    <row r="638" spans="1:7" hidden="1">
      <c r="A638" s="4" t="s">
        <v>807</v>
      </c>
      <c r="B638" s="4" t="s">
        <v>825</v>
      </c>
      <c r="C638" s="4">
        <v>29101772000</v>
      </c>
      <c r="D638" s="4" t="s">
        <v>1265</v>
      </c>
      <c r="E638" s="4" t="s">
        <v>1266</v>
      </c>
      <c r="F638" s="4">
        <v>1</v>
      </c>
      <c r="G638" s="7">
        <v>8.99</v>
      </c>
    </row>
    <row r="639" spans="1:7" hidden="1">
      <c r="A639" s="4" t="s">
        <v>807</v>
      </c>
      <c r="B639" s="4" t="s">
        <v>811</v>
      </c>
      <c r="C639" s="4" t="s">
        <v>1267</v>
      </c>
      <c r="D639" s="4" t="s">
        <v>1268</v>
      </c>
      <c r="E639" s="4" t="s">
        <v>1269</v>
      </c>
      <c r="F639" s="4">
        <v>1</v>
      </c>
      <c r="G639" s="7">
        <v>8.99</v>
      </c>
    </row>
    <row r="640" spans="1:7" hidden="1">
      <c r="A640" s="4" t="s">
        <v>807</v>
      </c>
      <c r="B640" s="4" t="s">
        <v>945</v>
      </c>
      <c r="C640" s="4" t="s">
        <v>1270</v>
      </c>
      <c r="D640" s="4" t="s">
        <v>1271</v>
      </c>
      <c r="E640" s="4" t="s">
        <v>1272</v>
      </c>
      <c r="F640" s="4">
        <v>1</v>
      </c>
      <c r="G640" s="7">
        <v>8.99</v>
      </c>
    </row>
    <row r="641" spans="1:7" hidden="1">
      <c r="A641" s="4" t="s">
        <v>807</v>
      </c>
      <c r="B641" s="4" t="s">
        <v>825</v>
      </c>
      <c r="C641" s="4">
        <v>99350145002</v>
      </c>
      <c r="D641" s="4" t="s">
        <v>1273</v>
      </c>
      <c r="E641" s="4" t="s">
        <v>1274</v>
      </c>
      <c r="F641" s="4">
        <v>1</v>
      </c>
      <c r="G641" s="7">
        <v>8.99</v>
      </c>
    </row>
    <row r="642" spans="1:7" hidden="1">
      <c r="A642" s="4" t="s">
        <v>807</v>
      </c>
      <c r="B642" s="4" t="s">
        <v>962</v>
      </c>
      <c r="C642" s="4">
        <v>270325.09999999998</v>
      </c>
      <c r="D642" s="4" t="s">
        <v>1275</v>
      </c>
      <c r="E642" s="4" t="s">
        <v>1276</v>
      </c>
      <c r="F642" s="4">
        <v>1</v>
      </c>
      <c r="G642" s="7">
        <v>8.99</v>
      </c>
    </row>
    <row r="643" spans="1:7" hidden="1">
      <c r="A643" s="4" t="s">
        <v>807</v>
      </c>
      <c r="B643" s="4" t="s">
        <v>825</v>
      </c>
      <c r="C643" s="4">
        <v>29101799000</v>
      </c>
      <c r="D643" s="4" t="s">
        <v>1277</v>
      </c>
      <c r="E643" s="4" t="s">
        <v>1278</v>
      </c>
      <c r="F643" s="4">
        <v>1</v>
      </c>
      <c r="G643" s="7">
        <v>8.99</v>
      </c>
    </row>
    <row r="644" spans="1:7" hidden="1">
      <c r="A644" s="4" t="s">
        <v>807</v>
      </c>
      <c r="B644" s="4" t="s">
        <v>808</v>
      </c>
      <c r="C644" s="4" t="s">
        <v>1279</v>
      </c>
      <c r="D644" s="4" t="s">
        <v>1280</v>
      </c>
      <c r="E644" s="4" t="s">
        <v>1281</v>
      </c>
      <c r="F644" s="4">
        <v>1</v>
      </c>
      <c r="G644" s="7">
        <v>8.99</v>
      </c>
    </row>
    <row r="645" spans="1:7" hidden="1">
      <c r="A645" s="4" t="s">
        <v>807</v>
      </c>
      <c r="B645" s="4" t="s">
        <v>825</v>
      </c>
      <c r="C645" s="4">
        <v>99350165019</v>
      </c>
      <c r="D645" s="4" t="s">
        <v>1282</v>
      </c>
      <c r="E645" s="4" t="s">
        <v>1283</v>
      </c>
      <c r="F645" s="4">
        <v>1</v>
      </c>
      <c r="G645" s="7">
        <v>8.99</v>
      </c>
    </row>
    <row r="646" spans="1:7" hidden="1">
      <c r="A646" s="4" t="s">
        <v>807</v>
      </c>
      <c r="B646" s="4" t="s">
        <v>825</v>
      </c>
      <c r="C646" s="4">
        <v>29101779000</v>
      </c>
      <c r="D646" s="4" t="s">
        <v>1284</v>
      </c>
      <c r="E646" s="4" t="s">
        <v>1131</v>
      </c>
      <c r="F646" s="4">
        <v>1</v>
      </c>
      <c r="G646" s="7">
        <v>8.99</v>
      </c>
    </row>
    <row r="647" spans="1:7" hidden="1">
      <c r="A647" s="4" t="s">
        <v>807</v>
      </c>
      <c r="B647" s="4" t="s">
        <v>825</v>
      </c>
      <c r="C647" s="4" t="s">
        <v>1285</v>
      </c>
      <c r="D647" s="4" t="s">
        <v>1286</v>
      </c>
      <c r="E647" s="4" t="s">
        <v>1287</v>
      </c>
      <c r="F647" s="4">
        <v>1</v>
      </c>
      <c r="G647" s="7">
        <v>8.99</v>
      </c>
    </row>
    <row r="648" spans="1:7" hidden="1">
      <c r="A648" s="4" t="s">
        <v>807</v>
      </c>
      <c r="B648" s="4" t="s">
        <v>825</v>
      </c>
      <c r="C648" s="4" t="s">
        <v>1288</v>
      </c>
      <c r="D648" s="4" t="s">
        <v>1289</v>
      </c>
      <c r="E648" s="4" t="s">
        <v>1288</v>
      </c>
      <c r="F648" s="4">
        <v>1</v>
      </c>
      <c r="G648" s="7">
        <v>8.99</v>
      </c>
    </row>
    <row r="649" spans="1:7" hidden="1">
      <c r="A649" s="4" t="s">
        <v>807</v>
      </c>
      <c r="B649" s="4" t="s">
        <v>811</v>
      </c>
      <c r="C649" s="4" t="s">
        <v>969</v>
      </c>
      <c r="D649" s="4" t="s">
        <v>1290</v>
      </c>
      <c r="E649" s="4" t="s">
        <v>971</v>
      </c>
      <c r="F649" s="4">
        <v>1</v>
      </c>
      <c r="G649" s="7">
        <v>8.99</v>
      </c>
    </row>
    <row r="650" spans="1:7" hidden="1">
      <c r="A650" s="4" t="s">
        <v>807</v>
      </c>
      <c r="B650" s="4" t="s">
        <v>825</v>
      </c>
      <c r="C650" s="4" t="s">
        <v>1288</v>
      </c>
      <c r="D650" s="4" t="s">
        <v>1291</v>
      </c>
      <c r="E650" s="4" t="s">
        <v>1288</v>
      </c>
      <c r="F650" s="4">
        <v>1</v>
      </c>
      <c r="G650" s="7">
        <v>8.99</v>
      </c>
    </row>
    <row r="651" spans="1:7" hidden="1">
      <c r="A651" s="4" t="s">
        <v>807</v>
      </c>
      <c r="B651" s="4" t="s">
        <v>811</v>
      </c>
      <c r="C651" s="4" t="s">
        <v>969</v>
      </c>
      <c r="D651" s="4" t="s">
        <v>1292</v>
      </c>
      <c r="E651" s="4" t="s">
        <v>971</v>
      </c>
      <c r="F651" s="4">
        <v>1</v>
      </c>
      <c r="G651" s="7">
        <v>8.99</v>
      </c>
    </row>
    <row r="652" spans="1:7" hidden="1">
      <c r="A652" s="4" t="s">
        <v>807</v>
      </c>
      <c r="B652" s="4" t="s">
        <v>825</v>
      </c>
      <c r="C652" s="4">
        <v>29102732000</v>
      </c>
      <c r="D652" s="4" t="s">
        <v>1293</v>
      </c>
      <c r="E652" s="4" t="s">
        <v>1294</v>
      </c>
      <c r="F652" s="4">
        <v>1</v>
      </c>
      <c r="G652" s="7">
        <v>8.99</v>
      </c>
    </row>
    <row r="653" spans="1:7" hidden="1">
      <c r="A653" s="4" t="s">
        <v>807</v>
      </c>
      <c r="B653" s="4" t="s">
        <v>825</v>
      </c>
      <c r="C653" s="4" t="s">
        <v>1288</v>
      </c>
      <c r="D653" s="4" t="s">
        <v>1295</v>
      </c>
      <c r="E653" s="4" t="s">
        <v>1288</v>
      </c>
      <c r="F653" s="4">
        <v>1</v>
      </c>
      <c r="G653" s="7">
        <v>8.99</v>
      </c>
    </row>
    <row r="654" spans="1:7" hidden="1">
      <c r="A654" s="4" t="s">
        <v>807</v>
      </c>
      <c r="B654" s="4" t="s">
        <v>825</v>
      </c>
      <c r="C654" s="4">
        <v>29101782000</v>
      </c>
      <c r="D654" s="4" t="s">
        <v>1296</v>
      </c>
      <c r="E654" s="4" t="s">
        <v>1297</v>
      </c>
      <c r="F654" s="4">
        <v>1</v>
      </c>
      <c r="G654" s="7">
        <v>8.99</v>
      </c>
    </row>
    <row r="655" spans="1:7" hidden="1">
      <c r="A655" s="4" t="s">
        <v>807</v>
      </c>
      <c r="B655" s="4" t="s">
        <v>825</v>
      </c>
      <c r="C655" s="4">
        <v>29101798000</v>
      </c>
      <c r="D655" s="4" t="s">
        <v>1298</v>
      </c>
      <c r="E655" s="4" t="s">
        <v>1056</v>
      </c>
      <c r="F655" s="4">
        <v>1</v>
      </c>
      <c r="G655" s="7">
        <v>8.99</v>
      </c>
    </row>
    <row r="656" spans="1:7" hidden="1">
      <c r="A656" s="4" t="s">
        <v>807</v>
      </c>
      <c r="B656" s="4" t="s">
        <v>825</v>
      </c>
      <c r="C656" s="4" t="s">
        <v>1288</v>
      </c>
      <c r="D656" s="4" t="s">
        <v>1299</v>
      </c>
      <c r="E656" s="4" t="s">
        <v>1288</v>
      </c>
      <c r="F656" s="4">
        <v>1</v>
      </c>
      <c r="G656" s="7">
        <v>8.99</v>
      </c>
    </row>
    <row r="657" spans="1:7" hidden="1">
      <c r="A657" s="4" t="s">
        <v>807</v>
      </c>
      <c r="B657" s="4" t="s">
        <v>825</v>
      </c>
      <c r="C657" s="4" t="s">
        <v>1300</v>
      </c>
      <c r="D657" s="4" t="s">
        <v>1301</v>
      </c>
      <c r="E657" s="4" t="s">
        <v>1287</v>
      </c>
      <c r="F657" s="4">
        <v>1</v>
      </c>
      <c r="G657" s="7">
        <v>8.99</v>
      </c>
    </row>
    <row r="658" spans="1:7" hidden="1">
      <c r="A658" s="4" t="s">
        <v>807</v>
      </c>
      <c r="B658" s="4" t="s">
        <v>825</v>
      </c>
      <c r="C658" s="4" t="s">
        <v>1302</v>
      </c>
      <c r="D658" s="4" t="s">
        <v>1303</v>
      </c>
      <c r="E658" s="4" t="s">
        <v>1287</v>
      </c>
      <c r="F658" s="4">
        <v>1</v>
      </c>
      <c r="G658" s="7">
        <v>8.99</v>
      </c>
    </row>
    <row r="659" spans="1:7" hidden="1">
      <c r="A659" s="4" t="s">
        <v>807</v>
      </c>
      <c r="B659" s="4" t="s">
        <v>825</v>
      </c>
      <c r="C659" s="4">
        <v>29101794000</v>
      </c>
      <c r="D659" s="4" t="s">
        <v>1304</v>
      </c>
      <c r="E659" s="4" t="s">
        <v>1305</v>
      </c>
      <c r="F659" s="4">
        <v>1</v>
      </c>
      <c r="G659" s="7">
        <v>8.99</v>
      </c>
    </row>
    <row r="660" spans="1:7" hidden="1">
      <c r="A660" s="4" t="s">
        <v>807</v>
      </c>
      <c r="B660" s="4" t="s">
        <v>808</v>
      </c>
      <c r="C660" s="4" t="s">
        <v>1057</v>
      </c>
      <c r="D660" s="4" t="s">
        <v>1306</v>
      </c>
      <c r="E660" s="4" t="s">
        <v>1059</v>
      </c>
      <c r="F660" s="4">
        <v>1</v>
      </c>
      <c r="G660" s="7">
        <v>8.99</v>
      </c>
    </row>
    <row r="661" spans="1:7" hidden="1">
      <c r="A661" s="4" t="s">
        <v>915</v>
      </c>
      <c r="B661" s="4" t="s">
        <v>915</v>
      </c>
      <c r="C661" s="4">
        <v>54004388</v>
      </c>
      <c r="D661" s="4" t="s">
        <v>1307</v>
      </c>
      <c r="E661" s="4" t="s">
        <v>1308</v>
      </c>
      <c r="F661" s="4">
        <v>1</v>
      </c>
      <c r="G661" s="7">
        <v>8.99</v>
      </c>
    </row>
    <row r="662" spans="1:7" hidden="1">
      <c r="A662" s="4" t="s">
        <v>807</v>
      </c>
      <c r="B662" s="4" t="s">
        <v>825</v>
      </c>
      <c r="C662" s="4">
        <v>29165275000</v>
      </c>
      <c r="D662" s="4" t="s">
        <v>1309</v>
      </c>
      <c r="E662" s="4" t="s">
        <v>1310</v>
      </c>
      <c r="F662" s="4">
        <v>1</v>
      </c>
      <c r="G662" s="7">
        <v>8.99</v>
      </c>
    </row>
    <row r="663" spans="1:7" hidden="1">
      <c r="A663" s="4" t="s">
        <v>1051</v>
      </c>
      <c r="B663" s="4"/>
      <c r="C663" s="4" t="s">
        <v>1311</v>
      </c>
      <c r="D663" s="4" t="s">
        <v>1312</v>
      </c>
      <c r="E663" s="4" t="s">
        <v>1313</v>
      </c>
      <c r="F663" s="4">
        <v>1</v>
      </c>
      <c r="G663" s="7">
        <v>8.99</v>
      </c>
    </row>
    <row r="664" spans="1:7" hidden="1">
      <c r="A664" s="4" t="s">
        <v>807</v>
      </c>
      <c r="B664" s="4" t="s">
        <v>811</v>
      </c>
      <c r="C664" s="4" t="s">
        <v>969</v>
      </c>
      <c r="D664" s="4" t="s">
        <v>1314</v>
      </c>
      <c r="E664" s="4" t="s">
        <v>971</v>
      </c>
      <c r="F664" s="4">
        <v>1</v>
      </c>
      <c r="G664" s="7">
        <v>8.99</v>
      </c>
    </row>
    <row r="665" spans="1:7" hidden="1">
      <c r="A665" s="4" t="s">
        <v>807</v>
      </c>
      <c r="B665" s="4" t="s">
        <v>825</v>
      </c>
      <c r="C665" s="4">
        <v>29101779000</v>
      </c>
      <c r="D665" s="4" t="s">
        <v>1315</v>
      </c>
      <c r="E665" s="4" t="s">
        <v>1131</v>
      </c>
      <c r="F665" s="4">
        <v>1</v>
      </c>
      <c r="G665" s="7">
        <v>8.99</v>
      </c>
    </row>
    <row r="666" spans="1:7" hidden="1">
      <c r="A666" s="4" t="s">
        <v>807</v>
      </c>
      <c r="B666" s="4" t="s">
        <v>811</v>
      </c>
      <c r="C666" s="4" t="s">
        <v>969</v>
      </c>
      <c r="D666" s="4" t="s">
        <v>1316</v>
      </c>
      <c r="E666" s="4" t="s">
        <v>971</v>
      </c>
      <c r="F666" s="4">
        <v>1</v>
      </c>
      <c r="G666" s="7">
        <v>8.99</v>
      </c>
    </row>
    <row r="667" spans="1:7" hidden="1">
      <c r="A667" s="4" t="s">
        <v>807</v>
      </c>
      <c r="B667" s="4" t="s">
        <v>811</v>
      </c>
      <c r="C667" s="4" t="s">
        <v>969</v>
      </c>
      <c r="D667" s="4" t="s">
        <v>1317</v>
      </c>
      <c r="E667" s="4" t="s">
        <v>971</v>
      </c>
      <c r="F667" s="4">
        <v>1</v>
      </c>
      <c r="G667" s="7">
        <v>8.99</v>
      </c>
    </row>
    <row r="668" spans="1:7" hidden="1">
      <c r="A668" s="4" t="s">
        <v>807</v>
      </c>
      <c r="B668" s="4" t="s">
        <v>811</v>
      </c>
      <c r="C668" s="4" t="s">
        <v>969</v>
      </c>
      <c r="D668" s="4" t="s">
        <v>1318</v>
      </c>
      <c r="E668" s="4" t="s">
        <v>971</v>
      </c>
      <c r="F668" s="4">
        <v>1</v>
      </c>
      <c r="G668" s="7">
        <v>8.99</v>
      </c>
    </row>
    <row r="669" spans="1:7" hidden="1">
      <c r="A669" s="4" t="s">
        <v>807</v>
      </c>
      <c r="B669" s="4" t="s">
        <v>825</v>
      </c>
      <c r="C669" s="4">
        <v>29175008000</v>
      </c>
      <c r="D669" s="4" t="s">
        <v>1319</v>
      </c>
      <c r="E669" s="4" t="s">
        <v>1320</v>
      </c>
      <c r="F669" s="4">
        <v>1</v>
      </c>
      <c r="G669" s="7">
        <v>8.99</v>
      </c>
    </row>
    <row r="670" spans="1:7" hidden="1">
      <c r="A670" s="4" t="s">
        <v>807</v>
      </c>
      <c r="B670" s="4" t="s">
        <v>825</v>
      </c>
      <c r="C670" s="4" t="s">
        <v>1321</v>
      </c>
      <c r="D670" s="4" t="s">
        <v>1322</v>
      </c>
      <c r="E670" s="4" t="s">
        <v>1287</v>
      </c>
      <c r="F670" s="4">
        <v>1</v>
      </c>
      <c r="G670" s="7">
        <v>8.99</v>
      </c>
    </row>
    <row r="671" spans="1:7" hidden="1">
      <c r="A671" s="4" t="s">
        <v>807</v>
      </c>
      <c r="B671" s="4" t="s">
        <v>825</v>
      </c>
      <c r="C671" s="4" t="s">
        <v>1323</v>
      </c>
      <c r="D671" s="4" t="s">
        <v>1324</v>
      </c>
      <c r="E671" s="4" t="s">
        <v>1287</v>
      </c>
      <c r="F671" s="4">
        <v>1</v>
      </c>
      <c r="G671" s="7">
        <v>8.99</v>
      </c>
    </row>
    <row r="672" spans="1:7" hidden="1">
      <c r="A672" s="4" t="s">
        <v>807</v>
      </c>
      <c r="B672" s="4" t="s">
        <v>811</v>
      </c>
      <c r="C672" s="4" t="s">
        <v>969</v>
      </c>
      <c r="D672" s="4" t="s">
        <v>1325</v>
      </c>
      <c r="E672" s="4" t="s">
        <v>971</v>
      </c>
      <c r="F672" s="4">
        <v>1</v>
      </c>
      <c r="G672" s="7">
        <v>8.99</v>
      </c>
    </row>
    <row r="673" spans="1:7" hidden="1">
      <c r="A673" s="4" t="s">
        <v>807</v>
      </c>
      <c r="B673" s="4" t="s">
        <v>825</v>
      </c>
      <c r="C673" s="4">
        <v>99350168006</v>
      </c>
      <c r="D673" s="4" t="s">
        <v>1326</v>
      </c>
      <c r="E673" s="4" t="s">
        <v>1327</v>
      </c>
      <c r="F673" s="4">
        <v>1</v>
      </c>
      <c r="G673" s="7">
        <v>8.99</v>
      </c>
    </row>
    <row r="674" spans="1:7" hidden="1">
      <c r="A674" s="4" t="s">
        <v>807</v>
      </c>
      <c r="B674" s="4" t="s">
        <v>825</v>
      </c>
      <c r="C674" s="4">
        <v>29185261000</v>
      </c>
      <c r="D674" s="4" t="s">
        <v>1328</v>
      </c>
      <c r="E674" s="4" t="s">
        <v>1329</v>
      </c>
      <c r="F674" s="4">
        <v>1</v>
      </c>
      <c r="G674" s="7">
        <v>8.99</v>
      </c>
    </row>
    <row r="675" spans="1:7" hidden="1">
      <c r="A675" s="4" t="s">
        <v>807</v>
      </c>
      <c r="B675" s="4" t="s">
        <v>808</v>
      </c>
      <c r="C675" s="4" t="s">
        <v>1031</v>
      </c>
      <c r="D675" s="4" t="s">
        <v>1330</v>
      </c>
      <c r="E675" s="4" t="s">
        <v>1033</v>
      </c>
      <c r="F675" s="4">
        <v>1</v>
      </c>
      <c r="G675" s="7">
        <v>8.99</v>
      </c>
    </row>
    <row r="676" spans="1:7" hidden="1">
      <c r="A676" s="4" t="s">
        <v>807</v>
      </c>
      <c r="B676" s="4" t="s">
        <v>825</v>
      </c>
      <c r="C676" s="4">
        <v>99350168006</v>
      </c>
      <c r="D676" s="4" t="s">
        <v>1331</v>
      </c>
      <c r="E676" s="4" t="s">
        <v>1327</v>
      </c>
      <c r="F676" s="4">
        <v>1</v>
      </c>
      <c r="G676" s="7">
        <v>8.99</v>
      </c>
    </row>
    <row r="677" spans="1:7" hidden="1">
      <c r="A677" s="4" t="s">
        <v>807</v>
      </c>
      <c r="B677" s="4" t="s">
        <v>825</v>
      </c>
      <c r="C677" s="4">
        <v>99350124542</v>
      </c>
      <c r="D677" s="4" t="s">
        <v>1332</v>
      </c>
      <c r="E677" s="4" t="s">
        <v>1333</v>
      </c>
      <c r="F677" s="4">
        <v>1</v>
      </c>
      <c r="G677" s="7">
        <v>8.99</v>
      </c>
    </row>
    <row r="678" spans="1:7" hidden="1">
      <c r="A678" s="4" t="s">
        <v>807</v>
      </c>
      <c r="B678" s="4" t="s">
        <v>825</v>
      </c>
      <c r="C678" s="4" t="s">
        <v>1334</v>
      </c>
      <c r="D678" s="4" t="s">
        <v>1335</v>
      </c>
      <c r="E678" s="4" t="s">
        <v>1287</v>
      </c>
      <c r="F678" s="4">
        <v>1</v>
      </c>
      <c r="G678" s="7">
        <v>8.99</v>
      </c>
    </row>
    <row r="679" spans="1:7" hidden="1">
      <c r="A679" s="4" t="s">
        <v>807</v>
      </c>
      <c r="B679" s="4" t="s">
        <v>825</v>
      </c>
      <c r="C679" s="4">
        <v>29175008000</v>
      </c>
      <c r="D679" s="4" t="s">
        <v>1336</v>
      </c>
      <c r="E679" s="4" t="s">
        <v>1320</v>
      </c>
      <c r="F679" s="4">
        <v>1</v>
      </c>
      <c r="G679" s="7">
        <v>8.99</v>
      </c>
    </row>
    <row r="680" spans="1:7" hidden="1">
      <c r="A680" s="4" t="s">
        <v>807</v>
      </c>
      <c r="B680" s="4" t="s">
        <v>825</v>
      </c>
      <c r="C680" s="4">
        <v>29166052000</v>
      </c>
      <c r="D680" s="4" t="s">
        <v>1337</v>
      </c>
      <c r="E680" s="4" t="s">
        <v>1338</v>
      </c>
      <c r="F680" s="4">
        <v>1</v>
      </c>
      <c r="G680" s="7">
        <v>8.99</v>
      </c>
    </row>
    <row r="681" spans="1:7" hidden="1">
      <c r="A681" s="4" t="s">
        <v>807</v>
      </c>
      <c r="B681" s="4" t="s">
        <v>962</v>
      </c>
      <c r="C681" s="4" t="s">
        <v>1258</v>
      </c>
      <c r="D681" s="4" t="s">
        <v>1339</v>
      </c>
      <c r="E681" s="4" t="s">
        <v>1260</v>
      </c>
      <c r="F681" s="4">
        <v>1</v>
      </c>
      <c r="G681" s="7">
        <v>8.99</v>
      </c>
    </row>
    <row r="682" spans="1:7" hidden="1">
      <c r="A682" s="4" t="s">
        <v>807</v>
      </c>
      <c r="B682" s="4" t="s">
        <v>825</v>
      </c>
      <c r="C682" s="4">
        <v>29166052000</v>
      </c>
      <c r="D682" s="4" t="s">
        <v>1340</v>
      </c>
      <c r="E682" s="4" t="s">
        <v>1338</v>
      </c>
      <c r="F682" s="4">
        <v>1</v>
      </c>
      <c r="G682" s="7">
        <v>8.99</v>
      </c>
    </row>
    <row r="683" spans="1:7" hidden="1">
      <c r="A683" s="4" t="s">
        <v>807</v>
      </c>
      <c r="B683" s="4" t="s">
        <v>962</v>
      </c>
      <c r="C683" s="4" t="s">
        <v>1258</v>
      </c>
      <c r="D683" s="4" t="s">
        <v>1341</v>
      </c>
      <c r="E683" s="4" t="s">
        <v>1260</v>
      </c>
      <c r="F683" s="4">
        <v>1</v>
      </c>
      <c r="G683" s="7">
        <v>8.99</v>
      </c>
    </row>
    <row r="684" spans="1:7" hidden="1">
      <c r="A684" s="4" t="s">
        <v>807</v>
      </c>
      <c r="B684" s="4" t="s">
        <v>825</v>
      </c>
      <c r="C684" s="4">
        <v>29166145000</v>
      </c>
      <c r="D684" s="4" t="s">
        <v>1342</v>
      </c>
      <c r="E684" s="4" t="s">
        <v>1343</v>
      </c>
      <c r="F684" s="4">
        <v>1</v>
      </c>
      <c r="G684" s="7">
        <v>8.99</v>
      </c>
    </row>
    <row r="685" spans="1:7" hidden="1">
      <c r="A685" s="4" t="s">
        <v>807</v>
      </c>
      <c r="B685" s="4" t="s">
        <v>962</v>
      </c>
      <c r="C685" s="4" t="s">
        <v>1258</v>
      </c>
      <c r="D685" s="4" t="s">
        <v>1344</v>
      </c>
      <c r="E685" s="4" t="s">
        <v>1260</v>
      </c>
      <c r="F685" s="4">
        <v>1</v>
      </c>
      <c r="G685" s="7">
        <v>8.99</v>
      </c>
    </row>
    <row r="686" spans="1:7" hidden="1">
      <c r="A686" s="4" t="s">
        <v>807</v>
      </c>
      <c r="B686" s="4" t="s">
        <v>825</v>
      </c>
      <c r="C686" s="4">
        <v>29101809000</v>
      </c>
      <c r="D686" s="4" t="s">
        <v>1345</v>
      </c>
      <c r="E686" s="4" t="s">
        <v>1346</v>
      </c>
      <c r="F686" s="4">
        <v>1</v>
      </c>
      <c r="G686" s="7">
        <v>8.99</v>
      </c>
    </row>
    <row r="687" spans="1:7" hidden="1">
      <c r="A687" s="4" t="s">
        <v>807</v>
      </c>
      <c r="B687" s="4" t="s">
        <v>825</v>
      </c>
      <c r="C687" s="4">
        <v>29101774000</v>
      </c>
      <c r="D687" s="4" t="s">
        <v>1347</v>
      </c>
      <c r="E687" s="4" t="s">
        <v>1065</v>
      </c>
      <c r="F687" s="4">
        <v>1</v>
      </c>
      <c r="G687" s="7">
        <v>8.99</v>
      </c>
    </row>
    <row r="688" spans="1:7" hidden="1">
      <c r="A688" s="4" t="s">
        <v>807</v>
      </c>
      <c r="B688" s="4" t="s">
        <v>825</v>
      </c>
      <c r="C688" s="4">
        <v>29155445000</v>
      </c>
      <c r="D688" s="4" t="s">
        <v>1348</v>
      </c>
      <c r="E688" s="4" t="s">
        <v>1349</v>
      </c>
      <c r="F688" s="4">
        <v>1</v>
      </c>
      <c r="G688" s="7">
        <v>8.99</v>
      </c>
    </row>
    <row r="689" spans="1:7" hidden="1">
      <c r="A689" s="4" t="s">
        <v>807</v>
      </c>
      <c r="B689" s="4" t="s">
        <v>962</v>
      </c>
      <c r="C689" s="4" t="s">
        <v>1258</v>
      </c>
      <c r="D689" s="4" t="s">
        <v>1350</v>
      </c>
      <c r="E689" s="4" t="s">
        <v>1260</v>
      </c>
      <c r="F689" s="4">
        <v>1</v>
      </c>
      <c r="G689" s="7">
        <v>8.99</v>
      </c>
    </row>
    <row r="690" spans="1:7" hidden="1">
      <c r="A690" s="4" t="s">
        <v>807</v>
      </c>
      <c r="B690" s="4" t="s">
        <v>825</v>
      </c>
      <c r="C690" s="4">
        <v>29101798000</v>
      </c>
      <c r="D690" s="4" t="s">
        <v>1351</v>
      </c>
      <c r="E690" s="4" t="s">
        <v>1056</v>
      </c>
      <c r="F690" s="4">
        <v>1</v>
      </c>
      <c r="G690" s="7">
        <v>8.99</v>
      </c>
    </row>
    <row r="691" spans="1:7" hidden="1">
      <c r="A691" s="4" t="s">
        <v>807</v>
      </c>
      <c r="B691" s="4" t="s">
        <v>825</v>
      </c>
      <c r="C691" s="4">
        <v>99350168006</v>
      </c>
      <c r="D691" s="4" t="s">
        <v>1352</v>
      </c>
      <c r="E691" s="4" t="s">
        <v>1327</v>
      </c>
      <c r="F691" s="4">
        <v>1</v>
      </c>
      <c r="G691" s="7">
        <v>8.99</v>
      </c>
    </row>
    <row r="692" spans="1:7" hidden="1">
      <c r="A692" s="4" t="s">
        <v>807</v>
      </c>
      <c r="B692" s="4" t="s">
        <v>825</v>
      </c>
      <c r="C692" s="4">
        <v>29101258000</v>
      </c>
      <c r="D692" s="4" t="s">
        <v>1353</v>
      </c>
      <c r="E692" s="4" t="s">
        <v>1354</v>
      </c>
      <c r="F692" s="4">
        <v>1</v>
      </c>
      <c r="G692" s="7">
        <v>8.99</v>
      </c>
    </row>
    <row r="693" spans="1:7" hidden="1">
      <c r="A693" s="4" t="s">
        <v>815</v>
      </c>
      <c r="B693" s="4" t="s">
        <v>816</v>
      </c>
      <c r="C693" s="4" t="s">
        <v>1355</v>
      </c>
      <c r="D693" s="4" t="s">
        <v>1356</v>
      </c>
      <c r="E693" s="4" t="s">
        <v>1357</v>
      </c>
      <c r="F693" s="4">
        <v>1</v>
      </c>
      <c r="G693" s="7">
        <v>8.99</v>
      </c>
    </row>
    <row r="694" spans="1:7" hidden="1">
      <c r="A694" s="4" t="s">
        <v>915</v>
      </c>
      <c r="B694" s="4"/>
      <c r="C694" s="4">
        <v>54006347</v>
      </c>
      <c r="D694" s="4" t="s">
        <v>1358</v>
      </c>
      <c r="E694" s="4" t="s">
        <v>1359</v>
      </c>
      <c r="F694" s="4">
        <v>1</v>
      </c>
      <c r="G694" s="7">
        <v>8.99</v>
      </c>
    </row>
    <row r="695" spans="1:7" hidden="1">
      <c r="A695" s="4" t="s">
        <v>807</v>
      </c>
      <c r="B695" s="4" t="s">
        <v>808</v>
      </c>
      <c r="C695" s="4" t="s">
        <v>1360</v>
      </c>
      <c r="D695" s="4" t="s">
        <v>1361</v>
      </c>
      <c r="E695" s="4" t="s">
        <v>1362</v>
      </c>
      <c r="F695" s="4">
        <v>1</v>
      </c>
      <c r="G695" s="7">
        <v>8.99</v>
      </c>
    </row>
    <row r="696" spans="1:7" hidden="1">
      <c r="A696" s="4" t="s">
        <v>807</v>
      </c>
      <c r="B696" s="4" t="s">
        <v>825</v>
      </c>
      <c r="C696" s="4">
        <v>29185263000</v>
      </c>
      <c r="D696" s="4" t="s">
        <v>1363</v>
      </c>
      <c r="E696" s="4" t="s">
        <v>1364</v>
      </c>
      <c r="F696" s="4">
        <v>1</v>
      </c>
      <c r="G696" s="7">
        <v>8.99</v>
      </c>
    </row>
    <row r="697" spans="1:7" hidden="1">
      <c r="A697" s="4" t="s">
        <v>807</v>
      </c>
      <c r="B697" s="4" t="s">
        <v>825</v>
      </c>
      <c r="C697" s="4" t="s">
        <v>1365</v>
      </c>
      <c r="D697" s="4" t="s">
        <v>1366</v>
      </c>
      <c r="E697" s="4" t="s">
        <v>1367</v>
      </c>
      <c r="F697" s="4">
        <v>1</v>
      </c>
      <c r="G697" s="7">
        <v>8.99</v>
      </c>
    </row>
    <row r="698" spans="1:7" hidden="1">
      <c r="A698" s="4" t="s">
        <v>807</v>
      </c>
      <c r="B698" s="4" t="s">
        <v>811</v>
      </c>
      <c r="C698" s="4" t="s">
        <v>1368</v>
      </c>
      <c r="D698" s="4" t="s">
        <v>1369</v>
      </c>
      <c r="E698" s="4" t="s">
        <v>1370</v>
      </c>
      <c r="F698" s="4">
        <v>1</v>
      </c>
      <c r="G698" s="7">
        <v>8.99</v>
      </c>
    </row>
    <row r="699" spans="1:7" hidden="1">
      <c r="A699" s="4" t="s">
        <v>915</v>
      </c>
      <c r="B699" s="4" t="s">
        <v>915</v>
      </c>
      <c r="C699" s="4" t="s">
        <v>1371</v>
      </c>
      <c r="D699" s="4" t="s">
        <v>1372</v>
      </c>
      <c r="E699" s="4" t="s">
        <v>1373</v>
      </c>
      <c r="F699" s="4">
        <v>1</v>
      </c>
      <c r="G699" s="7">
        <v>8.99</v>
      </c>
    </row>
    <row r="700" spans="1:7" hidden="1">
      <c r="A700" s="4" t="s">
        <v>807</v>
      </c>
      <c r="B700" s="4" t="s">
        <v>825</v>
      </c>
      <c r="C700" s="4">
        <v>29175008000</v>
      </c>
      <c r="D700" s="4" t="s">
        <v>1374</v>
      </c>
      <c r="E700" s="4" t="s">
        <v>1320</v>
      </c>
      <c r="F700" s="4">
        <v>1</v>
      </c>
      <c r="G700" s="7">
        <v>8.99</v>
      </c>
    </row>
    <row r="701" spans="1:7" hidden="1">
      <c r="A701" s="4" t="s">
        <v>807</v>
      </c>
      <c r="B701" s="4" t="s">
        <v>808</v>
      </c>
      <c r="C701" s="4" t="s">
        <v>1375</v>
      </c>
      <c r="D701" s="4" t="s">
        <v>1376</v>
      </c>
      <c r="E701" s="4" t="s">
        <v>1377</v>
      </c>
      <c r="F701" s="4">
        <v>1</v>
      </c>
      <c r="G701" s="7">
        <v>8.99</v>
      </c>
    </row>
    <row r="702" spans="1:7" hidden="1">
      <c r="A702" s="4" t="s">
        <v>807</v>
      </c>
      <c r="B702" s="4" t="s">
        <v>811</v>
      </c>
      <c r="C702" s="4" t="s">
        <v>1378</v>
      </c>
      <c r="D702" s="4" t="s">
        <v>1379</v>
      </c>
      <c r="E702" s="4" t="s">
        <v>1380</v>
      </c>
      <c r="F702" s="4">
        <v>1</v>
      </c>
      <c r="G702" s="7">
        <v>8.99</v>
      </c>
    </row>
    <row r="703" spans="1:7" hidden="1">
      <c r="A703" s="4" t="s">
        <v>1051</v>
      </c>
      <c r="B703" s="4"/>
      <c r="C703" s="4" t="s">
        <v>1381</v>
      </c>
      <c r="D703" s="4" t="s">
        <v>1382</v>
      </c>
      <c r="E703" s="4" t="s">
        <v>885</v>
      </c>
      <c r="F703" s="4">
        <v>1</v>
      </c>
      <c r="G703" s="7">
        <v>8.99</v>
      </c>
    </row>
    <row r="704" spans="1:7" hidden="1">
      <c r="A704" s="4" t="s">
        <v>807</v>
      </c>
      <c r="B704" s="4" t="s">
        <v>811</v>
      </c>
      <c r="C704" s="4" t="s">
        <v>1383</v>
      </c>
      <c r="D704" s="4" t="s">
        <v>1384</v>
      </c>
      <c r="E704" s="4" t="s">
        <v>1385</v>
      </c>
      <c r="F704" s="4">
        <v>1</v>
      </c>
      <c r="G704" s="7">
        <v>8.99</v>
      </c>
    </row>
    <row r="705" spans="1:7" hidden="1">
      <c r="A705" s="4" t="s">
        <v>807</v>
      </c>
      <c r="B705" s="4" t="s">
        <v>811</v>
      </c>
      <c r="C705" s="4" t="s">
        <v>1386</v>
      </c>
      <c r="D705" s="4" t="s">
        <v>1387</v>
      </c>
      <c r="E705" s="4" t="s">
        <v>1388</v>
      </c>
      <c r="F705" s="4">
        <v>1</v>
      </c>
      <c r="G705" s="7">
        <v>8.99</v>
      </c>
    </row>
    <row r="706" spans="1:7" hidden="1">
      <c r="A706" s="4" t="s">
        <v>807</v>
      </c>
      <c r="B706" s="4" t="s">
        <v>808</v>
      </c>
      <c r="C706" s="4" t="s">
        <v>1389</v>
      </c>
      <c r="D706" s="4" t="s">
        <v>1390</v>
      </c>
      <c r="E706" s="4" t="s">
        <v>1391</v>
      </c>
      <c r="F706" s="4">
        <v>1</v>
      </c>
      <c r="G706" s="7">
        <v>8.99</v>
      </c>
    </row>
    <row r="707" spans="1:7" hidden="1">
      <c r="A707" s="4" t="s">
        <v>807</v>
      </c>
      <c r="B707" s="4" t="s">
        <v>808</v>
      </c>
      <c r="C707" s="4" t="s">
        <v>1392</v>
      </c>
      <c r="D707" s="4" t="s">
        <v>1393</v>
      </c>
      <c r="E707" s="4" t="s">
        <v>1394</v>
      </c>
      <c r="F707" s="4">
        <v>1</v>
      </c>
      <c r="G707" s="7">
        <v>8.99</v>
      </c>
    </row>
    <row r="708" spans="1:7" hidden="1">
      <c r="A708" s="4" t="s">
        <v>807</v>
      </c>
      <c r="B708" s="4" t="s">
        <v>808</v>
      </c>
      <c r="C708" s="4" t="s">
        <v>1395</v>
      </c>
      <c r="D708" s="4" t="s">
        <v>1396</v>
      </c>
      <c r="E708" s="4" t="s">
        <v>1397</v>
      </c>
      <c r="F708" s="4">
        <v>1</v>
      </c>
      <c r="G708" s="7">
        <v>8.99</v>
      </c>
    </row>
    <row r="709" spans="1:7" hidden="1">
      <c r="A709" s="4" t="s">
        <v>807</v>
      </c>
      <c r="B709" s="4" t="s">
        <v>811</v>
      </c>
      <c r="C709" s="4" t="s">
        <v>1398</v>
      </c>
      <c r="D709" s="4" t="s">
        <v>1399</v>
      </c>
      <c r="E709" s="4" t="s">
        <v>1400</v>
      </c>
      <c r="F709" s="4">
        <v>1</v>
      </c>
      <c r="G709" s="7">
        <v>8.99</v>
      </c>
    </row>
    <row r="710" spans="1:7" hidden="1">
      <c r="A710" s="4" t="s">
        <v>807</v>
      </c>
      <c r="B710" s="4" t="s">
        <v>945</v>
      </c>
      <c r="C710" s="4" t="s">
        <v>1401</v>
      </c>
      <c r="D710" s="4" t="s">
        <v>1402</v>
      </c>
      <c r="E710" s="4" t="s">
        <v>1403</v>
      </c>
      <c r="F710" s="4">
        <v>1</v>
      </c>
      <c r="G710" s="7">
        <v>8.99</v>
      </c>
    </row>
    <row r="711" spans="1:7" hidden="1">
      <c r="A711" s="4" t="s">
        <v>807</v>
      </c>
      <c r="B711" s="4" t="s">
        <v>811</v>
      </c>
      <c r="C711" s="4" t="s">
        <v>1404</v>
      </c>
      <c r="D711" s="4" t="s">
        <v>1405</v>
      </c>
      <c r="E711" s="4" t="s">
        <v>1406</v>
      </c>
      <c r="F711" s="4">
        <v>1</v>
      </c>
      <c r="G711" s="7">
        <v>8.99</v>
      </c>
    </row>
    <row r="712" spans="1:7" hidden="1">
      <c r="A712" s="4" t="s">
        <v>807</v>
      </c>
      <c r="B712" s="4" t="s">
        <v>825</v>
      </c>
      <c r="C712" s="4">
        <v>29101779000</v>
      </c>
      <c r="D712" s="4" t="s">
        <v>1407</v>
      </c>
      <c r="E712" s="4" t="s">
        <v>1131</v>
      </c>
      <c r="F712" s="4">
        <v>1</v>
      </c>
      <c r="G712" s="7">
        <v>8.99</v>
      </c>
    </row>
    <row r="713" spans="1:7" hidden="1">
      <c r="A713" s="4" t="s">
        <v>807</v>
      </c>
      <c r="B713" s="4" t="s">
        <v>825</v>
      </c>
      <c r="C713" s="4" t="s">
        <v>1408</v>
      </c>
      <c r="D713" s="4" t="s">
        <v>1409</v>
      </c>
      <c r="E713" s="4" t="s">
        <v>1410</v>
      </c>
      <c r="F713" s="4">
        <v>1</v>
      </c>
      <c r="G713" s="7">
        <v>8.99</v>
      </c>
    </row>
    <row r="714" spans="1:7" hidden="1">
      <c r="A714" s="4" t="s">
        <v>807</v>
      </c>
      <c r="B714" s="4" t="s">
        <v>811</v>
      </c>
      <c r="C714" s="4" t="s">
        <v>1404</v>
      </c>
      <c r="D714" s="4" t="s">
        <v>1411</v>
      </c>
      <c r="E714" s="4" t="s">
        <v>1406</v>
      </c>
      <c r="F714" s="4">
        <v>1</v>
      </c>
      <c r="G714" s="7">
        <v>8.99</v>
      </c>
    </row>
    <row r="715" spans="1:7" hidden="1">
      <c r="A715" s="4" t="s">
        <v>807</v>
      </c>
      <c r="B715" s="4" t="s">
        <v>811</v>
      </c>
      <c r="C715" s="4" t="s">
        <v>1412</v>
      </c>
      <c r="D715" s="4" t="s">
        <v>1413</v>
      </c>
      <c r="E715" s="4" t="s">
        <v>1414</v>
      </c>
      <c r="F715" s="4">
        <v>1</v>
      </c>
      <c r="G715" s="7">
        <v>8.99</v>
      </c>
    </row>
    <row r="716" spans="1:7" hidden="1">
      <c r="A716" s="4" t="s">
        <v>807</v>
      </c>
      <c r="B716" s="4" t="s">
        <v>808</v>
      </c>
      <c r="C716" s="4" t="s">
        <v>1415</v>
      </c>
      <c r="D716" s="4" t="s">
        <v>1416</v>
      </c>
      <c r="E716" s="4" t="s">
        <v>1417</v>
      </c>
      <c r="F716" s="4">
        <v>1</v>
      </c>
      <c r="G716" s="7">
        <v>8.99</v>
      </c>
    </row>
    <row r="717" spans="1:7" hidden="1">
      <c r="A717" s="4" t="s">
        <v>807</v>
      </c>
      <c r="B717" s="4" t="s">
        <v>808</v>
      </c>
      <c r="C717" s="4" t="s">
        <v>1418</v>
      </c>
      <c r="D717" s="4" t="s">
        <v>1419</v>
      </c>
      <c r="E717" s="4" t="s">
        <v>1420</v>
      </c>
      <c r="F717" s="4">
        <v>1</v>
      </c>
      <c r="G717" s="7">
        <v>8.99</v>
      </c>
    </row>
    <row r="718" spans="1:7" hidden="1">
      <c r="A718" s="4" t="s">
        <v>807</v>
      </c>
      <c r="B718" s="4" t="s">
        <v>825</v>
      </c>
      <c r="C718" s="4">
        <v>29185261000</v>
      </c>
      <c r="D718" s="4" t="s">
        <v>1421</v>
      </c>
      <c r="E718" s="4" t="s">
        <v>1329</v>
      </c>
      <c r="F718" s="4">
        <v>1</v>
      </c>
      <c r="G718" s="7">
        <v>8.99</v>
      </c>
    </row>
    <row r="719" spans="1:7" hidden="1">
      <c r="A719" s="4" t="s">
        <v>807</v>
      </c>
      <c r="B719" s="4" t="s">
        <v>811</v>
      </c>
      <c r="C719" s="4" t="s">
        <v>1422</v>
      </c>
      <c r="D719" s="4" t="s">
        <v>1423</v>
      </c>
      <c r="E719" s="4" t="s">
        <v>1424</v>
      </c>
      <c r="F719" s="4">
        <v>1</v>
      </c>
      <c r="G719" s="7">
        <v>8.99</v>
      </c>
    </row>
    <row r="720" spans="1:7" hidden="1">
      <c r="A720" s="4" t="s">
        <v>807</v>
      </c>
      <c r="B720" s="4" t="s">
        <v>808</v>
      </c>
      <c r="C720" s="4" t="s">
        <v>1121</v>
      </c>
      <c r="D720" s="4" t="s">
        <v>1425</v>
      </c>
      <c r="E720" s="4" t="s">
        <v>1123</v>
      </c>
      <c r="F720" s="4">
        <v>1</v>
      </c>
      <c r="G720" s="7">
        <v>8.99</v>
      </c>
    </row>
    <row r="721" spans="1:7" hidden="1">
      <c r="A721" s="4" t="s">
        <v>807</v>
      </c>
      <c r="B721" s="4" t="s">
        <v>811</v>
      </c>
      <c r="C721" s="4" t="s">
        <v>1426</v>
      </c>
      <c r="D721" s="4" t="s">
        <v>1427</v>
      </c>
      <c r="E721" s="4" t="s">
        <v>1428</v>
      </c>
      <c r="F721" s="4">
        <v>1</v>
      </c>
      <c r="G721" s="7">
        <v>8.99</v>
      </c>
    </row>
    <row r="722" spans="1:7" hidden="1">
      <c r="A722" s="4" t="s">
        <v>807</v>
      </c>
      <c r="B722" s="4" t="s">
        <v>825</v>
      </c>
      <c r="C722" s="4">
        <v>29185263000</v>
      </c>
      <c r="D722" s="4" t="s">
        <v>1429</v>
      </c>
      <c r="E722" s="4" t="s">
        <v>1364</v>
      </c>
      <c r="F722" s="4">
        <v>1</v>
      </c>
      <c r="G722" s="7">
        <v>8.99</v>
      </c>
    </row>
    <row r="723" spans="1:7" hidden="1">
      <c r="A723" s="4" t="s">
        <v>807</v>
      </c>
      <c r="B723" s="4" t="s">
        <v>1430</v>
      </c>
      <c r="C723" s="4" t="s">
        <v>1431</v>
      </c>
      <c r="D723" s="4" t="s">
        <v>1432</v>
      </c>
      <c r="E723" s="4" t="s">
        <v>1433</v>
      </c>
      <c r="F723" s="4">
        <v>1</v>
      </c>
      <c r="G723" s="7">
        <v>8.99</v>
      </c>
    </row>
    <row r="724" spans="1:7" hidden="1">
      <c r="A724" s="4" t="s">
        <v>807</v>
      </c>
      <c r="B724" s="4" t="s">
        <v>811</v>
      </c>
      <c r="C724" s="4" t="s">
        <v>1143</v>
      </c>
      <c r="D724" s="4" t="s">
        <v>1434</v>
      </c>
      <c r="E724" s="4" t="s">
        <v>1145</v>
      </c>
      <c r="F724" s="4">
        <v>1</v>
      </c>
      <c r="G724" s="7">
        <v>8.99</v>
      </c>
    </row>
    <row r="725" spans="1:7" hidden="1">
      <c r="A725" s="4" t="s">
        <v>807</v>
      </c>
      <c r="B725" s="4" t="s">
        <v>825</v>
      </c>
      <c r="C725" s="4">
        <v>29185263000</v>
      </c>
      <c r="D725" s="4" t="s">
        <v>1435</v>
      </c>
      <c r="E725" s="4" t="s">
        <v>1364</v>
      </c>
      <c r="F725" s="4">
        <v>1</v>
      </c>
      <c r="G725" s="7">
        <v>8.99</v>
      </c>
    </row>
    <row r="726" spans="1:7" hidden="1">
      <c r="A726" s="4" t="s">
        <v>807</v>
      </c>
      <c r="B726" s="4" t="s">
        <v>811</v>
      </c>
      <c r="C726" s="4" t="s">
        <v>1436</v>
      </c>
      <c r="D726" s="4" t="s">
        <v>1437</v>
      </c>
      <c r="E726" s="4" t="s">
        <v>1438</v>
      </c>
      <c r="F726" s="4">
        <v>1</v>
      </c>
      <c r="G726" s="7">
        <v>8.99</v>
      </c>
    </row>
    <row r="727" spans="1:7" hidden="1">
      <c r="A727" s="4" t="s">
        <v>807</v>
      </c>
      <c r="B727" s="4" t="s">
        <v>808</v>
      </c>
      <c r="C727" s="4" t="s">
        <v>1439</v>
      </c>
      <c r="D727" s="4" t="s">
        <v>1440</v>
      </c>
      <c r="E727" s="4" t="s">
        <v>1441</v>
      </c>
      <c r="F727" s="4">
        <v>1</v>
      </c>
      <c r="G727" s="7">
        <v>8.99</v>
      </c>
    </row>
    <row r="728" spans="1:7" hidden="1">
      <c r="A728" s="4" t="s">
        <v>807</v>
      </c>
      <c r="B728" s="4" t="s">
        <v>1016</v>
      </c>
      <c r="C728" s="4" t="s">
        <v>1442</v>
      </c>
      <c r="D728" s="4" t="s">
        <v>1443</v>
      </c>
      <c r="E728" s="4" t="s">
        <v>1444</v>
      </c>
      <c r="F728" s="4">
        <v>1</v>
      </c>
      <c r="G728" s="7">
        <v>8.99</v>
      </c>
    </row>
    <row r="729" spans="1:7" hidden="1">
      <c r="A729" s="4" t="s">
        <v>807</v>
      </c>
      <c r="B729" s="4" t="s">
        <v>808</v>
      </c>
      <c r="C729" s="4" t="s">
        <v>1445</v>
      </c>
      <c r="D729" s="4" t="s">
        <v>1446</v>
      </c>
      <c r="E729" s="4" t="s">
        <v>1447</v>
      </c>
      <c r="F729" s="4">
        <v>1</v>
      </c>
      <c r="G729" s="7">
        <v>8.99</v>
      </c>
    </row>
    <row r="730" spans="1:7" hidden="1">
      <c r="A730" s="4" t="s">
        <v>807</v>
      </c>
      <c r="B730" s="4" t="s">
        <v>825</v>
      </c>
      <c r="C730" s="4">
        <v>29101798000</v>
      </c>
      <c r="D730" s="4" t="s">
        <v>1448</v>
      </c>
      <c r="E730" s="4" t="s">
        <v>1056</v>
      </c>
      <c r="F730" s="4">
        <v>1</v>
      </c>
      <c r="G730" s="7">
        <v>8.99</v>
      </c>
    </row>
    <row r="731" spans="1:7" hidden="1">
      <c r="A731" s="4" t="s">
        <v>807</v>
      </c>
      <c r="B731" s="4" t="s">
        <v>811</v>
      </c>
      <c r="C731" s="4" t="s">
        <v>1449</v>
      </c>
      <c r="D731" s="4" t="s">
        <v>1450</v>
      </c>
      <c r="E731" s="4" t="s">
        <v>1451</v>
      </c>
      <c r="F731" s="4">
        <v>1</v>
      </c>
      <c r="G731" s="7">
        <v>8.99</v>
      </c>
    </row>
    <row r="732" spans="1:7" hidden="1">
      <c r="A732" s="4" t="s">
        <v>807</v>
      </c>
      <c r="B732" s="4" t="s">
        <v>808</v>
      </c>
      <c r="C732" s="4" t="s">
        <v>1452</v>
      </c>
      <c r="D732" s="4" t="s">
        <v>1453</v>
      </c>
      <c r="E732" s="4" t="s">
        <v>1454</v>
      </c>
      <c r="F732" s="4">
        <v>1</v>
      </c>
      <c r="G732" s="7">
        <v>8.99</v>
      </c>
    </row>
    <row r="733" spans="1:7" hidden="1">
      <c r="A733" s="4" t="s">
        <v>807</v>
      </c>
      <c r="B733" s="4"/>
      <c r="C733" s="4" t="s">
        <v>1455</v>
      </c>
      <c r="D733" s="4" t="s">
        <v>1456</v>
      </c>
      <c r="E733" s="4" t="s">
        <v>1457</v>
      </c>
      <c r="F733" s="4">
        <v>1</v>
      </c>
      <c r="G733" s="7">
        <v>8.99</v>
      </c>
    </row>
    <row r="734" spans="1:7" hidden="1">
      <c r="A734" s="4" t="s">
        <v>807</v>
      </c>
      <c r="B734" s="4" t="s">
        <v>808</v>
      </c>
      <c r="C734" s="4" t="s">
        <v>1458</v>
      </c>
      <c r="D734" s="4" t="s">
        <v>1459</v>
      </c>
      <c r="E734" s="4" t="s">
        <v>1460</v>
      </c>
      <c r="F734" s="4">
        <v>1</v>
      </c>
      <c r="G734" s="7">
        <v>8.99</v>
      </c>
    </row>
    <row r="735" spans="1:7" hidden="1">
      <c r="A735" s="4" t="s">
        <v>815</v>
      </c>
      <c r="B735" s="4" t="s">
        <v>1020</v>
      </c>
      <c r="C735" s="4" t="s">
        <v>1461</v>
      </c>
      <c r="D735" s="4" t="s">
        <v>1462</v>
      </c>
      <c r="E735" s="4" t="s">
        <v>1463</v>
      </c>
      <c r="F735" s="4">
        <v>1</v>
      </c>
      <c r="G735" s="7">
        <v>8.99</v>
      </c>
    </row>
    <row r="736" spans="1:7" hidden="1">
      <c r="A736" s="4" t="s">
        <v>807</v>
      </c>
      <c r="B736" s="4" t="s">
        <v>962</v>
      </c>
      <c r="C736" s="4" t="s">
        <v>1147</v>
      </c>
      <c r="D736" s="4" t="s">
        <v>1464</v>
      </c>
      <c r="E736" s="4" t="s">
        <v>1149</v>
      </c>
      <c r="F736" s="4">
        <v>1</v>
      </c>
      <c r="G736" s="7">
        <v>8.99</v>
      </c>
    </row>
    <row r="737" spans="1:7" hidden="1">
      <c r="A737" s="4" t="s">
        <v>807</v>
      </c>
      <c r="B737" s="4" t="s">
        <v>825</v>
      </c>
      <c r="C737" s="4">
        <v>29185263000</v>
      </c>
      <c r="D737" s="4" t="s">
        <v>1465</v>
      </c>
      <c r="E737" s="4" t="s">
        <v>1364</v>
      </c>
      <c r="F737" s="4">
        <v>1</v>
      </c>
      <c r="G737" s="7">
        <v>8.99</v>
      </c>
    </row>
    <row r="738" spans="1:7" hidden="1">
      <c r="A738" s="4" t="s">
        <v>807</v>
      </c>
      <c r="B738" s="4" t="s">
        <v>825</v>
      </c>
      <c r="C738" s="4" t="s">
        <v>1466</v>
      </c>
      <c r="D738" s="4" t="s">
        <v>1467</v>
      </c>
      <c r="E738" s="4" t="s">
        <v>1468</v>
      </c>
      <c r="F738" s="4">
        <v>1</v>
      </c>
      <c r="G738" s="7">
        <v>8.99</v>
      </c>
    </row>
    <row r="739" spans="1:7" hidden="1">
      <c r="A739" s="4" t="s">
        <v>807</v>
      </c>
      <c r="B739" s="4" t="s">
        <v>962</v>
      </c>
      <c r="C739" s="4" t="s">
        <v>1147</v>
      </c>
      <c r="D739" s="4" t="s">
        <v>1469</v>
      </c>
      <c r="E739" s="4" t="s">
        <v>1149</v>
      </c>
      <c r="F739" s="4">
        <v>1</v>
      </c>
      <c r="G739" s="7">
        <v>8.99</v>
      </c>
    </row>
    <row r="740" spans="1:7" hidden="1">
      <c r="A740" s="4" t="s">
        <v>807</v>
      </c>
      <c r="B740" s="4" t="s">
        <v>808</v>
      </c>
      <c r="C740" s="4" t="s">
        <v>1439</v>
      </c>
      <c r="D740" s="4" t="s">
        <v>1470</v>
      </c>
      <c r="E740" s="4" t="s">
        <v>1441</v>
      </c>
      <c r="F740" s="4">
        <v>1</v>
      </c>
      <c r="G740" s="7">
        <v>8.99</v>
      </c>
    </row>
    <row r="741" spans="1:7" hidden="1">
      <c r="A741" s="4" t="s">
        <v>807</v>
      </c>
      <c r="B741" s="4" t="s">
        <v>825</v>
      </c>
      <c r="C741" s="4" t="s">
        <v>1471</v>
      </c>
      <c r="D741" s="4" t="s">
        <v>1472</v>
      </c>
      <c r="E741" s="4" t="s">
        <v>1468</v>
      </c>
      <c r="F741" s="4">
        <v>1</v>
      </c>
      <c r="G741" s="7">
        <v>8.99</v>
      </c>
    </row>
    <row r="742" spans="1:7" hidden="1">
      <c r="A742" s="4" t="s">
        <v>807</v>
      </c>
      <c r="B742" s="4" t="s">
        <v>962</v>
      </c>
      <c r="C742" s="4" t="s">
        <v>1147</v>
      </c>
      <c r="D742" s="4" t="s">
        <v>1473</v>
      </c>
      <c r="E742" s="4" t="s">
        <v>1149</v>
      </c>
      <c r="F742" s="4">
        <v>1</v>
      </c>
      <c r="G742" s="7">
        <v>8.99</v>
      </c>
    </row>
    <row r="743" spans="1:7" hidden="1">
      <c r="A743" s="4" t="s">
        <v>807</v>
      </c>
      <c r="B743" s="4" t="s">
        <v>962</v>
      </c>
      <c r="C743" s="4" t="s">
        <v>1147</v>
      </c>
      <c r="D743" s="4" t="s">
        <v>1474</v>
      </c>
      <c r="E743" s="4" t="s">
        <v>1149</v>
      </c>
      <c r="F743" s="4">
        <v>1</v>
      </c>
      <c r="G743" s="7">
        <v>8.99</v>
      </c>
    </row>
    <row r="744" spans="1:7" hidden="1">
      <c r="A744" s="4" t="s">
        <v>807</v>
      </c>
      <c r="B744" s="4" t="s">
        <v>811</v>
      </c>
      <c r="C744" s="4" t="s">
        <v>979</v>
      </c>
      <c r="D744" s="4" t="s">
        <v>1475</v>
      </c>
      <c r="E744" s="4" t="s">
        <v>981</v>
      </c>
      <c r="F744" s="4">
        <v>1</v>
      </c>
      <c r="G744" s="7">
        <v>8.99</v>
      </c>
    </row>
    <row r="745" spans="1:7" hidden="1">
      <c r="A745" s="4" t="s">
        <v>807</v>
      </c>
      <c r="B745" s="4" t="s">
        <v>811</v>
      </c>
      <c r="C745" s="4" t="s">
        <v>979</v>
      </c>
      <c r="D745" s="4" t="s">
        <v>1476</v>
      </c>
      <c r="E745" s="4" t="s">
        <v>981</v>
      </c>
      <c r="F745" s="4">
        <v>1</v>
      </c>
      <c r="G745" s="7">
        <v>8.99</v>
      </c>
    </row>
    <row r="746" spans="1:7" hidden="1">
      <c r="A746" s="4" t="s">
        <v>807</v>
      </c>
      <c r="B746" s="4" t="s">
        <v>825</v>
      </c>
      <c r="C746" s="4">
        <v>29166052000</v>
      </c>
      <c r="D746" s="4" t="s">
        <v>1477</v>
      </c>
      <c r="E746" s="4" t="s">
        <v>1338</v>
      </c>
      <c r="F746" s="4">
        <v>1</v>
      </c>
      <c r="G746" s="7">
        <v>8.99</v>
      </c>
    </row>
    <row r="747" spans="1:7" hidden="1">
      <c r="A747" s="4" t="s">
        <v>807</v>
      </c>
      <c r="B747" s="4" t="s">
        <v>811</v>
      </c>
      <c r="C747" s="4" t="s">
        <v>1478</v>
      </c>
      <c r="D747" s="4" t="s">
        <v>1479</v>
      </c>
      <c r="E747" s="4" t="s">
        <v>1480</v>
      </c>
      <c r="F747" s="4">
        <v>1</v>
      </c>
      <c r="G747" s="7">
        <v>8.99</v>
      </c>
    </row>
    <row r="748" spans="1:7" hidden="1">
      <c r="A748" s="4" t="s">
        <v>807</v>
      </c>
      <c r="B748" s="4" t="s">
        <v>811</v>
      </c>
      <c r="C748" s="4" t="s">
        <v>979</v>
      </c>
      <c r="D748" s="4" t="s">
        <v>1481</v>
      </c>
      <c r="E748" s="4" t="s">
        <v>981</v>
      </c>
      <c r="F748" s="4">
        <v>1</v>
      </c>
      <c r="G748" s="7">
        <v>8.99</v>
      </c>
    </row>
    <row r="749" spans="1:7" hidden="1">
      <c r="A749" s="4" t="s">
        <v>807</v>
      </c>
      <c r="B749" s="4" t="s">
        <v>811</v>
      </c>
      <c r="C749" s="4" t="s">
        <v>979</v>
      </c>
      <c r="D749" s="4" t="s">
        <v>1482</v>
      </c>
      <c r="E749" s="4" t="s">
        <v>981</v>
      </c>
      <c r="F749" s="4">
        <v>1</v>
      </c>
      <c r="G749" s="7">
        <v>8.99</v>
      </c>
    </row>
    <row r="750" spans="1:7" hidden="1">
      <c r="A750" s="4" t="s">
        <v>807</v>
      </c>
      <c r="B750" s="4" t="s">
        <v>808</v>
      </c>
      <c r="C750" s="4" t="s">
        <v>1012</v>
      </c>
      <c r="D750" s="4" t="s">
        <v>1483</v>
      </c>
      <c r="E750" s="4" t="s">
        <v>1014</v>
      </c>
      <c r="F750" s="4">
        <v>1</v>
      </c>
      <c r="G750" s="7">
        <v>8.99</v>
      </c>
    </row>
    <row r="751" spans="1:7" hidden="1">
      <c r="A751" s="4" t="s">
        <v>807</v>
      </c>
      <c r="B751" s="4" t="s">
        <v>808</v>
      </c>
      <c r="C751" s="4" t="s">
        <v>1484</v>
      </c>
      <c r="D751" s="4" t="s">
        <v>1485</v>
      </c>
      <c r="E751" s="4" t="s">
        <v>1486</v>
      </c>
      <c r="F751" s="4">
        <v>1</v>
      </c>
      <c r="G751" s="7">
        <v>8.99</v>
      </c>
    </row>
    <row r="752" spans="1:7" hidden="1">
      <c r="A752" s="4" t="s">
        <v>807</v>
      </c>
      <c r="B752" s="4" t="s">
        <v>808</v>
      </c>
      <c r="C752" s="4" t="s">
        <v>1012</v>
      </c>
      <c r="D752" s="4" t="s">
        <v>1487</v>
      </c>
      <c r="E752" s="4" t="s">
        <v>1014</v>
      </c>
      <c r="F752" s="4">
        <v>1</v>
      </c>
      <c r="G752" s="7">
        <v>8.99</v>
      </c>
    </row>
    <row r="753" spans="1:7" hidden="1">
      <c r="A753" s="4" t="s">
        <v>807</v>
      </c>
      <c r="B753" s="4" t="s">
        <v>811</v>
      </c>
      <c r="C753" s="4" t="s">
        <v>979</v>
      </c>
      <c r="D753" s="4" t="s">
        <v>1488</v>
      </c>
      <c r="E753" s="4" t="s">
        <v>981</v>
      </c>
      <c r="F753" s="4">
        <v>1</v>
      </c>
      <c r="G753" s="7">
        <v>8.99</v>
      </c>
    </row>
    <row r="754" spans="1:7" hidden="1">
      <c r="A754" s="4" t="s">
        <v>807</v>
      </c>
      <c r="B754" s="4" t="s">
        <v>808</v>
      </c>
      <c r="C754" s="4" t="s">
        <v>1012</v>
      </c>
      <c r="D754" s="4" t="s">
        <v>1489</v>
      </c>
      <c r="E754" s="4" t="s">
        <v>1014</v>
      </c>
      <c r="F754" s="4">
        <v>1</v>
      </c>
      <c r="G754" s="7">
        <v>8.99</v>
      </c>
    </row>
    <row r="755" spans="1:7" hidden="1">
      <c r="A755" s="4" t="s">
        <v>807</v>
      </c>
      <c r="B755" s="4" t="s">
        <v>811</v>
      </c>
      <c r="C755" s="4" t="s">
        <v>1490</v>
      </c>
      <c r="D755" s="4" t="s">
        <v>1491</v>
      </c>
      <c r="E755" s="4" t="s">
        <v>1492</v>
      </c>
      <c r="F755" s="4">
        <v>1</v>
      </c>
      <c r="G755" s="7">
        <v>8.99</v>
      </c>
    </row>
    <row r="756" spans="1:7" hidden="1">
      <c r="A756" s="4" t="s">
        <v>1051</v>
      </c>
      <c r="B756" s="4"/>
      <c r="C756" s="4" t="s">
        <v>1493</v>
      </c>
      <c r="D756" s="4" t="s">
        <v>1494</v>
      </c>
      <c r="E756" s="4" t="s">
        <v>1495</v>
      </c>
      <c r="F756" s="4">
        <v>1</v>
      </c>
      <c r="G756" s="7">
        <v>8.99</v>
      </c>
    </row>
    <row r="757" spans="1:7" hidden="1">
      <c r="A757" s="4" t="s">
        <v>807</v>
      </c>
      <c r="B757" s="4" t="s">
        <v>811</v>
      </c>
      <c r="C757" s="4" t="s">
        <v>979</v>
      </c>
      <c r="D757" s="4" t="s">
        <v>1496</v>
      </c>
      <c r="E757" s="4" t="s">
        <v>981</v>
      </c>
      <c r="F757" s="4">
        <v>1</v>
      </c>
      <c r="G757" s="7">
        <v>8.99</v>
      </c>
    </row>
    <row r="758" spans="1:7" hidden="1">
      <c r="A758" s="4" t="s">
        <v>1051</v>
      </c>
      <c r="B758" s="4"/>
      <c r="C758" s="4" t="s">
        <v>1497</v>
      </c>
      <c r="D758" s="4" t="s">
        <v>1498</v>
      </c>
      <c r="E758" s="4" t="s">
        <v>885</v>
      </c>
      <c r="F758" s="4">
        <v>1</v>
      </c>
      <c r="G758" s="7">
        <v>8.99</v>
      </c>
    </row>
    <row r="759" spans="1:7" hidden="1">
      <c r="A759" s="4" t="s">
        <v>807</v>
      </c>
      <c r="B759" s="4" t="s">
        <v>808</v>
      </c>
      <c r="C759" s="4" t="s">
        <v>1484</v>
      </c>
      <c r="D759" s="4" t="s">
        <v>1499</v>
      </c>
      <c r="E759" s="4" t="s">
        <v>1486</v>
      </c>
      <c r="F759" s="4">
        <v>1</v>
      </c>
      <c r="G759" s="7">
        <v>8.99</v>
      </c>
    </row>
    <row r="760" spans="1:7" hidden="1">
      <c r="A760" s="4" t="s">
        <v>807</v>
      </c>
      <c r="B760" s="4" t="s">
        <v>808</v>
      </c>
      <c r="C760" s="4" t="s">
        <v>1484</v>
      </c>
      <c r="D760" s="4" t="s">
        <v>1500</v>
      </c>
      <c r="E760" s="4" t="s">
        <v>1486</v>
      </c>
      <c r="F760" s="4">
        <v>1</v>
      </c>
      <c r="G760" s="7">
        <v>8.99</v>
      </c>
    </row>
    <row r="761" spans="1:7" hidden="1">
      <c r="A761" s="4" t="s">
        <v>807</v>
      </c>
      <c r="B761" s="4" t="s">
        <v>808</v>
      </c>
      <c r="C761" s="4" t="s">
        <v>1484</v>
      </c>
      <c r="D761" s="4" t="s">
        <v>1501</v>
      </c>
      <c r="E761" s="4" t="s">
        <v>1486</v>
      </c>
      <c r="F761" s="4">
        <v>1</v>
      </c>
      <c r="G761" s="7">
        <v>8.99</v>
      </c>
    </row>
    <row r="762" spans="1:7" hidden="1">
      <c r="A762" s="4" t="s">
        <v>1502</v>
      </c>
      <c r="B762" s="4" t="s">
        <v>1503</v>
      </c>
      <c r="C762" s="4" t="s">
        <v>1504</v>
      </c>
      <c r="D762" s="4" t="s">
        <v>1505</v>
      </c>
      <c r="E762" s="4" t="s">
        <v>1506</v>
      </c>
      <c r="F762" s="4">
        <v>1</v>
      </c>
      <c r="G762" s="7">
        <v>8.99</v>
      </c>
    </row>
    <row r="763" spans="1:7" hidden="1">
      <c r="A763" s="4" t="s">
        <v>807</v>
      </c>
      <c r="B763" s="4" t="s">
        <v>808</v>
      </c>
      <c r="C763" s="4" t="s">
        <v>1484</v>
      </c>
      <c r="D763" s="4" t="s">
        <v>1507</v>
      </c>
      <c r="E763" s="4" t="s">
        <v>1486</v>
      </c>
      <c r="F763" s="4">
        <v>1</v>
      </c>
      <c r="G763" s="7">
        <v>8.99</v>
      </c>
    </row>
    <row r="764" spans="1:7" hidden="1">
      <c r="A764" s="4" t="s">
        <v>807</v>
      </c>
      <c r="B764" s="4" t="s">
        <v>962</v>
      </c>
      <c r="C764" s="4" t="s">
        <v>1508</v>
      </c>
      <c r="D764" s="4" t="s">
        <v>1509</v>
      </c>
      <c r="E764" s="4" t="s">
        <v>1510</v>
      </c>
      <c r="F764" s="4">
        <v>1</v>
      </c>
      <c r="G764" s="7">
        <v>8.99</v>
      </c>
    </row>
    <row r="765" spans="1:7" hidden="1">
      <c r="A765" s="4" t="s">
        <v>807</v>
      </c>
      <c r="B765" s="4" t="s">
        <v>808</v>
      </c>
      <c r="C765" s="4" t="s">
        <v>1484</v>
      </c>
      <c r="D765" s="4" t="s">
        <v>1511</v>
      </c>
      <c r="E765" s="4" t="s">
        <v>1486</v>
      </c>
      <c r="F765" s="4">
        <v>1</v>
      </c>
      <c r="G765" s="7">
        <v>8.99</v>
      </c>
    </row>
    <row r="766" spans="1:7" hidden="1">
      <c r="A766" s="4" t="s">
        <v>807</v>
      </c>
      <c r="B766" s="4" t="s">
        <v>808</v>
      </c>
      <c r="C766" s="4" t="s">
        <v>1484</v>
      </c>
      <c r="D766" s="4" t="s">
        <v>1512</v>
      </c>
      <c r="E766" s="4" t="s">
        <v>1486</v>
      </c>
      <c r="F766" s="4">
        <v>1</v>
      </c>
      <c r="G766" s="7">
        <v>8.99</v>
      </c>
    </row>
    <row r="767" spans="1:7" hidden="1">
      <c r="A767" s="4" t="s">
        <v>807</v>
      </c>
      <c r="B767" s="4" t="s">
        <v>808</v>
      </c>
      <c r="C767" s="4" t="s">
        <v>1484</v>
      </c>
      <c r="D767" s="4" t="s">
        <v>1513</v>
      </c>
      <c r="E767" s="4" t="s">
        <v>1486</v>
      </c>
      <c r="F767" s="4">
        <v>1</v>
      </c>
      <c r="G767" s="7">
        <v>8.99</v>
      </c>
    </row>
    <row r="768" spans="1:7" hidden="1">
      <c r="A768" s="4" t="s">
        <v>807</v>
      </c>
      <c r="B768" s="4" t="s">
        <v>811</v>
      </c>
      <c r="C768" s="4" t="s">
        <v>979</v>
      </c>
      <c r="D768" s="4" t="s">
        <v>1514</v>
      </c>
      <c r="E768" s="4" t="s">
        <v>981</v>
      </c>
      <c r="F768" s="4">
        <v>1</v>
      </c>
      <c r="G768" s="7">
        <v>8.99</v>
      </c>
    </row>
    <row r="769" spans="1:7" hidden="1">
      <c r="A769" s="4" t="s">
        <v>807</v>
      </c>
      <c r="B769" s="4" t="s">
        <v>808</v>
      </c>
      <c r="C769" s="4" t="s">
        <v>1484</v>
      </c>
      <c r="D769" s="4" t="s">
        <v>1515</v>
      </c>
      <c r="E769" s="4" t="s">
        <v>1486</v>
      </c>
      <c r="F769" s="4">
        <v>1</v>
      </c>
      <c r="G769" s="7">
        <v>8.99</v>
      </c>
    </row>
    <row r="770" spans="1:7" hidden="1">
      <c r="A770" s="4" t="s">
        <v>807</v>
      </c>
      <c r="B770" s="4" t="s">
        <v>825</v>
      </c>
      <c r="C770" s="4" t="s">
        <v>1516</v>
      </c>
      <c r="D770" s="4" t="s">
        <v>1517</v>
      </c>
      <c r="E770" s="4" t="s">
        <v>1518</v>
      </c>
      <c r="F770" s="4">
        <v>1</v>
      </c>
      <c r="G770" s="7">
        <v>8.99</v>
      </c>
    </row>
    <row r="771" spans="1:7" hidden="1">
      <c r="A771" s="4" t="s">
        <v>807</v>
      </c>
      <c r="B771" s="4" t="s">
        <v>808</v>
      </c>
      <c r="C771" s="4" t="s">
        <v>1484</v>
      </c>
      <c r="D771" s="4" t="s">
        <v>1519</v>
      </c>
      <c r="E771" s="4" t="s">
        <v>1486</v>
      </c>
      <c r="F771" s="4">
        <v>1</v>
      </c>
      <c r="G771" s="7">
        <v>8.99</v>
      </c>
    </row>
    <row r="772" spans="1:7" hidden="1">
      <c r="A772" s="4" t="s">
        <v>807</v>
      </c>
      <c r="B772" s="4" t="s">
        <v>808</v>
      </c>
      <c r="C772" s="4" t="s">
        <v>1484</v>
      </c>
      <c r="D772" s="4" t="s">
        <v>1520</v>
      </c>
      <c r="E772" s="4" t="s">
        <v>1486</v>
      </c>
      <c r="F772" s="4">
        <v>1</v>
      </c>
      <c r="G772" s="7">
        <v>8.99</v>
      </c>
    </row>
    <row r="773" spans="1:7" hidden="1">
      <c r="A773" s="4" t="s">
        <v>807</v>
      </c>
      <c r="B773" s="4" t="s">
        <v>945</v>
      </c>
      <c r="C773" s="4">
        <v>1788</v>
      </c>
      <c r="D773" s="4" t="s">
        <v>1521</v>
      </c>
      <c r="E773" s="4" t="s">
        <v>1037</v>
      </c>
      <c r="F773" s="4">
        <v>1</v>
      </c>
      <c r="G773" s="7">
        <v>8.99</v>
      </c>
    </row>
    <row r="774" spans="1:7" hidden="1">
      <c r="A774" s="4" t="s">
        <v>807</v>
      </c>
      <c r="B774" s="4" t="s">
        <v>808</v>
      </c>
      <c r="C774" s="4">
        <v>270001006</v>
      </c>
      <c r="D774" s="4" t="s">
        <v>1522</v>
      </c>
      <c r="E774" s="4" t="s">
        <v>1523</v>
      </c>
      <c r="F774" s="4">
        <v>1</v>
      </c>
      <c r="G774" s="7">
        <v>8.99</v>
      </c>
    </row>
    <row r="775" spans="1:7" hidden="1">
      <c r="A775" s="4" t="s">
        <v>807</v>
      </c>
      <c r="B775" s="4" t="s">
        <v>808</v>
      </c>
      <c r="C775" s="4" t="s">
        <v>1484</v>
      </c>
      <c r="D775" s="4" t="s">
        <v>1524</v>
      </c>
      <c r="E775" s="4" t="s">
        <v>1486</v>
      </c>
      <c r="F775" s="4">
        <v>1</v>
      </c>
      <c r="G775" s="7">
        <v>8.99</v>
      </c>
    </row>
    <row r="776" spans="1:7" hidden="1">
      <c r="A776" s="4" t="s">
        <v>807</v>
      </c>
      <c r="B776" s="4" t="s">
        <v>825</v>
      </c>
      <c r="C776" s="4" t="s">
        <v>1516</v>
      </c>
      <c r="D776" s="4" t="s">
        <v>1525</v>
      </c>
      <c r="E776" s="4" t="s">
        <v>1518</v>
      </c>
      <c r="F776" s="4">
        <v>1</v>
      </c>
      <c r="G776" s="7">
        <v>8.99</v>
      </c>
    </row>
    <row r="777" spans="1:7" hidden="1">
      <c r="A777" s="4" t="s">
        <v>807</v>
      </c>
      <c r="B777" s="4" t="s">
        <v>811</v>
      </c>
      <c r="C777" s="4" t="s">
        <v>979</v>
      </c>
      <c r="D777" s="4" t="s">
        <v>1526</v>
      </c>
      <c r="E777" s="4" t="s">
        <v>981</v>
      </c>
      <c r="F777" s="4">
        <v>1</v>
      </c>
      <c r="G777" s="7">
        <v>8.99</v>
      </c>
    </row>
    <row r="778" spans="1:7" hidden="1">
      <c r="A778" s="4" t="s">
        <v>807</v>
      </c>
      <c r="B778" s="4" t="s">
        <v>811</v>
      </c>
      <c r="C778" s="4" t="s">
        <v>979</v>
      </c>
      <c r="D778" s="4" t="s">
        <v>1527</v>
      </c>
      <c r="E778" s="4" t="s">
        <v>981</v>
      </c>
      <c r="F778" s="4">
        <v>1</v>
      </c>
      <c r="G778" s="7">
        <v>8.99</v>
      </c>
    </row>
    <row r="779" spans="1:7" hidden="1">
      <c r="A779" s="4" t="s">
        <v>807</v>
      </c>
      <c r="B779" s="4" t="s">
        <v>825</v>
      </c>
      <c r="C779" s="4" t="s">
        <v>1516</v>
      </c>
      <c r="D779" s="4" t="s">
        <v>1528</v>
      </c>
      <c r="E779" s="4" t="s">
        <v>1518</v>
      </c>
      <c r="F779" s="4">
        <v>1</v>
      </c>
      <c r="G779" s="7">
        <v>8.99</v>
      </c>
    </row>
    <row r="780" spans="1:7" hidden="1">
      <c r="A780" s="4" t="s">
        <v>807</v>
      </c>
      <c r="B780" s="4" t="s">
        <v>825</v>
      </c>
      <c r="C780" s="4" t="s">
        <v>1516</v>
      </c>
      <c r="D780" s="4" t="s">
        <v>1529</v>
      </c>
      <c r="E780" s="4" t="s">
        <v>1518</v>
      </c>
      <c r="F780" s="4">
        <v>1</v>
      </c>
      <c r="G780" s="7">
        <v>8.99</v>
      </c>
    </row>
    <row r="781" spans="1:7" hidden="1">
      <c r="A781" s="4" t="s">
        <v>807</v>
      </c>
      <c r="B781" s="4" t="s">
        <v>808</v>
      </c>
      <c r="C781" s="4">
        <v>270001006</v>
      </c>
      <c r="D781" s="4" t="s">
        <v>1530</v>
      </c>
      <c r="E781" s="4" t="s">
        <v>1523</v>
      </c>
      <c r="F781" s="4">
        <v>1</v>
      </c>
      <c r="G781" s="7">
        <v>8.99</v>
      </c>
    </row>
    <row r="782" spans="1:7" hidden="1">
      <c r="A782" s="4" t="s">
        <v>915</v>
      </c>
      <c r="B782" s="4"/>
      <c r="C782" s="4" t="s">
        <v>1531</v>
      </c>
      <c r="D782" s="4" t="s">
        <v>1532</v>
      </c>
      <c r="E782" s="4" t="s">
        <v>1533</v>
      </c>
      <c r="F782" s="4">
        <v>1</v>
      </c>
      <c r="G782" s="7">
        <v>8.99</v>
      </c>
    </row>
    <row r="783" spans="1:7" hidden="1">
      <c r="A783" s="4" t="s">
        <v>807</v>
      </c>
      <c r="B783" s="4" t="s">
        <v>937</v>
      </c>
      <c r="C783" s="4" t="s">
        <v>959</v>
      </c>
      <c r="D783" s="4" t="s">
        <v>1534</v>
      </c>
      <c r="E783" s="4" t="s">
        <v>961</v>
      </c>
      <c r="F783" s="4">
        <v>1</v>
      </c>
      <c r="G783" s="7">
        <v>8.99</v>
      </c>
    </row>
    <row r="784" spans="1:7" hidden="1">
      <c r="A784" s="4" t="s">
        <v>1535</v>
      </c>
      <c r="B784" s="4" t="s">
        <v>1536</v>
      </c>
      <c r="C784" s="4" t="s">
        <v>1537</v>
      </c>
      <c r="D784" s="4" t="s">
        <v>1538</v>
      </c>
      <c r="E784" s="4" t="s">
        <v>1539</v>
      </c>
      <c r="F784" s="4">
        <v>1</v>
      </c>
      <c r="G784" s="7">
        <v>8.99</v>
      </c>
    </row>
    <row r="785" spans="1:7" hidden="1">
      <c r="A785" s="4" t="s">
        <v>915</v>
      </c>
      <c r="B785" s="4"/>
      <c r="C785" s="4" t="s">
        <v>2270</v>
      </c>
      <c r="D785" s="4" t="s">
        <v>2271</v>
      </c>
      <c r="E785" s="4" t="s">
        <v>2272</v>
      </c>
      <c r="F785" s="4"/>
      <c r="G785" s="7" cm="1">
        <f t="array" aca="1" ref="G785" ca="1">+G785:HS785:G1251</f>
        <v>0</v>
      </c>
    </row>
    <row r="787" spans="1:7">
      <c r="G787"/>
    </row>
    <row r="788" spans="1:7">
      <c r="G788"/>
    </row>
    <row r="789" spans="1:7">
      <c r="G789"/>
    </row>
    <row r="790" spans="1:7">
      <c r="G790"/>
    </row>
    <row r="1015" spans="1:16371" s="10" customFormat="1">
      <c r="A1015"/>
      <c r="B1015"/>
      <c r="C1015"/>
      <c r="D1015"/>
      <c r="E1015"/>
      <c r="F1015"/>
      <c r="G1015" s="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/>
      <c r="JN1015"/>
      <c r="JO1015"/>
      <c r="JP1015"/>
      <c r="JQ1015"/>
      <c r="JR1015"/>
      <c r="JS1015"/>
      <c r="JT1015"/>
      <c r="JU1015"/>
      <c r="JV1015"/>
      <c r="JW1015"/>
      <c r="JX1015"/>
      <c r="JY1015"/>
      <c r="JZ1015"/>
      <c r="KA1015"/>
      <c r="KB1015"/>
      <c r="KC1015"/>
      <c r="KD1015"/>
      <c r="KE1015"/>
      <c r="KF1015"/>
      <c r="KG1015"/>
      <c r="KH1015"/>
      <c r="KI1015"/>
      <c r="KJ1015"/>
      <c r="KK1015"/>
      <c r="KL1015"/>
      <c r="KM1015"/>
      <c r="KN1015"/>
      <c r="KO1015"/>
      <c r="KP1015"/>
      <c r="KQ1015"/>
      <c r="KR1015"/>
      <c r="KS1015"/>
      <c r="KT1015"/>
      <c r="KU1015"/>
      <c r="KV1015"/>
      <c r="KW1015"/>
      <c r="KX1015"/>
      <c r="KY1015"/>
      <c r="KZ1015"/>
      <c r="LA1015"/>
      <c r="LB1015"/>
      <c r="LC1015"/>
      <c r="LD1015"/>
      <c r="LE1015"/>
      <c r="LF1015"/>
      <c r="LG1015"/>
      <c r="LH1015"/>
      <c r="LI1015"/>
      <c r="LJ1015"/>
      <c r="LK1015"/>
      <c r="LL1015"/>
      <c r="LM1015"/>
      <c r="LN1015"/>
      <c r="LO1015"/>
      <c r="LP1015"/>
      <c r="LQ1015"/>
      <c r="LR1015"/>
      <c r="LS1015"/>
      <c r="LT1015"/>
      <c r="LU1015"/>
      <c r="LV1015"/>
      <c r="LW1015"/>
      <c r="LX1015"/>
      <c r="LY1015"/>
      <c r="LZ1015"/>
      <c r="MA1015"/>
      <c r="MB1015"/>
      <c r="MC1015"/>
      <c r="MD1015"/>
      <c r="ME1015"/>
      <c r="MF1015"/>
      <c r="MG1015"/>
      <c r="MH1015"/>
      <c r="MI1015"/>
      <c r="MJ1015"/>
      <c r="MK1015"/>
      <c r="ML1015"/>
      <c r="MM1015"/>
      <c r="MN1015"/>
      <c r="MO1015"/>
      <c r="MP1015"/>
      <c r="MQ1015"/>
      <c r="MR1015"/>
      <c r="MS1015"/>
      <c r="MT1015"/>
      <c r="MU1015"/>
      <c r="MV1015"/>
      <c r="MW1015"/>
      <c r="MX1015"/>
      <c r="MY1015"/>
      <c r="MZ1015"/>
      <c r="NA1015"/>
      <c r="NB1015"/>
      <c r="NC1015"/>
      <c r="ND1015"/>
      <c r="NE1015"/>
      <c r="NF1015"/>
      <c r="NG1015"/>
      <c r="NH1015"/>
      <c r="NI1015"/>
      <c r="NJ1015"/>
      <c r="NK1015"/>
      <c r="NL1015"/>
      <c r="NM1015"/>
      <c r="NN1015"/>
      <c r="NO1015"/>
      <c r="NP1015"/>
      <c r="NQ1015"/>
      <c r="NR1015"/>
      <c r="NS1015"/>
      <c r="NT1015"/>
      <c r="NU1015"/>
      <c r="NV1015"/>
      <c r="NW1015"/>
      <c r="NX1015"/>
      <c r="NY1015"/>
      <c r="NZ1015"/>
      <c r="OA1015"/>
      <c r="OB1015"/>
      <c r="OC1015"/>
      <c r="OD1015"/>
      <c r="OE1015"/>
      <c r="OF1015"/>
      <c r="OG1015"/>
      <c r="OH1015"/>
      <c r="OI1015"/>
      <c r="OJ1015"/>
      <c r="OK1015"/>
      <c r="OL1015"/>
      <c r="OM1015"/>
      <c r="ON1015"/>
      <c r="OO1015"/>
      <c r="OP1015"/>
      <c r="OQ1015"/>
      <c r="OR1015"/>
      <c r="OS1015"/>
      <c r="OT1015"/>
      <c r="OU1015"/>
      <c r="OV1015"/>
      <c r="OW1015"/>
      <c r="OX1015"/>
      <c r="OY1015"/>
      <c r="OZ1015"/>
      <c r="PA1015"/>
      <c r="PB1015"/>
      <c r="PC1015"/>
      <c r="PD1015"/>
      <c r="PE1015"/>
      <c r="PF1015"/>
      <c r="PG1015"/>
      <c r="PH1015"/>
      <c r="PI1015"/>
      <c r="PJ1015"/>
      <c r="PK1015"/>
      <c r="PL1015"/>
      <c r="PM1015"/>
      <c r="PN1015"/>
      <c r="PO1015"/>
      <c r="PP1015"/>
      <c r="PQ1015"/>
      <c r="PR1015"/>
      <c r="PS1015"/>
      <c r="PT1015"/>
      <c r="PU1015"/>
      <c r="PV1015"/>
      <c r="PW1015"/>
      <c r="PX1015"/>
      <c r="PY1015"/>
      <c r="PZ1015"/>
      <c r="QA1015"/>
      <c r="QB1015"/>
      <c r="QC1015"/>
      <c r="QD1015"/>
      <c r="QE1015"/>
      <c r="QF1015"/>
      <c r="QG1015"/>
      <c r="QH1015"/>
      <c r="QI1015"/>
      <c r="QJ1015"/>
      <c r="QK1015"/>
      <c r="QL1015"/>
      <c r="QM1015"/>
      <c r="QN1015"/>
      <c r="QO1015"/>
      <c r="QP1015"/>
      <c r="QQ1015"/>
      <c r="QR1015"/>
      <c r="QS1015"/>
      <c r="QT1015"/>
      <c r="QU1015"/>
      <c r="QV1015"/>
      <c r="QW1015"/>
      <c r="QX1015"/>
      <c r="QY1015"/>
      <c r="QZ1015"/>
      <c r="RA1015"/>
      <c r="RB1015"/>
      <c r="RC1015"/>
      <c r="RD1015"/>
      <c r="RE1015"/>
      <c r="RF1015"/>
      <c r="RG1015"/>
      <c r="RH1015"/>
      <c r="RI1015"/>
      <c r="RJ1015"/>
      <c r="RK1015"/>
      <c r="RL1015"/>
      <c r="RM1015"/>
      <c r="RN1015"/>
      <c r="RO1015"/>
      <c r="RP1015"/>
      <c r="RQ1015"/>
      <c r="RR1015"/>
      <c r="RS1015"/>
      <c r="RT1015"/>
      <c r="RU1015"/>
      <c r="RV1015"/>
      <c r="RW1015"/>
      <c r="RX1015"/>
      <c r="RY1015"/>
      <c r="RZ1015"/>
      <c r="SA1015"/>
      <c r="SB1015"/>
      <c r="SC1015"/>
      <c r="SD1015"/>
      <c r="SE1015"/>
      <c r="SF1015"/>
      <c r="SG1015"/>
      <c r="SH1015"/>
      <c r="SI1015"/>
      <c r="SJ1015"/>
      <c r="SK1015"/>
      <c r="SL1015"/>
      <c r="SM1015"/>
      <c r="SN1015"/>
      <c r="SO1015"/>
      <c r="SP1015"/>
      <c r="SQ1015"/>
      <c r="SR1015"/>
      <c r="SS1015"/>
      <c r="ST1015"/>
      <c r="SU1015"/>
      <c r="SV1015"/>
      <c r="SW1015"/>
      <c r="SX1015"/>
      <c r="SY1015"/>
      <c r="SZ1015"/>
      <c r="TA1015"/>
      <c r="TB1015"/>
      <c r="TC1015"/>
      <c r="TD1015"/>
      <c r="TE1015"/>
      <c r="TF1015"/>
      <c r="TG1015"/>
      <c r="TH1015"/>
      <c r="TI1015"/>
      <c r="TJ1015"/>
      <c r="TK1015"/>
      <c r="TL1015"/>
      <c r="TM1015"/>
      <c r="TN1015"/>
      <c r="TO1015"/>
      <c r="TP1015"/>
      <c r="TQ1015"/>
      <c r="TR1015"/>
      <c r="TS1015"/>
      <c r="TT1015"/>
      <c r="TU1015"/>
      <c r="TV1015"/>
      <c r="TW1015"/>
      <c r="TX1015"/>
      <c r="TY1015"/>
      <c r="TZ1015"/>
      <c r="UA1015"/>
      <c r="UB1015"/>
      <c r="UC1015"/>
      <c r="UD1015"/>
      <c r="UE1015"/>
      <c r="UF1015"/>
      <c r="UG1015"/>
      <c r="UH1015"/>
      <c r="UI1015"/>
      <c r="UJ1015"/>
      <c r="UK1015"/>
      <c r="UL1015"/>
      <c r="UM1015"/>
      <c r="UN1015"/>
      <c r="UO1015"/>
      <c r="UP1015"/>
      <c r="UQ1015"/>
      <c r="UR1015"/>
      <c r="US1015"/>
      <c r="UT1015"/>
      <c r="UU1015"/>
      <c r="UV1015"/>
      <c r="UW1015"/>
      <c r="UX1015"/>
      <c r="UY1015"/>
      <c r="UZ1015"/>
      <c r="VA1015"/>
      <c r="VB1015"/>
      <c r="VC1015"/>
      <c r="VD1015"/>
      <c r="VE1015"/>
      <c r="VF1015"/>
      <c r="VG1015"/>
      <c r="VH1015"/>
      <c r="VI1015"/>
      <c r="VJ1015"/>
      <c r="VK1015"/>
      <c r="VL1015"/>
      <c r="VM1015"/>
      <c r="VN1015"/>
      <c r="VO1015"/>
      <c r="VP1015"/>
      <c r="VQ1015"/>
      <c r="VR1015"/>
      <c r="VS1015"/>
      <c r="VT1015"/>
      <c r="VU1015"/>
      <c r="VV1015"/>
      <c r="VW1015"/>
      <c r="VX1015"/>
      <c r="VY1015"/>
      <c r="VZ1015"/>
      <c r="WA1015"/>
      <c r="WB1015"/>
      <c r="WC1015"/>
      <c r="WD1015"/>
      <c r="WE1015"/>
      <c r="WF1015"/>
      <c r="WG1015"/>
      <c r="WH1015"/>
      <c r="WI1015"/>
      <c r="WJ1015"/>
      <c r="WK1015"/>
      <c r="WL1015"/>
      <c r="WM1015"/>
      <c r="WN1015"/>
      <c r="WO1015"/>
      <c r="WP1015"/>
      <c r="WQ1015"/>
      <c r="WR1015"/>
      <c r="WS1015"/>
      <c r="WT1015"/>
      <c r="WU1015"/>
      <c r="WV1015"/>
      <c r="WW1015"/>
      <c r="WX1015"/>
      <c r="WY1015"/>
      <c r="WZ1015"/>
      <c r="XA1015"/>
      <c r="XB1015"/>
      <c r="XC1015"/>
      <c r="XD1015"/>
      <c r="XE1015"/>
      <c r="XF1015"/>
      <c r="XG1015"/>
      <c r="XH1015"/>
      <c r="XI1015"/>
      <c r="XJ1015"/>
      <c r="XK1015"/>
      <c r="XL1015"/>
      <c r="XM1015"/>
      <c r="XN1015"/>
      <c r="XO1015"/>
      <c r="XP1015"/>
      <c r="XQ1015"/>
      <c r="XR1015"/>
      <c r="XS1015"/>
      <c r="XT1015"/>
      <c r="XU1015"/>
      <c r="XV1015"/>
      <c r="XW1015"/>
      <c r="XX1015"/>
      <c r="XY1015"/>
      <c r="XZ1015"/>
      <c r="YA1015"/>
      <c r="YB1015"/>
      <c r="YC1015"/>
      <c r="YD1015"/>
      <c r="YE1015"/>
      <c r="YF1015"/>
      <c r="YG1015"/>
      <c r="YH1015"/>
      <c r="YI1015"/>
      <c r="YJ1015"/>
      <c r="YK1015"/>
      <c r="YL1015"/>
      <c r="YM1015"/>
      <c r="YN1015"/>
      <c r="YO1015"/>
      <c r="YP1015"/>
      <c r="YQ1015"/>
      <c r="YR1015"/>
      <c r="YS1015"/>
      <c r="YT1015"/>
      <c r="YU1015"/>
      <c r="YV1015"/>
      <c r="YW1015"/>
      <c r="YX1015"/>
      <c r="YY1015"/>
      <c r="YZ1015"/>
      <c r="ZA1015"/>
      <c r="ZB1015"/>
      <c r="ZC1015"/>
      <c r="ZD1015"/>
      <c r="ZE1015"/>
      <c r="ZF1015"/>
      <c r="ZG1015"/>
      <c r="ZH1015"/>
      <c r="ZI1015"/>
      <c r="ZJ1015"/>
      <c r="ZK1015"/>
      <c r="ZL1015"/>
      <c r="ZM1015"/>
      <c r="ZN1015"/>
      <c r="ZO1015"/>
      <c r="ZP1015"/>
      <c r="ZQ1015"/>
      <c r="ZR1015"/>
      <c r="ZS1015"/>
      <c r="ZT1015"/>
      <c r="ZU1015"/>
      <c r="ZV1015"/>
      <c r="ZW1015"/>
      <c r="ZX1015"/>
      <c r="ZY1015"/>
      <c r="ZZ1015"/>
      <c r="AAA1015"/>
      <c r="AAB1015"/>
      <c r="AAC1015"/>
      <c r="AAD1015"/>
      <c r="AAE1015"/>
      <c r="AAF1015"/>
      <c r="AAG1015"/>
      <c r="AAH1015"/>
      <c r="AAI1015"/>
      <c r="AAJ1015"/>
      <c r="AAK1015"/>
      <c r="AAL1015"/>
      <c r="AAM1015"/>
      <c r="AAN1015"/>
      <c r="AAO1015"/>
      <c r="AAP1015"/>
      <c r="AAQ1015"/>
      <c r="AAR1015"/>
      <c r="AAS1015"/>
      <c r="AAT1015"/>
      <c r="AAU1015"/>
      <c r="AAV1015"/>
      <c r="AAW1015"/>
      <c r="AAX1015"/>
      <c r="AAY1015"/>
      <c r="AAZ1015"/>
      <c r="ABA1015"/>
      <c r="ABB1015"/>
      <c r="ABC1015"/>
      <c r="ABD1015"/>
      <c r="ABE1015"/>
      <c r="ABF1015"/>
      <c r="ABG1015"/>
      <c r="ABH1015"/>
      <c r="ABI1015"/>
      <c r="ABJ1015"/>
      <c r="ABK1015"/>
      <c r="ABL1015"/>
      <c r="ABM1015"/>
      <c r="ABN1015"/>
      <c r="ABO1015"/>
      <c r="ABP1015"/>
      <c r="ABQ1015"/>
      <c r="ABR1015"/>
      <c r="ABS1015"/>
      <c r="ABT1015"/>
      <c r="ABU1015"/>
      <c r="ABV1015"/>
      <c r="ABW1015"/>
      <c r="ABX1015"/>
      <c r="ABY1015"/>
      <c r="ABZ1015"/>
      <c r="ACA1015"/>
      <c r="ACB1015"/>
      <c r="ACC1015"/>
      <c r="ACD1015"/>
      <c r="ACE1015"/>
      <c r="ACF1015"/>
      <c r="ACG1015"/>
      <c r="ACH1015"/>
      <c r="ACI1015"/>
      <c r="ACJ1015"/>
      <c r="ACK1015"/>
      <c r="ACL1015"/>
      <c r="ACM1015"/>
      <c r="ACN1015"/>
      <c r="ACO1015"/>
      <c r="ACP1015"/>
      <c r="ACQ1015"/>
      <c r="ACR1015"/>
      <c r="ACS1015"/>
      <c r="ACT1015"/>
      <c r="ACU1015"/>
      <c r="ACV1015"/>
      <c r="ACW1015"/>
      <c r="ACX1015"/>
      <c r="ACY1015"/>
      <c r="ACZ1015"/>
      <c r="ADA1015"/>
      <c r="ADB1015"/>
      <c r="ADC1015"/>
      <c r="ADD1015"/>
      <c r="ADE1015"/>
      <c r="ADF1015"/>
      <c r="ADG1015"/>
      <c r="ADH1015"/>
      <c r="ADI1015"/>
      <c r="ADJ1015"/>
      <c r="ADK1015"/>
      <c r="ADL1015"/>
      <c r="ADM1015"/>
      <c r="ADN1015"/>
      <c r="ADO1015"/>
      <c r="ADP1015"/>
      <c r="ADQ1015"/>
      <c r="ADR1015"/>
      <c r="ADS1015"/>
      <c r="ADT1015"/>
      <c r="ADU1015"/>
      <c r="ADV1015"/>
      <c r="ADW1015"/>
      <c r="ADX1015"/>
      <c r="ADY1015"/>
      <c r="ADZ1015"/>
      <c r="AEA1015"/>
      <c r="AEB1015"/>
      <c r="AEC1015"/>
      <c r="AED1015"/>
      <c r="AEE1015"/>
      <c r="AEF1015"/>
      <c r="AEG1015"/>
      <c r="AEH1015"/>
      <c r="AEI1015"/>
      <c r="AEJ1015"/>
      <c r="AEK1015"/>
      <c r="AEL1015"/>
      <c r="AEM1015"/>
      <c r="AEN1015"/>
      <c r="AEO1015"/>
      <c r="AEP1015"/>
      <c r="AEQ1015"/>
      <c r="AER1015"/>
      <c r="AES1015"/>
      <c r="AET1015"/>
      <c r="AEU1015"/>
      <c r="AEV1015"/>
      <c r="AEW1015"/>
      <c r="AEX1015"/>
      <c r="AEY1015"/>
      <c r="AEZ1015"/>
      <c r="AFA1015"/>
      <c r="AFB1015"/>
      <c r="AFC1015"/>
      <c r="AFD1015"/>
      <c r="AFE1015"/>
      <c r="AFF1015"/>
      <c r="AFG1015"/>
      <c r="AFH1015"/>
      <c r="AFI1015"/>
      <c r="AFJ1015"/>
      <c r="AFK1015"/>
      <c r="AFL1015"/>
      <c r="AFM1015"/>
      <c r="AFN1015"/>
      <c r="AFO1015"/>
      <c r="AFP1015"/>
      <c r="AFQ1015"/>
      <c r="AFR1015"/>
      <c r="AFS1015"/>
      <c r="AFT1015"/>
      <c r="AFU1015"/>
      <c r="AFV1015"/>
      <c r="AFW1015"/>
      <c r="AFX1015"/>
      <c r="AFY1015"/>
      <c r="AFZ1015"/>
      <c r="AGA1015"/>
      <c r="AGB1015"/>
      <c r="AGC1015"/>
      <c r="AGD1015"/>
      <c r="AGE1015"/>
      <c r="AGF1015"/>
      <c r="AGG1015"/>
      <c r="AGH1015"/>
      <c r="AGI1015"/>
      <c r="AGJ1015"/>
      <c r="AGK1015"/>
      <c r="AGL1015"/>
      <c r="AGM1015"/>
      <c r="AGN1015"/>
      <c r="AGO1015"/>
      <c r="AGP1015"/>
      <c r="AGQ1015"/>
      <c r="AGR1015"/>
      <c r="AGS1015"/>
      <c r="AGT1015"/>
      <c r="AGU1015"/>
      <c r="AGV1015"/>
      <c r="AGW1015"/>
      <c r="AGX1015"/>
      <c r="AGY1015"/>
      <c r="AGZ1015"/>
      <c r="AHA1015"/>
      <c r="AHB1015"/>
      <c r="AHC1015"/>
      <c r="AHD1015"/>
      <c r="AHE1015"/>
      <c r="AHF1015"/>
      <c r="AHG1015"/>
      <c r="AHH1015"/>
      <c r="AHI1015"/>
      <c r="AHJ1015"/>
      <c r="AHK1015"/>
      <c r="AHL1015"/>
      <c r="AHM1015"/>
      <c r="AHN1015"/>
      <c r="AHO1015"/>
      <c r="AHP1015"/>
      <c r="AHQ1015"/>
      <c r="AHR1015"/>
      <c r="AHS1015"/>
      <c r="AHT1015"/>
      <c r="AHU1015"/>
      <c r="AHV1015"/>
      <c r="AHW1015"/>
      <c r="AHX1015"/>
      <c r="AHY1015"/>
      <c r="AHZ1015"/>
      <c r="AIA1015"/>
      <c r="AIB1015"/>
      <c r="AIC1015"/>
      <c r="AID1015"/>
      <c r="AIE1015"/>
      <c r="AIF1015"/>
      <c r="AIG1015"/>
      <c r="AIH1015"/>
      <c r="AII1015"/>
      <c r="AIJ1015"/>
      <c r="AIK1015"/>
      <c r="AIL1015"/>
      <c r="AIM1015"/>
      <c r="AIN1015"/>
      <c r="AIO1015"/>
      <c r="AIP1015"/>
      <c r="AIQ1015"/>
      <c r="AIR1015"/>
      <c r="AIS1015"/>
      <c r="AIT1015"/>
      <c r="AIU1015"/>
      <c r="AIV1015"/>
      <c r="AIW1015"/>
      <c r="AIX1015"/>
      <c r="AIY1015"/>
      <c r="AIZ1015"/>
      <c r="AJA1015"/>
      <c r="AJB1015"/>
      <c r="AJC1015"/>
      <c r="AJD1015"/>
      <c r="AJE1015"/>
      <c r="AJF1015"/>
      <c r="AJG1015"/>
      <c r="AJH1015"/>
      <c r="AJI1015"/>
      <c r="AJJ1015"/>
      <c r="AJK1015"/>
      <c r="AJL1015"/>
      <c r="AJM1015"/>
      <c r="AJN1015"/>
      <c r="AJO1015"/>
      <c r="AJP1015"/>
      <c r="AJQ1015"/>
      <c r="AJR1015"/>
      <c r="AJS1015"/>
      <c r="AJT1015"/>
      <c r="AJU1015"/>
      <c r="AJV1015"/>
      <c r="AJW1015"/>
      <c r="AJX1015"/>
      <c r="AJY1015"/>
      <c r="AJZ1015"/>
      <c r="AKA1015"/>
      <c r="AKB1015"/>
      <c r="AKC1015"/>
      <c r="AKD1015"/>
      <c r="AKE1015"/>
      <c r="AKF1015"/>
      <c r="AKG1015"/>
      <c r="AKH1015"/>
      <c r="AKI1015"/>
      <c r="AKJ1015"/>
      <c r="AKK1015"/>
      <c r="AKL1015"/>
      <c r="AKM1015"/>
      <c r="AKN1015"/>
      <c r="AKO1015"/>
      <c r="AKP1015"/>
      <c r="AKQ1015"/>
      <c r="AKR1015"/>
      <c r="AKS1015"/>
      <c r="AKT1015"/>
      <c r="AKU1015"/>
      <c r="AKV1015"/>
      <c r="AKW1015"/>
      <c r="AKX1015"/>
      <c r="AKY1015"/>
      <c r="AKZ1015"/>
      <c r="ALA1015"/>
      <c r="ALB1015"/>
      <c r="ALC1015"/>
      <c r="ALD1015"/>
      <c r="ALE1015"/>
      <c r="ALF1015"/>
      <c r="ALG1015"/>
      <c r="ALH1015"/>
      <c r="ALI1015"/>
      <c r="ALJ1015"/>
      <c r="ALK1015"/>
      <c r="ALL1015"/>
      <c r="ALM1015"/>
      <c r="ALN1015"/>
      <c r="ALO1015"/>
      <c r="ALP1015"/>
      <c r="ALQ1015"/>
      <c r="ALR1015"/>
      <c r="ALS1015"/>
      <c r="ALT1015"/>
      <c r="ALU1015"/>
      <c r="ALV1015"/>
      <c r="ALW1015"/>
      <c r="ALX1015"/>
      <c r="ALY1015"/>
      <c r="ALZ1015"/>
      <c r="AMA1015"/>
      <c r="AMB1015"/>
      <c r="AMC1015"/>
      <c r="AMD1015"/>
      <c r="AME1015"/>
      <c r="AMF1015"/>
      <c r="AMG1015"/>
      <c r="AMH1015"/>
      <c r="AMI1015"/>
      <c r="AMJ1015"/>
      <c r="AMK1015"/>
      <c r="AML1015"/>
      <c r="AMM1015"/>
      <c r="AMN1015"/>
      <c r="AMO1015"/>
      <c r="AMP1015"/>
      <c r="AMQ1015"/>
      <c r="AMR1015"/>
      <c r="AMS1015"/>
      <c r="AMT1015"/>
      <c r="AMU1015"/>
      <c r="AMV1015"/>
      <c r="AMW1015"/>
      <c r="AMX1015"/>
      <c r="AMY1015"/>
      <c r="AMZ1015"/>
      <c r="ANA1015"/>
      <c r="ANB1015"/>
      <c r="ANC1015"/>
      <c r="AND1015"/>
      <c r="ANE1015"/>
      <c r="ANF1015"/>
      <c r="ANG1015"/>
      <c r="ANH1015"/>
      <c r="ANI1015"/>
      <c r="ANJ1015"/>
      <c r="ANK1015"/>
      <c r="ANL1015"/>
      <c r="ANM1015"/>
      <c r="ANN1015"/>
      <c r="ANO1015"/>
      <c r="ANP1015"/>
      <c r="ANQ1015"/>
      <c r="ANR1015"/>
      <c r="ANS1015"/>
      <c r="ANT1015"/>
      <c r="ANU1015"/>
      <c r="ANV1015"/>
      <c r="ANW1015"/>
      <c r="ANX1015"/>
      <c r="ANY1015"/>
      <c r="ANZ1015"/>
      <c r="AOA1015"/>
      <c r="AOB1015"/>
      <c r="AOC1015"/>
      <c r="AOD1015"/>
      <c r="AOE1015"/>
      <c r="AOF1015"/>
      <c r="AOG1015"/>
      <c r="AOH1015"/>
      <c r="AOI1015"/>
      <c r="AOJ1015"/>
      <c r="AOK1015"/>
      <c r="AOL1015"/>
      <c r="AOM1015"/>
      <c r="AON1015"/>
      <c r="AOO1015"/>
      <c r="AOP1015"/>
      <c r="AOQ1015"/>
      <c r="AOR1015"/>
      <c r="AOS1015"/>
      <c r="AOT1015"/>
      <c r="AOU1015"/>
      <c r="AOV1015"/>
      <c r="AOW1015"/>
      <c r="AOX1015"/>
      <c r="AOY1015"/>
      <c r="AOZ1015"/>
      <c r="APA1015"/>
      <c r="APB1015"/>
      <c r="APC1015"/>
      <c r="APD1015"/>
      <c r="APE1015"/>
      <c r="APF1015"/>
      <c r="APG1015"/>
      <c r="APH1015"/>
      <c r="API1015"/>
      <c r="APJ1015"/>
      <c r="APK1015"/>
      <c r="APL1015"/>
      <c r="APM1015"/>
      <c r="APN1015"/>
      <c r="APO1015"/>
      <c r="APP1015"/>
      <c r="APQ1015"/>
      <c r="APR1015"/>
      <c r="APS1015"/>
      <c r="APT1015"/>
      <c r="APU1015"/>
      <c r="APV1015"/>
      <c r="APW1015"/>
      <c r="APX1015"/>
      <c r="APY1015"/>
      <c r="APZ1015"/>
      <c r="AQA1015"/>
      <c r="AQB1015"/>
      <c r="AQC1015"/>
      <c r="AQD1015"/>
      <c r="AQE1015"/>
      <c r="AQF1015"/>
      <c r="AQG1015"/>
      <c r="AQH1015"/>
      <c r="AQI1015"/>
      <c r="AQJ1015"/>
      <c r="AQK1015"/>
      <c r="AQL1015"/>
      <c r="AQM1015"/>
      <c r="AQN1015"/>
      <c r="AQO1015"/>
      <c r="AQP1015"/>
      <c r="AQQ1015"/>
      <c r="AQR1015"/>
      <c r="AQS1015"/>
      <c r="AQT1015"/>
      <c r="AQU1015"/>
      <c r="AQV1015"/>
      <c r="AQW1015"/>
      <c r="AQX1015"/>
      <c r="AQY1015"/>
      <c r="AQZ1015"/>
      <c r="ARA1015"/>
      <c r="ARB1015"/>
      <c r="ARC1015"/>
      <c r="ARD1015"/>
      <c r="ARE1015"/>
      <c r="ARF1015"/>
      <c r="ARG1015"/>
      <c r="ARH1015"/>
      <c r="ARI1015"/>
      <c r="ARJ1015"/>
      <c r="ARK1015"/>
      <c r="ARL1015"/>
      <c r="ARM1015"/>
      <c r="ARN1015"/>
      <c r="ARO1015"/>
      <c r="ARP1015"/>
      <c r="ARQ1015"/>
      <c r="ARR1015"/>
      <c r="ARS1015"/>
      <c r="ART1015"/>
      <c r="ARU1015"/>
      <c r="ARV1015"/>
      <c r="ARW1015"/>
      <c r="ARX1015"/>
      <c r="ARY1015"/>
      <c r="ARZ1015"/>
      <c r="ASA1015"/>
      <c r="ASB1015"/>
      <c r="ASC1015"/>
      <c r="ASD1015"/>
      <c r="ASE1015"/>
      <c r="ASF1015"/>
      <c r="ASG1015"/>
      <c r="ASH1015"/>
      <c r="ASI1015"/>
      <c r="ASJ1015"/>
      <c r="ASK1015"/>
      <c r="ASL1015"/>
      <c r="ASM1015"/>
      <c r="ASN1015"/>
      <c r="ASO1015"/>
      <c r="ASP1015"/>
      <c r="ASQ1015"/>
      <c r="ASR1015"/>
      <c r="ASS1015"/>
      <c r="AST1015"/>
      <c r="ASU1015"/>
      <c r="ASV1015"/>
      <c r="ASW1015"/>
      <c r="ASX1015"/>
      <c r="ASY1015"/>
      <c r="ASZ1015"/>
      <c r="ATA1015"/>
      <c r="ATB1015"/>
      <c r="ATC1015"/>
      <c r="ATD1015"/>
      <c r="ATE1015"/>
      <c r="ATF1015"/>
      <c r="ATG1015"/>
      <c r="ATH1015"/>
      <c r="ATI1015"/>
      <c r="ATJ1015"/>
      <c r="ATK1015"/>
      <c r="ATL1015"/>
      <c r="ATM1015"/>
      <c r="ATN1015"/>
      <c r="ATO1015"/>
      <c r="ATP1015"/>
      <c r="ATQ1015"/>
      <c r="ATR1015"/>
      <c r="ATS1015"/>
      <c r="ATT1015"/>
      <c r="ATU1015"/>
      <c r="ATV1015"/>
      <c r="ATW1015"/>
      <c r="ATX1015"/>
      <c r="ATY1015"/>
      <c r="ATZ1015"/>
      <c r="AUA1015"/>
      <c r="AUB1015"/>
      <c r="AUC1015"/>
      <c r="AUD1015"/>
      <c r="AUE1015"/>
      <c r="AUF1015"/>
      <c r="AUG1015"/>
      <c r="AUH1015"/>
      <c r="AUI1015"/>
      <c r="AUJ1015"/>
      <c r="AUK1015"/>
      <c r="AUL1015"/>
      <c r="AUM1015"/>
      <c r="AUN1015"/>
      <c r="AUO1015"/>
      <c r="AUP1015"/>
      <c r="AUQ1015"/>
      <c r="AUR1015"/>
      <c r="AUS1015"/>
      <c r="AUT1015"/>
      <c r="AUU1015"/>
      <c r="AUV1015"/>
      <c r="AUW1015"/>
      <c r="AUX1015"/>
      <c r="AUY1015"/>
      <c r="AUZ1015"/>
      <c r="AVA1015"/>
      <c r="AVB1015"/>
      <c r="AVC1015"/>
      <c r="AVD1015"/>
      <c r="AVE1015"/>
      <c r="AVF1015"/>
      <c r="AVG1015"/>
      <c r="AVH1015"/>
      <c r="AVI1015"/>
      <c r="AVJ1015"/>
      <c r="AVK1015"/>
      <c r="AVL1015"/>
      <c r="AVM1015"/>
      <c r="AVN1015"/>
      <c r="AVO1015"/>
      <c r="AVP1015"/>
      <c r="AVQ1015"/>
      <c r="AVR1015"/>
      <c r="AVS1015"/>
      <c r="AVT1015"/>
      <c r="AVU1015"/>
      <c r="AVV1015"/>
      <c r="AVW1015"/>
      <c r="AVX1015"/>
      <c r="AVY1015"/>
      <c r="AVZ1015"/>
      <c r="AWA1015"/>
      <c r="AWB1015"/>
      <c r="AWC1015"/>
      <c r="AWD1015"/>
      <c r="AWE1015"/>
      <c r="AWF1015"/>
      <c r="AWG1015"/>
      <c r="AWH1015"/>
      <c r="AWI1015"/>
      <c r="AWJ1015"/>
      <c r="AWK1015"/>
      <c r="AWL1015"/>
      <c r="AWM1015"/>
      <c r="AWN1015"/>
      <c r="AWO1015"/>
      <c r="AWP1015"/>
      <c r="AWQ1015"/>
      <c r="AWR1015"/>
      <c r="AWS1015"/>
      <c r="AWT1015"/>
      <c r="AWU1015"/>
      <c r="AWV1015"/>
      <c r="AWW1015"/>
      <c r="AWX1015"/>
      <c r="AWY1015"/>
      <c r="AWZ1015"/>
      <c r="AXA1015"/>
      <c r="AXB1015"/>
      <c r="AXC1015"/>
      <c r="AXD1015"/>
      <c r="AXE1015"/>
      <c r="AXF1015"/>
      <c r="AXG1015"/>
      <c r="AXH1015"/>
      <c r="AXI1015"/>
      <c r="AXJ1015"/>
      <c r="AXK1015"/>
      <c r="AXL1015"/>
      <c r="AXM1015"/>
      <c r="AXN1015"/>
      <c r="AXO1015"/>
      <c r="AXP1015"/>
      <c r="AXQ1015"/>
      <c r="AXR1015"/>
      <c r="AXS1015"/>
      <c r="AXT1015"/>
      <c r="AXU1015"/>
      <c r="AXV1015"/>
      <c r="AXW1015"/>
      <c r="AXX1015"/>
      <c r="AXY1015"/>
      <c r="AXZ1015"/>
      <c r="AYA1015"/>
      <c r="AYB1015"/>
      <c r="AYC1015"/>
      <c r="AYD1015"/>
      <c r="AYE1015"/>
      <c r="AYF1015"/>
      <c r="AYG1015"/>
      <c r="AYH1015"/>
      <c r="AYI1015"/>
      <c r="AYJ1015"/>
      <c r="AYK1015"/>
      <c r="AYL1015"/>
      <c r="AYM1015"/>
      <c r="AYN1015"/>
      <c r="AYO1015"/>
      <c r="AYP1015"/>
      <c r="AYQ1015"/>
      <c r="AYR1015"/>
      <c r="AYS1015"/>
      <c r="AYT1015"/>
      <c r="AYU1015"/>
      <c r="AYV1015"/>
      <c r="AYW1015"/>
      <c r="AYX1015"/>
      <c r="AYY1015"/>
      <c r="AYZ1015"/>
      <c r="AZA1015"/>
      <c r="AZB1015"/>
      <c r="AZC1015"/>
      <c r="AZD1015"/>
      <c r="AZE1015"/>
      <c r="AZF1015"/>
      <c r="AZG1015"/>
      <c r="AZH1015"/>
      <c r="AZI1015"/>
      <c r="AZJ1015"/>
      <c r="AZK1015"/>
      <c r="AZL1015"/>
      <c r="AZM1015"/>
      <c r="AZN1015"/>
      <c r="AZO1015"/>
      <c r="AZP1015"/>
      <c r="AZQ1015"/>
      <c r="AZR1015"/>
      <c r="AZS1015"/>
      <c r="AZT1015"/>
      <c r="AZU1015"/>
      <c r="AZV1015"/>
      <c r="AZW1015"/>
      <c r="AZX1015"/>
      <c r="AZY1015"/>
      <c r="AZZ1015"/>
      <c r="BAA1015"/>
      <c r="BAB1015"/>
      <c r="BAC1015"/>
      <c r="BAD1015"/>
      <c r="BAE1015"/>
      <c r="BAF1015"/>
      <c r="BAG1015"/>
      <c r="BAH1015"/>
      <c r="BAI1015"/>
      <c r="BAJ1015"/>
      <c r="BAK1015"/>
      <c r="BAL1015"/>
      <c r="BAM1015"/>
      <c r="BAN1015"/>
      <c r="BAO1015"/>
      <c r="BAP1015"/>
      <c r="BAQ1015"/>
      <c r="BAR1015"/>
      <c r="BAS1015"/>
      <c r="BAT1015"/>
      <c r="BAU1015"/>
      <c r="BAV1015"/>
      <c r="BAW1015"/>
      <c r="BAX1015"/>
      <c r="BAY1015"/>
      <c r="BAZ1015"/>
      <c r="BBA1015"/>
      <c r="BBB1015"/>
      <c r="BBC1015"/>
      <c r="BBD1015"/>
      <c r="BBE1015"/>
      <c r="BBF1015"/>
      <c r="BBG1015"/>
      <c r="BBH1015"/>
      <c r="BBI1015"/>
      <c r="BBJ1015"/>
      <c r="BBK1015"/>
      <c r="BBL1015"/>
      <c r="BBM1015"/>
      <c r="BBN1015"/>
      <c r="BBO1015"/>
      <c r="BBP1015"/>
      <c r="BBQ1015"/>
      <c r="BBR1015"/>
      <c r="BBS1015"/>
      <c r="BBT1015"/>
      <c r="BBU1015"/>
      <c r="BBV1015"/>
      <c r="BBW1015"/>
      <c r="BBX1015"/>
      <c r="BBY1015"/>
      <c r="BBZ1015"/>
      <c r="BCA1015"/>
      <c r="BCB1015"/>
      <c r="BCC1015"/>
      <c r="BCD1015"/>
      <c r="BCE1015"/>
      <c r="BCF1015"/>
      <c r="BCG1015"/>
      <c r="BCH1015"/>
      <c r="BCI1015"/>
      <c r="BCJ1015"/>
      <c r="BCK1015"/>
      <c r="BCL1015"/>
      <c r="BCM1015"/>
      <c r="BCN1015"/>
      <c r="BCO1015"/>
      <c r="BCP1015"/>
      <c r="BCQ1015"/>
      <c r="BCR1015"/>
      <c r="BCS1015"/>
      <c r="BCT1015"/>
      <c r="BCU1015"/>
      <c r="BCV1015"/>
      <c r="BCW1015"/>
      <c r="BCX1015"/>
      <c r="BCY1015"/>
      <c r="BCZ1015"/>
      <c r="BDA1015"/>
      <c r="BDB1015"/>
      <c r="BDC1015"/>
      <c r="BDD1015"/>
      <c r="BDE1015"/>
      <c r="BDF1015"/>
      <c r="BDG1015"/>
      <c r="BDH1015"/>
      <c r="BDI1015"/>
      <c r="BDJ1015"/>
      <c r="BDK1015"/>
      <c r="BDL1015"/>
      <c r="BDM1015"/>
      <c r="BDN1015"/>
      <c r="BDO1015"/>
      <c r="BDP1015"/>
      <c r="BDQ1015"/>
      <c r="BDR1015"/>
      <c r="BDS1015"/>
      <c r="BDT1015"/>
      <c r="BDU1015"/>
      <c r="BDV1015"/>
      <c r="BDW1015"/>
      <c r="BDX1015"/>
      <c r="BDY1015"/>
      <c r="BDZ1015"/>
      <c r="BEA1015"/>
      <c r="BEB1015"/>
      <c r="BEC1015"/>
      <c r="BED1015"/>
      <c r="BEE1015"/>
      <c r="BEF1015"/>
      <c r="BEG1015"/>
      <c r="BEH1015"/>
      <c r="BEI1015"/>
      <c r="BEJ1015"/>
      <c r="BEK1015"/>
      <c r="BEL1015"/>
      <c r="BEM1015"/>
      <c r="BEN1015"/>
      <c r="BEO1015"/>
      <c r="BEP1015"/>
      <c r="BEQ1015"/>
      <c r="BER1015"/>
      <c r="BES1015"/>
      <c r="BET1015"/>
      <c r="BEU1015"/>
      <c r="BEV1015"/>
      <c r="BEW1015"/>
      <c r="BEX1015"/>
      <c r="BEY1015"/>
      <c r="BEZ1015"/>
      <c r="BFA1015"/>
      <c r="BFB1015"/>
      <c r="BFC1015"/>
      <c r="BFD1015"/>
      <c r="BFE1015"/>
      <c r="BFF1015"/>
      <c r="BFG1015"/>
      <c r="BFH1015"/>
      <c r="BFI1015"/>
      <c r="BFJ1015"/>
      <c r="BFK1015"/>
      <c r="BFL1015"/>
      <c r="BFM1015"/>
      <c r="BFN1015"/>
      <c r="BFO1015"/>
      <c r="BFP1015"/>
      <c r="BFQ1015"/>
      <c r="BFR1015"/>
      <c r="BFS1015"/>
      <c r="BFT1015"/>
      <c r="BFU1015"/>
      <c r="BFV1015"/>
      <c r="BFW1015"/>
      <c r="BFX1015"/>
      <c r="BFY1015"/>
      <c r="BFZ1015"/>
      <c r="BGA1015"/>
      <c r="BGB1015"/>
      <c r="BGC1015"/>
      <c r="BGD1015"/>
      <c r="BGE1015"/>
      <c r="BGF1015"/>
      <c r="BGG1015"/>
      <c r="BGH1015"/>
      <c r="BGI1015"/>
      <c r="BGJ1015"/>
      <c r="BGK1015"/>
      <c r="BGL1015"/>
      <c r="BGM1015"/>
      <c r="BGN1015"/>
      <c r="BGO1015"/>
      <c r="BGP1015"/>
      <c r="BGQ1015"/>
      <c r="BGR1015"/>
      <c r="BGS1015"/>
      <c r="BGT1015"/>
      <c r="BGU1015"/>
      <c r="BGV1015"/>
      <c r="BGW1015"/>
      <c r="BGX1015"/>
      <c r="BGY1015"/>
      <c r="BGZ1015"/>
      <c r="BHA1015"/>
      <c r="BHB1015"/>
      <c r="BHC1015"/>
      <c r="BHD1015"/>
      <c r="BHE1015"/>
      <c r="BHF1015"/>
      <c r="BHG1015"/>
      <c r="BHH1015"/>
      <c r="BHI1015"/>
      <c r="BHJ1015"/>
      <c r="BHK1015"/>
      <c r="BHL1015"/>
      <c r="BHM1015"/>
      <c r="BHN1015"/>
      <c r="BHO1015"/>
      <c r="BHP1015"/>
      <c r="BHQ1015"/>
      <c r="BHR1015"/>
      <c r="BHS1015"/>
      <c r="BHT1015"/>
      <c r="BHU1015"/>
      <c r="BHV1015"/>
      <c r="BHW1015"/>
      <c r="BHX1015"/>
      <c r="BHY1015"/>
      <c r="BHZ1015"/>
      <c r="BIA1015"/>
      <c r="BIB1015"/>
      <c r="BIC1015"/>
      <c r="BID1015"/>
      <c r="BIE1015"/>
      <c r="BIF1015"/>
      <c r="BIG1015"/>
      <c r="BIH1015"/>
      <c r="BII1015"/>
      <c r="BIJ1015"/>
      <c r="BIK1015"/>
      <c r="BIL1015"/>
      <c r="BIM1015"/>
      <c r="BIN1015"/>
      <c r="BIO1015"/>
      <c r="BIP1015"/>
      <c r="BIQ1015"/>
      <c r="BIR1015"/>
      <c r="BIS1015"/>
      <c r="BIT1015"/>
      <c r="BIU1015"/>
      <c r="BIV1015"/>
      <c r="BIW1015"/>
      <c r="BIX1015"/>
      <c r="BIY1015"/>
      <c r="BIZ1015"/>
      <c r="BJA1015"/>
      <c r="BJB1015"/>
      <c r="BJC1015"/>
      <c r="BJD1015"/>
      <c r="BJE1015"/>
      <c r="BJF1015"/>
      <c r="BJG1015"/>
      <c r="BJH1015"/>
      <c r="BJI1015"/>
      <c r="BJJ1015"/>
      <c r="BJK1015"/>
      <c r="BJL1015"/>
      <c r="BJM1015"/>
      <c r="BJN1015"/>
      <c r="BJO1015"/>
      <c r="BJP1015"/>
      <c r="BJQ1015"/>
      <c r="BJR1015"/>
      <c r="BJS1015"/>
      <c r="BJT1015"/>
      <c r="BJU1015"/>
      <c r="BJV1015"/>
      <c r="BJW1015"/>
      <c r="BJX1015"/>
      <c r="BJY1015"/>
      <c r="BJZ1015"/>
      <c r="BKA1015"/>
      <c r="BKB1015"/>
      <c r="BKC1015"/>
      <c r="BKD1015"/>
      <c r="BKE1015"/>
      <c r="BKF1015"/>
      <c r="BKG1015"/>
      <c r="BKH1015"/>
      <c r="BKI1015"/>
      <c r="BKJ1015"/>
      <c r="BKK1015"/>
      <c r="BKL1015"/>
      <c r="BKM1015"/>
      <c r="BKN1015"/>
      <c r="BKO1015"/>
      <c r="BKP1015"/>
      <c r="BKQ1015"/>
      <c r="BKR1015"/>
      <c r="BKS1015"/>
      <c r="BKT1015"/>
      <c r="BKU1015"/>
      <c r="BKV1015"/>
      <c r="BKW1015"/>
      <c r="BKX1015"/>
      <c r="BKY1015"/>
      <c r="BKZ1015"/>
      <c r="BLA1015"/>
      <c r="BLB1015"/>
      <c r="BLC1015"/>
      <c r="BLD1015"/>
      <c r="BLE1015"/>
      <c r="BLF1015"/>
      <c r="BLG1015"/>
      <c r="BLH1015"/>
      <c r="BLI1015"/>
      <c r="BLJ1015"/>
      <c r="BLK1015"/>
      <c r="BLL1015"/>
      <c r="BLM1015"/>
      <c r="BLN1015"/>
      <c r="BLO1015"/>
      <c r="BLP1015"/>
      <c r="BLQ1015"/>
      <c r="BLR1015"/>
      <c r="BLS1015"/>
      <c r="BLT1015"/>
      <c r="BLU1015"/>
      <c r="BLV1015"/>
      <c r="BLW1015"/>
      <c r="BLX1015"/>
      <c r="BLY1015"/>
      <c r="BLZ1015"/>
      <c r="BMA1015"/>
      <c r="BMB1015"/>
      <c r="BMC1015"/>
      <c r="BMD1015"/>
      <c r="BME1015"/>
      <c r="BMF1015"/>
      <c r="BMG1015"/>
      <c r="BMH1015"/>
      <c r="BMI1015"/>
      <c r="BMJ1015"/>
      <c r="BMK1015"/>
      <c r="BML1015"/>
      <c r="BMM1015"/>
      <c r="BMN1015"/>
      <c r="BMO1015"/>
      <c r="BMP1015"/>
      <c r="BMQ1015"/>
      <c r="BMR1015"/>
      <c r="BMS1015"/>
      <c r="BMT1015"/>
      <c r="BMU1015"/>
      <c r="BMV1015"/>
      <c r="BMW1015"/>
      <c r="BMX1015"/>
      <c r="BMY1015"/>
      <c r="BMZ1015"/>
      <c r="BNA1015"/>
      <c r="BNB1015"/>
      <c r="BNC1015"/>
      <c r="BND1015"/>
      <c r="BNE1015"/>
      <c r="BNF1015"/>
      <c r="BNG1015"/>
      <c r="BNH1015"/>
      <c r="BNI1015"/>
      <c r="BNJ1015"/>
      <c r="BNK1015"/>
      <c r="BNL1015"/>
      <c r="BNM1015"/>
      <c r="BNN1015"/>
      <c r="BNO1015"/>
      <c r="BNP1015"/>
      <c r="BNQ1015"/>
      <c r="BNR1015"/>
      <c r="BNS1015"/>
      <c r="BNT1015"/>
      <c r="BNU1015"/>
      <c r="BNV1015"/>
      <c r="BNW1015"/>
      <c r="BNX1015"/>
      <c r="BNY1015"/>
      <c r="BNZ1015"/>
      <c r="BOA1015"/>
      <c r="BOB1015"/>
      <c r="BOC1015"/>
      <c r="BOD1015"/>
      <c r="BOE1015"/>
      <c r="BOF1015"/>
      <c r="BOG1015"/>
      <c r="BOH1015"/>
      <c r="BOI1015"/>
      <c r="BOJ1015"/>
      <c r="BOK1015"/>
      <c r="BOL1015"/>
      <c r="BOM1015"/>
      <c r="BON1015"/>
      <c r="BOO1015"/>
      <c r="BOP1015"/>
      <c r="BOQ1015"/>
      <c r="BOR1015"/>
      <c r="BOS1015"/>
      <c r="BOT1015"/>
      <c r="BOU1015"/>
      <c r="BOV1015"/>
      <c r="BOW1015"/>
      <c r="BOX1015"/>
      <c r="BOY1015"/>
      <c r="BOZ1015"/>
      <c r="BPA1015"/>
      <c r="BPB1015"/>
      <c r="BPC1015"/>
      <c r="BPD1015"/>
      <c r="BPE1015"/>
      <c r="BPF1015"/>
      <c r="BPG1015"/>
      <c r="BPH1015"/>
      <c r="BPI1015"/>
      <c r="BPJ1015"/>
      <c r="BPK1015"/>
      <c r="BPL1015"/>
      <c r="BPM1015"/>
      <c r="BPN1015"/>
      <c r="BPO1015"/>
      <c r="BPP1015"/>
      <c r="BPQ1015"/>
      <c r="BPR1015"/>
      <c r="BPS1015"/>
      <c r="BPT1015"/>
      <c r="BPU1015"/>
      <c r="BPV1015"/>
      <c r="BPW1015"/>
      <c r="BPX1015"/>
      <c r="BPY1015"/>
      <c r="BPZ1015"/>
      <c r="BQA1015"/>
      <c r="BQB1015"/>
      <c r="BQC1015"/>
      <c r="BQD1015"/>
      <c r="BQE1015"/>
      <c r="BQF1015"/>
      <c r="BQG1015"/>
      <c r="BQH1015"/>
      <c r="BQI1015"/>
      <c r="BQJ1015"/>
      <c r="BQK1015"/>
      <c r="BQL1015"/>
      <c r="BQM1015"/>
      <c r="BQN1015"/>
      <c r="BQO1015"/>
      <c r="BQP1015"/>
      <c r="BQQ1015"/>
      <c r="BQR1015"/>
      <c r="BQS1015"/>
      <c r="BQT1015"/>
      <c r="BQU1015"/>
      <c r="BQV1015"/>
      <c r="BQW1015"/>
      <c r="BQX1015"/>
      <c r="BQY1015"/>
      <c r="BQZ1015"/>
      <c r="BRA1015"/>
      <c r="BRB1015"/>
      <c r="BRC1015"/>
      <c r="BRD1015"/>
      <c r="BRE1015"/>
      <c r="BRF1015"/>
      <c r="BRG1015"/>
      <c r="BRH1015"/>
      <c r="BRI1015"/>
      <c r="BRJ1015"/>
      <c r="BRK1015"/>
      <c r="BRL1015"/>
      <c r="BRM1015"/>
      <c r="BRN1015"/>
      <c r="BRO1015"/>
      <c r="BRP1015"/>
      <c r="BRQ1015"/>
      <c r="BRR1015"/>
      <c r="BRS1015"/>
      <c r="BRT1015"/>
      <c r="BRU1015"/>
      <c r="BRV1015"/>
      <c r="BRW1015"/>
      <c r="BRX1015"/>
      <c r="BRY1015"/>
      <c r="BRZ1015"/>
      <c r="BSA1015"/>
      <c r="BSB1015"/>
      <c r="BSC1015"/>
      <c r="BSD1015"/>
      <c r="BSE1015"/>
      <c r="BSF1015"/>
      <c r="BSG1015"/>
      <c r="BSH1015"/>
      <c r="BSI1015"/>
      <c r="BSJ1015"/>
      <c r="BSK1015"/>
      <c r="BSL1015"/>
      <c r="BSM1015"/>
      <c r="BSN1015"/>
      <c r="BSO1015"/>
      <c r="BSP1015"/>
      <c r="BSQ1015"/>
      <c r="BSR1015"/>
      <c r="BSS1015"/>
      <c r="BST1015"/>
      <c r="BSU1015"/>
      <c r="BSV1015"/>
      <c r="BSW1015"/>
      <c r="BSX1015"/>
      <c r="BSY1015"/>
      <c r="BSZ1015"/>
      <c r="BTA1015"/>
      <c r="BTB1015"/>
      <c r="BTC1015"/>
      <c r="BTD1015"/>
      <c r="BTE1015"/>
      <c r="BTF1015"/>
      <c r="BTG1015"/>
      <c r="BTH1015"/>
      <c r="BTI1015"/>
      <c r="BTJ1015"/>
      <c r="BTK1015"/>
      <c r="BTL1015"/>
      <c r="BTM1015"/>
      <c r="BTN1015"/>
      <c r="BTO1015"/>
      <c r="BTP1015"/>
      <c r="BTQ1015"/>
      <c r="BTR1015"/>
      <c r="BTS1015"/>
      <c r="BTT1015"/>
      <c r="BTU1015"/>
      <c r="BTV1015"/>
      <c r="BTW1015"/>
      <c r="BTX1015"/>
      <c r="BTY1015"/>
      <c r="BTZ1015"/>
      <c r="BUA1015"/>
      <c r="BUB1015"/>
      <c r="BUC1015"/>
      <c r="BUD1015"/>
      <c r="BUE1015"/>
      <c r="BUF1015"/>
      <c r="BUG1015"/>
      <c r="BUH1015"/>
      <c r="BUI1015"/>
      <c r="BUJ1015"/>
      <c r="BUK1015"/>
      <c r="BUL1015"/>
      <c r="BUM1015"/>
      <c r="BUN1015"/>
      <c r="BUO1015"/>
      <c r="BUP1015"/>
      <c r="BUQ1015"/>
      <c r="BUR1015"/>
      <c r="BUS1015"/>
      <c r="BUT1015"/>
      <c r="BUU1015"/>
      <c r="BUV1015"/>
      <c r="BUW1015"/>
      <c r="BUX1015"/>
      <c r="BUY1015"/>
      <c r="BUZ1015"/>
      <c r="BVA1015"/>
      <c r="BVB1015"/>
      <c r="BVC1015"/>
      <c r="BVD1015"/>
      <c r="BVE1015"/>
      <c r="BVF1015"/>
      <c r="BVG1015"/>
      <c r="BVH1015"/>
      <c r="BVI1015"/>
      <c r="BVJ1015"/>
      <c r="BVK1015"/>
      <c r="BVL1015"/>
      <c r="BVM1015"/>
      <c r="BVN1015"/>
      <c r="BVO1015"/>
      <c r="BVP1015"/>
      <c r="BVQ1015"/>
      <c r="BVR1015"/>
      <c r="BVS1015"/>
      <c r="BVT1015"/>
      <c r="BVU1015"/>
      <c r="BVV1015"/>
      <c r="BVW1015"/>
      <c r="BVX1015"/>
      <c r="BVY1015"/>
      <c r="BVZ1015"/>
      <c r="BWA1015"/>
      <c r="BWB1015"/>
      <c r="BWC1015"/>
      <c r="BWD1015"/>
      <c r="BWE1015"/>
      <c r="BWF1015"/>
      <c r="BWG1015"/>
      <c r="BWH1015"/>
      <c r="BWI1015"/>
      <c r="BWJ1015"/>
      <c r="BWK1015"/>
      <c r="BWL1015"/>
      <c r="BWM1015"/>
      <c r="BWN1015"/>
      <c r="BWO1015"/>
      <c r="BWP1015"/>
      <c r="BWQ1015"/>
      <c r="BWR1015"/>
      <c r="BWS1015"/>
      <c r="BWT1015"/>
      <c r="BWU1015"/>
      <c r="BWV1015"/>
      <c r="BWW1015"/>
      <c r="BWX1015"/>
      <c r="BWY1015"/>
      <c r="BWZ1015"/>
      <c r="BXA1015"/>
      <c r="BXB1015"/>
      <c r="BXC1015"/>
      <c r="BXD1015"/>
      <c r="BXE1015"/>
      <c r="BXF1015"/>
      <c r="BXG1015"/>
      <c r="BXH1015"/>
      <c r="BXI1015"/>
      <c r="BXJ1015"/>
      <c r="BXK1015"/>
      <c r="BXL1015"/>
      <c r="BXM1015"/>
      <c r="BXN1015"/>
      <c r="BXO1015"/>
      <c r="BXP1015"/>
      <c r="BXQ1015"/>
      <c r="BXR1015"/>
      <c r="BXS1015"/>
      <c r="BXT1015"/>
      <c r="BXU1015"/>
      <c r="BXV1015"/>
      <c r="BXW1015"/>
      <c r="BXX1015"/>
      <c r="BXY1015"/>
      <c r="BXZ1015"/>
      <c r="BYA1015"/>
      <c r="BYB1015"/>
      <c r="BYC1015"/>
      <c r="BYD1015"/>
      <c r="BYE1015"/>
      <c r="BYF1015"/>
      <c r="BYG1015"/>
      <c r="BYH1015"/>
      <c r="BYI1015"/>
      <c r="BYJ1015"/>
      <c r="BYK1015"/>
      <c r="BYL1015"/>
      <c r="BYM1015"/>
      <c r="BYN1015"/>
      <c r="BYO1015"/>
      <c r="BYP1015"/>
      <c r="BYQ1015"/>
      <c r="BYR1015"/>
      <c r="BYS1015"/>
      <c r="BYT1015"/>
      <c r="BYU1015"/>
      <c r="BYV1015"/>
      <c r="BYW1015"/>
      <c r="BYX1015"/>
      <c r="BYY1015"/>
      <c r="BYZ1015"/>
      <c r="BZA1015"/>
      <c r="BZB1015"/>
      <c r="BZC1015"/>
      <c r="BZD1015"/>
      <c r="BZE1015"/>
      <c r="BZF1015"/>
      <c r="BZG1015"/>
      <c r="BZH1015"/>
      <c r="BZI1015"/>
      <c r="BZJ1015"/>
      <c r="BZK1015"/>
      <c r="BZL1015"/>
      <c r="BZM1015"/>
      <c r="BZN1015"/>
      <c r="BZO1015"/>
      <c r="BZP1015"/>
      <c r="BZQ1015"/>
      <c r="BZR1015"/>
      <c r="BZS1015"/>
      <c r="BZT1015"/>
      <c r="BZU1015"/>
      <c r="BZV1015"/>
      <c r="BZW1015"/>
      <c r="BZX1015"/>
      <c r="BZY1015"/>
      <c r="BZZ1015"/>
      <c r="CAA1015"/>
      <c r="CAB1015"/>
      <c r="CAC1015"/>
      <c r="CAD1015"/>
      <c r="CAE1015"/>
      <c r="CAF1015"/>
      <c r="CAG1015"/>
      <c r="CAH1015"/>
      <c r="CAI1015"/>
      <c r="CAJ1015"/>
      <c r="CAK1015"/>
      <c r="CAL1015"/>
      <c r="CAM1015"/>
      <c r="CAN1015"/>
      <c r="CAO1015"/>
      <c r="CAP1015"/>
      <c r="CAQ1015"/>
      <c r="CAR1015"/>
      <c r="CAS1015"/>
      <c r="CAT1015"/>
      <c r="CAU1015"/>
      <c r="CAV1015"/>
      <c r="CAW1015"/>
      <c r="CAX1015"/>
      <c r="CAY1015"/>
      <c r="CAZ1015"/>
      <c r="CBA1015"/>
      <c r="CBB1015"/>
      <c r="CBC1015"/>
      <c r="CBD1015"/>
      <c r="CBE1015"/>
      <c r="CBF1015"/>
      <c r="CBG1015"/>
      <c r="CBH1015"/>
      <c r="CBI1015"/>
      <c r="CBJ1015"/>
      <c r="CBK1015"/>
      <c r="CBL1015"/>
      <c r="CBM1015"/>
      <c r="CBN1015"/>
      <c r="CBO1015"/>
      <c r="CBP1015"/>
      <c r="CBQ1015"/>
      <c r="CBR1015"/>
      <c r="CBS1015"/>
      <c r="CBT1015"/>
      <c r="CBU1015"/>
      <c r="CBV1015"/>
      <c r="CBW1015"/>
      <c r="CBX1015"/>
      <c r="CBY1015"/>
      <c r="CBZ1015"/>
      <c r="CCA1015"/>
      <c r="CCB1015"/>
      <c r="CCC1015"/>
      <c r="CCD1015"/>
      <c r="CCE1015"/>
      <c r="CCF1015"/>
      <c r="CCG1015"/>
      <c r="CCH1015"/>
      <c r="CCI1015"/>
      <c r="CCJ1015"/>
      <c r="CCK1015"/>
      <c r="CCL1015"/>
      <c r="CCM1015"/>
      <c r="CCN1015"/>
      <c r="CCO1015"/>
      <c r="CCP1015"/>
      <c r="CCQ1015"/>
      <c r="CCR1015"/>
      <c r="CCS1015"/>
      <c r="CCT1015"/>
      <c r="CCU1015"/>
      <c r="CCV1015"/>
      <c r="CCW1015"/>
      <c r="CCX1015"/>
      <c r="CCY1015"/>
      <c r="CCZ1015"/>
      <c r="CDA1015"/>
      <c r="CDB1015"/>
      <c r="CDC1015"/>
      <c r="CDD1015"/>
      <c r="CDE1015"/>
      <c r="CDF1015"/>
      <c r="CDG1015"/>
      <c r="CDH1015"/>
      <c r="CDI1015"/>
      <c r="CDJ1015"/>
      <c r="CDK1015"/>
      <c r="CDL1015"/>
      <c r="CDM1015"/>
      <c r="CDN1015"/>
      <c r="CDO1015"/>
      <c r="CDP1015"/>
      <c r="CDQ1015"/>
      <c r="CDR1015"/>
      <c r="CDS1015"/>
      <c r="CDT1015"/>
      <c r="CDU1015"/>
      <c r="CDV1015"/>
      <c r="CDW1015"/>
      <c r="CDX1015"/>
      <c r="CDY1015"/>
      <c r="CDZ1015"/>
      <c r="CEA1015"/>
      <c r="CEB1015"/>
      <c r="CEC1015"/>
      <c r="CED1015"/>
      <c r="CEE1015"/>
      <c r="CEF1015"/>
      <c r="CEG1015"/>
      <c r="CEH1015"/>
      <c r="CEI1015"/>
      <c r="CEJ1015"/>
      <c r="CEK1015"/>
      <c r="CEL1015"/>
      <c r="CEM1015"/>
      <c r="CEN1015"/>
      <c r="CEO1015"/>
      <c r="CEP1015"/>
      <c r="CEQ1015"/>
      <c r="CER1015"/>
      <c r="CES1015"/>
      <c r="CET1015"/>
      <c r="CEU1015"/>
      <c r="CEV1015"/>
      <c r="CEW1015"/>
      <c r="CEX1015"/>
      <c r="CEY1015"/>
      <c r="CEZ1015"/>
      <c r="CFA1015"/>
      <c r="CFB1015"/>
      <c r="CFC1015"/>
      <c r="CFD1015"/>
      <c r="CFE1015"/>
      <c r="CFF1015"/>
      <c r="CFG1015"/>
      <c r="CFH1015"/>
      <c r="CFI1015"/>
      <c r="CFJ1015"/>
      <c r="CFK1015"/>
      <c r="CFL1015"/>
      <c r="CFM1015"/>
      <c r="CFN1015"/>
      <c r="CFO1015"/>
      <c r="CFP1015"/>
      <c r="CFQ1015"/>
      <c r="CFR1015"/>
      <c r="CFS1015"/>
      <c r="CFT1015"/>
      <c r="CFU1015"/>
      <c r="CFV1015"/>
      <c r="CFW1015"/>
      <c r="CFX1015"/>
      <c r="CFY1015"/>
      <c r="CFZ1015"/>
      <c r="CGA1015"/>
      <c r="CGB1015"/>
      <c r="CGC1015"/>
      <c r="CGD1015"/>
      <c r="CGE1015"/>
      <c r="CGF1015"/>
      <c r="CGG1015"/>
      <c r="CGH1015"/>
      <c r="CGI1015"/>
      <c r="CGJ1015"/>
      <c r="CGK1015"/>
      <c r="CGL1015"/>
      <c r="CGM1015"/>
      <c r="CGN1015"/>
      <c r="CGO1015"/>
      <c r="CGP1015"/>
      <c r="CGQ1015"/>
      <c r="CGR1015"/>
      <c r="CGS1015"/>
      <c r="CGT1015"/>
      <c r="CGU1015"/>
      <c r="CGV1015"/>
      <c r="CGW1015"/>
      <c r="CGX1015"/>
      <c r="CGY1015"/>
      <c r="CGZ1015"/>
      <c r="CHA1015"/>
      <c r="CHB1015"/>
      <c r="CHC1015"/>
      <c r="CHD1015"/>
      <c r="CHE1015"/>
      <c r="CHF1015"/>
      <c r="CHG1015"/>
      <c r="CHH1015"/>
      <c r="CHI1015"/>
      <c r="CHJ1015"/>
      <c r="CHK1015"/>
      <c r="CHL1015"/>
      <c r="CHM1015"/>
      <c r="CHN1015"/>
      <c r="CHO1015"/>
      <c r="CHP1015"/>
      <c r="CHQ1015"/>
      <c r="CHR1015"/>
      <c r="CHS1015"/>
      <c r="CHT1015"/>
      <c r="CHU1015"/>
      <c r="CHV1015"/>
      <c r="CHW1015"/>
      <c r="CHX1015"/>
      <c r="CHY1015"/>
      <c r="CHZ1015"/>
      <c r="CIA1015"/>
      <c r="CIB1015"/>
      <c r="CIC1015"/>
      <c r="CID1015"/>
      <c r="CIE1015"/>
      <c r="CIF1015"/>
      <c r="CIG1015"/>
      <c r="CIH1015"/>
      <c r="CII1015"/>
      <c r="CIJ1015"/>
      <c r="CIK1015"/>
      <c r="CIL1015"/>
      <c r="CIM1015"/>
      <c r="CIN1015"/>
      <c r="CIO1015"/>
      <c r="CIP1015"/>
      <c r="CIQ1015"/>
      <c r="CIR1015"/>
      <c r="CIS1015"/>
      <c r="CIT1015"/>
      <c r="CIU1015"/>
      <c r="CIV1015"/>
      <c r="CIW1015"/>
      <c r="CIX1015"/>
      <c r="CIY1015"/>
      <c r="CIZ1015"/>
      <c r="CJA1015"/>
      <c r="CJB1015"/>
      <c r="CJC1015"/>
      <c r="CJD1015"/>
      <c r="CJE1015"/>
      <c r="CJF1015"/>
      <c r="CJG1015"/>
      <c r="CJH1015"/>
      <c r="CJI1015"/>
      <c r="CJJ1015"/>
      <c r="CJK1015"/>
      <c r="CJL1015"/>
      <c r="CJM1015"/>
      <c r="CJN1015"/>
      <c r="CJO1015"/>
      <c r="CJP1015"/>
      <c r="CJQ1015"/>
      <c r="CJR1015"/>
      <c r="CJS1015"/>
      <c r="CJT1015"/>
      <c r="CJU1015"/>
      <c r="CJV1015"/>
      <c r="CJW1015"/>
      <c r="CJX1015"/>
      <c r="CJY1015"/>
      <c r="CJZ1015"/>
      <c r="CKA1015"/>
      <c r="CKB1015"/>
      <c r="CKC1015"/>
      <c r="CKD1015"/>
      <c r="CKE1015"/>
      <c r="CKF1015"/>
      <c r="CKG1015"/>
      <c r="CKH1015"/>
      <c r="CKI1015"/>
      <c r="CKJ1015"/>
      <c r="CKK1015"/>
      <c r="CKL1015"/>
      <c r="CKM1015"/>
      <c r="CKN1015"/>
      <c r="CKO1015"/>
      <c r="CKP1015"/>
      <c r="CKQ1015"/>
      <c r="CKR1015"/>
      <c r="CKS1015"/>
      <c r="CKT1015"/>
      <c r="CKU1015"/>
      <c r="CKV1015"/>
      <c r="CKW1015"/>
      <c r="CKX1015"/>
      <c r="CKY1015"/>
      <c r="CKZ1015"/>
      <c r="CLA1015"/>
      <c r="CLB1015"/>
      <c r="CLC1015"/>
      <c r="CLD1015"/>
      <c r="CLE1015"/>
      <c r="CLF1015"/>
      <c r="CLG1015"/>
      <c r="CLH1015"/>
      <c r="CLI1015"/>
      <c r="CLJ1015"/>
      <c r="CLK1015"/>
      <c r="CLL1015"/>
      <c r="CLM1015"/>
      <c r="CLN1015"/>
      <c r="CLO1015"/>
      <c r="CLP1015"/>
      <c r="CLQ1015"/>
      <c r="CLR1015"/>
      <c r="CLS1015"/>
      <c r="CLT1015"/>
      <c r="CLU1015"/>
      <c r="CLV1015"/>
      <c r="CLW1015"/>
      <c r="CLX1015"/>
      <c r="CLY1015"/>
      <c r="CLZ1015"/>
      <c r="CMA1015"/>
      <c r="CMB1015"/>
      <c r="CMC1015"/>
      <c r="CMD1015"/>
      <c r="CME1015"/>
      <c r="CMF1015"/>
      <c r="CMG1015"/>
      <c r="CMH1015"/>
      <c r="CMI1015"/>
      <c r="CMJ1015"/>
      <c r="CMK1015"/>
      <c r="CML1015"/>
      <c r="CMM1015"/>
      <c r="CMN1015"/>
      <c r="CMO1015"/>
      <c r="CMP1015"/>
      <c r="CMQ1015"/>
      <c r="CMR1015"/>
      <c r="CMS1015"/>
      <c r="CMT1015"/>
      <c r="CMU1015"/>
      <c r="CMV1015"/>
      <c r="CMW1015"/>
      <c r="CMX1015"/>
      <c r="CMY1015"/>
      <c r="CMZ1015"/>
      <c r="CNA1015"/>
      <c r="CNB1015"/>
      <c r="CNC1015"/>
      <c r="CND1015"/>
      <c r="CNE1015"/>
      <c r="CNF1015"/>
      <c r="CNG1015"/>
      <c r="CNH1015"/>
      <c r="CNI1015"/>
      <c r="CNJ1015"/>
      <c r="CNK1015"/>
      <c r="CNL1015"/>
      <c r="CNM1015"/>
      <c r="CNN1015"/>
      <c r="CNO1015"/>
      <c r="CNP1015"/>
      <c r="CNQ1015"/>
      <c r="CNR1015"/>
      <c r="CNS1015"/>
      <c r="CNT1015"/>
      <c r="CNU1015"/>
      <c r="CNV1015"/>
      <c r="CNW1015"/>
      <c r="CNX1015"/>
      <c r="CNY1015"/>
      <c r="CNZ1015"/>
      <c r="COA1015"/>
      <c r="COB1015"/>
      <c r="COC1015"/>
      <c r="COD1015"/>
      <c r="COE1015"/>
      <c r="COF1015"/>
      <c r="COG1015"/>
      <c r="COH1015"/>
      <c r="COI1015"/>
      <c r="COJ1015"/>
      <c r="COK1015"/>
      <c r="COL1015"/>
      <c r="COM1015"/>
      <c r="CON1015"/>
      <c r="COO1015"/>
      <c r="COP1015"/>
      <c r="COQ1015"/>
      <c r="COR1015"/>
      <c r="COS1015"/>
      <c r="COT1015"/>
      <c r="COU1015"/>
      <c r="COV1015"/>
      <c r="COW1015"/>
      <c r="COX1015"/>
      <c r="COY1015"/>
      <c r="COZ1015"/>
      <c r="CPA1015"/>
      <c r="CPB1015"/>
      <c r="CPC1015"/>
      <c r="CPD1015"/>
      <c r="CPE1015"/>
      <c r="CPF1015"/>
      <c r="CPG1015"/>
      <c r="CPH1015"/>
      <c r="CPI1015"/>
      <c r="CPJ1015"/>
      <c r="CPK1015"/>
      <c r="CPL1015"/>
      <c r="CPM1015"/>
      <c r="CPN1015"/>
      <c r="CPO1015"/>
      <c r="CPP1015"/>
      <c r="CPQ1015"/>
      <c r="CPR1015"/>
      <c r="CPS1015"/>
      <c r="CPT1015"/>
      <c r="CPU1015"/>
      <c r="CPV1015"/>
      <c r="CPW1015"/>
      <c r="CPX1015"/>
      <c r="CPY1015"/>
      <c r="CPZ1015"/>
      <c r="CQA1015"/>
      <c r="CQB1015"/>
      <c r="CQC1015"/>
      <c r="CQD1015"/>
      <c r="CQE1015"/>
      <c r="CQF1015"/>
      <c r="CQG1015"/>
      <c r="CQH1015"/>
      <c r="CQI1015"/>
      <c r="CQJ1015"/>
      <c r="CQK1015"/>
      <c r="CQL1015"/>
      <c r="CQM1015"/>
      <c r="CQN1015"/>
      <c r="CQO1015"/>
      <c r="CQP1015"/>
      <c r="CQQ1015"/>
      <c r="CQR1015"/>
      <c r="CQS1015"/>
      <c r="CQT1015"/>
      <c r="CQU1015"/>
      <c r="CQV1015"/>
      <c r="CQW1015"/>
      <c r="CQX1015"/>
      <c r="CQY1015"/>
      <c r="CQZ1015"/>
      <c r="CRA1015"/>
      <c r="CRB1015"/>
      <c r="CRC1015"/>
      <c r="CRD1015"/>
      <c r="CRE1015"/>
      <c r="CRF1015"/>
      <c r="CRG1015"/>
      <c r="CRH1015"/>
      <c r="CRI1015"/>
      <c r="CRJ1015"/>
      <c r="CRK1015"/>
      <c r="CRL1015"/>
      <c r="CRM1015"/>
      <c r="CRN1015"/>
      <c r="CRO1015"/>
      <c r="CRP1015"/>
      <c r="CRQ1015"/>
      <c r="CRR1015"/>
      <c r="CRS1015"/>
      <c r="CRT1015"/>
      <c r="CRU1015"/>
      <c r="CRV1015"/>
      <c r="CRW1015"/>
      <c r="CRX1015"/>
      <c r="CRY1015"/>
      <c r="CRZ1015"/>
      <c r="CSA1015"/>
      <c r="CSB1015"/>
      <c r="CSC1015"/>
      <c r="CSD1015"/>
      <c r="CSE1015"/>
      <c r="CSF1015"/>
      <c r="CSG1015"/>
      <c r="CSH1015"/>
      <c r="CSI1015"/>
      <c r="CSJ1015"/>
      <c r="CSK1015"/>
      <c r="CSL1015"/>
      <c r="CSM1015"/>
      <c r="CSN1015"/>
      <c r="CSO1015"/>
      <c r="CSP1015"/>
      <c r="CSQ1015"/>
      <c r="CSR1015"/>
      <c r="CSS1015"/>
      <c r="CST1015"/>
      <c r="CSU1015"/>
      <c r="CSV1015"/>
      <c r="CSW1015"/>
      <c r="CSX1015"/>
      <c r="CSY1015"/>
      <c r="CSZ1015"/>
      <c r="CTA1015"/>
      <c r="CTB1015"/>
      <c r="CTC1015"/>
      <c r="CTD1015"/>
      <c r="CTE1015"/>
      <c r="CTF1015"/>
      <c r="CTG1015"/>
      <c r="CTH1015"/>
      <c r="CTI1015"/>
      <c r="CTJ1015"/>
      <c r="CTK1015"/>
      <c r="CTL1015"/>
      <c r="CTM1015"/>
      <c r="CTN1015"/>
      <c r="CTO1015"/>
      <c r="CTP1015"/>
      <c r="CTQ1015"/>
      <c r="CTR1015"/>
      <c r="CTS1015"/>
      <c r="CTT1015"/>
      <c r="CTU1015"/>
      <c r="CTV1015"/>
      <c r="CTW1015"/>
      <c r="CTX1015"/>
      <c r="CTY1015"/>
      <c r="CTZ1015"/>
      <c r="CUA1015"/>
      <c r="CUB1015"/>
      <c r="CUC1015"/>
      <c r="CUD1015"/>
      <c r="CUE1015"/>
      <c r="CUF1015"/>
      <c r="CUG1015"/>
      <c r="CUH1015"/>
      <c r="CUI1015"/>
      <c r="CUJ1015"/>
      <c r="CUK1015"/>
      <c r="CUL1015"/>
      <c r="CUM1015"/>
      <c r="CUN1015"/>
      <c r="CUO1015"/>
      <c r="CUP1015"/>
      <c r="CUQ1015"/>
      <c r="CUR1015"/>
      <c r="CUS1015"/>
      <c r="CUT1015"/>
      <c r="CUU1015"/>
      <c r="CUV1015"/>
      <c r="CUW1015"/>
      <c r="CUX1015"/>
      <c r="CUY1015"/>
      <c r="CUZ1015"/>
      <c r="CVA1015"/>
      <c r="CVB1015"/>
      <c r="CVC1015"/>
      <c r="CVD1015"/>
      <c r="CVE1015"/>
      <c r="CVF1015"/>
      <c r="CVG1015"/>
      <c r="CVH1015"/>
      <c r="CVI1015"/>
      <c r="CVJ1015"/>
      <c r="CVK1015"/>
      <c r="CVL1015"/>
      <c r="CVM1015"/>
      <c r="CVN1015"/>
      <c r="CVO1015"/>
      <c r="CVP1015"/>
      <c r="CVQ1015"/>
      <c r="CVR1015"/>
      <c r="CVS1015"/>
      <c r="CVT1015"/>
      <c r="CVU1015"/>
      <c r="CVV1015"/>
      <c r="CVW1015"/>
      <c r="CVX1015"/>
      <c r="CVY1015"/>
      <c r="CVZ1015"/>
      <c r="CWA1015"/>
      <c r="CWB1015"/>
      <c r="CWC1015"/>
      <c r="CWD1015"/>
      <c r="CWE1015"/>
      <c r="CWF1015"/>
      <c r="CWG1015"/>
      <c r="CWH1015"/>
      <c r="CWI1015"/>
      <c r="CWJ1015"/>
      <c r="CWK1015"/>
      <c r="CWL1015"/>
      <c r="CWM1015"/>
      <c r="CWN1015"/>
      <c r="CWO1015"/>
      <c r="CWP1015"/>
      <c r="CWQ1015"/>
      <c r="CWR1015"/>
      <c r="CWS1015"/>
      <c r="CWT1015"/>
      <c r="CWU1015"/>
      <c r="CWV1015"/>
      <c r="CWW1015"/>
      <c r="CWX1015"/>
      <c r="CWY1015"/>
      <c r="CWZ1015"/>
      <c r="CXA1015"/>
      <c r="CXB1015"/>
      <c r="CXC1015"/>
      <c r="CXD1015"/>
      <c r="CXE1015"/>
      <c r="CXF1015"/>
      <c r="CXG1015"/>
      <c r="CXH1015"/>
      <c r="CXI1015"/>
      <c r="CXJ1015"/>
      <c r="CXK1015"/>
      <c r="CXL1015"/>
      <c r="CXM1015"/>
      <c r="CXN1015"/>
      <c r="CXO1015"/>
      <c r="CXP1015"/>
      <c r="CXQ1015"/>
      <c r="CXR1015"/>
      <c r="CXS1015"/>
      <c r="CXT1015"/>
      <c r="CXU1015"/>
      <c r="CXV1015"/>
      <c r="CXW1015"/>
      <c r="CXX1015"/>
      <c r="CXY1015"/>
      <c r="CXZ1015"/>
      <c r="CYA1015"/>
      <c r="CYB1015"/>
      <c r="CYC1015"/>
      <c r="CYD1015"/>
      <c r="CYE1015"/>
      <c r="CYF1015"/>
      <c r="CYG1015"/>
      <c r="CYH1015"/>
      <c r="CYI1015"/>
      <c r="CYJ1015"/>
      <c r="CYK1015"/>
      <c r="CYL1015"/>
      <c r="CYM1015"/>
      <c r="CYN1015"/>
      <c r="CYO1015"/>
      <c r="CYP1015"/>
      <c r="CYQ1015"/>
      <c r="CYR1015"/>
      <c r="CYS1015"/>
      <c r="CYT1015"/>
      <c r="CYU1015"/>
      <c r="CYV1015"/>
      <c r="CYW1015"/>
      <c r="CYX1015"/>
      <c r="CYY1015"/>
      <c r="CYZ1015"/>
      <c r="CZA1015"/>
      <c r="CZB1015"/>
      <c r="CZC1015"/>
      <c r="CZD1015"/>
      <c r="CZE1015"/>
      <c r="CZF1015"/>
      <c r="CZG1015"/>
      <c r="CZH1015"/>
      <c r="CZI1015"/>
      <c r="CZJ1015"/>
      <c r="CZK1015"/>
      <c r="CZL1015"/>
      <c r="CZM1015"/>
      <c r="CZN1015"/>
      <c r="CZO1015"/>
      <c r="CZP1015"/>
      <c r="CZQ1015"/>
      <c r="CZR1015"/>
      <c r="CZS1015"/>
      <c r="CZT1015"/>
      <c r="CZU1015"/>
      <c r="CZV1015"/>
      <c r="CZW1015"/>
      <c r="CZX1015"/>
      <c r="CZY1015"/>
      <c r="CZZ1015"/>
      <c r="DAA1015"/>
      <c r="DAB1015"/>
      <c r="DAC1015"/>
      <c r="DAD1015"/>
      <c r="DAE1015"/>
      <c r="DAF1015"/>
      <c r="DAG1015"/>
      <c r="DAH1015"/>
      <c r="DAI1015"/>
      <c r="DAJ1015"/>
      <c r="DAK1015"/>
      <c r="DAL1015"/>
      <c r="DAM1015"/>
      <c r="DAN1015"/>
      <c r="DAO1015"/>
      <c r="DAP1015"/>
      <c r="DAQ1015"/>
      <c r="DAR1015"/>
      <c r="DAS1015"/>
      <c r="DAT1015"/>
      <c r="DAU1015"/>
      <c r="DAV1015"/>
      <c r="DAW1015"/>
      <c r="DAX1015"/>
      <c r="DAY1015"/>
      <c r="DAZ1015"/>
      <c r="DBA1015"/>
      <c r="DBB1015"/>
      <c r="DBC1015"/>
      <c r="DBD1015"/>
      <c r="DBE1015"/>
      <c r="DBF1015"/>
      <c r="DBG1015"/>
      <c r="DBH1015"/>
      <c r="DBI1015"/>
      <c r="DBJ1015"/>
      <c r="DBK1015"/>
      <c r="DBL1015"/>
      <c r="DBM1015"/>
      <c r="DBN1015"/>
      <c r="DBO1015"/>
      <c r="DBP1015"/>
      <c r="DBQ1015"/>
      <c r="DBR1015"/>
      <c r="DBS1015"/>
      <c r="DBT1015"/>
      <c r="DBU1015"/>
      <c r="DBV1015"/>
      <c r="DBW1015"/>
      <c r="DBX1015"/>
      <c r="DBY1015"/>
      <c r="DBZ1015"/>
      <c r="DCA1015"/>
      <c r="DCB1015"/>
      <c r="DCC1015"/>
      <c r="DCD1015"/>
      <c r="DCE1015"/>
      <c r="DCF1015"/>
      <c r="DCG1015"/>
      <c r="DCH1015"/>
      <c r="DCI1015"/>
      <c r="DCJ1015"/>
      <c r="DCK1015"/>
      <c r="DCL1015"/>
      <c r="DCM1015"/>
      <c r="DCN1015"/>
      <c r="DCO1015"/>
      <c r="DCP1015"/>
      <c r="DCQ1015"/>
      <c r="DCR1015"/>
      <c r="DCS1015"/>
      <c r="DCT1015"/>
      <c r="DCU1015"/>
      <c r="DCV1015"/>
      <c r="DCW1015"/>
      <c r="DCX1015"/>
      <c r="DCY1015"/>
      <c r="DCZ1015"/>
      <c r="DDA1015"/>
      <c r="DDB1015"/>
      <c r="DDC1015"/>
      <c r="DDD1015"/>
      <c r="DDE1015"/>
      <c r="DDF1015"/>
      <c r="DDG1015"/>
      <c r="DDH1015"/>
      <c r="DDI1015"/>
      <c r="DDJ1015"/>
      <c r="DDK1015"/>
      <c r="DDL1015"/>
      <c r="DDM1015"/>
      <c r="DDN1015"/>
      <c r="DDO1015"/>
      <c r="DDP1015"/>
      <c r="DDQ1015"/>
      <c r="DDR1015"/>
      <c r="DDS1015"/>
      <c r="DDT1015"/>
      <c r="DDU1015"/>
      <c r="DDV1015"/>
      <c r="DDW1015"/>
      <c r="DDX1015"/>
      <c r="DDY1015"/>
      <c r="DDZ1015"/>
      <c r="DEA1015"/>
      <c r="DEB1015"/>
      <c r="DEC1015"/>
      <c r="DED1015"/>
      <c r="DEE1015"/>
      <c r="DEF1015"/>
      <c r="DEG1015"/>
      <c r="DEH1015"/>
      <c r="DEI1015"/>
      <c r="DEJ1015"/>
      <c r="DEK1015"/>
      <c r="DEL1015"/>
      <c r="DEM1015"/>
      <c r="DEN1015"/>
      <c r="DEO1015"/>
      <c r="DEP1015"/>
      <c r="DEQ1015"/>
      <c r="DER1015"/>
      <c r="DES1015"/>
      <c r="DET1015"/>
      <c r="DEU1015"/>
      <c r="DEV1015"/>
      <c r="DEW1015"/>
      <c r="DEX1015"/>
      <c r="DEY1015"/>
      <c r="DEZ1015"/>
      <c r="DFA1015"/>
      <c r="DFB1015"/>
      <c r="DFC1015"/>
      <c r="DFD1015"/>
      <c r="DFE1015"/>
      <c r="DFF1015"/>
      <c r="DFG1015"/>
      <c r="DFH1015"/>
      <c r="DFI1015"/>
      <c r="DFJ1015"/>
      <c r="DFK1015"/>
      <c r="DFL1015"/>
      <c r="DFM1015"/>
      <c r="DFN1015"/>
      <c r="DFO1015"/>
      <c r="DFP1015"/>
      <c r="DFQ1015"/>
      <c r="DFR1015"/>
      <c r="DFS1015"/>
      <c r="DFT1015"/>
      <c r="DFU1015"/>
      <c r="DFV1015"/>
      <c r="DFW1015"/>
      <c r="DFX1015"/>
      <c r="DFY1015"/>
      <c r="DFZ1015"/>
      <c r="DGA1015"/>
      <c r="DGB1015"/>
      <c r="DGC1015"/>
      <c r="DGD1015"/>
      <c r="DGE1015"/>
      <c r="DGF1015"/>
      <c r="DGG1015"/>
      <c r="DGH1015"/>
      <c r="DGI1015"/>
      <c r="DGJ1015"/>
      <c r="DGK1015"/>
      <c r="DGL1015"/>
      <c r="DGM1015"/>
      <c r="DGN1015"/>
      <c r="DGO1015"/>
      <c r="DGP1015"/>
      <c r="DGQ1015"/>
      <c r="DGR1015"/>
      <c r="DGS1015"/>
      <c r="DGT1015"/>
      <c r="DGU1015"/>
      <c r="DGV1015"/>
      <c r="DGW1015"/>
      <c r="DGX1015"/>
      <c r="DGY1015"/>
      <c r="DGZ1015"/>
      <c r="DHA1015"/>
      <c r="DHB1015"/>
      <c r="DHC1015"/>
      <c r="DHD1015"/>
      <c r="DHE1015"/>
      <c r="DHF1015"/>
      <c r="DHG1015"/>
      <c r="DHH1015"/>
      <c r="DHI1015"/>
      <c r="DHJ1015"/>
      <c r="DHK1015"/>
      <c r="DHL1015"/>
      <c r="DHM1015"/>
      <c r="DHN1015"/>
      <c r="DHO1015"/>
      <c r="DHP1015"/>
      <c r="DHQ1015"/>
      <c r="DHR1015"/>
      <c r="DHS1015"/>
      <c r="DHT1015"/>
      <c r="DHU1015"/>
      <c r="DHV1015"/>
      <c r="DHW1015"/>
      <c r="DHX1015"/>
      <c r="DHY1015"/>
      <c r="DHZ1015"/>
      <c r="DIA1015"/>
      <c r="DIB1015"/>
      <c r="DIC1015"/>
      <c r="DID1015"/>
      <c r="DIE1015"/>
      <c r="DIF1015"/>
      <c r="DIG1015"/>
      <c r="DIH1015"/>
      <c r="DII1015"/>
      <c r="DIJ1015"/>
      <c r="DIK1015"/>
      <c r="DIL1015"/>
      <c r="DIM1015"/>
      <c r="DIN1015"/>
      <c r="DIO1015"/>
      <c r="DIP1015"/>
      <c r="DIQ1015"/>
      <c r="DIR1015"/>
      <c r="DIS1015"/>
      <c r="DIT1015"/>
      <c r="DIU1015"/>
      <c r="DIV1015"/>
      <c r="DIW1015"/>
      <c r="DIX1015"/>
      <c r="DIY1015"/>
      <c r="DIZ1015"/>
      <c r="DJA1015"/>
      <c r="DJB1015"/>
      <c r="DJC1015"/>
      <c r="DJD1015"/>
      <c r="DJE1015"/>
      <c r="DJF1015"/>
      <c r="DJG1015"/>
      <c r="DJH1015"/>
      <c r="DJI1015"/>
      <c r="DJJ1015"/>
      <c r="DJK1015"/>
      <c r="DJL1015"/>
      <c r="DJM1015"/>
      <c r="DJN1015"/>
      <c r="DJO1015"/>
      <c r="DJP1015"/>
      <c r="DJQ1015"/>
      <c r="DJR1015"/>
      <c r="DJS1015"/>
      <c r="DJT1015"/>
      <c r="DJU1015"/>
      <c r="DJV1015"/>
      <c r="DJW1015"/>
      <c r="DJX1015"/>
      <c r="DJY1015"/>
      <c r="DJZ1015"/>
      <c r="DKA1015"/>
      <c r="DKB1015"/>
      <c r="DKC1015"/>
      <c r="DKD1015"/>
      <c r="DKE1015"/>
      <c r="DKF1015"/>
      <c r="DKG1015"/>
      <c r="DKH1015"/>
      <c r="DKI1015"/>
      <c r="DKJ1015"/>
      <c r="DKK1015"/>
      <c r="DKL1015"/>
      <c r="DKM1015"/>
      <c r="DKN1015"/>
      <c r="DKO1015"/>
      <c r="DKP1015"/>
      <c r="DKQ1015"/>
      <c r="DKR1015"/>
      <c r="DKS1015"/>
      <c r="DKT1015"/>
      <c r="DKU1015"/>
      <c r="DKV1015"/>
      <c r="DKW1015"/>
      <c r="DKX1015"/>
      <c r="DKY1015"/>
      <c r="DKZ1015"/>
      <c r="DLA1015"/>
      <c r="DLB1015"/>
      <c r="DLC1015"/>
      <c r="DLD1015"/>
      <c r="DLE1015"/>
      <c r="DLF1015"/>
      <c r="DLG1015"/>
      <c r="DLH1015"/>
      <c r="DLI1015"/>
      <c r="DLJ1015"/>
      <c r="DLK1015"/>
      <c r="DLL1015"/>
      <c r="DLM1015"/>
      <c r="DLN1015"/>
      <c r="DLO1015"/>
      <c r="DLP1015"/>
      <c r="DLQ1015"/>
      <c r="DLR1015"/>
      <c r="DLS1015"/>
      <c r="DLT1015"/>
      <c r="DLU1015"/>
      <c r="DLV1015"/>
      <c r="DLW1015"/>
      <c r="DLX1015"/>
      <c r="DLY1015"/>
      <c r="DLZ1015"/>
      <c r="DMA1015"/>
      <c r="DMB1015"/>
      <c r="DMC1015"/>
      <c r="DMD1015"/>
      <c r="DME1015"/>
      <c r="DMF1015"/>
      <c r="DMG1015"/>
      <c r="DMH1015"/>
      <c r="DMI1015"/>
      <c r="DMJ1015"/>
      <c r="DMK1015"/>
      <c r="DML1015"/>
      <c r="DMM1015"/>
      <c r="DMN1015"/>
      <c r="DMO1015"/>
      <c r="DMP1015"/>
      <c r="DMQ1015"/>
      <c r="DMR1015"/>
      <c r="DMS1015"/>
      <c r="DMT1015"/>
      <c r="DMU1015"/>
      <c r="DMV1015"/>
      <c r="DMW1015"/>
      <c r="DMX1015"/>
      <c r="DMY1015"/>
      <c r="DMZ1015"/>
      <c r="DNA1015"/>
      <c r="DNB1015"/>
      <c r="DNC1015"/>
      <c r="DND1015"/>
      <c r="DNE1015"/>
      <c r="DNF1015"/>
      <c r="DNG1015"/>
      <c r="DNH1015"/>
      <c r="DNI1015"/>
      <c r="DNJ1015"/>
      <c r="DNK1015"/>
      <c r="DNL1015"/>
      <c r="DNM1015"/>
      <c r="DNN1015"/>
      <c r="DNO1015"/>
      <c r="DNP1015"/>
      <c r="DNQ1015"/>
      <c r="DNR1015"/>
      <c r="DNS1015"/>
      <c r="DNT1015"/>
      <c r="DNU1015"/>
      <c r="DNV1015"/>
      <c r="DNW1015"/>
      <c r="DNX1015"/>
      <c r="DNY1015"/>
      <c r="DNZ1015"/>
      <c r="DOA1015"/>
      <c r="DOB1015"/>
      <c r="DOC1015"/>
      <c r="DOD1015"/>
      <c r="DOE1015"/>
      <c r="DOF1015"/>
      <c r="DOG1015"/>
      <c r="DOH1015"/>
      <c r="DOI1015"/>
      <c r="DOJ1015"/>
      <c r="DOK1015"/>
      <c r="DOL1015"/>
      <c r="DOM1015"/>
      <c r="DON1015"/>
      <c r="DOO1015"/>
      <c r="DOP1015"/>
      <c r="DOQ1015"/>
      <c r="DOR1015"/>
      <c r="DOS1015"/>
      <c r="DOT1015"/>
      <c r="DOU1015"/>
      <c r="DOV1015"/>
      <c r="DOW1015"/>
      <c r="DOX1015"/>
      <c r="DOY1015"/>
      <c r="DOZ1015"/>
      <c r="DPA1015"/>
      <c r="DPB1015"/>
      <c r="DPC1015"/>
      <c r="DPD1015"/>
      <c r="DPE1015"/>
      <c r="DPF1015"/>
      <c r="DPG1015"/>
      <c r="DPH1015"/>
      <c r="DPI1015"/>
      <c r="DPJ1015"/>
      <c r="DPK1015"/>
      <c r="DPL1015"/>
      <c r="DPM1015"/>
      <c r="DPN1015"/>
      <c r="DPO1015"/>
      <c r="DPP1015"/>
      <c r="DPQ1015"/>
      <c r="DPR1015"/>
      <c r="DPS1015"/>
      <c r="DPT1015"/>
      <c r="DPU1015"/>
      <c r="DPV1015"/>
      <c r="DPW1015"/>
      <c r="DPX1015"/>
      <c r="DPY1015"/>
      <c r="DPZ1015"/>
      <c r="DQA1015"/>
      <c r="DQB1015"/>
      <c r="DQC1015"/>
      <c r="DQD1015"/>
      <c r="DQE1015"/>
      <c r="DQF1015"/>
      <c r="DQG1015"/>
      <c r="DQH1015"/>
      <c r="DQI1015"/>
      <c r="DQJ1015"/>
      <c r="DQK1015"/>
      <c r="DQL1015"/>
      <c r="DQM1015"/>
      <c r="DQN1015"/>
      <c r="DQO1015"/>
      <c r="DQP1015"/>
      <c r="DQQ1015"/>
      <c r="DQR1015"/>
      <c r="DQS1015"/>
      <c r="DQT1015"/>
      <c r="DQU1015"/>
      <c r="DQV1015"/>
      <c r="DQW1015"/>
      <c r="DQX1015"/>
      <c r="DQY1015"/>
      <c r="DQZ1015"/>
      <c r="DRA1015"/>
      <c r="DRB1015"/>
      <c r="DRC1015"/>
      <c r="DRD1015"/>
      <c r="DRE1015"/>
      <c r="DRF1015"/>
      <c r="DRG1015"/>
      <c r="DRH1015"/>
      <c r="DRI1015"/>
      <c r="DRJ1015"/>
      <c r="DRK1015"/>
      <c r="DRL1015"/>
      <c r="DRM1015"/>
      <c r="DRN1015"/>
      <c r="DRO1015"/>
      <c r="DRP1015"/>
      <c r="DRQ1015"/>
      <c r="DRR1015"/>
      <c r="DRS1015"/>
      <c r="DRT1015"/>
      <c r="DRU1015"/>
      <c r="DRV1015"/>
      <c r="DRW1015"/>
      <c r="DRX1015"/>
      <c r="DRY1015"/>
      <c r="DRZ1015"/>
      <c r="DSA1015"/>
      <c r="DSB1015"/>
      <c r="DSC1015"/>
      <c r="DSD1015"/>
      <c r="DSE1015"/>
      <c r="DSF1015"/>
      <c r="DSG1015"/>
      <c r="DSH1015"/>
      <c r="DSI1015"/>
      <c r="DSJ1015"/>
      <c r="DSK1015"/>
      <c r="DSL1015"/>
      <c r="DSM1015"/>
      <c r="DSN1015"/>
      <c r="DSO1015"/>
      <c r="DSP1015"/>
      <c r="DSQ1015"/>
      <c r="DSR1015"/>
      <c r="DSS1015"/>
      <c r="DST1015"/>
      <c r="DSU1015"/>
      <c r="DSV1015"/>
      <c r="DSW1015"/>
      <c r="DSX1015"/>
      <c r="DSY1015"/>
      <c r="DSZ1015"/>
      <c r="DTA1015"/>
      <c r="DTB1015"/>
      <c r="DTC1015"/>
      <c r="DTD1015"/>
      <c r="DTE1015"/>
      <c r="DTF1015"/>
      <c r="DTG1015"/>
      <c r="DTH1015"/>
      <c r="DTI1015"/>
      <c r="DTJ1015"/>
      <c r="DTK1015"/>
      <c r="DTL1015"/>
      <c r="DTM1015"/>
      <c r="DTN1015"/>
      <c r="DTO1015"/>
      <c r="DTP1015"/>
      <c r="DTQ1015"/>
      <c r="DTR1015"/>
      <c r="DTS1015"/>
      <c r="DTT1015"/>
      <c r="DTU1015"/>
      <c r="DTV1015"/>
      <c r="DTW1015"/>
      <c r="DTX1015"/>
      <c r="DTY1015"/>
      <c r="DTZ1015"/>
      <c r="DUA1015"/>
      <c r="DUB1015"/>
      <c r="DUC1015"/>
      <c r="DUD1015"/>
      <c r="DUE1015"/>
      <c r="DUF1015"/>
      <c r="DUG1015"/>
      <c r="DUH1015"/>
      <c r="DUI1015"/>
      <c r="DUJ1015"/>
      <c r="DUK1015"/>
      <c r="DUL1015"/>
      <c r="DUM1015"/>
      <c r="DUN1015"/>
      <c r="DUO1015"/>
      <c r="DUP1015"/>
      <c r="DUQ1015"/>
      <c r="DUR1015"/>
      <c r="DUS1015"/>
      <c r="DUT1015"/>
      <c r="DUU1015"/>
      <c r="DUV1015"/>
      <c r="DUW1015"/>
      <c r="DUX1015"/>
      <c r="DUY1015"/>
      <c r="DUZ1015"/>
      <c r="DVA1015"/>
      <c r="DVB1015"/>
      <c r="DVC1015"/>
      <c r="DVD1015"/>
      <c r="DVE1015"/>
      <c r="DVF1015"/>
      <c r="DVG1015"/>
      <c r="DVH1015"/>
      <c r="DVI1015"/>
      <c r="DVJ1015"/>
      <c r="DVK1015"/>
      <c r="DVL1015"/>
      <c r="DVM1015"/>
      <c r="DVN1015"/>
      <c r="DVO1015"/>
      <c r="DVP1015"/>
      <c r="DVQ1015"/>
      <c r="DVR1015"/>
      <c r="DVS1015"/>
      <c r="DVT1015"/>
      <c r="DVU1015"/>
      <c r="DVV1015"/>
      <c r="DVW1015"/>
      <c r="DVX1015"/>
      <c r="DVY1015"/>
      <c r="DVZ1015"/>
      <c r="DWA1015"/>
      <c r="DWB1015"/>
      <c r="DWC1015"/>
      <c r="DWD1015"/>
      <c r="DWE1015"/>
      <c r="DWF1015"/>
      <c r="DWG1015"/>
      <c r="DWH1015"/>
      <c r="DWI1015"/>
      <c r="DWJ1015"/>
      <c r="DWK1015"/>
      <c r="DWL1015"/>
      <c r="DWM1015"/>
      <c r="DWN1015"/>
      <c r="DWO1015"/>
      <c r="DWP1015"/>
      <c r="DWQ1015"/>
      <c r="DWR1015"/>
      <c r="DWS1015"/>
      <c r="DWT1015"/>
      <c r="DWU1015"/>
      <c r="DWV1015"/>
      <c r="DWW1015"/>
      <c r="DWX1015"/>
      <c r="DWY1015"/>
      <c r="DWZ1015"/>
      <c r="DXA1015"/>
      <c r="DXB1015"/>
      <c r="DXC1015"/>
      <c r="DXD1015"/>
      <c r="DXE1015"/>
      <c r="DXF1015"/>
      <c r="DXG1015"/>
      <c r="DXH1015"/>
      <c r="DXI1015"/>
      <c r="DXJ1015"/>
      <c r="DXK1015"/>
      <c r="DXL1015"/>
      <c r="DXM1015"/>
      <c r="DXN1015"/>
      <c r="DXO1015"/>
      <c r="DXP1015"/>
      <c r="DXQ1015"/>
      <c r="DXR1015"/>
      <c r="DXS1015"/>
      <c r="DXT1015"/>
      <c r="DXU1015"/>
      <c r="DXV1015"/>
      <c r="DXW1015"/>
      <c r="DXX1015"/>
      <c r="DXY1015"/>
      <c r="DXZ1015"/>
      <c r="DYA1015"/>
      <c r="DYB1015"/>
      <c r="DYC1015"/>
      <c r="DYD1015"/>
      <c r="DYE1015"/>
      <c r="DYF1015"/>
      <c r="DYG1015"/>
      <c r="DYH1015"/>
      <c r="DYI1015"/>
      <c r="DYJ1015"/>
      <c r="DYK1015"/>
      <c r="DYL1015"/>
      <c r="DYM1015"/>
      <c r="DYN1015"/>
      <c r="DYO1015"/>
      <c r="DYP1015"/>
      <c r="DYQ1015"/>
      <c r="DYR1015"/>
      <c r="DYS1015"/>
      <c r="DYT1015"/>
      <c r="DYU1015"/>
      <c r="DYV1015"/>
      <c r="DYW1015"/>
      <c r="DYX1015"/>
      <c r="DYY1015"/>
      <c r="DYZ1015"/>
      <c r="DZA1015"/>
      <c r="DZB1015"/>
      <c r="DZC1015"/>
      <c r="DZD1015"/>
      <c r="DZE1015"/>
      <c r="DZF1015"/>
      <c r="DZG1015"/>
      <c r="DZH1015"/>
      <c r="DZI1015"/>
      <c r="DZJ1015"/>
      <c r="DZK1015"/>
      <c r="DZL1015"/>
      <c r="DZM1015"/>
      <c r="DZN1015"/>
      <c r="DZO1015"/>
      <c r="DZP1015"/>
      <c r="DZQ1015"/>
      <c r="DZR1015"/>
      <c r="DZS1015"/>
      <c r="DZT1015"/>
      <c r="DZU1015"/>
      <c r="DZV1015"/>
      <c r="DZW1015"/>
      <c r="DZX1015"/>
      <c r="DZY1015"/>
      <c r="DZZ1015"/>
      <c r="EAA1015"/>
      <c r="EAB1015"/>
      <c r="EAC1015"/>
      <c r="EAD1015"/>
      <c r="EAE1015"/>
      <c r="EAF1015"/>
      <c r="EAG1015"/>
      <c r="EAH1015"/>
      <c r="EAI1015"/>
      <c r="EAJ1015"/>
      <c r="EAK1015"/>
      <c r="EAL1015"/>
      <c r="EAM1015"/>
      <c r="EAN1015"/>
      <c r="EAO1015"/>
      <c r="EAP1015"/>
      <c r="EAQ1015"/>
      <c r="EAR1015"/>
      <c r="EAS1015"/>
      <c r="EAT1015"/>
      <c r="EAU1015"/>
      <c r="EAV1015"/>
      <c r="EAW1015"/>
      <c r="EAX1015"/>
      <c r="EAY1015"/>
      <c r="EAZ1015"/>
      <c r="EBA1015"/>
      <c r="EBB1015"/>
      <c r="EBC1015"/>
      <c r="EBD1015"/>
      <c r="EBE1015"/>
      <c r="EBF1015"/>
      <c r="EBG1015"/>
      <c r="EBH1015"/>
      <c r="EBI1015"/>
      <c r="EBJ1015"/>
      <c r="EBK1015"/>
      <c r="EBL1015"/>
      <c r="EBM1015"/>
      <c r="EBN1015"/>
      <c r="EBO1015"/>
      <c r="EBP1015"/>
      <c r="EBQ1015"/>
      <c r="EBR1015"/>
      <c r="EBS1015"/>
      <c r="EBT1015"/>
      <c r="EBU1015"/>
      <c r="EBV1015"/>
      <c r="EBW1015"/>
      <c r="EBX1015"/>
      <c r="EBY1015"/>
      <c r="EBZ1015"/>
      <c r="ECA1015"/>
      <c r="ECB1015"/>
      <c r="ECC1015"/>
      <c r="ECD1015"/>
      <c r="ECE1015"/>
      <c r="ECF1015"/>
      <c r="ECG1015"/>
      <c r="ECH1015"/>
      <c r="ECI1015"/>
      <c r="ECJ1015"/>
      <c r="ECK1015"/>
      <c r="ECL1015"/>
      <c r="ECM1015"/>
      <c r="ECN1015"/>
      <c r="ECO1015"/>
      <c r="ECP1015"/>
      <c r="ECQ1015"/>
      <c r="ECR1015"/>
      <c r="ECS1015"/>
      <c r="ECT1015"/>
      <c r="ECU1015"/>
      <c r="ECV1015"/>
      <c r="ECW1015"/>
      <c r="ECX1015"/>
      <c r="ECY1015"/>
      <c r="ECZ1015"/>
      <c r="EDA1015"/>
      <c r="EDB1015"/>
      <c r="EDC1015"/>
      <c r="EDD1015"/>
      <c r="EDE1015"/>
      <c r="EDF1015"/>
      <c r="EDG1015"/>
      <c r="EDH1015"/>
      <c r="EDI1015"/>
      <c r="EDJ1015"/>
      <c r="EDK1015"/>
      <c r="EDL1015"/>
      <c r="EDM1015"/>
      <c r="EDN1015"/>
      <c r="EDO1015"/>
      <c r="EDP1015"/>
      <c r="EDQ1015"/>
      <c r="EDR1015"/>
      <c r="EDS1015"/>
      <c r="EDT1015"/>
      <c r="EDU1015"/>
      <c r="EDV1015"/>
      <c r="EDW1015"/>
      <c r="EDX1015"/>
      <c r="EDY1015"/>
      <c r="EDZ1015"/>
      <c r="EEA1015"/>
      <c r="EEB1015"/>
      <c r="EEC1015"/>
      <c r="EED1015"/>
      <c r="EEE1015"/>
      <c r="EEF1015"/>
      <c r="EEG1015"/>
      <c r="EEH1015"/>
      <c r="EEI1015"/>
      <c r="EEJ1015"/>
      <c r="EEK1015"/>
      <c r="EEL1015"/>
      <c r="EEM1015"/>
      <c r="EEN1015"/>
      <c r="EEO1015"/>
      <c r="EEP1015"/>
      <c r="EEQ1015"/>
      <c r="EER1015"/>
      <c r="EES1015"/>
      <c r="EET1015"/>
      <c r="EEU1015"/>
      <c r="EEV1015"/>
      <c r="EEW1015"/>
      <c r="EEX1015"/>
      <c r="EEY1015"/>
      <c r="EEZ1015"/>
      <c r="EFA1015"/>
      <c r="EFB1015"/>
      <c r="EFC1015"/>
      <c r="EFD1015"/>
      <c r="EFE1015"/>
      <c r="EFF1015"/>
      <c r="EFG1015"/>
      <c r="EFH1015"/>
      <c r="EFI1015"/>
      <c r="EFJ1015"/>
      <c r="EFK1015"/>
      <c r="EFL1015"/>
      <c r="EFM1015"/>
      <c r="EFN1015"/>
      <c r="EFO1015"/>
      <c r="EFP1015"/>
      <c r="EFQ1015"/>
      <c r="EFR1015"/>
      <c r="EFS1015"/>
      <c r="EFT1015"/>
      <c r="EFU1015"/>
      <c r="EFV1015"/>
      <c r="EFW1015"/>
      <c r="EFX1015"/>
      <c r="EFY1015"/>
      <c r="EFZ1015"/>
      <c r="EGA1015"/>
      <c r="EGB1015"/>
      <c r="EGC1015"/>
      <c r="EGD1015"/>
      <c r="EGE1015"/>
      <c r="EGF1015"/>
      <c r="EGG1015"/>
      <c r="EGH1015"/>
      <c r="EGI1015"/>
      <c r="EGJ1015"/>
      <c r="EGK1015"/>
      <c r="EGL1015"/>
      <c r="EGM1015"/>
      <c r="EGN1015"/>
      <c r="EGO1015"/>
      <c r="EGP1015"/>
      <c r="EGQ1015"/>
      <c r="EGR1015"/>
      <c r="EGS1015"/>
      <c r="EGT1015"/>
      <c r="EGU1015"/>
      <c r="EGV1015"/>
      <c r="EGW1015"/>
      <c r="EGX1015"/>
      <c r="EGY1015"/>
      <c r="EGZ1015"/>
      <c r="EHA1015"/>
      <c r="EHB1015"/>
      <c r="EHC1015"/>
      <c r="EHD1015"/>
      <c r="EHE1015"/>
      <c r="EHF1015"/>
      <c r="EHG1015"/>
      <c r="EHH1015"/>
      <c r="EHI1015"/>
      <c r="EHJ1015"/>
      <c r="EHK1015"/>
      <c r="EHL1015"/>
      <c r="EHM1015"/>
      <c r="EHN1015"/>
      <c r="EHO1015"/>
      <c r="EHP1015"/>
      <c r="EHQ1015"/>
      <c r="EHR1015"/>
      <c r="EHS1015"/>
      <c r="EHT1015"/>
      <c r="EHU1015"/>
      <c r="EHV1015"/>
      <c r="EHW1015"/>
      <c r="EHX1015"/>
      <c r="EHY1015"/>
      <c r="EHZ1015"/>
      <c r="EIA1015"/>
      <c r="EIB1015"/>
      <c r="EIC1015"/>
      <c r="EID1015"/>
      <c r="EIE1015"/>
      <c r="EIF1015"/>
      <c r="EIG1015"/>
      <c r="EIH1015"/>
      <c r="EII1015"/>
      <c r="EIJ1015"/>
      <c r="EIK1015"/>
      <c r="EIL1015"/>
      <c r="EIM1015"/>
      <c r="EIN1015"/>
      <c r="EIO1015"/>
      <c r="EIP1015"/>
      <c r="EIQ1015"/>
      <c r="EIR1015"/>
      <c r="EIS1015"/>
      <c r="EIT1015"/>
      <c r="EIU1015"/>
      <c r="EIV1015"/>
      <c r="EIW1015"/>
      <c r="EIX1015"/>
      <c r="EIY1015"/>
      <c r="EIZ1015"/>
      <c r="EJA1015"/>
      <c r="EJB1015"/>
      <c r="EJC1015"/>
      <c r="EJD1015"/>
      <c r="EJE1015"/>
      <c r="EJF1015"/>
      <c r="EJG1015"/>
      <c r="EJH1015"/>
      <c r="EJI1015"/>
      <c r="EJJ1015"/>
      <c r="EJK1015"/>
      <c r="EJL1015"/>
      <c r="EJM1015"/>
      <c r="EJN1015"/>
      <c r="EJO1015"/>
      <c r="EJP1015"/>
      <c r="EJQ1015"/>
      <c r="EJR1015"/>
      <c r="EJS1015"/>
      <c r="EJT1015"/>
      <c r="EJU1015"/>
      <c r="EJV1015"/>
      <c r="EJW1015"/>
      <c r="EJX1015"/>
      <c r="EJY1015"/>
      <c r="EJZ1015"/>
      <c r="EKA1015"/>
      <c r="EKB1015"/>
      <c r="EKC1015"/>
      <c r="EKD1015"/>
      <c r="EKE1015"/>
      <c r="EKF1015"/>
      <c r="EKG1015"/>
      <c r="EKH1015"/>
      <c r="EKI1015"/>
      <c r="EKJ1015"/>
      <c r="EKK1015"/>
      <c r="EKL1015"/>
      <c r="EKM1015"/>
      <c r="EKN1015"/>
      <c r="EKO1015"/>
      <c r="EKP1015"/>
      <c r="EKQ1015"/>
      <c r="EKR1015"/>
      <c r="EKS1015"/>
      <c r="EKT1015"/>
      <c r="EKU1015"/>
      <c r="EKV1015"/>
      <c r="EKW1015"/>
      <c r="EKX1015"/>
      <c r="EKY1015"/>
      <c r="EKZ1015"/>
      <c r="ELA1015"/>
      <c r="ELB1015"/>
      <c r="ELC1015"/>
      <c r="ELD1015"/>
      <c r="ELE1015"/>
      <c r="ELF1015"/>
      <c r="ELG1015"/>
      <c r="ELH1015"/>
      <c r="ELI1015"/>
      <c r="ELJ1015"/>
      <c r="ELK1015"/>
      <c r="ELL1015"/>
      <c r="ELM1015"/>
      <c r="ELN1015"/>
      <c r="ELO1015"/>
      <c r="ELP1015"/>
      <c r="ELQ1015"/>
      <c r="ELR1015"/>
      <c r="ELS1015"/>
      <c r="ELT1015"/>
      <c r="ELU1015"/>
      <c r="ELV1015"/>
      <c r="ELW1015"/>
      <c r="ELX1015"/>
      <c r="ELY1015"/>
      <c r="ELZ1015"/>
      <c r="EMA1015"/>
      <c r="EMB1015"/>
      <c r="EMC1015"/>
      <c r="EMD1015"/>
      <c r="EME1015"/>
      <c r="EMF1015"/>
      <c r="EMG1015"/>
      <c r="EMH1015"/>
      <c r="EMI1015"/>
      <c r="EMJ1015"/>
      <c r="EMK1015"/>
      <c r="EML1015"/>
      <c r="EMM1015"/>
      <c r="EMN1015"/>
      <c r="EMO1015"/>
      <c r="EMP1015"/>
      <c r="EMQ1015"/>
      <c r="EMR1015"/>
      <c r="EMS1015"/>
      <c r="EMT1015"/>
      <c r="EMU1015"/>
      <c r="EMV1015"/>
      <c r="EMW1015"/>
      <c r="EMX1015"/>
      <c r="EMY1015"/>
      <c r="EMZ1015"/>
      <c r="ENA1015"/>
      <c r="ENB1015"/>
      <c r="ENC1015"/>
      <c r="END1015"/>
      <c r="ENE1015"/>
      <c r="ENF1015"/>
      <c r="ENG1015"/>
      <c r="ENH1015"/>
      <c r="ENI1015"/>
      <c r="ENJ1015"/>
      <c r="ENK1015"/>
      <c r="ENL1015"/>
      <c r="ENM1015"/>
      <c r="ENN1015"/>
      <c r="ENO1015"/>
      <c r="ENP1015"/>
      <c r="ENQ1015"/>
      <c r="ENR1015"/>
      <c r="ENS1015"/>
      <c r="ENT1015"/>
      <c r="ENU1015"/>
      <c r="ENV1015"/>
      <c r="ENW1015"/>
      <c r="ENX1015"/>
      <c r="ENY1015"/>
      <c r="ENZ1015"/>
      <c r="EOA1015"/>
      <c r="EOB1015"/>
      <c r="EOC1015"/>
      <c r="EOD1015"/>
      <c r="EOE1015"/>
      <c r="EOF1015"/>
      <c r="EOG1015"/>
      <c r="EOH1015"/>
      <c r="EOI1015"/>
      <c r="EOJ1015"/>
      <c r="EOK1015"/>
      <c r="EOL1015"/>
      <c r="EOM1015"/>
      <c r="EON1015"/>
      <c r="EOO1015"/>
      <c r="EOP1015"/>
      <c r="EOQ1015"/>
      <c r="EOR1015"/>
      <c r="EOS1015"/>
      <c r="EOT1015"/>
      <c r="EOU1015"/>
      <c r="EOV1015"/>
      <c r="EOW1015"/>
      <c r="EOX1015"/>
      <c r="EOY1015"/>
      <c r="EOZ1015"/>
      <c r="EPA1015"/>
      <c r="EPB1015"/>
      <c r="EPC1015"/>
      <c r="EPD1015"/>
      <c r="EPE1015"/>
      <c r="EPF1015"/>
      <c r="EPG1015"/>
      <c r="EPH1015"/>
      <c r="EPI1015"/>
      <c r="EPJ1015"/>
      <c r="EPK1015"/>
      <c r="EPL1015"/>
      <c r="EPM1015"/>
      <c r="EPN1015"/>
      <c r="EPO1015"/>
      <c r="EPP1015"/>
      <c r="EPQ1015"/>
      <c r="EPR1015"/>
      <c r="EPS1015"/>
      <c r="EPT1015"/>
      <c r="EPU1015"/>
      <c r="EPV1015"/>
      <c r="EPW1015"/>
      <c r="EPX1015"/>
      <c r="EPY1015"/>
      <c r="EPZ1015"/>
      <c r="EQA1015"/>
      <c r="EQB1015"/>
      <c r="EQC1015"/>
      <c r="EQD1015"/>
      <c r="EQE1015"/>
      <c r="EQF1015"/>
      <c r="EQG1015"/>
      <c r="EQH1015"/>
      <c r="EQI1015"/>
      <c r="EQJ1015"/>
      <c r="EQK1015"/>
      <c r="EQL1015"/>
      <c r="EQM1015"/>
      <c r="EQN1015"/>
      <c r="EQO1015"/>
      <c r="EQP1015"/>
      <c r="EQQ1015"/>
      <c r="EQR1015"/>
      <c r="EQS1015"/>
      <c r="EQT1015"/>
      <c r="EQU1015"/>
      <c r="EQV1015"/>
      <c r="EQW1015"/>
      <c r="EQX1015"/>
      <c r="EQY1015"/>
      <c r="EQZ1015"/>
      <c r="ERA1015"/>
      <c r="ERB1015"/>
      <c r="ERC1015"/>
      <c r="ERD1015"/>
      <c r="ERE1015"/>
      <c r="ERF1015"/>
      <c r="ERG1015"/>
      <c r="ERH1015"/>
      <c r="ERI1015"/>
      <c r="ERJ1015"/>
      <c r="ERK1015"/>
      <c r="ERL1015"/>
      <c r="ERM1015"/>
      <c r="ERN1015"/>
      <c r="ERO1015"/>
      <c r="ERP1015"/>
      <c r="ERQ1015"/>
      <c r="ERR1015"/>
      <c r="ERS1015"/>
      <c r="ERT1015"/>
      <c r="ERU1015"/>
      <c r="ERV1015"/>
      <c r="ERW1015"/>
      <c r="ERX1015"/>
      <c r="ERY1015"/>
      <c r="ERZ1015"/>
      <c r="ESA1015"/>
      <c r="ESB1015"/>
      <c r="ESC1015"/>
      <c r="ESD1015"/>
      <c r="ESE1015"/>
      <c r="ESF1015"/>
      <c r="ESG1015"/>
      <c r="ESH1015"/>
      <c r="ESI1015"/>
      <c r="ESJ1015"/>
      <c r="ESK1015"/>
      <c r="ESL1015"/>
      <c r="ESM1015"/>
      <c r="ESN1015"/>
      <c r="ESO1015"/>
      <c r="ESP1015"/>
      <c r="ESQ1015"/>
      <c r="ESR1015"/>
      <c r="ESS1015"/>
      <c r="EST1015"/>
      <c r="ESU1015"/>
      <c r="ESV1015"/>
      <c r="ESW1015"/>
      <c r="ESX1015"/>
      <c r="ESY1015"/>
      <c r="ESZ1015"/>
      <c r="ETA1015"/>
      <c r="ETB1015"/>
      <c r="ETC1015"/>
      <c r="ETD1015"/>
      <c r="ETE1015"/>
      <c r="ETF1015"/>
      <c r="ETG1015"/>
      <c r="ETH1015"/>
      <c r="ETI1015"/>
      <c r="ETJ1015"/>
      <c r="ETK1015"/>
      <c r="ETL1015"/>
      <c r="ETM1015"/>
      <c r="ETN1015"/>
      <c r="ETO1015"/>
      <c r="ETP1015"/>
      <c r="ETQ1015"/>
      <c r="ETR1015"/>
      <c r="ETS1015"/>
      <c r="ETT1015"/>
      <c r="ETU1015"/>
      <c r="ETV1015"/>
      <c r="ETW1015"/>
      <c r="ETX1015"/>
      <c r="ETY1015"/>
      <c r="ETZ1015"/>
      <c r="EUA1015"/>
      <c r="EUB1015"/>
      <c r="EUC1015"/>
      <c r="EUD1015"/>
      <c r="EUE1015"/>
      <c r="EUF1015"/>
      <c r="EUG1015"/>
      <c r="EUH1015"/>
      <c r="EUI1015"/>
      <c r="EUJ1015"/>
      <c r="EUK1015"/>
      <c r="EUL1015"/>
      <c r="EUM1015"/>
      <c r="EUN1015"/>
      <c r="EUO1015"/>
      <c r="EUP1015"/>
      <c r="EUQ1015"/>
      <c r="EUR1015"/>
      <c r="EUS1015"/>
      <c r="EUT1015"/>
      <c r="EUU1015"/>
      <c r="EUV1015"/>
      <c r="EUW1015"/>
      <c r="EUX1015"/>
      <c r="EUY1015"/>
      <c r="EUZ1015"/>
      <c r="EVA1015"/>
      <c r="EVB1015"/>
      <c r="EVC1015"/>
      <c r="EVD1015"/>
      <c r="EVE1015"/>
      <c r="EVF1015"/>
      <c r="EVG1015"/>
      <c r="EVH1015"/>
      <c r="EVI1015"/>
      <c r="EVJ1015"/>
      <c r="EVK1015"/>
      <c r="EVL1015"/>
      <c r="EVM1015"/>
      <c r="EVN1015"/>
      <c r="EVO1015"/>
      <c r="EVP1015"/>
      <c r="EVQ1015"/>
      <c r="EVR1015"/>
      <c r="EVS1015"/>
      <c r="EVT1015"/>
      <c r="EVU1015"/>
      <c r="EVV1015"/>
      <c r="EVW1015"/>
      <c r="EVX1015"/>
      <c r="EVY1015"/>
      <c r="EVZ1015"/>
      <c r="EWA1015"/>
      <c r="EWB1015"/>
      <c r="EWC1015"/>
      <c r="EWD1015"/>
      <c r="EWE1015"/>
      <c r="EWF1015"/>
      <c r="EWG1015"/>
      <c r="EWH1015"/>
      <c r="EWI1015"/>
      <c r="EWJ1015"/>
      <c r="EWK1015"/>
      <c r="EWL1015"/>
      <c r="EWM1015"/>
      <c r="EWN1015"/>
      <c r="EWO1015"/>
      <c r="EWP1015"/>
      <c r="EWQ1015"/>
      <c r="EWR1015"/>
      <c r="EWS1015"/>
      <c r="EWT1015"/>
      <c r="EWU1015"/>
      <c r="EWV1015"/>
      <c r="EWW1015"/>
      <c r="EWX1015"/>
      <c r="EWY1015"/>
      <c r="EWZ1015"/>
      <c r="EXA1015"/>
      <c r="EXB1015"/>
      <c r="EXC1015"/>
      <c r="EXD1015"/>
      <c r="EXE1015"/>
      <c r="EXF1015"/>
      <c r="EXG1015"/>
      <c r="EXH1015"/>
      <c r="EXI1015"/>
      <c r="EXJ1015"/>
      <c r="EXK1015"/>
      <c r="EXL1015"/>
      <c r="EXM1015"/>
      <c r="EXN1015"/>
      <c r="EXO1015"/>
      <c r="EXP1015"/>
      <c r="EXQ1015"/>
      <c r="EXR1015"/>
      <c r="EXS1015"/>
      <c r="EXT1015"/>
      <c r="EXU1015"/>
      <c r="EXV1015"/>
      <c r="EXW1015"/>
      <c r="EXX1015"/>
      <c r="EXY1015"/>
      <c r="EXZ1015"/>
      <c r="EYA1015"/>
      <c r="EYB1015"/>
      <c r="EYC1015"/>
      <c r="EYD1015"/>
      <c r="EYE1015"/>
      <c r="EYF1015"/>
      <c r="EYG1015"/>
      <c r="EYH1015"/>
      <c r="EYI1015"/>
      <c r="EYJ1015"/>
      <c r="EYK1015"/>
      <c r="EYL1015"/>
      <c r="EYM1015"/>
      <c r="EYN1015"/>
      <c r="EYO1015"/>
      <c r="EYP1015"/>
      <c r="EYQ1015"/>
      <c r="EYR1015"/>
      <c r="EYS1015"/>
      <c r="EYT1015"/>
      <c r="EYU1015"/>
      <c r="EYV1015"/>
      <c r="EYW1015"/>
      <c r="EYX1015"/>
      <c r="EYY1015"/>
      <c r="EYZ1015"/>
      <c r="EZA1015"/>
      <c r="EZB1015"/>
      <c r="EZC1015"/>
      <c r="EZD1015"/>
      <c r="EZE1015"/>
      <c r="EZF1015"/>
      <c r="EZG1015"/>
      <c r="EZH1015"/>
      <c r="EZI1015"/>
      <c r="EZJ1015"/>
      <c r="EZK1015"/>
      <c r="EZL1015"/>
      <c r="EZM1015"/>
      <c r="EZN1015"/>
      <c r="EZO1015"/>
      <c r="EZP1015"/>
      <c r="EZQ1015"/>
      <c r="EZR1015"/>
      <c r="EZS1015"/>
      <c r="EZT1015"/>
      <c r="EZU1015"/>
      <c r="EZV1015"/>
      <c r="EZW1015"/>
      <c r="EZX1015"/>
      <c r="EZY1015"/>
      <c r="EZZ1015"/>
      <c r="FAA1015"/>
      <c r="FAB1015"/>
      <c r="FAC1015"/>
      <c r="FAD1015"/>
      <c r="FAE1015"/>
      <c r="FAF1015"/>
      <c r="FAG1015"/>
      <c r="FAH1015"/>
      <c r="FAI1015"/>
      <c r="FAJ1015"/>
      <c r="FAK1015"/>
      <c r="FAL1015"/>
      <c r="FAM1015"/>
      <c r="FAN1015"/>
      <c r="FAO1015"/>
      <c r="FAP1015"/>
      <c r="FAQ1015"/>
      <c r="FAR1015"/>
      <c r="FAS1015"/>
      <c r="FAT1015"/>
      <c r="FAU1015"/>
      <c r="FAV1015"/>
      <c r="FAW1015"/>
      <c r="FAX1015"/>
      <c r="FAY1015"/>
      <c r="FAZ1015"/>
      <c r="FBA1015"/>
      <c r="FBB1015"/>
      <c r="FBC1015"/>
      <c r="FBD1015"/>
      <c r="FBE1015"/>
      <c r="FBF1015"/>
      <c r="FBG1015"/>
      <c r="FBH1015"/>
      <c r="FBI1015"/>
      <c r="FBJ1015"/>
      <c r="FBK1015"/>
      <c r="FBL1015"/>
      <c r="FBM1015"/>
      <c r="FBN1015"/>
      <c r="FBO1015"/>
      <c r="FBP1015"/>
      <c r="FBQ1015"/>
      <c r="FBR1015"/>
      <c r="FBS1015"/>
      <c r="FBT1015"/>
      <c r="FBU1015"/>
      <c r="FBV1015"/>
      <c r="FBW1015"/>
      <c r="FBX1015"/>
      <c r="FBY1015"/>
      <c r="FBZ1015"/>
      <c r="FCA1015"/>
      <c r="FCB1015"/>
      <c r="FCC1015"/>
      <c r="FCD1015"/>
      <c r="FCE1015"/>
      <c r="FCF1015"/>
      <c r="FCG1015"/>
      <c r="FCH1015"/>
      <c r="FCI1015"/>
      <c r="FCJ1015"/>
      <c r="FCK1015"/>
      <c r="FCL1015"/>
      <c r="FCM1015"/>
      <c r="FCN1015"/>
      <c r="FCO1015"/>
      <c r="FCP1015"/>
      <c r="FCQ1015"/>
      <c r="FCR1015"/>
      <c r="FCS1015"/>
      <c r="FCT1015"/>
      <c r="FCU1015"/>
      <c r="FCV1015"/>
      <c r="FCW1015"/>
      <c r="FCX1015"/>
      <c r="FCY1015"/>
      <c r="FCZ1015"/>
      <c r="FDA1015"/>
      <c r="FDB1015"/>
      <c r="FDC1015"/>
      <c r="FDD1015"/>
      <c r="FDE1015"/>
      <c r="FDF1015"/>
      <c r="FDG1015"/>
      <c r="FDH1015"/>
      <c r="FDI1015"/>
      <c r="FDJ1015"/>
      <c r="FDK1015"/>
      <c r="FDL1015"/>
      <c r="FDM1015"/>
      <c r="FDN1015"/>
      <c r="FDO1015"/>
      <c r="FDP1015"/>
      <c r="FDQ1015"/>
      <c r="FDR1015"/>
      <c r="FDS1015"/>
      <c r="FDT1015"/>
      <c r="FDU1015"/>
      <c r="FDV1015"/>
      <c r="FDW1015"/>
      <c r="FDX1015"/>
      <c r="FDY1015"/>
      <c r="FDZ1015"/>
      <c r="FEA1015"/>
      <c r="FEB1015"/>
      <c r="FEC1015"/>
      <c r="FED1015"/>
      <c r="FEE1015"/>
      <c r="FEF1015"/>
      <c r="FEG1015"/>
      <c r="FEH1015"/>
      <c r="FEI1015"/>
      <c r="FEJ1015"/>
      <c r="FEK1015"/>
      <c r="FEL1015"/>
      <c r="FEM1015"/>
      <c r="FEN1015"/>
      <c r="FEO1015"/>
      <c r="FEP1015"/>
      <c r="FEQ1015"/>
      <c r="FER1015"/>
      <c r="FES1015"/>
      <c r="FET1015"/>
      <c r="FEU1015"/>
      <c r="FEV1015"/>
      <c r="FEW1015"/>
      <c r="FEX1015"/>
      <c r="FEY1015"/>
      <c r="FEZ1015"/>
      <c r="FFA1015"/>
      <c r="FFB1015"/>
      <c r="FFC1015"/>
      <c r="FFD1015"/>
      <c r="FFE1015"/>
      <c r="FFF1015"/>
      <c r="FFG1015"/>
      <c r="FFH1015"/>
      <c r="FFI1015"/>
      <c r="FFJ1015"/>
      <c r="FFK1015"/>
      <c r="FFL1015"/>
      <c r="FFM1015"/>
      <c r="FFN1015"/>
      <c r="FFO1015"/>
      <c r="FFP1015"/>
      <c r="FFQ1015"/>
      <c r="FFR1015"/>
      <c r="FFS1015"/>
      <c r="FFT1015"/>
      <c r="FFU1015"/>
      <c r="FFV1015"/>
      <c r="FFW1015"/>
      <c r="FFX1015"/>
      <c r="FFY1015"/>
      <c r="FFZ1015"/>
      <c r="FGA1015"/>
      <c r="FGB1015"/>
      <c r="FGC1015"/>
      <c r="FGD1015"/>
      <c r="FGE1015"/>
      <c r="FGF1015"/>
      <c r="FGG1015"/>
      <c r="FGH1015"/>
      <c r="FGI1015"/>
      <c r="FGJ1015"/>
      <c r="FGK1015"/>
      <c r="FGL1015"/>
      <c r="FGM1015"/>
      <c r="FGN1015"/>
      <c r="FGO1015"/>
      <c r="FGP1015"/>
      <c r="FGQ1015"/>
      <c r="FGR1015"/>
      <c r="FGS1015"/>
      <c r="FGT1015"/>
      <c r="FGU1015"/>
      <c r="FGV1015"/>
      <c r="FGW1015"/>
      <c r="FGX1015"/>
      <c r="FGY1015"/>
      <c r="FGZ1015"/>
      <c r="FHA1015"/>
      <c r="FHB1015"/>
      <c r="FHC1015"/>
      <c r="FHD1015"/>
      <c r="FHE1015"/>
      <c r="FHF1015"/>
      <c r="FHG1015"/>
      <c r="FHH1015"/>
      <c r="FHI1015"/>
      <c r="FHJ1015"/>
      <c r="FHK1015"/>
      <c r="FHL1015"/>
      <c r="FHM1015"/>
      <c r="FHN1015"/>
      <c r="FHO1015"/>
      <c r="FHP1015"/>
      <c r="FHQ1015"/>
      <c r="FHR1015"/>
      <c r="FHS1015"/>
      <c r="FHT1015"/>
      <c r="FHU1015"/>
      <c r="FHV1015"/>
      <c r="FHW1015"/>
      <c r="FHX1015"/>
      <c r="FHY1015"/>
      <c r="FHZ1015"/>
      <c r="FIA1015"/>
      <c r="FIB1015"/>
      <c r="FIC1015"/>
      <c r="FID1015"/>
      <c r="FIE1015"/>
      <c r="FIF1015"/>
      <c r="FIG1015"/>
      <c r="FIH1015"/>
      <c r="FII1015"/>
      <c r="FIJ1015"/>
      <c r="FIK1015"/>
      <c r="FIL1015"/>
      <c r="FIM1015"/>
      <c r="FIN1015"/>
      <c r="FIO1015"/>
      <c r="FIP1015"/>
      <c r="FIQ1015"/>
      <c r="FIR1015"/>
      <c r="FIS1015"/>
      <c r="FIT1015"/>
      <c r="FIU1015"/>
      <c r="FIV1015"/>
      <c r="FIW1015"/>
      <c r="FIX1015"/>
      <c r="FIY1015"/>
      <c r="FIZ1015"/>
      <c r="FJA1015"/>
      <c r="FJB1015"/>
      <c r="FJC1015"/>
      <c r="FJD1015"/>
      <c r="FJE1015"/>
      <c r="FJF1015"/>
      <c r="FJG1015"/>
      <c r="FJH1015"/>
      <c r="FJI1015"/>
      <c r="FJJ1015"/>
      <c r="FJK1015"/>
      <c r="FJL1015"/>
      <c r="FJM1015"/>
      <c r="FJN1015"/>
      <c r="FJO1015"/>
      <c r="FJP1015"/>
      <c r="FJQ1015"/>
      <c r="FJR1015"/>
      <c r="FJS1015"/>
      <c r="FJT1015"/>
      <c r="FJU1015"/>
      <c r="FJV1015"/>
      <c r="FJW1015"/>
      <c r="FJX1015"/>
      <c r="FJY1015"/>
      <c r="FJZ1015"/>
      <c r="FKA1015"/>
      <c r="FKB1015"/>
      <c r="FKC1015"/>
      <c r="FKD1015"/>
      <c r="FKE1015"/>
      <c r="FKF1015"/>
      <c r="FKG1015"/>
      <c r="FKH1015"/>
      <c r="FKI1015"/>
      <c r="FKJ1015"/>
      <c r="FKK1015"/>
      <c r="FKL1015"/>
      <c r="FKM1015"/>
      <c r="FKN1015"/>
      <c r="FKO1015"/>
      <c r="FKP1015"/>
      <c r="FKQ1015"/>
      <c r="FKR1015"/>
      <c r="FKS1015"/>
      <c r="FKT1015"/>
      <c r="FKU1015"/>
      <c r="FKV1015"/>
      <c r="FKW1015"/>
      <c r="FKX1015"/>
      <c r="FKY1015"/>
      <c r="FKZ1015"/>
      <c r="FLA1015"/>
      <c r="FLB1015"/>
      <c r="FLC1015"/>
      <c r="FLD1015"/>
      <c r="FLE1015"/>
      <c r="FLF1015"/>
      <c r="FLG1015"/>
      <c r="FLH1015"/>
      <c r="FLI1015"/>
      <c r="FLJ1015"/>
      <c r="FLK1015"/>
      <c r="FLL1015"/>
      <c r="FLM1015"/>
      <c r="FLN1015"/>
      <c r="FLO1015"/>
      <c r="FLP1015"/>
      <c r="FLQ1015"/>
      <c r="FLR1015"/>
      <c r="FLS1015"/>
      <c r="FLT1015"/>
      <c r="FLU1015"/>
      <c r="FLV1015"/>
      <c r="FLW1015"/>
      <c r="FLX1015"/>
      <c r="FLY1015"/>
      <c r="FLZ1015"/>
      <c r="FMA1015"/>
      <c r="FMB1015"/>
      <c r="FMC1015"/>
      <c r="FMD1015"/>
      <c r="FME1015"/>
      <c r="FMF1015"/>
      <c r="FMG1015"/>
      <c r="FMH1015"/>
      <c r="FMI1015"/>
      <c r="FMJ1015"/>
      <c r="FMK1015"/>
      <c r="FML1015"/>
      <c r="FMM1015"/>
      <c r="FMN1015"/>
      <c r="FMO1015"/>
      <c r="FMP1015"/>
      <c r="FMQ1015"/>
      <c r="FMR1015"/>
      <c r="FMS1015"/>
      <c r="FMT1015"/>
      <c r="FMU1015"/>
      <c r="FMV1015"/>
      <c r="FMW1015"/>
      <c r="FMX1015"/>
      <c r="FMY1015"/>
      <c r="FMZ1015"/>
      <c r="FNA1015"/>
      <c r="FNB1015"/>
      <c r="FNC1015"/>
      <c r="FND1015"/>
      <c r="FNE1015"/>
      <c r="FNF1015"/>
      <c r="FNG1015"/>
      <c r="FNH1015"/>
      <c r="FNI1015"/>
      <c r="FNJ1015"/>
      <c r="FNK1015"/>
      <c r="FNL1015"/>
      <c r="FNM1015"/>
      <c r="FNN1015"/>
      <c r="FNO1015"/>
      <c r="FNP1015"/>
      <c r="FNQ1015"/>
      <c r="FNR1015"/>
      <c r="FNS1015"/>
      <c r="FNT1015"/>
      <c r="FNU1015"/>
      <c r="FNV1015"/>
      <c r="FNW1015"/>
      <c r="FNX1015"/>
      <c r="FNY1015"/>
      <c r="FNZ1015"/>
      <c r="FOA1015"/>
      <c r="FOB1015"/>
      <c r="FOC1015"/>
      <c r="FOD1015"/>
      <c r="FOE1015"/>
      <c r="FOF1015"/>
      <c r="FOG1015"/>
      <c r="FOH1015"/>
      <c r="FOI1015"/>
      <c r="FOJ1015"/>
      <c r="FOK1015"/>
      <c r="FOL1015"/>
      <c r="FOM1015"/>
      <c r="FON1015"/>
      <c r="FOO1015"/>
      <c r="FOP1015"/>
      <c r="FOQ1015"/>
      <c r="FOR1015"/>
      <c r="FOS1015"/>
      <c r="FOT1015"/>
      <c r="FOU1015"/>
      <c r="FOV1015"/>
      <c r="FOW1015"/>
      <c r="FOX1015"/>
      <c r="FOY1015"/>
      <c r="FOZ1015"/>
      <c r="FPA1015"/>
      <c r="FPB1015"/>
      <c r="FPC1015"/>
      <c r="FPD1015"/>
      <c r="FPE1015"/>
      <c r="FPF1015"/>
      <c r="FPG1015"/>
      <c r="FPH1015"/>
      <c r="FPI1015"/>
      <c r="FPJ1015"/>
      <c r="FPK1015"/>
      <c r="FPL1015"/>
      <c r="FPM1015"/>
      <c r="FPN1015"/>
      <c r="FPO1015"/>
      <c r="FPP1015"/>
      <c r="FPQ1015"/>
      <c r="FPR1015"/>
      <c r="FPS1015"/>
      <c r="FPT1015"/>
      <c r="FPU1015"/>
      <c r="FPV1015"/>
      <c r="FPW1015"/>
      <c r="FPX1015"/>
      <c r="FPY1015"/>
      <c r="FPZ1015"/>
      <c r="FQA1015"/>
      <c r="FQB1015"/>
      <c r="FQC1015"/>
      <c r="FQD1015"/>
      <c r="FQE1015"/>
      <c r="FQF1015"/>
      <c r="FQG1015"/>
      <c r="FQH1015"/>
      <c r="FQI1015"/>
      <c r="FQJ1015"/>
      <c r="FQK1015"/>
      <c r="FQL1015"/>
      <c r="FQM1015"/>
      <c r="FQN1015"/>
      <c r="FQO1015"/>
      <c r="FQP1015"/>
      <c r="FQQ1015"/>
      <c r="FQR1015"/>
      <c r="FQS1015"/>
      <c r="FQT1015"/>
      <c r="FQU1015"/>
      <c r="FQV1015"/>
      <c r="FQW1015"/>
      <c r="FQX1015"/>
      <c r="FQY1015"/>
      <c r="FQZ1015"/>
      <c r="FRA1015"/>
      <c r="FRB1015"/>
      <c r="FRC1015"/>
      <c r="FRD1015"/>
      <c r="FRE1015"/>
      <c r="FRF1015"/>
      <c r="FRG1015"/>
      <c r="FRH1015"/>
      <c r="FRI1015"/>
      <c r="FRJ1015"/>
      <c r="FRK1015"/>
      <c r="FRL1015"/>
      <c r="FRM1015"/>
      <c r="FRN1015"/>
      <c r="FRO1015"/>
      <c r="FRP1015"/>
      <c r="FRQ1015"/>
      <c r="FRR1015"/>
      <c r="FRS1015"/>
      <c r="FRT1015"/>
      <c r="FRU1015"/>
      <c r="FRV1015"/>
      <c r="FRW1015"/>
      <c r="FRX1015"/>
      <c r="FRY1015"/>
      <c r="FRZ1015"/>
      <c r="FSA1015"/>
      <c r="FSB1015"/>
      <c r="FSC1015"/>
      <c r="FSD1015"/>
      <c r="FSE1015"/>
      <c r="FSF1015"/>
      <c r="FSG1015"/>
      <c r="FSH1015"/>
      <c r="FSI1015"/>
      <c r="FSJ1015"/>
      <c r="FSK1015"/>
      <c r="FSL1015"/>
      <c r="FSM1015"/>
      <c r="FSN1015"/>
      <c r="FSO1015"/>
      <c r="FSP1015"/>
      <c r="FSQ1015"/>
      <c r="FSR1015"/>
      <c r="FSS1015"/>
      <c r="FST1015"/>
      <c r="FSU1015"/>
      <c r="FSV1015"/>
      <c r="FSW1015"/>
      <c r="FSX1015"/>
      <c r="FSY1015"/>
      <c r="FSZ1015"/>
      <c r="FTA1015"/>
      <c r="FTB1015"/>
      <c r="FTC1015"/>
      <c r="FTD1015"/>
      <c r="FTE1015"/>
      <c r="FTF1015"/>
      <c r="FTG1015"/>
      <c r="FTH1015"/>
      <c r="FTI1015"/>
      <c r="FTJ1015"/>
      <c r="FTK1015"/>
      <c r="FTL1015"/>
      <c r="FTM1015"/>
      <c r="FTN1015"/>
      <c r="FTO1015"/>
      <c r="FTP1015"/>
      <c r="FTQ1015"/>
      <c r="FTR1015"/>
      <c r="FTS1015"/>
      <c r="FTT1015"/>
      <c r="FTU1015"/>
      <c r="FTV1015"/>
      <c r="FTW1015"/>
      <c r="FTX1015"/>
      <c r="FTY1015"/>
      <c r="FTZ1015"/>
      <c r="FUA1015"/>
      <c r="FUB1015"/>
      <c r="FUC1015"/>
      <c r="FUD1015"/>
      <c r="FUE1015"/>
      <c r="FUF1015"/>
      <c r="FUG1015"/>
      <c r="FUH1015"/>
      <c r="FUI1015"/>
      <c r="FUJ1015"/>
      <c r="FUK1015"/>
      <c r="FUL1015"/>
      <c r="FUM1015"/>
      <c r="FUN1015"/>
      <c r="FUO1015"/>
      <c r="FUP1015"/>
      <c r="FUQ1015"/>
      <c r="FUR1015"/>
      <c r="FUS1015"/>
      <c r="FUT1015"/>
      <c r="FUU1015"/>
      <c r="FUV1015"/>
      <c r="FUW1015"/>
      <c r="FUX1015"/>
      <c r="FUY1015"/>
      <c r="FUZ1015"/>
      <c r="FVA1015"/>
      <c r="FVB1015"/>
      <c r="FVC1015"/>
      <c r="FVD1015"/>
      <c r="FVE1015"/>
      <c r="FVF1015"/>
      <c r="FVG1015"/>
      <c r="FVH1015"/>
      <c r="FVI1015"/>
      <c r="FVJ1015"/>
      <c r="FVK1015"/>
      <c r="FVL1015"/>
      <c r="FVM1015"/>
      <c r="FVN1015"/>
      <c r="FVO1015"/>
      <c r="FVP1015"/>
      <c r="FVQ1015"/>
      <c r="FVR1015"/>
      <c r="FVS1015"/>
      <c r="FVT1015"/>
      <c r="FVU1015"/>
      <c r="FVV1015"/>
      <c r="FVW1015"/>
      <c r="FVX1015"/>
      <c r="FVY1015"/>
      <c r="FVZ1015"/>
      <c r="FWA1015"/>
      <c r="FWB1015"/>
      <c r="FWC1015"/>
      <c r="FWD1015"/>
      <c r="FWE1015"/>
      <c r="FWF1015"/>
      <c r="FWG1015"/>
      <c r="FWH1015"/>
      <c r="FWI1015"/>
      <c r="FWJ1015"/>
      <c r="FWK1015"/>
      <c r="FWL1015"/>
      <c r="FWM1015"/>
      <c r="FWN1015"/>
      <c r="FWO1015"/>
      <c r="FWP1015"/>
      <c r="FWQ1015"/>
      <c r="FWR1015"/>
      <c r="FWS1015"/>
      <c r="FWT1015"/>
      <c r="FWU1015"/>
      <c r="FWV1015"/>
      <c r="FWW1015"/>
      <c r="FWX1015"/>
      <c r="FWY1015"/>
      <c r="FWZ1015"/>
      <c r="FXA1015"/>
      <c r="FXB1015"/>
      <c r="FXC1015"/>
      <c r="FXD1015"/>
      <c r="FXE1015"/>
      <c r="FXF1015"/>
      <c r="FXG1015"/>
      <c r="FXH1015"/>
      <c r="FXI1015"/>
      <c r="FXJ1015"/>
      <c r="FXK1015"/>
      <c r="FXL1015"/>
      <c r="FXM1015"/>
      <c r="FXN1015"/>
      <c r="FXO1015"/>
      <c r="FXP1015"/>
      <c r="FXQ1015"/>
      <c r="FXR1015"/>
      <c r="FXS1015"/>
      <c r="FXT1015"/>
      <c r="FXU1015"/>
      <c r="FXV1015"/>
      <c r="FXW1015"/>
      <c r="FXX1015"/>
      <c r="FXY1015"/>
      <c r="FXZ1015"/>
      <c r="FYA1015"/>
      <c r="FYB1015"/>
      <c r="FYC1015"/>
      <c r="FYD1015"/>
      <c r="FYE1015"/>
      <c r="FYF1015"/>
      <c r="FYG1015"/>
      <c r="FYH1015"/>
      <c r="FYI1015"/>
      <c r="FYJ1015"/>
      <c r="FYK1015"/>
      <c r="FYL1015"/>
      <c r="FYM1015"/>
      <c r="FYN1015"/>
      <c r="FYO1015"/>
      <c r="FYP1015"/>
      <c r="FYQ1015"/>
      <c r="FYR1015"/>
      <c r="FYS1015"/>
      <c r="FYT1015"/>
      <c r="FYU1015"/>
      <c r="FYV1015"/>
      <c r="FYW1015"/>
      <c r="FYX1015"/>
      <c r="FYY1015"/>
      <c r="FYZ1015"/>
      <c r="FZA1015"/>
      <c r="FZB1015"/>
      <c r="FZC1015"/>
      <c r="FZD1015"/>
      <c r="FZE1015"/>
      <c r="FZF1015"/>
      <c r="FZG1015"/>
      <c r="FZH1015"/>
      <c r="FZI1015"/>
      <c r="FZJ1015"/>
      <c r="FZK1015"/>
      <c r="FZL1015"/>
      <c r="FZM1015"/>
      <c r="FZN1015"/>
      <c r="FZO1015"/>
      <c r="FZP1015"/>
      <c r="FZQ1015"/>
      <c r="FZR1015"/>
      <c r="FZS1015"/>
      <c r="FZT1015"/>
      <c r="FZU1015"/>
      <c r="FZV1015"/>
      <c r="FZW1015"/>
      <c r="FZX1015"/>
      <c r="FZY1015"/>
      <c r="FZZ1015"/>
      <c r="GAA1015"/>
      <c r="GAB1015"/>
      <c r="GAC1015"/>
      <c r="GAD1015"/>
      <c r="GAE1015"/>
      <c r="GAF1015"/>
      <c r="GAG1015"/>
      <c r="GAH1015"/>
      <c r="GAI1015"/>
      <c r="GAJ1015"/>
      <c r="GAK1015"/>
      <c r="GAL1015"/>
      <c r="GAM1015"/>
      <c r="GAN1015"/>
      <c r="GAO1015"/>
      <c r="GAP1015"/>
      <c r="GAQ1015"/>
      <c r="GAR1015"/>
      <c r="GAS1015"/>
      <c r="GAT1015"/>
      <c r="GAU1015"/>
      <c r="GAV1015"/>
      <c r="GAW1015"/>
      <c r="GAX1015"/>
      <c r="GAY1015"/>
      <c r="GAZ1015"/>
      <c r="GBA1015"/>
      <c r="GBB1015"/>
      <c r="GBC1015"/>
      <c r="GBD1015"/>
      <c r="GBE1015"/>
      <c r="GBF1015"/>
      <c r="GBG1015"/>
      <c r="GBH1015"/>
      <c r="GBI1015"/>
      <c r="GBJ1015"/>
      <c r="GBK1015"/>
      <c r="GBL1015"/>
      <c r="GBM1015"/>
      <c r="GBN1015"/>
      <c r="GBO1015"/>
      <c r="GBP1015"/>
      <c r="GBQ1015"/>
      <c r="GBR1015"/>
      <c r="GBS1015"/>
      <c r="GBT1015"/>
      <c r="GBU1015"/>
      <c r="GBV1015"/>
      <c r="GBW1015"/>
      <c r="GBX1015"/>
      <c r="GBY1015"/>
      <c r="GBZ1015"/>
      <c r="GCA1015"/>
      <c r="GCB1015"/>
      <c r="GCC1015"/>
      <c r="GCD1015"/>
      <c r="GCE1015"/>
      <c r="GCF1015"/>
      <c r="GCG1015"/>
      <c r="GCH1015"/>
      <c r="GCI1015"/>
      <c r="GCJ1015"/>
      <c r="GCK1015"/>
      <c r="GCL1015"/>
      <c r="GCM1015"/>
      <c r="GCN1015"/>
      <c r="GCO1015"/>
      <c r="GCP1015"/>
      <c r="GCQ1015"/>
      <c r="GCR1015"/>
      <c r="GCS1015"/>
      <c r="GCT1015"/>
      <c r="GCU1015"/>
      <c r="GCV1015"/>
      <c r="GCW1015"/>
      <c r="GCX1015"/>
      <c r="GCY1015"/>
      <c r="GCZ1015"/>
      <c r="GDA1015"/>
      <c r="GDB1015"/>
      <c r="GDC1015"/>
      <c r="GDD1015"/>
      <c r="GDE1015"/>
      <c r="GDF1015"/>
      <c r="GDG1015"/>
      <c r="GDH1015"/>
      <c r="GDI1015"/>
      <c r="GDJ1015"/>
      <c r="GDK1015"/>
      <c r="GDL1015"/>
      <c r="GDM1015"/>
      <c r="GDN1015"/>
      <c r="GDO1015"/>
      <c r="GDP1015"/>
      <c r="GDQ1015"/>
      <c r="GDR1015"/>
      <c r="GDS1015"/>
      <c r="GDT1015"/>
      <c r="GDU1015"/>
      <c r="GDV1015"/>
      <c r="GDW1015"/>
      <c r="GDX1015"/>
      <c r="GDY1015"/>
      <c r="GDZ1015"/>
      <c r="GEA1015"/>
      <c r="GEB1015"/>
      <c r="GEC1015"/>
      <c r="GED1015"/>
      <c r="GEE1015"/>
      <c r="GEF1015"/>
      <c r="GEG1015"/>
      <c r="GEH1015"/>
      <c r="GEI1015"/>
      <c r="GEJ1015"/>
      <c r="GEK1015"/>
      <c r="GEL1015"/>
      <c r="GEM1015"/>
      <c r="GEN1015"/>
      <c r="GEO1015"/>
      <c r="GEP1015"/>
      <c r="GEQ1015"/>
      <c r="GER1015"/>
      <c r="GES1015"/>
      <c r="GET1015"/>
      <c r="GEU1015"/>
      <c r="GEV1015"/>
      <c r="GEW1015"/>
      <c r="GEX1015"/>
      <c r="GEY1015"/>
      <c r="GEZ1015"/>
      <c r="GFA1015"/>
      <c r="GFB1015"/>
      <c r="GFC1015"/>
      <c r="GFD1015"/>
      <c r="GFE1015"/>
      <c r="GFF1015"/>
      <c r="GFG1015"/>
      <c r="GFH1015"/>
      <c r="GFI1015"/>
      <c r="GFJ1015"/>
      <c r="GFK1015"/>
      <c r="GFL1015"/>
      <c r="GFM1015"/>
      <c r="GFN1015"/>
      <c r="GFO1015"/>
      <c r="GFP1015"/>
      <c r="GFQ1015"/>
      <c r="GFR1015"/>
      <c r="GFS1015"/>
      <c r="GFT1015"/>
      <c r="GFU1015"/>
      <c r="GFV1015"/>
      <c r="GFW1015"/>
      <c r="GFX1015"/>
      <c r="GFY1015"/>
      <c r="GFZ1015"/>
      <c r="GGA1015"/>
      <c r="GGB1015"/>
      <c r="GGC1015"/>
      <c r="GGD1015"/>
      <c r="GGE1015"/>
      <c r="GGF1015"/>
      <c r="GGG1015"/>
      <c r="GGH1015"/>
      <c r="GGI1015"/>
      <c r="GGJ1015"/>
      <c r="GGK1015"/>
      <c r="GGL1015"/>
      <c r="GGM1015"/>
      <c r="GGN1015"/>
      <c r="GGO1015"/>
      <c r="GGP1015"/>
      <c r="GGQ1015"/>
      <c r="GGR1015"/>
      <c r="GGS1015"/>
      <c r="GGT1015"/>
      <c r="GGU1015"/>
      <c r="GGV1015"/>
      <c r="GGW1015"/>
      <c r="GGX1015"/>
      <c r="GGY1015"/>
      <c r="GGZ1015"/>
      <c r="GHA1015"/>
      <c r="GHB1015"/>
      <c r="GHC1015"/>
      <c r="GHD1015"/>
      <c r="GHE1015"/>
      <c r="GHF1015"/>
      <c r="GHG1015"/>
      <c r="GHH1015"/>
      <c r="GHI1015"/>
      <c r="GHJ1015"/>
      <c r="GHK1015"/>
      <c r="GHL1015"/>
      <c r="GHM1015"/>
      <c r="GHN1015"/>
      <c r="GHO1015"/>
      <c r="GHP1015"/>
      <c r="GHQ1015"/>
      <c r="GHR1015"/>
      <c r="GHS1015"/>
      <c r="GHT1015"/>
      <c r="GHU1015"/>
      <c r="GHV1015"/>
      <c r="GHW1015"/>
      <c r="GHX1015"/>
      <c r="GHY1015"/>
      <c r="GHZ1015"/>
      <c r="GIA1015"/>
      <c r="GIB1015"/>
      <c r="GIC1015"/>
      <c r="GID1015"/>
      <c r="GIE1015"/>
      <c r="GIF1015"/>
      <c r="GIG1015"/>
      <c r="GIH1015"/>
      <c r="GII1015"/>
      <c r="GIJ1015"/>
      <c r="GIK1015"/>
      <c r="GIL1015"/>
      <c r="GIM1015"/>
      <c r="GIN1015"/>
      <c r="GIO1015"/>
      <c r="GIP1015"/>
      <c r="GIQ1015"/>
      <c r="GIR1015"/>
      <c r="GIS1015"/>
      <c r="GIT1015"/>
      <c r="GIU1015"/>
      <c r="GIV1015"/>
      <c r="GIW1015"/>
      <c r="GIX1015"/>
      <c r="GIY1015"/>
      <c r="GIZ1015"/>
      <c r="GJA1015"/>
      <c r="GJB1015"/>
      <c r="GJC1015"/>
      <c r="GJD1015"/>
      <c r="GJE1015"/>
      <c r="GJF1015"/>
      <c r="GJG1015"/>
      <c r="GJH1015"/>
      <c r="GJI1015"/>
      <c r="GJJ1015"/>
      <c r="GJK1015"/>
      <c r="GJL1015"/>
      <c r="GJM1015"/>
      <c r="GJN1015"/>
      <c r="GJO1015"/>
      <c r="GJP1015"/>
      <c r="GJQ1015"/>
      <c r="GJR1015"/>
      <c r="GJS1015"/>
      <c r="GJT1015"/>
      <c r="GJU1015"/>
      <c r="GJV1015"/>
      <c r="GJW1015"/>
      <c r="GJX1015"/>
      <c r="GJY1015"/>
      <c r="GJZ1015"/>
      <c r="GKA1015"/>
      <c r="GKB1015"/>
      <c r="GKC1015"/>
      <c r="GKD1015"/>
      <c r="GKE1015"/>
      <c r="GKF1015"/>
      <c r="GKG1015"/>
      <c r="GKH1015"/>
      <c r="GKI1015"/>
      <c r="GKJ1015"/>
      <c r="GKK1015"/>
      <c r="GKL1015"/>
      <c r="GKM1015"/>
      <c r="GKN1015"/>
      <c r="GKO1015"/>
      <c r="GKP1015"/>
      <c r="GKQ1015"/>
      <c r="GKR1015"/>
      <c r="GKS1015"/>
      <c r="GKT1015"/>
      <c r="GKU1015"/>
      <c r="GKV1015"/>
      <c r="GKW1015"/>
      <c r="GKX1015"/>
      <c r="GKY1015"/>
      <c r="GKZ1015"/>
      <c r="GLA1015"/>
      <c r="GLB1015"/>
      <c r="GLC1015"/>
      <c r="GLD1015"/>
      <c r="GLE1015"/>
      <c r="GLF1015"/>
      <c r="GLG1015"/>
      <c r="GLH1015"/>
      <c r="GLI1015"/>
      <c r="GLJ1015"/>
      <c r="GLK1015"/>
      <c r="GLL1015"/>
      <c r="GLM1015"/>
      <c r="GLN1015"/>
      <c r="GLO1015"/>
      <c r="GLP1015"/>
      <c r="GLQ1015"/>
      <c r="GLR1015"/>
      <c r="GLS1015"/>
      <c r="GLT1015"/>
      <c r="GLU1015"/>
      <c r="GLV1015"/>
      <c r="GLW1015"/>
      <c r="GLX1015"/>
      <c r="GLY1015"/>
      <c r="GLZ1015"/>
      <c r="GMA1015"/>
      <c r="GMB1015"/>
      <c r="GMC1015"/>
      <c r="GMD1015"/>
      <c r="GME1015"/>
      <c r="GMF1015"/>
      <c r="GMG1015"/>
      <c r="GMH1015"/>
      <c r="GMI1015"/>
      <c r="GMJ1015"/>
      <c r="GMK1015"/>
      <c r="GML1015"/>
      <c r="GMM1015"/>
      <c r="GMN1015"/>
      <c r="GMO1015"/>
      <c r="GMP1015"/>
      <c r="GMQ1015"/>
      <c r="GMR1015"/>
      <c r="GMS1015"/>
      <c r="GMT1015"/>
      <c r="GMU1015"/>
      <c r="GMV1015"/>
      <c r="GMW1015"/>
      <c r="GMX1015"/>
      <c r="GMY1015"/>
      <c r="GMZ1015"/>
      <c r="GNA1015"/>
      <c r="GNB1015"/>
      <c r="GNC1015"/>
      <c r="GND1015"/>
      <c r="GNE1015"/>
      <c r="GNF1015"/>
      <c r="GNG1015"/>
      <c r="GNH1015"/>
      <c r="GNI1015"/>
      <c r="GNJ1015"/>
      <c r="GNK1015"/>
      <c r="GNL1015"/>
      <c r="GNM1015"/>
      <c r="GNN1015"/>
      <c r="GNO1015"/>
      <c r="GNP1015"/>
      <c r="GNQ1015"/>
      <c r="GNR1015"/>
      <c r="GNS1015"/>
      <c r="GNT1015"/>
      <c r="GNU1015"/>
      <c r="GNV1015"/>
      <c r="GNW1015"/>
      <c r="GNX1015"/>
      <c r="GNY1015"/>
      <c r="GNZ1015"/>
      <c r="GOA1015"/>
      <c r="GOB1015"/>
      <c r="GOC1015"/>
      <c r="GOD1015"/>
      <c r="GOE1015"/>
      <c r="GOF1015"/>
      <c r="GOG1015"/>
      <c r="GOH1015"/>
      <c r="GOI1015"/>
      <c r="GOJ1015"/>
      <c r="GOK1015"/>
      <c r="GOL1015"/>
      <c r="GOM1015"/>
      <c r="GON1015"/>
      <c r="GOO1015"/>
      <c r="GOP1015"/>
      <c r="GOQ1015"/>
      <c r="GOR1015"/>
      <c r="GOS1015"/>
      <c r="GOT1015"/>
      <c r="GOU1015"/>
      <c r="GOV1015"/>
      <c r="GOW1015"/>
      <c r="GOX1015"/>
      <c r="GOY1015"/>
      <c r="GOZ1015"/>
      <c r="GPA1015"/>
      <c r="GPB1015"/>
      <c r="GPC1015"/>
      <c r="GPD1015"/>
      <c r="GPE1015"/>
      <c r="GPF1015"/>
      <c r="GPG1015"/>
      <c r="GPH1015"/>
      <c r="GPI1015"/>
      <c r="GPJ1015"/>
      <c r="GPK1015"/>
      <c r="GPL1015"/>
      <c r="GPM1015"/>
      <c r="GPN1015"/>
      <c r="GPO1015"/>
      <c r="GPP1015"/>
      <c r="GPQ1015"/>
      <c r="GPR1015"/>
      <c r="GPS1015"/>
      <c r="GPT1015"/>
      <c r="GPU1015"/>
      <c r="GPV1015"/>
      <c r="GPW1015"/>
      <c r="GPX1015"/>
      <c r="GPY1015"/>
      <c r="GPZ1015"/>
      <c r="GQA1015"/>
      <c r="GQB1015"/>
      <c r="GQC1015"/>
      <c r="GQD1015"/>
      <c r="GQE1015"/>
      <c r="GQF1015"/>
      <c r="GQG1015"/>
      <c r="GQH1015"/>
      <c r="GQI1015"/>
      <c r="GQJ1015"/>
      <c r="GQK1015"/>
      <c r="GQL1015"/>
      <c r="GQM1015"/>
      <c r="GQN1015"/>
      <c r="GQO1015"/>
      <c r="GQP1015"/>
      <c r="GQQ1015"/>
      <c r="GQR1015"/>
      <c r="GQS1015"/>
      <c r="GQT1015"/>
      <c r="GQU1015"/>
      <c r="GQV1015"/>
      <c r="GQW1015"/>
      <c r="GQX1015"/>
      <c r="GQY1015"/>
      <c r="GQZ1015"/>
      <c r="GRA1015"/>
      <c r="GRB1015"/>
      <c r="GRC1015"/>
      <c r="GRD1015"/>
      <c r="GRE1015"/>
      <c r="GRF1015"/>
      <c r="GRG1015"/>
      <c r="GRH1015"/>
      <c r="GRI1015"/>
      <c r="GRJ1015"/>
      <c r="GRK1015"/>
      <c r="GRL1015"/>
      <c r="GRM1015"/>
      <c r="GRN1015"/>
      <c r="GRO1015"/>
      <c r="GRP1015"/>
      <c r="GRQ1015"/>
      <c r="GRR1015"/>
      <c r="GRS1015"/>
      <c r="GRT1015"/>
      <c r="GRU1015"/>
      <c r="GRV1015"/>
      <c r="GRW1015"/>
      <c r="GRX1015"/>
      <c r="GRY1015"/>
      <c r="GRZ1015"/>
      <c r="GSA1015"/>
      <c r="GSB1015"/>
      <c r="GSC1015"/>
      <c r="GSD1015"/>
      <c r="GSE1015"/>
      <c r="GSF1015"/>
      <c r="GSG1015"/>
      <c r="GSH1015"/>
      <c r="GSI1015"/>
      <c r="GSJ1015"/>
      <c r="GSK1015"/>
      <c r="GSL1015"/>
      <c r="GSM1015"/>
      <c r="GSN1015"/>
      <c r="GSO1015"/>
      <c r="GSP1015"/>
      <c r="GSQ1015"/>
      <c r="GSR1015"/>
      <c r="GSS1015"/>
      <c r="GST1015"/>
      <c r="GSU1015"/>
      <c r="GSV1015"/>
      <c r="GSW1015"/>
      <c r="GSX1015"/>
      <c r="GSY1015"/>
      <c r="GSZ1015"/>
      <c r="GTA1015"/>
      <c r="GTB1015"/>
      <c r="GTC1015"/>
      <c r="GTD1015"/>
      <c r="GTE1015"/>
      <c r="GTF1015"/>
      <c r="GTG1015"/>
      <c r="GTH1015"/>
      <c r="GTI1015"/>
      <c r="GTJ1015"/>
      <c r="GTK1015"/>
      <c r="GTL1015"/>
      <c r="GTM1015"/>
      <c r="GTN1015"/>
      <c r="GTO1015"/>
      <c r="GTP1015"/>
      <c r="GTQ1015"/>
      <c r="GTR1015"/>
      <c r="GTS1015"/>
      <c r="GTT1015"/>
      <c r="GTU1015"/>
      <c r="GTV1015"/>
      <c r="GTW1015"/>
      <c r="GTX1015"/>
      <c r="GTY1015"/>
      <c r="GTZ1015"/>
      <c r="GUA1015"/>
      <c r="GUB1015"/>
      <c r="GUC1015"/>
      <c r="GUD1015"/>
      <c r="GUE1015"/>
      <c r="GUF1015"/>
      <c r="GUG1015"/>
      <c r="GUH1015"/>
      <c r="GUI1015"/>
      <c r="GUJ1015"/>
      <c r="GUK1015"/>
      <c r="GUL1015"/>
      <c r="GUM1015"/>
      <c r="GUN1015"/>
      <c r="GUO1015"/>
      <c r="GUP1015"/>
      <c r="GUQ1015"/>
      <c r="GUR1015"/>
      <c r="GUS1015"/>
      <c r="GUT1015"/>
      <c r="GUU1015"/>
      <c r="GUV1015"/>
      <c r="GUW1015"/>
      <c r="GUX1015"/>
      <c r="GUY1015"/>
      <c r="GUZ1015"/>
      <c r="GVA1015"/>
      <c r="GVB1015"/>
      <c r="GVC1015"/>
      <c r="GVD1015"/>
      <c r="GVE1015"/>
      <c r="GVF1015"/>
      <c r="GVG1015"/>
      <c r="GVH1015"/>
      <c r="GVI1015"/>
      <c r="GVJ1015"/>
      <c r="GVK1015"/>
      <c r="GVL1015"/>
      <c r="GVM1015"/>
      <c r="GVN1015"/>
      <c r="GVO1015"/>
      <c r="GVP1015"/>
      <c r="GVQ1015"/>
      <c r="GVR1015"/>
      <c r="GVS1015"/>
      <c r="GVT1015"/>
      <c r="GVU1015"/>
      <c r="GVV1015"/>
      <c r="GVW1015"/>
      <c r="GVX1015"/>
      <c r="GVY1015"/>
      <c r="GVZ1015"/>
      <c r="GWA1015"/>
      <c r="GWB1015"/>
      <c r="GWC1015"/>
      <c r="GWD1015"/>
      <c r="GWE1015"/>
      <c r="GWF1015"/>
      <c r="GWG1015"/>
      <c r="GWH1015"/>
      <c r="GWI1015"/>
      <c r="GWJ1015"/>
      <c r="GWK1015"/>
      <c r="GWL1015"/>
      <c r="GWM1015"/>
      <c r="GWN1015"/>
      <c r="GWO1015"/>
      <c r="GWP1015"/>
      <c r="GWQ1015"/>
      <c r="GWR1015"/>
      <c r="GWS1015"/>
      <c r="GWT1015"/>
      <c r="GWU1015"/>
      <c r="GWV1015"/>
      <c r="GWW1015"/>
      <c r="GWX1015"/>
      <c r="GWY1015"/>
      <c r="GWZ1015"/>
      <c r="GXA1015"/>
      <c r="GXB1015"/>
      <c r="GXC1015"/>
      <c r="GXD1015"/>
      <c r="GXE1015"/>
      <c r="GXF1015"/>
      <c r="GXG1015"/>
      <c r="GXH1015"/>
      <c r="GXI1015"/>
      <c r="GXJ1015"/>
      <c r="GXK1015"/>
      <c r="GXL1015"/>
      <c r="GXM1015"/>
      <c r="GXN1015"/>
      <c r="GXO1015"/>
      <c r="GXP1015"/>
      <c r="GXQ1015"/>
      <c r="GXR1015"/>
      <c r="GXS1015"/>
      <c r="GXT1015"/>
      <c r="GXU1015"/>
      <c r="GXV1015"/>
      <c r="GXW1015"/>
      <c r="GXX1015"/>
      <c r="GXY1015"/>
      <c r="GXZ1015"/>
      <c r="GYA1015"/>
      <c r="GYB1015"/>
      <c r="GYC1015"/>
      <c r="GYD1015"/>
      <c r="GYE1015"/>
      <c r="GYF1015"/>
      <c r="GYG1015"/>
      <c r="GYH1015"/>
      <c r="GYI1015"/>
      <c r="GYJ1015"/>
      <c r="GYK1015"/>
      <c r="GYL1015"/>
      <c r="GYM1015"/>
      <c r="GYN1015"/>
      <c r="GYO1015"/>
      <c r="GYP1015"/>
      <c r="GYQ1015"/>
      <c r="GYR1015"/>
      <c r="GYS1015"/>
      <c r="GYT1015"/>
      <c r="GYU1015"/>
      <c r="GYV1015"/>
      <c r="GYW1015"/>
      <c r="GYX1015"/>
      <c r="GYY1015"/>
      <c r="GYZ1015"/>
      <c r="GZA1015"/>
      <c r="GZB1015"/>
      <c r="GZC1015"/>
      <c r="GZD1015"/>
      <c r="GZE1015"/>
      <c r="GZF1015"/>
      <c r="GZG1015"/>
      <c r="GZH1015"/>
      <c r="GZI1015"/>
      <c r="GZJ1015"/>
      <c r="GZK1015"/>
      <c r="GZL1015"/>
      <c r="GZM1015"/>
      <c r="GZN1015"/>
      <c r="GZO1015"/>
      <c r="GZP1015"/>
      <c r="GZQ1015"/>
      <c r="GZR1015"/>
      <c r="GZS1015"/>
      <c r="GZT1015"/>
      <c r="GZU1015"/>
      <c r="GZV1015"/>
      <c r="GZW1015"/>
      <c r="GZX1015"/>
      <c r="GZY1015"/>
      <c r="GZZ1015"/>
      <c r="HAA1015"/>
      <c r="HAB1015"/>
      <c r="HAC1015"/>
      <c r="HAD1015"/>
      <c r="HAE1015"/>
      <c r="HAF1015"/>
      <c r="HAG1015"/>
      <c r="HAH1015"/>
      <c r="HAI1015"/>
      <c r="HAJ1015"/>
      <c r="HAK1015"/>
      <c r="HAL1015"/>
      <c r="HAM1015"/>
      <c r="HAN1015"/>
      <c r="HAO1015"/>
      <c r="HAP1015"/>
      <c r="HAQ1015"/>
      <c r="HAR1015"/>
      <c r="HAS1015"/>
      <c r="HAT1015"/>
      <c r="HAU1015"/>
      <c r="HAV1015"/>
      <c r="HAW1015"/>
      <c r="HAX1015"/>
      <c r="HAY1015"/>
      <c r="HAZ1015"/>
      <c r="HBA1015"/>
      <c r="HBB1015"/>
      <c r="HBC1015"/>
      <c r="HBD1015"/>
      <c r="HBE1015"/>
      <c r="HBF1015"/>
      <c r="HBG1015"/>
      <c r="HBH1015"/>
      <c r="HBI1015"/>
      <c r="HBJ1015"/>
      <c r="HBK1015"/>
      <c r="HBL1015"/>
      <c r="HBM1015"/>
      <c r="HBN1015"/>
      <c r="HBO1015"/>
      <c r="HBP1015"/>
      <c r="HBQ1015"/>
      <c r="HBR1015"/>
      <c r="HBS1015"/>
      <c r="HBT1015"/>
      <c r="HBU1015"/>
      <c r="HBV1015"/>
      <c r="HBW1015"/>
      <c r="HBX1015"/>
      <c r="HBY1015"/>
      <c r="HBZ1015"/>
      <c r="HCA1015"/>
      <c r="HCB1015"/>
      <c r="HCC1015"/>
      <c r="HCD1015"/>
      <c r="HCE1015"/>
      <c r="HCF1015"/>
      <c r="HCG1015"/>
      <c r="HCH1015"/>
      <c r="HCI1015"/>
      <c r="HCJ1015"/>
      <c r="HCK1015"/>
      <c r="HCL1015"/>
      <c r="HCM1015"/>
      <c r="HCN1015"/>
      <c r="HCO1015"/>
      <c r="HCP1015"/>
      <c r="HCQ1015"/>
      <c r="HCR1015"/>
      <c r="HCS1015"/>
      <c r="HCT1015"/>
      <c r="HCU1015"/>
      <c r="HCV1015"/>
      <c r="HCW1015"/>
      <c r="HCX1015"/>
      <c r="HCY1015"/>
      <c r="HCZ1015"/>
      <c r="HDA1015"/>
      <c r="HDB1015"/>
      <c r="HDC1015"/>
      <c r="HDD1015"/>
      <c r="HDE1015"/>
      <c r="HDF1015"/>
      <c r="HDG1015"/>
      <c r="HDH1015"/>
      <c r="HDI1015"/>
      <c r="HDJ1015"/>
      <c r="HDK1015"/>
      <c r="HDL1015"/>
      <c r="HDM1015"/>
      <c r="HDN1015"/>
      <c r="HDO1015"/>
      <c r="HDP1015"/>
      <c r="HDQ1015"/>
      <c r="HDR1015"/>
      <c r="HDS1015"/>
      <c r="HDT1015"/>
      <c r="HDU1015"/>
      <c r="HDV1015"/>
      <c r="HDW1015"/>
      <c r="HDX1015"/>
      <c r="HDY1015"/>
      <c r="HDZ1015"/>
      <c r="HEA1015"/>
      <c r="HEB1015"/>
      <c r="HEC1015"/>
      <c r="HED1015"/>
      <c r="HEE1015"/>
      <c r="HEF1015"/>
      <c r="HEG1015"/>
      <c r="HEH1015"/>
      <c r="HEI1015"/>
      <c r="HEJ1015"/>
      <c r="HEK1015"/>
      <c r="HEL1015"/>
      <c r="HEM1015"/>
      <c r="HEN1015"/>
      <c r="HEO1015"/>
      <c r="HEP1015"/>
      <c r="HEQ1015"/>
      <c r="HER1015"/>
      <c r="HES1015"/>
      <c r="HET1015"/>
      <c r="HEU1015"/>
      <c r="HEV1015"/>
      <c r="HEW1015"/>
      <c r="HEX1015"/>
      <c r="HEY1015"/>
      <c r="HEZ1015"/>
      <c r="HFA1015"/>
      <c r="HFB1015"/>
      <c r="HFC1015"/>
      <c r="HFD1015"/>
      <c r="HFE1015"/>
      <c r="HFF1015"/>
      <c r="HFG1015"/>
      <c r="HFH1015"/>
      <c r="HFI1015"/>
      <c r="HFJ1015"/>
      <c r="HFK1015"/>
      <c r="HFL1015"/>
      <c r="HFM1015"/>
      <c r="HFN1015"/>
      <c r="HFO1015"/>
      <c r="HFP1015"/>
      <c r="HFQ1015"/>
      <c r="HFR1015"/>
      <c r="HFS1015"/>
      <c r="HFT1015"/>
      <c r="HFU1015"/>
      <c r="HFV1015"/>
      <c r="HFW1015"/>
      <c r="HFX1015"/>
      <c r="HFY1015"/>
      <c r="HFZ1015"/>
      <c r="HGA1015"/>
      <c r="HGB1015"/>
      <c r="HGC1015"/>
      <c r="HGD1015"/>
      <c r="HGE1015"/>
      <c r="HGF1015"/>
      <c r="HGG1015"/>
      <c r="HGH1015"/>
      <c r="HGI1015"/>
      <c r="HGJ1015"/>
      <c r="HGK1015"/>
      <c r="HGL1015"/>
      <c r="HGM1015"/>
      <c r="HGN1015"/>
      <c r="HGO1015"/>
      <c r="HGP1015"/>
      <c r="HGQ1015"/>
      <c r="HGR1015"/>
      <c r="HGS1015"/>
      <c r="HGT1015"/>
      <c r="HGU1015"/>
      <c r="HGV1015"/>
      <c r="HGW1015"/>
      <c r="HGX1015"/>
      <c r="HGY1015"/>
      <c r="HGZ1015"/>
      <c r="HHA1015"/>
      <c r="HHB1015"/>
      <c r="HHC1015"/>
      <c r="HHD1015"/>
      <c r="HHE1015"/>
      <c r="HHF1015"/>
      <c r="HHG1015"/>
      <c r="HHH1015"/>
      <c r="HHI1015"/>
      <c r="HHJ1015"/>
      <c r="HHK1015"/>
      <c r="HHL1015"/>
      <c r="HHM1015"/>
      <c r="HHN1015"/>
      <c r="HHO1015"/>
      <c r="HHP1015"/>
      <c r="HHQ1015"/>
      <c r="HHR1015"/>
      <c r="HHS1015"/>
      <c r="HHT1015"/>
      <c r="HHU1015"/>
      <c r="HHV1015"/>
      <c r="HHW1015"/>
      <c r="HHX1015"/>
      <c r="HHY1015"/>
      <c r="HHZ1015"/>
      <c r="HIA1015"/>
      <c r="HIB1015"/>
      <c r="HIC1015"/>
      <c r="HID1015"/>
      <c r="HIE1015"/>
      <c r="HIF1015"/>
      <c r="HIG1015"/>
      <c r="HIH1015"/>
      <c r="HII1015"/>
      <c r="HIJ1015"/>
      <c r="HIK1015"/>
      <c r="HIL1015"/>
      <c r="HIM1015"/>
      <c r="HIN1015"/>
      <c r="HIO1015"/>
      <c r="HIP1015"/>
      <c r="HIQ1015"/>
      <c r="HIR1015"/>
      <c r="HIS1015"/>
      <c r="HIT1015"/>
      <c r="HIU1015"/>
      <c r="HIV1015"/>
      <c r="HIW1015"/>
      <c r="HIX1015"/>
      <c r="HIY1015"/>
      <c r="HIZ1015"/>
      <c r="HJA1015"/>
      <c r="HJB1015"/>
      <c r="HJC1015"/>
      <c r="HJD1015"/>
      <c r="HJE1015"/>
      <c r="HJF1015"/>
      <c r="HJG1015"/>
      <c r="HJH1015"/>
      <c r="HJI1015"/>
      <c r="HJJ1015"/>
      <c r="HJK1015"/>
      <c r="HJL1015"/>
      <c r="HJM1015"/>
      <c r="HJN1015"/>
      <c r="HJO1015"/>
      <c r="HJP1015"/>
      <c r="HJQ1015"/>
      <c r="HJR1015"/>
      <c r="HJS1015"/>
      <c r="HJT1015"/>
      <c r="HJU1015"/>
      <c r="HJV1015"/>
      <c r="HJW1015"/>
      <c r="HJX1015"/>
      <c r="HJY1015"/>
      <c r="HJZ1015"/>
      <c r="HKA1015"/>
      <c r="HKB1015"/>
      <c r="HKC1015"/>
      <c r="HKD1015"/>
      <c r="HKE1015"/>
      <c r="HKF1015"/>
      <c r="HKG1015"/>
      <c r="HKH1015"/>
      <c r="HKI1015"/>
      <c r="HKJ1015"/>
      <c r="HKK1015"/>
      <c r="HKL1015"/>
      <c r="HKM1015"/>
      <c r="HKN1015"/>
      <c r="HKO1015"/>
      <c r="HKP1015"/>
      <c r="HKQ1015"/>
      <c r="HKR1015"/>
      <c r="HKS1015"/>
      <c r="HKT1015"/>
      <c r="HKU1015"/>
      <c r="HKV1015"/>
      <c r="HKW1015"/>
      <c r="HKX1015"/>
      <c r="HKY1015"/>
      <c r="HKZ1015"/>
      <c r="HLA1015"/>
      <c r="HLB1015"/>
      <c r="HLC1015"/>
      <c r="HLD1015"/>
      <c r="HLE1015"/>
      <c r="HLF1015"/>
      <c r="HLG1015"/>
      <c r="HLH1015"/>
      <c r="HLI1015"/>
      <c r="HLJ1015"/>
      <c r="HLK1015"/>
      <c r="HLL1015"/>
      <c r="HLM1015"/>
      <c r="HLN1015"/>
      <c r="HLO1015"/>
      <c r="HLP1015"/>
      <c r="HLQ1015"/>
      <c r="HLR1015"/>
      <c r="HLS1015"/>
      <c r="HLT1015"/>
      <c r="HLU1015"/>
      <c r="HLV1015"/>
      <c r="HLW1015"/>
      <c r="HLX1015"/>
      <c r="HLY1015"/>
      <c r="HLZ1015"/>
      <c r="HMA1015"/>
      <c r="HMB1015"/>
      <c r="HMC1015"/>
      <c r="HMD1015"/>
      <c r="HME1015"/>
      <c r="HMF1015"/>
      <c r="HMG1015"/>
      <c r="HMH1015"/>
      <c r="HMI1015"/>
      <c r="HMJ1015"/>
      <c r="HMK1015"/>
      <c r="HML1015"/>
      <c r="HMM1015"/>
      <c r="HMN1015"/>
      <c r="HMO1015"/>
      <c r="HMP1015"/>
      <c r="HMQ1015"/>
      <c r="HMR1015"/>
      <c r="HMS1015"/>
      <c r="HMT1015"/>
      <c r="HMU1015"/>
      <c r="HMV1015"/>
      <c r="HMW1015"/>
      <c r="HMX1015"/>
      <c r="HMY1015"/>
      <c r="HMZ1015"/>
      <c r="HNA1015"/>
      <c r="HNB1015"/>
      <c r="HNC1015"/>
      <c r="HND1015"/>
      <c r="HNE1015"/>
      <c r="HNF1015"/>
      <c r="HNG1015"/>
      <c r="HNH1015"/>
      <c r="HNI1015"/>
      <c r="HNJ1015"/>
      <c r="HNK1015"/>
      <c r="HNL1015"/>
      <c r="HNM1015"/>
      <c r="HNN1015"/>
      <c r="HNO1015"/>
      <c r="HNP1015"/>
      <c r="HNQ1015"/>
      <c r="HNR1015"/>
      <c r="HNS1015"/>
      <c r="HNT1015"/>
      <c r="HNU1015"/>
      <c r="HNV1015"/>
      <c r="HNW1015"/>
      <c r="HNX1015"/>
      <c r="HNY1015"/>
      <c r="HNZ1015"/>
      <c r="HOA1015"/>
      <c r="HOB1015"/>
      <c r="HOC1015"/>
      <c r="HOD1015"/>
      <c r="HOE1015"/>
      <c r="HOF1015"/>
      <c r="HOG1015"/>
      <c r="HOH1015"/>
      <c r="HOI1015"/>
      <c r="HOJ1015"/>
      <c r="HOK1015"/>
      <c r="HOL1015"/>
      <c r="HOM1015"/>
      <c r="HON1015"/>
      <c r="HOO1015"/>
      <c r="HOP1015"/>
      <c r="HOQ1015"/>
      <c r="HOR1015"/>
      <c r="HOS1015"/>
      <c r="HOT1015"/>
      <c r="HOU1015"/>
      <c r="HOV1015"/>
      <c r="HOW1015"/>
      <c r="HOX1015"/>
      <c r="HOY1015"/>
      <c r="HOZ1015"/>
      <c r="HPA1015"/>
      <c r="HPB1015"/>
      <c r="HPC1015"/>
      <c r="HPD1015"/>
      <c r="HPE1015"/>
      <c r="HPF1015"/>
      <c r="HPG1015"/>
      <c r="HPH1015"/>
      <c r="HPI1015"/>
      <c r="HPJ1015"/>
      <c r="HPK1015"/>
      <c r="HPL1015"/>
      <c r="HPM1015"/>
      <c r="HPN1015"/>
      <c r="HPO1015"/>
      <c r="HPP1015"/>
      <c r="HPQ1015"/>
      <c r="HPR1015"/>
      <c r="HPS1015"/>
      <c r="HPT1015"/>
      <c r="HPU1015"/>
      <c r="HPV1015"/>
      <c r="HPW1015"/>
      <c r="HPX1015"/>
      <c r="HPY1015"/>
      <c r="HPZ1015"/>
      <c r="HQA1015"/>
      <c r="HQB1015"/>
      <c r="HQC1015"/>
      <c r="HQD1015"/>
      <c r="HQE1015"/>
      <c r="HQF1015"/>
      <c r="HQG1015"/>
      <c r="HQH1015"/>
      <c r="HQI1015"/>
      <c r="HQJ1015"/>
      <c r="HQK1015"/>
      <c r="HQL1015"/>
      <c r="HQM1015"/>
      <c r="HQN1015"/>
      <c r="HQO1015"/>
      <c r="HQP1015"/>
      <c r="HQQ1015"/>
      <c r="HQR1015"/>
      <c r="HQS1015"/>
      <c r="HQT1015"/>
      <c r="HQU1015"/>
      <c r="HQV1015"/>
      <c r="HQW1015"/>
      <c r="HQX1015"/>
      <c r="HQY1015"/>
      <c r="HQZ1015"/>
      <c r="HRA1015"/>
      <c r="HRB1015"/>
      <c r="HRC1015"/>
      <c r="HRD1015"/>
      <c r="HRE1015"/>
      <c r="HRF1015"/>
      <c r="HRG1015"/>
      <c r="HRH1015"/>
      <c r="HRI1015"/>
      <c r="HRJ1015"/>
      <c r="HRK1015"/>
      <c r="HRL1015"/>
      <c r="HRM1015"/>
      <c r="HRN1015"/>
      <c r="HRO1015"/>
      <c r="HRP1015"/>
      <c r="HRQ1015"/>
      <c r="HRR1015"/>
      <c r="HRS1015"/>
      <c r="HRT1015"/>
      <c r="HRU1015"/>
      <c r="HRV1015"/>
      <c r="HRW1015"/>
      <c r="HRX1015"/>
      <c r="HRY1015"/>
      <c r="HRZ1015"/>
      <c r="HSA1015"/>
      <c r="HSB1015"/>
      <c r="HSC1015"/>
      <c r="HSD1015"/>
      <c r="HSE1015"/>
      <c r="HSF1015"/>
      <c r="HSG1015"/>
      <c r="HSH1015"/>
      <c r="HSI1015"/>
      <c r="HSJ1015"/>
      <c r="HSK1015"/>
      <c r="HSL1015"/>
      <c r="HSM1015"/>
      <c r="HSN1015"/>
      <c r="HSO1015"/>
      <c r="HSP1015"/>
      <c r="HSQ1015"/>
      <c r="HSR1015"/>
      <c r="HSS1015"/>
      <c r="HST1015"/>
      <c r="HSU1015"/>
      <c r="HSV1015"/>
      <c r="HSW1015"/>
      <c r="HSX1015"/>
      <c r="HSY1015"/>
      <c r="HSZ1015"/>
      <c r="HTA1015"/>
      <c r="HTB1015"/>
      <c r="HTC1015"/>
      <c r="HTD1015"/>
      <c r="HTE1015"/>
      <c r="HTF1015"/>
      <c r="HTG1015"/>
      <c r="HTH1015"/>
      <c r="HTI1015"/>
      <c r="HTJ1015"/>
      <c r="HTK1015"/>
      <c r="HTL1015"/>
      <c r="HTM1015"/>
      <c r="HTN1015"/>
      <c r="HTO1015"/>
      <c r="HTP1015"/>
      <c r="HTQ1015"/>
      <c r="HTR1015"/>
      <c r="HTS1015"/>
      <c r="HTT1015"/>
      <c r="HTU1015"/>
      <c r="HTV1015"/>
      <c r="HTW1015"/>
      <c r="HTX1015"/>
      <c r="HTY1015"/>
      <c r="HTZ1015"/>
      <c r="HUA1015"/>
      <c r="HUB1015"/>
      <c r="HUC1015"/>
      <c r="HUD1015"/>
      <c r="HUE1015"/>
      <c r="HUF1015"/>
      <c r="HUG1015"/>
      <c r="HUH1015"/>
      <c r="HUI1015"/>
      <c r="HUJ1015"/>
      <c r="HUK1015"/>
      <c r="HUL1015"/>
      <c r="HUM1015"/>
      <c r="HUN1015"/>
      <c r="HUO1015"/>
      <c r="HUP1015"/>
      <c r="HUQ1015"/>
      <c r="HUR1015"/>
      <c r="HUS1015"/>
      <c r="HUT1015"/>
      <c r="HUU1015"/>
      <c r="HUV1015"/>
      <c r="HUW1015"/>
      <c r="HUX1015"/>
      <c r="HUY1015"/>
      <c r="HUZ1015"/>
      <c r="HVA1015"/>
      <c r="HVB1015"/>
      <c r="HVC1015"/>
      <c r="HVD1015"/>
      <c r="HVE1015"/>
      <c r="HVF1015"/>
      <c r="HVG1015"/>
      <c r="HVH1015"/>
      <c r="HVI1015"/>
      <c r="HVJ1015"/>
      <c r="HVK1015"/>
      <c r="HVL1015"/>
      <c r="HVM1015"/>
      <c r="HVN1015"/>
      <c r="HVO1015"/>
      <c r="HVP1015"/>
      <c r="HVQ1015"/>
      <c r="HVR1015"/>
      <c r="HVS1015"/>
      <c r="HVT1015"/>
      <c r="HVU1015"/>
      <c r="HVV1015"/>
      <c r="HVW1015"/>
      <c r="HVX1015"/>
      <c r="HVY1015"/>
      <c r="HVZ1015"/>
      <c r="HWA1015"/>
      <c r="HWB1015"/>
      <c r="HWC1015"/>
      <c r="HWD1015"/>
      <c r="HWE1015"/>
      <c r="HWF1015"/>
      <c r="HWG1015"/>
      <c r="HWH1015"/>
      <c r="HWI1015"/>
      <c r="HWJ1015"/>
      <c r="HWK1015"/>
      <c r="HWL1015"/>
      <c r="HWM1015"/>
      <c r="HWN1015"/>
      <c r="HWO1015"/>
      <c r="HWP1015"/>
      <c r="HWQ1015"/>
      <c r="HWR1015"/>
      <c r="HWS1015"/>
      <c r="HWT1015"/>
      <c r="HWU1015"/>
      <c r="HWV1015"/>
      <c r="HWW1015"/>
      <c r="HWX1015"/>
      <c r="HWY1015"/>
      <c r="HWZ1015"/>
      <c r="HXA1015"/>
      <c r="HXB1015"/>
      <c r="HXC1015"/>
      <c r="HXD1015"/>
      <c r="HXE1015"/>
      <c r="HXF1015"/>
      <c r="HXG1015"/>
      <c r="HXH1015"/>
      <c r="HXI1015"/>
      <c r="HXJ1015"/>
      <c r="HXK1015"/>
      <c r="HXL1015"/>
      <c r="HXM1015"/>
      <c r="HXN1015"/>
      <c r="HXO1015"/>
      <c r="HXP1015"/>
      <c r="HXQ1015"/>
      <c r="HXR1015"/>
      <c r="HXS1015"/>
      <c r="HXT1015"/>
      <c r="HXU1015"/>
      <c r="HXV1015"/>
      <c r="HXW1015"/>
      <c r="HXX1015"/>
      <c r="HXY1015"/>
      <c r="HXZ1015"/>
      <c r="HYA1015"/>
      <c r="HYB1015"/>
      <c r="HYC1015"/>
      <c r="HYD1015"/>
      <c r="HYE1015"/>
      <c r="HYF1015"/>
      <c r="HYG1015"/>
      <c r="HYH1015"/>
      <c r="HYI1015"/>
      <c r="HYJ1015"/>
      <c r="HYK1015"/>
      <c r="HYL1015"/>
      <c r="HYM1015"/>
      <c r="HYN1015"/>
      <c r="HYO1015"/>
      <c r="HYP1015"/>
      <c r="HYQ1015"/>
      <c r="HYR1015"/>
      <c r="HYS1015"/>
      <c r="HYT1015"/>
      <c r="HYU1015"/>
      <c r="HYV1015"/>
      <c r="HYW1015"/>
      <c r="HYX1015"/>
      <c r="HYY1015"/>
      <c r="HYZ1015"/>
      <c r="HZA1015"/>
      <c r="HZB1015"/>
      <c r="HZC1015"/>
      <c r="HZD1015"/>
      <c r="HZE1015"/>
      <c r="HZF1015"/>
      <c r="HZG1015"/>
      <c r="HZH1015"/>
      <c r="HZI1015"/>
      <c r="HZJ1015"/>
      <c r="HZK1015"/>
      <c r="HZL1015"/>
      <c r="HZM1015"/>
      <c r="HZN1015"/>
      <c r="HZO1015"/>
      <c r="HZP1015"/>
      <c r="HZQ1015"/>
      <c r="HZR1015"/>
      <c r="HZS1015"/>
      <c r="HZT1015"/>
      <c r="HZU1015"/>
      <c r="HZV1015"/>
      <c r="HZW1015"/>
      <c r="HZX1015"/>
      <c r="HZY1015"/>
      <c r="HZZ1015"/>
      <c r="IAA1015"/>
      <c r="IAB1015"/>
      <c r="IAC1015"/>
      <c r="IAD1015"/>
      <c r="IAE1015"/>
      <c r="IAF1015"/>
      <c r="IAG1015"/>
      <c r="IAH1015"/>
      <c r="IAI1015"/>
      <c r="IAJ1015"/>
      <c r="IAK1015"/>
      <c r="IAL1015"/>
      <c r="IAM1015"/>
      <c r="IAN1015"/>
      <c r="IAO1015"/>
      <c r="IAP1015"/>
      <c r="IAQ1015"/>
      <c r="IAR1015"/>
      <c r="IAS1015"/>
      <c r="IAT1015"/>
      <c r="IAU1015"/>
      <c r="IAV1015"/>
      <c r="IAW1015"/>
      <c r="IAX1015"/>
      <c r="IAY1015"/>
      <c r="IAZ1015"/>
      <c r="IBA1015"/>
      <c r="IBB1015"/>
      <c r="IBC1015"/>
      <c r="IBD1015"/>
      <c r="IBE1015"/>
      <c r="IBF1015"/>
      <c r="IBG1015"/>
      <c r="IBH1015"/>
      <c r="IBI1015"/>
      <c r="IBJ1015"/>
      <c r="IBK1015"/>
      <c r="IBL1015"/>
      <c r="IBM1015"/>
      <c r="IBN1015"/>
      <c r="IBO1015"/>
      <c r="IBP1015"/>
      <c r="IBQ1015"/>
      <c r="IBR1015"/>
      <c r="IBS1015"/>
      <c r="IBT1015"/>
      <c r="IBU1015"/>
      <c r="IBV1015"/>
      <c r="IBW1015"/>
      <c r="IBX1015"/>
      <c r="IBY1015"/>
      <c r="IBZ1015"/>
      <c r="ICA1015"/>
      <c r="ICB1015"/>
      <c r="ICC1015"/>
      <c r="ICD1015"/>
      <c r="ICE1015"/>
      <c r="ICF1015"/>
      <c r="ICG1015"/>
      <c r="ICH1015"/>
      <c r="ICI1015"/>
      <c r="ICJ1015"/>
      <c r="ICK1015"/>
      <c r="ICL1015"/>
      <c r="ICM1015"/>
      <c r="ICN1015"/>
      <c r="ICO1015"/>
      <c r="ICP1015"/>
      <c r="ICQ1015"/>
      <c r="ICR1015"/>
      <c r="ICS1015"/>
      <c r="ICT1015"/>
      <c r="ICU1015"/>
      <c r="ICV1015"/>
      <c r="ICW1015"/>
      <c r="ICX1015"/>
      <c r="ICY1015"/>
      <c r="ICZ1015"/>
      <c r="IDA1015"/>
      <c r="IDB1015"/>
      <c r="IDC1015"/>
      <c r="IDD1015"/>
      <c r="IDE1015"/>
      <c r="IDF1015"/>
      <c r="IDG1015"/>
      <c r="IDH1015"/>
      <c r="IDI1015"/>
      <c r="IDJ1015"/>
      <c r="IDK1015"/>
      <c r="IDL1015"/>
      <c r="IDM1015"/>
      <c r="IDN1015"/>
      <c r="IDO1015"/>
      <c r="IDP1015"/>
      <c r="IDQ1015"/>
      <c r="IDR1015"/>
      <c r="IDS1015"/>
      <c r="IDT1015"/>
      <c r="IDU1015"/>
      <c r="IDV1015"/>
      <c r="IDW1015"/>
      <c r="IDX1015"/>
      <c r="IDY1015"/>
      <c r="IDZ1015"/>
      <c r="IEA1015"/>
      <c r="IEB1015"/>
      <c r="IEC1015"/>
      <c r="IED1015"/>
      <c r="IEE1015"/>
      <c r="IEF1015"/>
      <c r="IEG1015"/>
      <c r="IEH1015"/>
      <c r="IEI1015"/>
      <c r="IEJ1015"/>
      <c r="IEK1015"/>
      <c r="IEL1015"/>
      <c r="IEM1015"/>
      <c r="IEN1015"/>
      <c r="IEO1015"/>
      <c r="IEP1015"/>
      <c r="IEQ1015"/>
      <c r="IER1015"/>
      <c r="IES1015"/>
      <c r="IET1015"/>
      <c r="IEU1015"/>
      <c r="IEV1015"/>
      <c r="IEW1015"/>
      <c r="IEX1015"/>
      <c r="IEY1015"/>
      <c r="IEZ1015"/>
      <c r="IFA1015"/>
      <c r="IFB1015"/>
      <c r="IFC1015"/>
      <c r="IFD1015"/>
      <c r="IFE1015"/>
      <c r="IFF1015"/>
      <c r="IFG1015"/>
      <c r="IFH1015"/>
      <c r="IFI1015"/>
      <c r="IFJ1015"/>
      <c r="IFK1015"/>
      <c r="IFL1015"/>
      <c r="IFM1015"/>
      <c r="IFN1015"/>
      <c r="IFO1015"/>
      <c r="IFP1015"/>
      <c r="IFQ1015"/>
      <c r="IFR1015"/>
      <c r="IFS1015"/>
      <c r="IFT1015"/>
      <c r="IFU1015"/>
      <c r="IFV1015"/>
      <c r="IFW1015"/>
      <c r="IFX1015"/>
      <c r="IFY1015"/>
      <c r="IFZ1015"/>
      <c r="IGA1015"/>
      <c r="IGB1015"/>
      <c r="IGC1015"/>
      <c r="IGD1015"/>
      <c r="IGE1015"/>
      <c r="IGF1015"/>
      <c r="IGG1015"/>
      <c r="IGH1015"/>
      <c r="IGI1015"/>
      <c r="IGJ1015"/>
      <c r="IGK1015"/>
      <c r="IGL1015"/>
      <c r="IGM1015"/>
      <c r="IGN1015"/>
      <c r="IGO1015"/>
      <c r="IGP1015"/>
      <c r="IGQ1015"/>
      <c r="IGR1015"/>
      <c r="IGS1015"/>
      <c r="IGT1015"/>
      <c r="IGU1015"/>
      <c r="IGV1015"/>
      <c r="IGW1015"/>
      <c r="IGX1015"/>
      <c r="IGY1015"/>
      <c r="IGZ1015"/>
      <c r="IHA1015"/>
      <c r="IHB1015"/>
      <c r="IHC1015"/>
      <c r="IHD1015"/>
      <c r="IHE1015"/>
      <c r="IHF1015"/>
      <c r="IHG1015"/>
      <c r="IHH1015"/>
      <c r="IHI1015"/>
      <c r="IHJ1015"/>
      <c r="IHK1015"/>
      <c r="IHL1015"/>
      <c r="IHM1015"/>
      <c r="IHN1015"/>
      <c r="IHO1015"/>
      <c r="IHP1015"/>
      <c r="IHQ1015"/>
      <c r="IHR1015"/>
      <c r="IHS1015"/>
      <c r="IHT1015"/>
      <c r="IHU1015"/>
      <c r="IHV1015"/>
      <c r="IHW1015"/>
      <c r="IHX1015"/>
      <c r="IHY1015"/>
      <c r="IHZ1015"/>
      <c r="IIA1015"/>
      <c r="IIB1015"/>
      <c r="IIC1015"/>
      <c r="IID1015"/>
      <c r="IIE1015"/>
      <c r="IIF1015"/>
      <c r="IIG1015"/>
      <c r="IIH1015"/>
      <c r="III1015"/>
      <c r="IIJ1015"/>
      <c r="IIK1015"/>
      <c r="IIL1015"/>
      <c r="IIM1015"/>
      <c r="IIN1015"/>
      <c r="IIO1015"/>
      <c r="IIP1015"/>
      <c r="IIQ1015"/>
      <c r="IIR1015"/>
      <c r="IIS1015"/>
      <c r="IIT1015"/>
      <c r="IIU1015"/>
      <c r="IIV1015"/>
      <c r="IIW1015"/>
      <c r="IIX1015"/>
      <c r="IIY1015"/>
      <c r="IIZ1015"/>
      <c r="IJA1015"/>
      <c r="IJB1015"/>
      <c r="IJC1015"/>
      <c r="IJD1015"/>
      <c r="IJE1015"/>
      <c r="IJF1015"/>
      <c r="IJG1015"/>
      <c r="IJH1015"/>
      <c r="IJI1015"/>
      <c r="IJJ1015"/>
      <c r="IJK1015"/>
      <c r="IJL1015"/>
      <c r="IJM1015"/>
      <c r="IJN1015"/>
      <c r="IJO1015"/>
      <c r="IJP1015"/>
      <c r="IJQ1015"/>
      <c r="IJR1015"/>
      <c r="IJS1015"/>
      <c r="IJT1015"/>
      <c r="IJU1015"/>
      <c r="IJV1015"/>
      <c r="IJW1015"/>
      <c r="IJX1015"/>
      <c r="IJY1015"/>
      <c r="IJZ1015"/>
      <c r="IKA1015"/>
      <c r="IKB1015"/>
      <c r="IKC1015"/>
      <c r="IKD1015"/>
      <c r="IKE1015"/>
      <c r="IKF1015"/>
      <c r="IKG1015"/>
      <c r="IKH1015"/>
      <c r="IKI1015"/>
      <c r="IKJ1015"/>
      <c r="IKK1015"/>
      <c r="IKL1015"/>
      <c r="IKM1015"/>
      <c r="IKN1015"/>
      <c r="IKO1015"/>
      <c r="IKP1015"/>
      <c r="IKQ1015"/>
      <c r="IKR1015"/>
      <c r="IKS1015"/>
      <c r="IKT1015"/>
      <c r="IKU1015"/>
      <c r="IKV1015"/>
      <c r="IKW1015"/>
      <c r="IKX1015"/>
      <c r="IKY1015"/>
      <c r="IKZ1015"/>
      <c r="ILA1015"/>
      <c r="ILB1015"/>
      <c r="ILC1015"/>
      <c r="ILD1015"/>
      <c r="ILE1015"/>
      <c r="ILF1015"/>
      <c r="ILG1015"/>
      <c r="ILH1015"/>
      <c r="ILI1015"/>
      <c r="ILJ1015"/>
      <c r="ILK1015"/>
      <c r="ILL1015"/>
      <c r="ILM1015"/>
      <c r="ILN1015"/>
      <c r="ILO1015"/>
      <c r="ILP1015"/>
      <c r="ILQ1015"/>
      <c r="ILR1015"/>
      <c r="ILS1015"/>
      <c r="ILT1015"/>
      <c r="ILU1015"/>
      <c r="ILV1015"/>
      <c r="ILW1015"/>
      <c r="ILX1015"/>
      <c r="ILY1015"/>
      <c r="ILZ1015"/>
      <c r="IMA1015"/>
      <c r="IMB1015"/>
      <c r="IMC1015"/>
      <c r="IMD1015"/>
      <c r="IME1015"/>
      <c r="IMF1015"/>
      <c r="IMG1015"/>
      <c r="IMH1015"/>
      <c r="IMI1015"/>
      <c r="IMJ1015"/>
      <c r="IMK1015"/>
      <c r="IML1015"/>
      <c r="IMM1015"/>
      <c r="IMN1015"/>
      <c r="IMO1015"/>
      <c r="IMP1015"/>
      <c r="IMQ1015"/>
      <c r="IMR1015"/>
      <c r="IMS1015"/>
      <c r="IMT1015"/>
      <c r="IMU1015"/>
      <c r="IMV1015"/>
      <c r="IMW1015"/>
      <c r="IMX1015"/>
      <c r="IMY1015"/>
      <c r="IMZ1015"/>
      <c r="INA1015"/>
      <c r="INB1015"/>
      <c r="INC1015"/>
      <c r="IND1015"/>
      <c r="INE1015"/>
      <c r="INF1015"/>
      <c r="ING1015"/>
      <c r="INH1015"/>
      <c r="INI1015"/>
      <c r="INJ1015"/>
      <c r="INK1015"/>
      <c r="INL1015"/>
      <c r="INM1015"/>
      <c r="INN1015"/>
      <c r="INO1015"/>
      <c r="INP1015"/>
      <c r="INQ1015"/>
      <c r="INR1015"/>
      <c r="INS1015"/>
      <c r="INT1015"/>
      <c r="INU1015"/>
      <c r="INV1015"/>
      <c r="INW1015"/>
      <c r="INX1015"/>
      <c r="INY1015"/>
      <c r="INZ1015"/>
      <c r="IOA1015"/>
      <c r="IOB1015"/>
      <c r="IOC1015"/>
      <c r="IOD1015"/>
      <c r="IOE1015"/>
      <c r="IOF1015"/>
      <c r="IOG1015"/>
      <c r="IOH1015"/>
      <c r="IOI1015"/>
      <c r="IOJ1015"/>
      <c r="IOK1015"/>
      <c r="IOL1015"/>
      <c r="IOM1015"/>
      <c r="ION1015"/>
      <c r="IOO1015"/>
      <c r="IOP1015"/>
      <c r="IOQ1015"/>
      <c r="IOR1015"/>
      <c r="IOS1015"/>
      <c r="IOT1015"/>
      <c r="IOU1015"/>
      <c r="IOV1015"/>
      <c r="IOW1015"/>
      <c r="IOX1015"/>
      <c r="IOY1015"/>
      <c r="IOZ1015"/>
      <c r="IPA1015"/>
      <c r="IPB1015"/>
      <c r="IPC1015"/>
      <c r="IPD1015"/>
      <c r="IPE1015"/>
      <c r="IPF1015"/>
      <c r="IPG1015"/>
      <c r="IPH1015"/>
      <c r="IPI1015"/>
      <c r="IPJ1015"/>
      <c r="IPK1015"/>
      <c r="IPL1015"/>
      <c r="IPM1015"/>
      <c r="IPN1015"/>
      <c r="IPO1015"/>
      <c r="IPP1015"/>
      <c r="IPQ1015"/>
      <c r="IPR1015"/>
      <c r="IPS1015"/>
      <c r="IPT1015"/>
      <c r="IPU1015"/>
      <c r="IPV1015"/>
      <c r="IPW1015"/>
      <c r="IPX1015"/>
      <c r="IPY1015"/>
      <c r="IPZ1015"/>
      <c r="IQA1015"/>
      <c r="IQB1015"/>
      <c r="IQC1015"/>
      <c r="IQD1015"/>
      <c r="IQE1015"/>
      <c r="IQF1015"/>
      <c r="IQG1015"/>
      <c r="IQH1015"/>
      <c r="IQI1015"/>
      <c r="IQJ1015"/>
      <c r="IQK1015"/>
      <c r="IQL1015"/>
      <c r="IQM1015"/>
      <c r="IQN1015"/>
      <c r="IQO1015"/>
      <c r="IQP1015"/>
      <c r="IQQ1015"/>
      <c r="IQR1015"/>
      <c r="IQS1015"/>
      <c r="IQT1015"/>
      <c r="IQU1015"/>
      <c r="IQV1015"/>
      <c r="IQW1015"/>
      <c r="IQX1015"/>
      <c r="IQY1015"/>
      <c r="IQZ1015"/>
      <c r="IRA1015"/>
      <c r="IRB1015"/>
      <c r="IRC1015"/>
      <c r="IRD1015"/>
      <c r="IRE1015"/>
      <c r="IRF1015"/>
      <c r="IRG1015"/>
      <c r="IRH1015"/>
      <c r="IRI1015"/>
      <c r="IRJ1015"/>
      <c r="IRK1015"/>
      <c r="IRL1015"/>
      <c r="IRM1015"/>
      <c r="IRN1015"/>
      <c r="IRO1015"/>
      <c r="IRP1015"/>
      <c r="IRQ1015"/>
      <c r="IRR1015"/>
      <c r="IRS1015"/>
      <c r="IRT1015"/>
      <c r="IRU1015"/>
      <c r="IRV1015"/>
      <c r="IRW1015"/>
      <c r="IRX1015"/>
      <c r="IRY1015"/>
      <c r="IRZ1015"/>
      <c r="ISA1015"/>
      <c r="ISB1015"/>
      <c r="ISC1015"/>
      <c r="ISD1015"/>
      <c r="ISE1015"/>
      <c r="ISF1015"/>
      <c r="ISG1015"/>
      <c r="ISH1015"/>
      <c r="ISI1015"/>
      <c r="ISJ1015"/>
      <c r="ISK1015"/>
      <c r="ISL1015"/>
      <c r="ISM1015"/>
      <c r="ISN1015"/>
      <c r="ISO1015"/>
      <c r="ISP1015"/>
      <c r="ISQ1015"/>
      <c r="ISR1015"/>
      <c r="ISS1015"/>
      <c r="IST1015"/>
      <c r="ISU1015"/>
      <c r="ISV1015"/>
      <c r="ISW1015"/>
      <c r="ISX1015"/>
      <c r="ISY1015"/>
      <c r="ISZ1015"/>
      <c r="ITA1015"/>
      <c r="ITB1015"/>
      <c r="ITC1015"/>
      <c r="ITD1015"/>
      <c r="ITE1015"/>
      <c r="ITF1015"/>
      <c r="ITG1015"/>
      <c r="ITH1015"/>
      <c r="ITI1015"/>
      <c r="ITJ1015"/>
      <c r="ITK1015"/>
      <c r="ITL1015"/>
      <c r="ITM1015"/>
      <c r="ITN1015"/>
      <c r="ITO1015"/>
      <c r="ITP1015"/>
      <c r="ITQ1015"/>
      <c r="ITR1015"/>
      <c r="ITS1015"/>
      <c r="ITT1015"/>
      <c r="ITU1015"/>
      <c r="ITV1015"/>
      <c r="ITW1015"/>
      <c r="ITX1015"/>
      <c r="ITY1015"/>
      <c r="ITZ1015"/>
      <c r="IUA1015"/>
      <c r="IUB1015"/>
      <c r="IUC1015"/>
      <c r="IUD1015"/>
      <c r="IUE1015"/>
      <c r="IUF1015"/>
      <c r="IUG1015"/>
      <c r="IUH1015"/>
      <c r="IUI1015"/>
      <c r="IUJ1015"/>
      <c r="IUK1015"/>
      <c r="IUL1015"/>
      <c r="IUM1015"/>
      <c r="IUN1015"/>
      <c r="IUO1015"/>
      <c r="IUP1015"/>
      <c r="IUQ1015"/>
      <c r="IUR1015"/>
      <c r="IUS1015"/>
      <c r="IUT1015"/>
      <c r="IUU1015"/>
      <c r="IUV1015"/>
      <c r="IUW1015"/>
      <c r="IUX1015"/>
      <c r="IUY1015"/>
      <c r="IUZ1015"/>
      <c r="IVA1015"/>
      <c r="IVB1015"/>
      <c r="IVC1015"/>
      <c r="IVD1015"/>
      <c r="IVE1015"/>
      <c r="IVF1015"/>
      <c r="IVG1015"/>
      <c r="IVH1015"/>
      <c r="IVI1015"/>
      <c r="IVJ1015"/>
      <c r="IVK1015"/>
      <c r="IVL1015"/>
      <c r="IVM1015"/>
      <c r="IVN1015"/>
      <c r="IVO1015"/>
      <c r="IVP1015"/>
      <c r="IVQ1015"/>
      <c r="IVR1015"/>
      <c r="IVS1015"/>
      <c r="IVT1015"/>
      <c r="IVU1015"/>
      <c r="IVV1015"/>
      <c r="IVW1015"/>
      <c r="IVX1015"/>
      <c r="IVY1015"/>
      <c r="IVZ1015"/>
      <c r="IWA1015"/>
      <c r="IWB1015"/>
      <c r="IWC1015"/>
      <c r="IWD1015"/>
      <c r="IWE1015"/>
      <c r="IWF1015"/>
      <c r="IWG1015"/>
      <c r="IWH1015"/>
      <c r="IWI1015"/>
      <c r="IWJ1015"/>
      <c r="IWK1015"/>
      <c r="IWL1015"/>
      <c r="IWM1015"/>
      <c r="IWN1015"/>
      <c r="IWO1015"/>
      <c r="IWP1015"/>
      <c r="IWQ1015"/>
      <c r="IWR1015"/>
      <c r="IWS1015"/>
      <c r="IWT1015"/>
      <c r="IWU1015"/>
      <c r="IWV1015"/>
      <c r="IWW1015"/>
      <c r="IWX1015"/>
      <c r="IWY1015"/>
      <c r="IWZ1015"/>
      <c r="IXA1015"/>
      <c r="IXB1015"/>
      <c r="IXC1015"/>
      <c r="IXD1015"/>
      <c r="IXE1015"/>
      <c r="IXF1015"/>
      <c r="IXG1015"/>
      <c r="IXH1015"/>
      <c r="IXI1015"/>
      <c r="IXJ1015"/>
      <c r="IXK1015"/>
      <c r="IXL1015"/>
      <c r="IXM1015"/>
      <c r="IXN1015"/>
      <c r="IXO1015"/>
      <c r="IXP1015"/>
      <c r="IXQ1015"/>
      <c r="IXR1015"/>
      <c r="IXS1015"/>
      <c r="IXT1015"/>
      <c r="IXU1015"/>
      <c r="IXV1015"/>
      <c r="IXW1015"/>
      <c r="IXX1015"/>
      <c r="IXY1015"/>
      <c r="IXZ1015"/>
      <c r="IYA1015"/>
      <c r="IYB1015"/>
      <c r="IYC1015"/>
      <c r="IYD1015"/>
      <c r="IYE1015"/>
      <c r="IYF1015"/>
      <c r="IYG1015"/>
      <c r="IYH1015"/>
      <c r="IYI1015"/>
      <c r="IYJ1015"/>
      <c r="IYK1015"/>
      <c r="IYL1015"/>
      <c r="IYM1015"/>
      <c r="IYN1015"/>
      <c r="IYO1015"/>
      <c r="IYP1015"/>
      <c r="IYQ1015"/>
      <c r="IYR1015"/>
      <c r="IYS1015"/>
      <c r="IYT1015"/>
      <c r="IYU1015"/>
      <c r="IYV1015"/>
      <c r="IYW1015"/>
      <c r="IYX1015"/>
      <c r="IYY1015"/>
      <c r="IYZ1015"/>
      <c r="IZA1015"/>
      <c r="IZB1015"/>
      <c r="IZC1015"/>
      <c r="IZD1015"/>
      <c r="IZE1015"/>
      <c r="IZF1015"/>
      <c r="IZG1015"/>
      <c r="IZH1015"/>
      <c r="IZI1015"/>
      <c r="IZJ1015"/>
      <c r="IZK1015"/>
      <c r="IZL1015"/>
      <c r="IZM1015"/>
      <c r="IZN1015"/>
      <c r="IZO1015"/>
      <c r="IZP1015"/>
      <c r="IZQ1015"/>
      <c r="IZR1015"/>
      <c r="IZS1015"/>
      <c r="IZT1015"/>
      <c r="IZU1015"/>
      <c r="IZV1015"/>
      <c r="IZW1015"/>
      <c r="IZX1015"/>
      <c r="IZY1015"/>
      <c r="IZZ1015"/>
      <c r="JAA1015"/>
      <c r="JAB1015"/>
      <c r="JAC1015"/>
      <c r="JAD1015"/>
      <c r="JAE1015"/>
      <c r="JAF1015"/>
      <c r="JAG1015"/>
      <c r="JAH1015"/>
      <c r="JAI1015"/>
      <c r="JAJ1015"/>
      <c r="JAK1015"/>
      <c r="JAL1015"/>
      <c r="JAM1015"/>
      <c r="JAN1015"/>
      <c r="JAO1015"/>
      <c r="JAP1015"/>
      <c r="JAQ1015"/>
      <c r="JAR1015"/>
      <c r="JAS1015"/>
      <c r="JAT1015"/>
      <c r="JAU1015"/>
      <c r="JAV1015"/>
      <c r="JAW1015"/>
      <c r="JAX1015"/>
      <c r="JAY1015"/>
      <c r="JAZ1015"/>
      <c r="JBA1015"/>
      <c r="JBB1015"/>
      <c r="JBC1015"/>
      <c r="JBD1015"/>
      <c r="JBE1015"/>
      <c r="JBF1015"/>
      <c r="JBG1015"/>
      <c r="JBH1015"/>
      <c r="JBI1015"/>
      <c r="JBJ1015"/>
      <c r="JBK1015"/>
      <c r="JBL1015"/>
      <c r="JBM1015"/>
      <c r="JBN1015"/>
      <c r="JBO1015"/>
      <c r="JBP1015"/>
      <c r="JBQ1015"/>
      <c r="JBR1015"/>
      <c r="JBS1015"/>
      <c r="JBT1015"/>
      <c r="JBU1015"/>
      <c r="JBV1015"/>
      <c r="JBW1015"/>
      <c r="JBX1015"/>
      <c r="JBY1015"/>
      <c r="JBZ1015"/>
      <c r="JCA1015"/>
      <c r="JCB1015"/>
      <c r="JCC1015"/>
      <c r="JCD1015"/>
      <c r="JCE1015"/>
      <c r="JCF1015"/>
      <c r="JCG1015"/>
      <c r="JCH1015"/>
      <c r="JCI1015"/>
      <c r="JCJ1015"/>
      <c r="JCK1015"/>
      <c r="JCL1015"/>
      <c r="JCM1015"/>
      <c r="JCN1015"/>
      <c r="JCO1015"/>
      <c r="JCP1015"/>
      <c r="JCQ1015"/>
      <c r="JCR1015"/>
      <c r="JCS1015"/>
      <c r="JCT1015"/>
      <c r="JCU1015"/>
      <c r="JCV1015"/>
      <c r="JCW1015"/>
      <c r="JCX1015"/>
      <c r="JCY1015"/>
      <c r="JCZ1015"/>
      <c r="JDA1015"/>
      <c r="JDB1015"/>
      <c r="JDC1015"/>
      <c r="JDD1015"/>
      <c r="JDE1015"/>
      <c r="JDF1015"/>
      <c r="JDG1015"/>
      <c r="JDH1015"/>
      <c r="JDI1015"/>
      <c r="JDJ1015"/>
      <c r="JDK1015"/>
      <c r="JDL1015"/>
      <c r="JDM1015"/>
      <c r="JDN1015"/>
      <c r="JDO1015"/>
      <c r="JDP1015"/>
      <c r="JDQ1015"/>
      <c r="JDR1015"/>
      <c r="JDS1015"/>
      <c r="JDT1015"/>
      <c r="JDU1015"/>
      <c r="JDV1015"/>
      <c r="JDW1015"/>
      <c r="JDX1015"/>
      <c r="JDY1015"/>
      <c r="JDZ1015"/>
      <c r="JEA1015"/>
      <c r="JEB1015"/>
      <c r="JEC1015"/>
      <c r="JED1015"/>
      <c r="JEE1015"/>
      <c r="JEF1015"/>
      <c r="JEG1015"/>
      <c r="JEH1015"/>
      <c r="JEI1015"/>
      <c r="JEJ1015"/>
      <c r="JEK1015"/>
      <c r="JEL1015"/>
      <c r="JEM1015"/>
      <c r="JEN1015"/>
      <c r="JEO1015"/>
      <c r="JEP1015"/>
      <c r="JEQ1015"/>
      <c r="JER1015"/>
      <c r="JES1015"/>
      <c r="JET1015"/>
      <c r="JEU1015"/>
      <c r="JEV1015"/>
      <c r="JEW1015"/>
      <c r="JEX1015"/>
      <c r="JEY1015"/>
      <c r="JEZ1015"/>
      <c r="JFA1015"/>
      <c r="JFB1015"/>
      <c r="JFC1015"/>
      <c r="JFD1015"/>
      <c r="JFE1015"/>
      <c r="JFF1015"/>
      <c r="JFG1015"/>
      <c r="JFH1015"/>
      <c r="JFI1015"/>
      <c r="JFJ1015"/>
      <c r="JFK1015"/>
      <c r="JFL1015"/>
      <c r="JFM1015"/>
      <c r="JFN1015"/>
      <c r="JFO1015"/>
      <c r="JFP1015"/>
      <c r="JFQ1015"/>
      <c r="JFR1015"/>
      <c r="JFS1015"/>
      <c r="JFT1015"/>
      <c r="JFU1015"/>
      <c r="JFV1015"/>
      <c r="JFW1015"/>
      <c r="JFX1015"/>
      <c r="JFY1015"/>
      <c r="JFZ1015"/>
      <c r="JGA1015"/>
      <c r="JGB1015"/>
      <c r="JGC1015"/>
      <c r="JGD1015"/>
      <c r="JGE1015"/>
      <c r="JGF1015"/>
      <c r="JGG1015"/>
      <c r="JGH1015"/>
      <c r="JGI1015"/>
      <c r="JGJ1015"/>
      <c r="JGK1015"/>
      <c r="JGL1015"/>
      <c r="JGM1015"/>
      <c r="JGN1015"/>
      <c r="JGO1015"/>
      <c r="JGP1015"/>
      <c r="JGQ1015"/>
      <c r="JGR1015"/>
      <c r="JGS1015"/>
      <c r="JGT1015"/>
      <c r="JGU1015"/>
      <c r="JGV1015"/>
      <c r="JGW1015"/>
      <c r="JGX1015"/>
      <c r="JGY1015"/>
      <c r="JGZ1015"/>
      <c r="JHA1015"/>
      <c r="JHB1015"/>
      <c r="JHC1015"/>
      <c r="JHD1015"/>
      <c r="JHE1015"/>
      <c r="JHF1015"/>
      <c r="JHG1015"/>
      <c r="JHH1015"/>
      <c r="JHI1015"/>
      <c r="JHJ1015"/>
      <c r="JHK1015"/>
      <c r="JHL1015"/>
      <c r="JHM1015"/>
      <c r="JHN1015"/>
      <c r="JHO1015"/>
      <c r="JHP1015"/>
      <c r="JHQ1015"/>
      <c r="JHR1015"/>
      <c r="JHS1015"/>
      <c r="JHT1015"/>
      <c r="JHU1015"/>
      <c r="JHV1015"/>
      <c r="JHW1015"/>
      <c r="JHX1015"/>
      <c r="JHY1015"/>
      <c r="JHZ1015"/>
      <c r="JIA1015"/>
      <c r="JIB1015"/>
      <c r="JIC1015"/>
      <c r="JID1015"/>
      <c r="JIE1015"/>
      <c r="JIF1015"/>
      <c r="JIG1015"/>
      <c r="JIH1015"/>
      <c r="JII1015"/>
      <c r="JIJ1015"/>
      <c r="JIK1015"/>
      <c r="JIL1015"/>
      <c r="JIM1015"/>
      <c r="JIN1015"/>
      <c r="JIO1015"/>
      <c r="JIP1015"/>
      <c r="JIQ1015"/>
      <c r="JIR1015"/>
      <c r="JIS1015"/>
      <c r="JIT1015"/>
      <c r="JIU1015"/>
      <c r="JIV1015"/>
      <c r="JIW1015"/>
      <c r="JIX1015"/>
      <c r="JIY1015"/>
      <c r="JIZ1015"/>
      <c r="JJA1015"/>
      <c r="JJB1015"/>
      <c r="JJC1015"/>
      <c r="JJD1015"/>
      <c r="JJE1015"/>
      <c r="JJF1015"/>
      <c r="JJG1015"/>
      <c r="JJH1015"/>
      <c r="JJI1015"/>
      <c r="JJJ1015"/>
      <c r="JJK1015"/>
      <c r="JJL1015"/>
      <c r="JJM1015"/>
      <c r="JJN1015"/>
      <c r="JJO1015"/>
      <c r="JJP1015"/>
      <c r="JJQ1015"/>
      <c r="JJR1015"/>
      <c r="JJS1015"/>
      <c r="JJT1015"/>
      <c r="JJU1015"/>
      <c r="JJV1015"/>
      <c r="JJW1015"/>
      <c r="JJX1015"/>
      <c r="JJY1015"/>
      <c r="JJZ1015"/>
      <c r="JKA1015"/>
      <c r="JKB1015"/>
      <c r="JKC1015"/>
      <c r="JKD1015"/>
      <c r="JKE1015"/>
      <c r="JKF1015"/>
      <c r="JKG1015"/>
      <c r="JKH1015"/>
      <c r="JKI1015"/>
      <c r="JKJ1015"/>
      <c r="JKK1015"/>
      <c r="JKL1015"/>
      <c r="JKM1015"/>
      <c r="JKN1015"/>
      <c r="JKO1015"/>
      <c r="JKP1015"/>
      <c r="JKQ1015"/>
      <c r="JKR1015"/>
      <c r="JKS1015"/>
      <c r="JKT1015"/>
      <c r="JKU1015"/>
      <c r="JKV1015"/>
      <c r="JKW1015"/>
      <c r="JKX1015"/>
      <c r="JKY1015"/>
      <c r="JKZ1015"/>
      <c r="JLA1015"/>
      <c r="JLB1015"/>
      <c r="JLC1015"/>
      <c r="JLD1015"/>
      <c r="JLE1015"/>
      <c r="JLF1015"/>
      <c r="JLG1015"/>
      <c r="JLH1015"/>
      <c r="JLI1015"/>
      <c r="JLJ1015"/>
      <c r="JLK1015"/>
      <c r="JLL1015"/>
      <c r="JLM1015"/>
      <c r="JLN1015"/>
      <c r="JLO1015"/>
      <c r="JLP1015"/>
      <c r="JLQ1015"/>
      <c r="JLR1015"/>
      <c r="JLS1015"/>
      <c r="JLT1015"/>
      <c r="JLU1015"/>
      <c r="JLV1015"/>
      <c r="JLW1015"/>
      <c r="JLX1015"/>
      <c r="JLY1015"/>
      <c r="JLZ1015"/>
      <c r="JMA1015"/>
      <c r="JMB1015"/>
      <c r="JMC1015"/>
      <c r="JMD1015"/>
      <c r="JME1015"/>
      <c r="JMF1015"/>
      <c r="JMG1015"/>
      <c r="JMH1015"/>
      <c r="JMI1015"/>
      <c r="JMJ1015"/>
      <c r="JMK1015"/>
      <c r="JML1015"/>
      <c r="JMM1015"/>
      <c r="JMN1015"/>
      <c r="JMO1015"/>
      <c r="JMP1015"/>
      <c r="JMQ1015"/>
      <c r="JMR1015"/>
      <c r="JMS1015"/>
      <c r="JMT1015"/>
      <c r="JMU1015"/>
      <c r="JMV1015"/>
      <c r="JMW1015"/>
      <c r="JMX1015"/>
      <c r="JMY1015"/>
      <c r="JMZ1015"/>
      <c r="JNA1015"/>
      <c r="JNB1015"/>
      <c r="JNC1015"/>
      <c r="JND1015"/>
      <c r="JNE1015"/>
      <c r="JNF1015"/>
      <c r="JNG1015"/>
      <c r="JNH1015"/>
      <c r="JNI1015"/>
      <c r="JNJ1015"/>
      <c r="JNK1015"/>
      <c r="JNL1015"/>
      <c r="JNM1015"/>
      <c r="JNN1015"/>
      <c r="JNO1015"/>
      <c r="JNP1015"/>
      <c r="JNQ1015"/>
      <c r="JNR1015"/>
      <c r="JNS1015"/>
      <c r="JNT1015"/>
      <c r="JNU1015"/>
      <c r="JNV1015"/>
      <c r="JNW1015"/>
      <c r="JNX1015"/>
      <c r="JNY1015"/>
      <c r="JNZ1015"/>
      <c r="JOA1015"/>
      <c r="JOB1015"/>
      <c r="JOC1015"/>
      <c r="JOD1015"/>
      <c r="JOE1015"/>
      <c r="JOF1015"/>
      <c r="JOG1015"/>
      <c r="JOH1015"/>
      <c r="JOI1015"/>
      <c r="JOJ1015"/>
      <c r="JOK1015"/>
      <c r="JOL1015"/>
      <c r="JOM1015"/>
      <c r="JON1015"/>
      <c r="JOO1015"/>
      <c r="JOP1015"/>
      <c r="JOQ1015"/>
      <c r="JOR1015"/>
      <c r="JOS1015"/>
      <c r="JOT1015"/>
      <c r="JOU1015"/>
      <c r="JOV1015"/>
      <c r="JOW1015"/>
      <c r="JOX1015"/>
      <c r="JOY1015"/>
      <c r="JOZ1015"/>
      <c r="JPA1015"/>
      <c r="JPB1015"/>
      <c r="JPC1015"/>
      <c r="JPD1015"/>
      <c r="JPE1015"/>
      <c r="JPF1015"/>
      <c r="JPG1015"/>
      <c r="JPH1015"/>
      <c r="JPI1015"/>
      <c r="JPJ1015"/>
      <c r="JPK1015"/>
      <c r="JPL1015"/>
      <c r="JPM1015"/>
      <c r="JPN1015"/>
      <c r="JPO1015"/>
      <c r="JPP1015"/>
      <c r="JPQ1015"/>
      <c r="JPR1015"/>
      <c r="JPS1015"/>
      <c r="JPT1015"/>
      <c r="JPU1015"/>
      <c r="JPV1015"/>
      <c r="JPW1015"/>
      <c r="JPX1015"/>
      <c r="JPY1015"/>
      <c r="JPZ1015"/>
      <c r="JQA1015"/>
      <c r="JQB1015"/>
      <c r="JQC1015"/>
      <c r="JQD1015"/>
      <c r="JQE1015"/>
      <c r="JQF1015"/>
      <c r="JQG1015"/>
      <c r="JQH1015"/>
      <c r="JQI1015"/>
      <c r="JQJ1015"/>
      <c r="JQK1015"/>
      <c r="JQL1015"/>
      <c r="JQM1015"/>
      <c r="JQN1015"/>
      <c r="JQO1015"/>
      <c r="JQP1015"/>
      <c r="JQQ1015"/>
      <c r="JQR1015"/>
      <c r="JQS1015"/>
      <c r="JQT1015"/>
      <c r="JQU1015"/>
      <c r="JQV1015"/>
      <c r="JQW1015"/>
      <c r="JQX1015"/>
      <c r="JQY1015"/>
      <c r="JQZ1015"/>
      <c r="JRA1015"/>
      <c r="JRB1015"/>
      <c r="JRC1015"/>
      <c r="JRD1015"/>
      <c r="JRE1015"/>
      <c r="JRF1015"/>
      <c r="JRG1015"/>
      <c r="JRH1015"/>
      <c r="JRI1015"/>
      <c r="JRJ1015"/>
      <c r="JRK1015"/>
      <c r="JRL1015"/>
      <c r="JRM1015"/>
      <c r="JRN1015"/>
      <c r="JRO1015"/>
      <c r="JRP1015"/>
      <c r="JRQ1015"/>
      <c r="JRR1015"/>
      <c r="JRS1015"/>
      <c r="JRT1015"/>
      <c r="JRU1015"/>
      <c r="JRV1015"/>
      <c r="JRW1015"/>
      <c r="JRX1015"/>
      <c r="JRY1015"/>
      <c r="JRZ1015"/>
      <c r="JSA1015"/>
      <c r="JSB1015"/>
      <c r="JSC1015"/>
      <c r="JSD1015"/>
      <c r="JSE1015"/>
      <c r="JSF1015"/>
      <c r="JSG1015"/>
      <c r="JSH1015"/>
      <c r="JSI1015"/>
      <c r="JSJ1015"/>
      <c r="JSK1015"/>
      <c r="JSL1015"/>
      <c r="JSM1015"/>
      <c r="JSN1015"/>
      <c r="JSO1015"/>
      <c r="JSP1015"/>
      <c r="JSQ1015"/>
      <c r="JSR1015"/>
      <c r="JSS1015"/>
      <c r="JST1015"/>
      <c r="JSU1015"/>
      <c r="JSV1015"/>
      <c r="JSW1015"/>
      <c r="JSX1015"/>
      <c r="JSY1015"/>
      <c r="JSZ1015"/>
      <c r="JTA1015"/>
      <c r="JTB1015"/>
      <c r="JTC1015"/>
      <c r="JTD1015"/>
      <c r="JTE1015"/>
      <c r="JTF1015"/>
      <c r="JTG1015"/>
      <c r="JTH1015"/>
      <c r="JTI1015"/>
      <c r="JTJ1015"/>
      <c r="JTK1015"/>
      <c r="JTL1015"/>
      <c r="JTM1015"/>
      <c r="JTN1015"/>
      <c r="JTO1015"/>
      <c r="JTP1015"/>
      <c r="JTQ1015"/>
      <c r="JTR1015"/>
      <c r="JTS1015"/>
      <c r="JTT1015"/>
      <c r="JTU1015"/>
      <c r="JTV1015"/>
      <c r="JTW1015"/>
      <c r="JTX1015"/>
      <c r="JTY1015"/>
      <c r="JTZ1015"/>
      <c r="JUA1015"/>
      <c r="JUB1015"/>
      <c r="JUC1015"/>
      <c r="JUD1015"/>
      <c r="JUE1015"/>
      <c r="JUF1015"/>
      <c r="JUG1015"/>
      <c r="JUH1015"/>
      <c r="JUI1015"/>
      <c r="JUJ1015"/>
      <c r="JUK1015"/>
      <c r="JUL1015"/>
      <c r="JUM1015"/>
      <c r="JUN1015"/>
      <c r="JUO1015"/>
      <c r="JUP1015"/>
      <c r="JUQ1015"/>
      <c r="JUR1015"/>
      <c r="JUS1015"/>
      <c r="JUT1015"/>
      <c r="JUU1015"/>
      <c r="JUV1015"/>
      <c r="JUW1015"/>
      <c r="JUX1015"/>
      <c r="JUY1015"/>
      <c r="JUZ1015"/>
      <c r="JVA1015"/>
      <c r="JVB1015"/>
      <c r="JVC1015"/>
      <c r="JVD1015"/>
      <c r="JVE1015"/>
      <c r="JVF1015"/>
      <c r="JVG1015"/>
      <c r="JVH1015"/>
      <c r="JVI1015"/>
      <c r="JVJ1015"/>
      <c r="JVK1015"/>
      <c r="JVL1015"/>
      <c r="JVM1015"/>
      <c r="JVN1015"/>
      <c r="JVO1015"/>
      <c r="JVP1015"/>
      <c r="JVQ1015"/>
      <c r="JVR1015"/>
      <c r="JVS1015"/>
      <c r="JVT1015"/>
      <c r="JVU1015"/>
      <c r="JVV1015"/>
      <c r="JVW1015"/>
      <c r="JVX1015"/>
      <c r="JVY1015"/>
      <c r="JVZ1015"/>
      <c r="JWA1015"/>
      <c r="JWB1015"/>
      <c r="JWC1015"/>
      <c r="JWD1015"/>
      <c r="JWE1015"/>
      <c r="JWF1015"/>
      <c r="JWG1015"/>
      <c r="JWH1015"/>
      <c r="JWI1015"/>
      <c r="JWJ1015"/>
      <c r="JWK1015"/>
      <c r="JWL1015"/>
      <c r="JWM1015"/>
      <c r="JWN1015"/>
      <c r="JWO1015"/>
      <c r="JWP1015"/>
      <c r="JWQ1015"/>
      <c r="JWR1015"/>
      <c r="JWS1015"/>
      <c r="JWT1015"/>
      <c r="JWU1015"/>
      <c r="JWV1015"/>
      <c r="JWW1015"/>
      <c r="JWX1015"/>
      <c r="JWY1015"/>
      <c r="JWZ1015"/>
      <c r="JXA1015"/>
      <c r="JXB1015"/>
      <c r="JXC1015"/>
      <c r="JXD1015"/>
      <c r="JXE1015"/>
      <c r="JXF1015"/>
      <c r="JXG1015"/>
      <c r="JXH1015"/>
      <c r="JXI1015"/>
      <c r="JXJ1015"/>
      <c r="JXK1015"/>
      <c r="JXL1015"/>
      <c r="JXM1015"/>
      <c r="JXN1015"/>
      <c r="JXO1015"/>
      <c r="JXP1015"/>
      <c r="JXQ1015"/>
      <c r="JXR1015"/>
      <c r="JXS1015"/>
      <c r="JXT1015"/>
      <c r="JXU1015"/>
      <c r="JXV1015"/>
      <c r="JXW1015"/>
      <c r="JXX1015"/>
      <c r="JXY1015"/>
      <c r="JXZ1015"/>
      <c r="JYA1015"/>
      <c r="JYB1015"/>
      <c r="JYC1015"/>
      <c r="JYD1015"/>
      <c r="JYE1015"/>
      <c r="JYF1015"/>
      <c r="JYG1015"/>
      <c r="JYH1015"/>
      <c r="JYI1015"/>
      <c r="JYJ1015"/>
      <c r="JYK1015"/>
      <c r="JYL1015"/>
      <c r="JYM1015"/>
      <c r="JYN1015"/>
      <c r="JYO1015"/>
      <c r="JYP1015"/>
      <c r="JYQ1015"/>
      <c r="JYR1015"/>
      <c r="JYS1015"/>
      <c r="JYT1015"/>
      <c r="JYU1015"/>
      <c r="JYV1015"/>
      <c r="JYW1015"/>
      <c r="JYX1015"/>
      <c r="JYY1015"/>
      <c r="JYZ1015"/>
      <c r="JZA1015"/>
      <c r="JZB1015"/>
      <c r="JZC1015"/>
      <c r="JZD1015"/>
      <c r="JZE1015"/>
      <c r="JZF1015"/>
      <c r="JZG1015"/>
      <c r="JZH1015"/>
      <c r="JZI1015"/>
      <c r="JZJ1015"/>
      <c r="JZK1015"/>
      <c r="JZL1015"/>
      <c r="JZM1015"/>
      <c r="JZN1015"/>
      <c r="JZO1015"/>
      <c r="JZP1015"/>
      <c r="JZQ1015"/>
      <c r="JZR1015"/>
      <c r="JZS1015"/>
      <c r="JZT1015"/>
      <c r="JZU1015"/>
      <c r="JZV1015"/>
      <c r="JZW1015"/>
      <c r="JZX1015"/>
      <c r="JZY1015"/>
      <c r="JZZ1015"/>
      <c r="KAA1015"/>
      <c r="KAB1015"/>
      <c r="KAC1015"/>
      <c r="KAD1015"/>
      <c r="KAE1015"/>
      <c r="KAF1015"/>
      <c r="KAG1015"/>
      <c r="KAH1015"/>
      <c r="KAI1015"/>
      <c r="KAJ1015"/>
      <c r="KAK1015"/>
      <c r="KAL1015"/>
      <c r="KAM1015"/>
      <c r="KAN1015"/>
      <c r="KAO1015"/>
      <c r="KAP1015"/>
      <c r="KAQ1015"/>
      <c r="KAR1015"/>
      <c r="KAS1015"/>
      <c r="KAT1015"/>
      <c r="KAU1015"/>
      <c r="KAV1015"/>
      <c r="KAW1015"/>
      <c r="KAX1015"/>
      <c r="KAY1015"/>
      <c r="KAZ1015"/>
      <c r="KBA1015"/>
      <c r="KBB1015"/>
      <c r="KBC1015"/>
      <c r="KBD1015"/>
      <c r="KBE1015"/>
      <c r="KBF1015"/>
      <c r="KBG1015"/>
      <c r="KBH1015"/>
      <c r="KBI1015"/>
      <c r="KBJ1015"/>
      <c r="KBK1015"/>
      <c r="KBL1015"/>
      <c r="KBM1015"/>
      <c r="KBN1015"/>
      <c r="KBO1015"/>
      <c r="KBP1015"/>
      <c r="KBQ1015"/>
      <c r="KBR1015"/>
      <c r="KBS1015"/>
      <c r="KBT1015"/>
      <c r="KBU1015"/>
      <c r="KBV1015"/>
      <c r="KBW1015"/>
      <c r="KBX1015"/>
      <c r="KBY1015"/>
      <c r="KBZ1015"/>
      <c r="KCA1015"/>
      <c r="KCB1015"/>
      <c r="KCC1015"/>
      <c r="KCD1015"/>
      <c r="KCE1015"/>
      <c r="KCF1015"/>
      <c r="KCG1015"/>
      <c r="KCH1015"/>
      <c r="KCI1015"/>
      <c r="KCJ1015"/>
      <c r="KCK1015"/>
      <c r="KCL1015"/>
      <c r="KCM1015"/>
      <c r="KCN1015"/>
      <c r="KCO1015"/>
      <c r="KCP1015"/>
      <c r="KCQ1015"/>
      <c r="KCR1015"/>
      <c r="KCS1015"/>
      <c r="KCT1015"/>
      <c r="KCU1015"/>
      <c r="KCV1015"/>
      <c r="KCW1015"/>
      <c r="KCX1015"/>
      <c r="KCY1015"/>
      <c r="KCZ1015"/>
      <c r="KDA1015"/>
      <c r="KDB1015"/>
      <c r="KDC1015"/>
      <c r="KDD1015"/>
      <c r="KDE1015"/>
      <c r="KDF1015"/>
      <c r="KDG1015"/>
      <c r="KDH1015"/>
      <c r="KDI1015"/>
      <c r="KDJ1015"/>
      <c r="KDK1015"/>
      <c r="KDL1015"/>
      <c r="KDM1015"/>
      <c r="KDN1015"/>
      <c r="KDO1015"/>
      <c r="KDP1015"/>
      <c r="KDQ1015"/>
      <c r="KDR1015"/>
      <c r="KDS1015"/>
      <c r="KDT1015"/>
      <c r="KDU1015"/>
      <c r="KDV1015"/>
      <c r="KDW1015"/>
      <c r="KDX1015"/>
      <c r="KDY1015"/>
      <c r="KDZ1015"/>
      <c r="KEA1015"/>
      <c r="KEB1015"/>
      <c r="KEC1015"/>
      <c r="KED1015"/>
      <c r="KEE1015"/>
      <c r="KEF1015"/>
      <c r="KEG1015"/>
      <c r="KEH1015"/>
      <c r="KEI1015"/>
      <c r="KEJ1015"/>
      <c r="KEK1015"/>
      <c r="KEL1015"/>
      <c r="KEM1015"/>
      <c r="KEN1015"/>
      <c r="KEO1015"/>
      <c r="KEP1015"/>
      <c r="KEQ1015"/>
      <c r="KER1015"/>
      <c r="KES1015"/>
      <c r="KET1015"/>
      <c r="KEU1015"/>
      <c r="KEV1015"/>
      <c r="KEW1015"/>
      <c r="KEX1015"/>
      <c r="KEY1015"/>
      <c r="KEZ1015"/>
      <c r="KFA1015"/>
      <c r="KFB1015"/>
      <c r="KFC1015"/>
      <c r="KFD1015"/>
      <c r="KFE1015"/>
      <c r="KFF1015"/>
      <c r="KFG1015"/>
      <c r="KFH1015"/>
      <c r="KFI1015"/>
      <c r="KFJ1015"/>
      <c r="KFK1015"/>
      <c r="KFL1015"/>
      <c r="KFM1015"/>
      <c r="KFN1015"/>
      <c r="KFO1015"/>
      <c r="KFP1015"/>
      <c r="KFQ1015"/>
      <c r="KFR1015"/>
      <c r="KFS1015"/>
      <c r="KFT1015"/>
      <c r="KFU1015"/>
      <c r="KFV1015"/>
      <c r="KFW1015"/>
      <c r="KFX1015"/>
      <c r="KFY1015"/>
      <c r="KFZ1015"/>
      <c r="KGA1015"/>
      <c r="KGB1015"/>
      <c r="KGC1015"/>
      <c r="KGD1015"/>
      <c r="KGE1015"/>
      <c r="KGF1015"/>
      <c r="KGG1015"/>
      <c r="KGH1015"/>
      <c r="KGI1015"/>
      <c r="KGJ1015"/>
      <c r="KGK1015"/>
      <c r="KGL1015"/>
      <c r="KGM1015"/>
      <c r="KGN1015"/>
      <c r="KGO1015"/>
      <c r="KGP1015"/>
      <c r="KGQ1015"/>
      <c r="KGR1015"/>
      <c r="KGS1015"/>
      <c r="KGT1015"/>
      <c r="KGU1015"/>
      <c r="KGV1015"/>
      <c r="KGW1015"/>
      <c r="KGX1015"/>
      <c r="KGY1015"/>
      <c r="KGZ1015"/>
      <c r="KHA1015"/>
      <c r="KHB1015"/>
      <c r="KHC1015"/>
      <c r="KHD1015"/>
      <c r="KHE1015"/>
      <c r="KHF1015"/>
      <c r="KHG1015"/>
      <c r="KHH1015"/>
      <c r="KHI1015"/>
      <c r="KHJ1015"/>
      <c r="KHK1015"/>
      <c r="KHL1015"/>
      <c r="KHM1015"/>
      <c r="KHN1015"/>
      <c r="KHO1015"/>
      <c r="KHP1015"/>
      <c r="KHQ1015"/>
      <c r="KHR1015"/>
      <c r="KHS1015"/>
      <c r="KHT1015"/>
      <c r="KHU1015"/>
      <c r="KHV1015"/>
      <c r="KHW1015"/>
      <c r="KHX1015"/>
      <c r="KHY1015"/>
      <c r="KHZ1015"/>
      <c r="KIA1015"/>
      <c r="KIB1015"/>
      <c r="KIC1015"/>
      <c r="KID1015"/>
      <c r="KIE1015"/>
      <c r="KIF1015"/>
      <c r="KIG1015"/>
      <c r="KIH1015"/>
      <c r="KII1015"/>
      <c r="KIJ1015"/>
      <c r="KIK1015"/>
      <c r="KIL1015"/>
      <c r="KIM1015"/>
      <c r="KIN1015"/>
      <c r="KIO1015"/>
      <c r="KIP1015"/>
      <c r="KIQ1015"/>
      <c r="KIR1015"/>
      <c r="KIS1015"/>
      <c r="KIT1015"/>
      <c r="KIU1015"/>
      <c r="KIV1015"/>
      <c r="KIW1015"/>
      <c r="KIX1015"/>
      <c r="KIY1015"/>
      <c r="KIZ1015"/>
      <c r="KJA1015"/>
      <c r="KJB1015"/>
      <c r="KJC1015"/>
      <c r="KJD1015"/>
      <c r="KJE1015"/>
      <c r="KJF1015"/>
      <c r="KJG1015"/>
      <c r="KJH1015"/>
      <c r="KJI1015"/>
      <c r="KJJ1015"/>
      <c r="KJK1015"/>
      <c r="KJL1015"/>
      <c r="KJM1015"/>
      <c r="KJN1015"/>
      <c r="KJO1015"/>
      <c r="KJP1015"/>
      <c r="KJQ1015"/>
      <c r="KJR1015"/>
      <c r="KJS1015"/>
      <c r="KJT1015"/>
      <c r="KJU1015"/>
      <c r="KJV1015"/>
      <c r="KJW1015"/>
      <c r="KJX1015"/>
      <c r="KJY1015"/>
      <c r="KJZ1015"/>
      <c r="KKA1015"/>
      <c r="KKB1015"/>
      <c r="KKC1015"/>
      <c r="KKD1015"/>
      <c r="KKE1015"/>
      <c r="KKF1015"/>
      <c r="KKG1015"/>
      <c r="KKH1015"/>
      <c r="KKI1015"/>
      <c r="KKJ1015"/>
      <c r="KKK1015"/>
      <c r="KKL1015"/>
      <c r="KKM1015"/>
      <c r="KKN1015"/>
      <c r="KKO1015"/>
      <c r="KKP1015"/>
      <c r="KKQ1015"/>
      <c r="KKR1015"/>
      <c r="KKS1015"/>
      <c r="KKT1015"/>
      <c r="KKU1015"/>
      <c r="KKV1015"/>
      <c r="KKW1015"/>
      <c r="KKX1015"/>
      <c r="KKY1015"/>
      <c r="KKZ1015"/>
      <c r="KLA1015"/>
      <c r="KLB1015"/>
      <c r="KLC1015"/>
      <c r="KLD1015"/>
      <c r="KLE1015"/>
      <c r="KLF1015"/>
      <c r="KLG1015"/>
      <c r="KLH1015"/>
      <c r="KLI1015"/>
      <c r="KLJ1015"/>
      <c r="KLK1015"/>
      <c r="KLL1015"/>
      <c r="KLM1015"/>
      <c r="KLN1015"/>
      <c r="KLO1015"/>
      <c r="KLP1015"/>
      <c r="KLQ1015"/>
      <c r="KLR1015"/>
      <c r="KLS1015"/>
      <c r="KLT1015"/>
      <c r="KLU1015"/>
      <c r="KLV1015"/>
      <c r="KLW1015"/>
      <c r="KLX1015"/>
      <c r="KLY1015"/>
      <c r="KLZ1015"/>
      <c r="KMA1015"/>
      <c r="KMB1015"/>
      <c r="KMC1015"/>
      <c r="KMD1015"/>
      <c r="KME1015"/>
      <c r="KMF1015"/>
      <c r="KMG1015"/>
      <c r="KMH1015"/>
      <c r="KMI1015"/>
      <c r="KMJ1015"/>
      <c r="KMK1015"/>
      <c r="KML1015"/>
      <c r="KMM1015"/>
      <c r="KMN1015"/>
      <c r="KMO1015"/>
      <c r="KMP1015"/>
      <c r="KMQ1015"/>
      <c r="KMR1015"/>
      <c r="KMS1015"/>
      <c r="KMT1015"/>
      <c r="KMU1015"/>
      <c r="KMV1015"/>
      <c r="KMW1015"/>
      <c r="KMX1015"/>
      <c r="KMY1015"/>
      <c r="KMZ1015"/>
      <c r="KNA1015"/>
      <c r="KNB1015"/>
      <c r="KNC1015"/>
      <c r="KND1015"/>
      <c r="KNE1015"/>
      <c r="KNF1015"/>
      <c r="KNG1015"/>
      <c r="KNH1015"/>
      <c r="KNI1015"/>
      <c r="KNJ1015"/>
      <c r="KNK1015"/>
      <c r="KNL1015"/>
      <c r="KNM1015"/>
      <c r="KNN1015"/>
      <c r="KNO1015"/>
      <c r="KNP1015"/>
      <c r="KNQ1015"/>
      <c r="KNR1015"/>
      <c r="KNS1015"/>
      <c r="KNT1015"/>
      <c r="KNU1015"/>
      <c r="KNV1015"/>
      <c r="KNW1015"/>
      <c r="KNX1015"/>
      <c r="KNY1015"/>
      <c r="KNZ1015"/>
      <c r="KOA1015"/>
      <c r="KOB1015"/>
      <c r="KOC1015"/>
      <c r="KOD1015"/>
      <c r="KOE1015"/>
      <c r="KOF1015"/>
      <c r="KOG1015"/>
      <c r="KOH1015"/>
      <c r="KOI1015"/>
      <c r="KOJ1015"/>
      <c r="KOK1015"/>
      <c r="KOL1015"/>
      <c r="KOM1015"/>
      <c r="KON1015"/>
      <c r="KOO1015"/>
      <c r="KOP1015"/>
      <c r="KOQ1015"/>
      <c r="KOR1015"/>
      <c r="KOS1015"/>
      <c r="KOT1015"/>
      <c r="KOU1015"/>
      <c r="KOV1015"/>
      <c r="KOW1015"/>
      <c r="KOX1015"/>
      <c r="KOY1015"/>
      <c r="KOZ1015"/>
      <c r="KPA1015"/>
      <c r="KPB1015"/>
      <c r="KPC1015"/>
      <c r="KPD1015"/>
      <c r="KPE1015"/>
      <c r="KPF1015"/>
      <c r="KPG1015"/>
      <c r="KPH1015"/>
      <c r="KPI1015"/>
      <c r="KPJ1015"/>
      <c r="KPK1015"/>
      <c r="KPL1015"/>
      <c r="KPM1015"/>
      <c r="KPN1015"/>
      <c r="KPO1015"/>
      <c r="KPP1015"/>
      <c r="KPQ1015"/>
      <c r="KPR1015"/>
      <c r="KPS1015"/>
      <c r="KPT1015"/>
      <c r="KPU1015"/>
      <c r="KPV1015"/>
      <c r="KPW1015"/>
      <c r="KPX1015"/>
      <c r="KPY1015"/>
      <c r="KPZ1015"/>
      <c r="KQA1015"/>
      <c r="KQB1015"/>
      <c r="KQC1015"/>
      <c r="KQD1015"/>
      <c r="KQE1015"/>
      <c r="KQF1015"/>
      <c r="KQG1015"/>
      <c r="KQH1015"/>
      <c r="KQI1015"/>
      <c r="KQJ1015"/>
      <c r="KQK1015"/>
      <c r="KQL1015"/>
      <c r="KQM1015"/>
      <c r="KQN1015"/>
      <c r="KQO1015"/>
      <c r="KQP1015"/>
      <c r="KQQ1015"/>
      <c r="KQR1015"/>
      <c r="KQS1015"/>
      <c r="KQT1015"/>
      <c r="KQU1015"/>
      <c r="KQV1015"/>
      <c r="KQW1015"/>
      <c r="KQX1015"/>
      <c r="KQY1015"/>
      <c r="KQZ1015"/>
      <c r="KRA1015"/>
      <c r="KRB1015"/>
      <c r="KRC1015"/>
      <c r="KRD1015"/>
      <c r="KRE1015"/>
      <c r="KRF1015"/>
      <c r="KRG1015"/>
      <c r="KRH1015"/>
      <c r="KRI1015"/>
      <c r="KRJ1015"/>
      <c r="KRK1015"/>
      <c r="KRL1015"/>
      <c r="KRM1015"/>
      <c r="KRN1015"/>
      <c r="KRO1015"/>
      <c r="KRP1015"/>
      <c r="KRQ1015"/>
      <c r="KRR1015"/>
      <c r="KRS1015"/>
      <c r="KRT1015"/>
      <c r="KRU1015"/>
      <c r="KRV1015"/>
      <c r="KRW1015"/>
      <c r="KRX1015"/>
      <c r="KRY1015"/>
      <c r="KRZ1015"/>
      <c r="KSA1015"/>
      <c r="KSB1015"/>
      <c r="KSC1015"/>
      <c r="KSD1015"/>
      <c r="KSE1015"/>
      <c r="KSF1015"/>
      <c r="KSG1015"/>
      <c r="KSH1015"/>
      <c r="KSI1015"/>
      <c r="KSJ1015"/>
      <c r="KSK1015"/>
      <c r="KSL1015"/>
      <c r="KSM1015"/>
      <c r="KSN1015"/>
      <c r="KSO1015"/>
      <c r="KSP1015"/>
      <c r="KSQ1015"/>
      <c r="KSR1015"/>
      <c r="KSS1015"/>
      <c r="KST1015"/>
      <c r="KSU1015"/>
      <c r="KSV1015"/>
      <c r="KSW1015"/>
      <c r="KSX1015"/>
      <c r="KSY1015"/>
      <c r="KSZ1015"/>
      <c r="KTA1015"/>
      <c r="KTB1015"/>
      <c r="KTC1015"/>
      <c r="KTD1015"/>
      <c r="KTE1015"/>
      <c r="KTF1015"/>
      <c r="KTG1015"/>
      <c r="KTH1015"/>
      <c r="KTI1015"/>
      <c r="KTJ1015"/>
      <c r="KTK1015"/>
      <c r="KTL1015"/>
      <c r="KTM1015"/>
      <c r="KTN1015"/>
      <c r="KTO1015"/>
      <c r="KTP1015"/>
      <c r="KTQ1015"/>
      <c r="KTR1015"/>
      <c r="KTS1015"/>
      <c r="KTT1015"/>
      <c r="KTU1015"/>
      <c r="KTV1015"/>
      <c r="KTW1015"/>
      <c r="KTX1015"/>
      <c r="KTY1015"/>
      <c r="KTZ1015"/>
      <c r="KUA1015"/>
      <c r="KUB1015"/>
      <c r="KUC1015"/>
      <c r="KUD1015"/>
      <c r="KUE1015"/>
      <c r="KUF1015"/>
      <c r="KUG1015"/>
      <c r="KUH1015"/>
      <c r="KUI1015"/>
      <c r="KUJ1015"/>
      <c r="KUK1015"/>
      <c r="KUL1015"/>
      <c r="KUM1015"/>
      <c r="KUN1015"/>
      <c r="KUO1015"/>
      <c r="KUP1015"/>
      <c r="KUQ1015"/>
      <c r="KUR1015"/>
      <c r="KUS1015"/>
      <c r="KUT1015"/>
      <c r="KUU1015"/>
      <c r="KUV1015"/>
      <c r="KUW1015"/>
      <c r="KUX1015"/>
      <c r="KUY1015"/>
      <c r="KUZ1015"/>
      <c r="KVA1015"/>
      <c r="KVB1015"/>
      <c r="KVC1015"/>
      <c r="KVD1015"/>
      <c r="KVE1015"/>
      <c r="KVF1015"/>
      <c r="KVG1015"/>
      <c r="KVH1015"/>
      <c r="KVI1015"/>
      <c r="KVJ1015"/>
      <c r="KVK1015"/>
      <c r="KVL1015"/>
      <c r="KVM1015"/>
      <c r="KVN1015"/>
      <c r="KVO1015"/>
      <c r="KVP1015"/>
      <c r="KVQ1015"/>
      <c r="KVR1015"/>
      <c r="KVS1015"/>
      <c r="KVT1015"/>
      <c r="KVU1015"/>
      <c r="KVV1015"/>
      <c r="KVW1015"/>
      <c r="KVX1015"/>
      <c r="KVY1015"/>
      <c r="KVZ1015"/>
      <c r="KWA1015"/>
      <c r="KWB1015"/>
      <c r="KWC1015"/>
      <c r="KWD1015"/>
      <c r="KWE1015"/>
      <c r="KWF1015"/>
      <c r="KWG1015"/>
      <c r="KWH1015"/>
      <c r="KWI1015"/>
      <c r="KWJ1015"/>
      <c r="KWK1015"/>
      <c r="KWL1015"/>
      <c r="KWM1015"/>
      <c r="KWN1015"/>
      <c r="KWO1015"/>
      <c r="KWP1015"/>
      <c r="KWQ1015"/>
      <c r="KWR1015"/>
      <c r="KWS1015"/>
      <c r="KWT1015"/>
      <c r="KWU1015"/>
      <c r="KWV1015"/>
      <c r="KWW1015"/>
      <c r="KWX1015"/>
      <c r="KWY1015"/>
      <c r="KWZ1015"/>
      <c r="KXA1015"/>
      <c r="KXB1015"/>
      <c r="KXC1015"/>
      <c r="KXD1015"/>
      <c r="KXE1015"/>
      <c r="KXF1015"/>
      <c r="KXG1015"/>
      <c r="KXH1015"/>
      <c r="KXI1015"/>
      <c r="KXJ1015"/>
      <c r="KXK1015"/>
      <c r="KXL1015"/>
      <c r="KXM1015"/>
      <c r="KXN1015"/>
      <c r="KXO1015"/>
      <c r="KXP1015"/>
      <c r="KXQ1015"/>
      <c r="KXR1015"/>
      <c r="KXS1015"/>
      <c r="KXT1015"/>
      <c r="KXU1015"/>
      <c r="KXV1015"/>
      <c r="KXW1015"/>
      <c r="KXX1015"/>
      <c r="KXY1015"/>
      <c r="KXZ1015"/>
      <c r="KYA1015"/>
      <c r="KYB1015"/>
      <c r="KYC1015"/>
      <c r="KYD1015"/>
      <c r="KYE1015"/>
      <c r="KYF1015"/>
      <c r="KYG1015"/>
      <c r="KYH1015"/>
      <c r="KYI1015"/>
      <c r="KYJ1015"/>
      <c r="KYK1015"/>
      <c r="KYL1015"/>
      <c r="KYM1015"/>
      <c r="KYN1015"/>
      <c r="KYO1015"/>
      <c r="KYP1015"/>
      <c r="KYQ1015"/>
      <c r="KYR1015"/>
      <c r="KYS1015"/>
      <c r="KYT1015"/>
      <c r="KYU1015"/>
      <c r="KYV1015"/>
      <c r="KYW1015"/>
      <c r="KYX1015"/>
      <c r="KYY1015"/>
      <c r="KYZ1015"/>
      <c r="KZA1015"/>
      <c r="KZB1015"/>
      <c r="KZC1015"/>
      <c r="KZD1015"/>
      <c r="KZE1015"/>
      <c r="KZF1015"/>
      <c r="KZG1015"/>
      <c r="KZH1015"/>
      <c r="KZI1015"/>
      <c r="KZJ1015"/>
      <c r="KZK1015"/>
      <c r="KZL1015"/>
      <c r="KZM1015"/>
      <c r="KZN1015"/>
      <c r="KZO1015"/>
      <c r="KZP1015"/>
      <c r="KZQ1015"/>
      <c r="KZR1015"/>
      <c r="KZS1015"/>
      <c r="KZT1015"/>
      <c r="KZU1015"/>
      <c r="KZV1015"/>
      <c r="KZW1015"/>
      <c r="KZX1015"/>
      <c r="KZY1015"/>
      <c r="KZZ1015"/>
      <c r="LAA1015"/>
      <c r="LAB1015"/>
      <c r="LAC1015"/>
      <c r="LAD1015"/>
      <c r="LAE1015"/>
      <c r="LAF1015"/>
      <c r="LAG1015"/>
      <c r="LAH1015"/>
      <c r="LAI1015"/>
      <c r="LAJ1015"/>
      <c r="LAK1015"/>
      <c r="LAL1015"/>
      <c r="LAM1015"/>
      <c r="LAN1015"/>
      <c r="LAO1015"/>
      <c r="LAP1015"/>
      <c r="LAQ1015"/>
      <c r="LAR1015"/>
      <c r="LAS1015"/>
      <c r="LAT1015"/>
      <c r="LAU1015"/>
      <c r="LAV1015"/>
      <c r="LAW1015"/>
      <c r="LAX1015"/>
      <c r="LAY1015"/>
      <c r="LAZ1015"/>
      <c r="LBA1015"/>
      <c r="LBB1015"/>
      <c r="LBC1015"/>
      <c r="LBD1015"/>
      <c r="LBE1015"/>
      <c r="LBF1015"/>
      <c r="LBG1015"/>
      <c r="LBH1015"/>
      <c r="LBI1015"/>
      <c r="LBJ1015"/>
      <c r="LBK1015"/>
      <c r="LBL1015"/>
      <c r="LBM1015"/>
      <c r="LBN1015"/>
      <c r="LBO1015"/>
      <c r="LBP1015"/>
      <c r="LBQ1015"/>
      <c r="LBR1015"/>
      <c r="LBS1015"/>
      <c r="LBT1015"/>
      <c r="LBU1015"/>
      <c r="LBV1015"/>
      <c r="LBW1015"/>
      <c r="LBX1015"/>
      <c r="LBY1015"/>
      <c r="LBZ1015"/>
      <c r="LCA1015"/>
      <c r="LCB1015"/>
      <c r="LCC1015"/>
      <c r="LCD1015"/>
      <c r="LCE1015"/>
      <c r="LCF1015"/>
      <c r="LCG1015"/>
      <c r="LCH1015"/>
      <c r="LCI1015"/>
      <c r="LCJ1015"/>
      <c r="LCK1015"/>
      <c r="LCL1015"/>
      <c r="LCM1015"/>
      <c r="LCN1015"/>
      <c r="LCO1015"/>
      <c r="LCP1015"/>
      <c r="LCQ1015"/>
      <c r="LCR1015"/>
      <c r="LCS1015"/>
      <c r="LCT1015"/>
      <c r="LCU1015"/>
      <c r="LCV1015"/>
      <c r="LCW1015"/>
      <c r="LCX1015"/>
      <c r="LCY1015"/>
      <c r="LCZ1015"/>
      <c r="LDA1015"/>
      <c r="LDB1015"/>
      <c r="LDC1015"/>
      <c r="LDD1015"/>
      <c r="LDE1015"/>
      <c r="LDF1015"/>
      <c r="LDG1015"/>
      <c r="LDH1015"/>
      <c r="LDI1015"/>
      <c r="LDJ1015"/>
      <c r="LDK1015"/>
      <c r="LDL1015"/>
      <c r="LDM1015"/>
      <c r="LDN1015"/>
      <c r="LDO1015"/>
      <c r="LDP1015"/>
      <c r="LDQ1015"/>
      <c r="LDR1015"/>
      <c r="LDS1015"/>
      <c r="LDT1015"/>
      <c r="LDU1015"/>
      <c r="LDV1015"/>
      <c r="LDW1015"/>
      <c r="LDX1015"/>
      <c r="LDY1015"/>
      <c r="LDZ1015"/>
      <c r="LEA1015"/>
      <c r="LEB1015"/>
      <c r="LEC1015"/>
      <c r="LED1015"/>
      <c r="LEE1015"/>
      <c r="LEF1015"/>
      <c r="LEG1015"/>
      <c r="LEH1015"/>
      <c r="LEI1015"/>
      <c r="LEJ1015"/>
      <c r="LEK1015"/>
      <c r="LEL1015"/>
      <c r="LEM1015"/>
      <c r="LEN1015"/>
      <c r="LEO1015"/>
      <c r="LEP1015"/>
      <c r="LEQ1015"/>
      <c r="LER1015"/>
      <c r="LES1015"/>
      <c r="LET1015"/>
      <c r="LEU1015"/>
      <c r="LEV1015"/>
      <c r="LEW1015"/>
      <c r="LEX1015"/>
      <c r="LEY1015"/>
      <c r="LEZ1015"/>
      <c r="LFA1015"/>
      <c r="LFB1015"/>
      <c r="LFC1015"/>
      <c r="LFD1015"/>
      <c r="LFE1015"/>
      <c r="LFF1015"/>
      <c r="LFG1015"/>
      <c r="LFH1015"/>
      <c r="LFI1015"/>
      <c r="LFJ1015"/>
      <c r="LFK1015"/>
      <c r="LFL1015"/>
      <c r="LFM1015"/>
      <c r="LFN1015"/>
      <c r="LFO1015"/>
      <c r="LFP1015"/>
      <c r="LFQ1015"/>
      <c r="LFR1015"/>
      <c r="LFS1015"/>
      <c r="LFT1015"/>
      <c r="LFU1015"/>
      <c r="LFV1015"/>
      <c r="LFW1015"/>
      <c r="LFX1015"/>
      <c r="LFY1015"/>
      <c r="LFZ1015"/>
      <c r="LGA1015"/>
      <c r="LGB1015"/>
      <c r="LGC1015"/>
      <c r="LGD1015"/>
      <c r="LGE1015"/>
      <c r="LGF1015"/>
      <c r="LGG1015"/>
      <c r="LGH1015"/>
      <c r="LGI1015"/>
      <c r="LGJ1015"/>
      <c r="LGK1015"/>
      <c r="LGL1015"/>
      <c r="LGM1015"/>
      <c r="LGN1015"/>
      <c r="LGO1015"/>
      <c r="LGP1015"/>
      <c r="LGQ1015"/>
      <c r="LGR1015"/>
      <c r="LGS1015"/>
      <c r="LGT1015"/>
      <c r="LGU1015"/>
      <c r="LGV1015"/>
      <c r="LGW1015"/>
      <c r="LGX1015"/>
      <c r="LGY1015"/>
      <c r="LGZ1015"/>
      <c r="LHA1015"/>
      <c r="LHB1015"/>
      <c r="LHC1015"/>
      <c r="LHD1015"/>
      <c r="LHE1015"/>
      <c r="LHF1015"/>
      <c r="LHG1015"/>
      <c r="LHH1015"/>
      <c r="LHI1015"/>
      <c r="LHJ1015"/>
      <c r="LHK1015"/>
      <c r="LHL1015"/>
      <c r="LHM1015"/>
      <c r="LHN1015"/>
      <c r="LHO1015"/>
      <c r="LHP1015"/>
      <c r="LHQ1015"/>
      <c r="LHR1015"/>
      <c r="LHS1015"/>
      <c r="LHT1015"/>
      <c r="LHU1015"/>
      <c r="LHV1015"/>
      <c r="LHW1015"/>
      <c r="LHX1015"/>
      <c r="LHY1015"/>
      <c r="LHZ1015"/>
      <c r="LIA1015"/>
      <c r="LIB1015"/>
      <c r="LIC1015"/>
      <c r="LID1015"/>
      <c r="LIE1015"/>
      <c r="LIF1015"/>
      <c r="LIG1015"/>
      <c r="LIH1015"/>
      <c r="LII1015"/>
      <c r="LIJ1015"/>
      <c r="LIK1015"/>
      <c r="LIL1015"/>
      <c r="LIM1015"/>
      <c r="LIN1015"/>
      <c r="LIO1015"/>
      <c r="LIP1015"/>
      <c r="LIQ1015"/>
      <c r="LIR1015"/>
      <c r="LIS1015"/>
      <c r="LIT1015"/>
      <c r="LIU1015"/>
      <c r="LIV1015"/>
      <c r="LIW1015"/>
      <c r="LIX1015"/>
      <c r="LIY1015"/>
      <c r="LIZ1015"/>
      <c r="LJA1015"/>
      <c r="LJB1015"/>
      <c r="LJC1015"/>
      <c r="LJD1015"/>
      <c r="LJE1015"/>
      <c r="LJF1015"/>
      <c r="LJG1015"/>
      <c r="LJH1015"/>
      <c r="LJI1015"/>
      <c r="LJJ1015"/>
      <c r="LJK1015"/>
      <c r="LJL1015"/>
      <c r="LJM1015"/>
      <c r="LJN1015"/>
      <c r="LJO1015"/>
      <c r="LJP1015"/>
      <c r="LJQ1015"/>
      <c r="LJR1015"/>
      <c r="LJS1015"/>
      <c r="LJT1015"/>
      <c r="LJU1015"/>
      <c r="LJV1015"/>
      <c r="LJW1015"/>
      <c r="LJX1015"/>
      <c r="LJY1015"/>
      <c r="LJZ1015"/>
      <c r="LKA1015"/>
      <c r="LKB1015"/>
      <c r="LKC1015"/>
      <c r="LKD1015"/>
      <c r="LKE1015"/>
      <c r="LKF1015"/>
      <c r="LKG1015"/>
      <c r="LKH1015"/>
      <c r="LKI1015"/>
      <c r="LKJ1015"/>
      <c r="LKK1015"/>
      <c r="LKL1015"/>
      <c r="LKM1015"/>
      <c r="LKN1015"/>
      <c r="LKO1015"/>
      <c r="LKP1015"/>
      <c r="LKQ1015"/>
      <c r="LKR1015"/>
      <c r="LKS1015"/>
      <c r="LKT1015"/>
      <c r="LKU1015"/>
      <c r="LKV1015"/>
      <c r="LKW1015"/>
      <c r="LKX1015"/>
      <c r="LKY1015"/>
      <c r="LKZ1015"/>
      <c r="LLA1015"/>
      <c r="LLB1015"/>
      <c r="LLC1015"/>
      <c r="LLD1015"/>
      <c r="LLE1015"/>
      <c r="LLF1015"/>
      <c r="LLG1015"/>
      <c r="LLH1015"/>
      <c r="LLI1015"/>
      <c r="LLJ1015"/>
      <c r="LLK1015"/>
      <c r="LLL1015"/>
      <c r="LLM1015"/>
      <c r="LLN1015"/>
      <c r="LLO1015"/>
      <c r="LLP1015"/>
      <c r="LLQ1015"/>
      <c r="LLR1015"/>
      <c r="LLS1015"/>
      <c r="LLT1015"/>
      <c r="LLU1015"/>
      <c r="LLV1015"/>
      <c r="LLW1015"/>
      <c r="LLX1015"/>
      <c r="LLY1015"/>
      <c r="LLZ1015"/>
      <c r="LMA1015"/>
      <c r="LMB1015"/>
      <c r="LMC1015"/>
      <c r="LMD1015"/>
      <c r="LME1015"/>
      <c r="LMF1015"/>
      <c r="LMG1015"/>
      <c r="LMH1015"/>
      <c r="LMI1015"/>
      <c r="LMJ1015"/>
      <c r="LMK1015"/>
      <c r="LML1015"/>
      <c r="LMM1015"/>
      <c r="LMN1015"/>
      <c r="LMO1015"/>
      <c r="LMP1015"/>
      <c r="LMQ1015"/>
      <c r="LMR1015"/>
      <c r="LMS1015"/>
      <c r="LMT1015"/>
      <c r="LMU1015"/>
      <c r="LMV1015"/>
      <c r="LMW1015"/>
      <c r="LMX1015"/>
      <c r="LMY1015"/>
      <c r="LMZ1015"/>
      <c r="LNA1015"/>
      <c r="LNB1015"/>
      <c r="LNC1015"/>
      <c r="LND1015"/>
      <c r="LNE1015"/>
      <c r="LNF1015"/>
      <c r="LNG1015"/>
      <c r="LNH1015"/>
      <c r="LNI1015"/>
      <c r="LNJ1015"/>
      <c r="LNK1015"/>
      <c r="LNL1015"/>
      <c r="LNM1015"/>
      <c r="LNN1015"/>
      <c r="LNO1015"/>
      <c r="LNP1015"/>
      <c r="LNQ1015"/>
      <c r="LNR1015"/>
      <c r="LNS1015"/>
      <c r="LNT1015"/>
      <c r="LNU1015"/>
      <c r="LNV1015"/>
      <c r="LNW1015"/>
      <c r="LNX1015"/>
      <c r="LNY1015"/>
      <c r="LNZ1015"/>
      <c r="LOA1015"/>
      <c r="LOB1015"/>
      <c r="LOC1015"/>
      <c r="LOD1015"/>
      <c r="LOE1015"/>
      <c r="LOF1015"/>
      <c r="LOG1015"/>
      <c r="LOH1015"/>
      <c r="LOI1015"/>
      <c r="LOJ1015"/>
      <c r="LOK1015"/>
      <c r="LOL1015"/>
      <c r="LOM1015"/>
      <c r="LON1015"/>
      <c r="LOO1015"/>
      <c r="LOP1015"/>
      <c r="LOQ1015"/>
      <c r="LOR1015"/>
      <c r="LOS1015"/>
      <c r="LOT1015"/>
      <c r="LOU1015"/>
      <c r="LOV1015"/>
      <c r="LOW1015"/>
      <c r="LOX1015"/>
      <c r="LOY1015"/>
      <c r="LOZ1015"/>
      <c r="LPA1015"/>
      <c r="LPB1015"/>
      <c r="LPC1015"/>
      <c r="LPD1015"/>
      <c r="LPE1015"/>
      <c r="LPF1015"/>
      <c r="LPG1015"/>
      <c r="LPH1015"/>
      <c r="LPI1015"/>
      <c r="LPJ1015"/>
      <c r="LPK1015"/>
      <c r="LPL1015"/>
      <c r="LPM1015"/>
      <c r="LPN1015"/>
      <c r="LPO1015"/>
      <c r="LPP1015"/>
      <c r="LPQ1015"/>
      <c r="LPR1015"/>
      <c r="LPS1015"/>
      <c r="LPT1015"/>
      <c r="LPU1015"/>
      <c r="LPV1015"/>
      <c r="LPW1015"/>
      <c r="LPX1015"/>
      <c r="LPY1015"/>
      <c r="LPZ1015"/>
      <c r="LQA1015"/>
      <c r="LQB1015"/>
      <c r="LQC1015"/>
      <c r="LQD1015"/>
      <c r="LQE1015"/>
      <c r="LQF1015"/>
      <c r="LQG1015"/>
      <c r="LQH1015"/>
      <c r="LQI1015"/>
      <c r="LQJ1015"/>
      <c r="LQK1015"/>
      <c r="LQL1015"/>
      <c r="LQM1015"/>
      <c r="LQN1015"/>
      <c r="LQO1015"/>
      <c r="LQP1015"/>
      <c r="LQQ1015"/>
      <c r="LQR1015"/>
      <c r="LQS1015"/>
      <c r="LQT1015"/>
      <c r="LQU1015"/>
      <c r="LQV1015"/>
      <c r="LQW1015"/>
      <c r="LQX1015"/>
      <c r="LQY1015"/>
      <c r="LQZ1015"/>
      <c r="LRA1015"/>
      <c r="LRB1015"/>
      <c r="LRC1015"/>
      <c r="LRD1015"/>
      <c r="LRE1015"/>
      <c r="LRF1015"/>
      <c r="LRG1015"/>
      <c r="LRH1015"/>
      <c r="LRI1015"/>
      <c r="LRJ1015"/>
      <c r="LRK1015"/>
      <c r="LRL1015"/>
      <c r="LRM1015"/>
      <c r="LRN1015"/>
      <c r="LRO1015"/>
      <c r="LRP1015"/>
      <c r="LRQ1015"/>
      <c r="LRR1015"/>
      <c r="LRS1015"/>
      <c r="LRT1015"/>
      <c r="LRU1015"/>
      <c r="LRV1015"/>
      <c r="LRW1015"/>
      <c r="LRX1015"/>
      <c r="LRY1015"/>
      <c r="LRZ1015"/>
      <c r="LSA1015"/>
      <c r="LSB1015"/>
      <c r="LSC1015"/>
      <c r="LSD1015"/>
      <c r="LSE1015"/>
      <c r="LSF1015"/>
      <c r="LSG1015"/>
      <c r="LSH1015"/>
      <c r="LSI1015"/>
      <c r="LSJ1015"/>
      <c r="LSK1015"/>
      <c r="LSL1015"/>
      <c r="LSM1015"/>
      <c r="LSN1015"/>
      <c r="LSO1015"/>
      <c r="LSP1015"/>
      <c r="LSQ1015"/>
      <c r="LSR1015"/>
      <c r="LSS1015"/>
      <c r="LST1015"/>
      <c r="LSU1015"/>
      <c r="LSV1015"/>
      <c r="LSW1015"/>
      <c r="LSX1015"/>
      <c r="LSY1015"/>
      <c r="LSZ1015"/>
      <c r="LTA1015"/>
      <c r="LTB1015"/>
      <c r="LTC1015"/>
      <c r="LTD1015"/>
      <c r="LTE1015"/>
      <c r="LTF1015"/>
      <c r="LTG1015"/>
      <c r="LTH1015"/>
      <c r="LTI1015"/>
      <c r="LTJ1015"/>
      <c r="LTK1015"/>
      <c r="LTL1015"/>
      <c r="LTM1015"/>
      <c r="LTN1015"/>
      <c r="LTO1015"/>
      <c r="LTP1015"/>
      <c r="LTQ1015"/>
      <c r="LTR1015"/>
      <c r="LTS1015"/>
      <c r="LTT1015"/>
      <c r="LTU1015"/>
      <c r="LTV1015"/>
      <c r="LTW1015"/>
      <c r="LTX1015"/>
      <c r="LTY1015"/>
      <c r="LTZ1015"/>
      <c r="LUA1015"/>
      <c r="LUB1015"/>
      <c r="LUC1015"/>
      <c r="LUD1015"/>
      <c r="LUE1015"/>
      <c r="LUF1015"/>
      <c r="LUG1015"/>
      <c r="LUH1015"/>
      <c r="LUI1015"/>
      <c r="LUJ1015"/>
      <c r="LUK1015"/>
      <c r="LUL1015"/>
      <c r="LUM1015"/>
      <c r="LUN1015"/>
      <c r="LUO1015"/>
      <c r="LUP1015"/>
      <c r="LUQ1015"/>
      <c r="LUR1015"/>
      <c r="LUS1015"/>
      <c r="LUT1015"/>
      <c r="LUU1015"/>
      <c r="LUV1015"/>
      <c r="LUW1015"/>
      <c r="LUX1015"/>
      <c r="LUY1015"/>
      <c r="LUZ1015"/>
      <c r="LVA1015"/>
      <c r="LVB1015"/>
      <c r="LVC1015"/>
      <c r="LVD1015"/>
      <c r="LVE1015"/>
      <c r="LVF1015"/>
      <c r="LVG1015"/>
      <c r="LVH1015"/>
      <c r="LVI1015"/>
      <c r="LVJ1015"/>
      <c r="LVK1015"/>
      <c r="LVL1015"/>
      <c r="LVM1015"/>
      <c r="LVN1015"/>
      <c r="LVO1015"/>
      <c r="LVP1015"/>
      <c r="LVQ1015"/>
      <c r="LVR1015"/>
      <c r="LVS1015"/>
      <c r="LVT1015"/>
      <c r="LVU1015"/>
      <c r="LVV1015"/>
      <c r="LVW1015"/>
      <c r="LVX1015"/>
      <c r="LVY1015"/>
      <c r="LVZ1015"/>
      <c r="LWA1015"/>
      <c r="LWB1015"/>
      <c r="LWC1015"/>
      <c r="LWD1015"/>
      <c r="LWE1015"/>
      <c r="LWF1015"/>
      <c r="LWG1015"/>
      <c r="LWH1015"/>
      <c r="LWI1015"/>
      <c r="LWJ1015"/>
      <c r="LWK1015"/>
      <c r="LWL1015"/>
      <c r="LWM1015"/>
      <c r="LWN1015"/>
      <c r="LWO1015"/>
      <c r="LWP1015"/>
      <c r="LWQ1015"/>
      <c r="LWR1015"/>
      <c r="LWS1015"/>
      <c r="LWT1015"/>
      <c r="LWU1015"/>
      <c r="LWV1015"/>
      <c r="LWW1015"/>
      <c r="LWX1015"/>
      <c r="LWY1015"/>
      <c r="LWZ1015"/>
      <c r="LXA1015"/>
      <c r="LXB1015"/>
      <c r="LXC1015"/>
      <c r="LXD1015"/>
      <c r="LXE1015"/>
      <c r="LXF1015"/>
      <c r="LXG1015"/>
      <c r="LXH1015"/>
      <c r="LXI1015"/>
      <c r="LXJ1015"/>
      <c r="LXK1015"/>
      <c r="LXL1015"/>
      <c r="LXM1015"/>
      <c r="LXN1015"/>
      <c r="LXO1015"/>
      <c r="LXP1015"/>
      <c r="LXQ1015"/>
      <c r="LXR1015"/>
      <c r="LXS1015"/>
      <c r="LXT1015"/>
      <c r="LXU1015"/>
      <c r="LXV1015"/>
      <c r="LXW1015"/>
      <c r="LXX1015"/>
      <c r="LXY1015"/>
      <c r="LXZ1015"/>
      <c r="LYA1015"/>
      <c r="LYB1015"/>
      <c r="LYC1015"/>
      <c r="LYD1015"/>
      <c r="LYE1015"/>
      <c r="LYF1015"/>
      <c r="LYG1015"/>
      <c r="LYH1015"/>
      <c r="LYI1015"/>
      <c r="LYJ1015"/>
      <c r="LYK1015"/>
      <c r="LYL1015"/>
      <c r="LYM1015"/>
      <c r="LYN1015"/>
      <c r="LYO1015"/>
      <c r="LYP1015"/>
      <c r="LYQ1015"/>
      <c r="LYR1015"/>
      <c r="LYS1015"/>
      <c r="LYT1015"/>
      <c r="LYU1015"/>
      <c r="LYV1015"/>
      <c r="LYW1015"/>
      <c r="LYX1015"/>
      <c r="LYY1015"/>
      <c r="LYZ1015"/>
      <c r="LZA1015"/>
      <c r="LZB1015"/>
      <c r="LZC1015"/>
      <c r="LZD1015"/>
      <c r="LZE1015"/>
      <c r="LZF1015"/>
      <c r="LZG1015"/>
      <c r="LZH1015"/>
      <c r="LZI1015"/>
      <c r="LZJ1015"/>
      <c r="LZK1015"/>
      <c r="LZL1015"/>
      <c r="LZM1015"/>
      <c r="LZN1015"/>
      <c r="LZO1015"/>
      <c r="LZP1015"/>
      <c r="LZQ1015"/>
      <c r="LZR1015"/>
      <c r="LZS1015"/>
      <c r="LZT1015"/>
      <c r="LZU1015"/>
      <c r="LZV1015"/>
      <c r="LZW1015"/>
      <c r="LZX1015"/>
      <c r="LZY1015"/>
      <c r="LZZ1015"/>
      <c r="MAA1015"/>
      <c r="MAB1015"/>
      <c r="MAC1015"/>
      <c r="MAD1015"/>
      <c r="MAE1015"/>
      <c r="MAF1015"/>
      <c r="MAG1015"/>
      <c r="MAH1015"/>
      <c r="MAI1015"/>
      <c r="MAJ1015"/>
      <c r="MAK1015"/>
      <c r="MAL1015"/>
      <c r="MAM1015"/>
      <c r="MAN1015"/>
      <c r="MAO1015"/>
      <c r="MAP1015"/>
      <c r="MAQ1015"/>
      <c r="MAR1015"/>
      <c r="MAS1015"/>
      <c r="MAT1015"/>
      <c r="MAU1015"/>
      <c r="MAV1015"/>
      <c r="MAW1015"/>
      <c r="MAX1015"/>
      <c r="MAY1015"/>
      <c r="MAZ1015"/>
      <c r="MBA1015"/>
      <c r="MBB1015"/>
      <c r="MBC1015"/>
      <c r="MBD1015"/>
      <c r="MBE1015"/>
      <c r="MBF1015"/>
      <c r="MBG1015"/>
      <c r="MBH1015"/>
      <c r="MBI1015"/>
      <c r="MBJ1015"/>
      <c r="MBK1015"/>
      <c r="MBL1015"/>
      <c r="MBM1015"/>
      <c r="MBN1015"/>
      <c r="MBO1015"/>
      <c r="MBP1015"/>
      <c r="MBQ1015"/>
      <c r="MBR1015"/>
      <c r="MBS1015"/>
      <c r="MBT1015"/>
      <c r="MBU1015"/>
      <c r="MBV1015"/>
      <c r="MBW1015"/>
      <c r="MBX1015"/>
      <c r="MBY1015"/>
      <c r="MBZ1015"/>
      <c r="MCA1015"/>
      <c r="MCB1015"/>
      <c r="MCC1015"/>
      <c r="MCD1015"/>
      <c r="MCE1015"/>
      <c r="MCF1015"/>
      <c r="MCG1015"/>
      <c r="MCH1015"/>
      <c r="MCI1015"/>
      <c r="MCJ1015"/>
      <c r="MCK1015"/>
      <c r="MCL1015"/>
      <c r="MCM1015"/>
      <c r="MCN1015"/>
      <c r="MCO1015"/>
      <c r="MCP1015"/>
      <c r="MCQ1015"/>
      <c r="MCR1015"/>
      <c r="MCS1015"/>
      <c r="MCT1015"/>
      <c r="MCU1015"/>
      <c r="MCV1015"/>
      <c r="MCW1015"/>
      <c r="MCX1015"/>
      <c r="MCY1015"/>
      <c r="MCZ1015"/>
      <c r="MDA1015"/>
      <c r="MDB1015"/>
      <c r="MDC1015"/>
      <c r="MDD1015"/>
      <c r="MDE1015"/>
      <c r="MDF1015"/>
      <c r="MDG1015"/>
      <c r="MDH1015"/>
      <c r="MDI1015"/>
      <c r="MDJ1015"/>
      <c r="MDK1015"/>
      <c r="MDL1015"/>
      <c r="MDM1015"/>
      <c r="MDN1015"/>
      <c r="MDO1015"/>
      <c r="MDP1015"/>
      <c r="MDQ1015"/>
      <c r="MDR1015"/>
      <c r="MDS1015"/>
      <c r="MDT1015"/>
      <c r="MDU1015"/>
      <c r="MDV1015"/>
      <c r="MDW1015"/>
      <c r="MDX1015"/>
      <c r="MDY1015"/>
      <c r="MDZ1015"/>
      <c r="MEA1015"/>
      <c r="MEB1015"/>
      <c r="MEC1015"/>
      <c r="MED1015"/>
      <c r="MEE1015"/>
      <c r="MEF1015"/>
      <c r="MEG1015"/>
      <c r="MEH1015"/>
      <c r="MEI1015"/>
      <c r="MEJ1015"/>
      <c r="MEK1015"/>
      <c r="MEL1015"/>
      <c r="MEM1015"/>
      <c r="MEN1015"/>
      <c r="MEO1015"/>
      <c r="MEP1015"/>
      <c r="MEQ1015"/>
      <c r="MER1015"/>
      <c r="MES1015"/>
      <c r="MET1015"/>
      <c r="MEU1015"/>
      <c r="MEV1015"/>
      <c r="MEW1015"/>
      <c r="MEX1015"/>
      <c r="MEY1015"/>
      <c r="MEZ1015"/>
      <c r="MFA1015"/>
      <c r="MFB1015"/>
      <c r="MFC1015"/>
      <c r="MFD1015"/>
      <c r="MFE1015"/>
      <c r="MFF1015"/>
      <c r="MFG1015"/>
      <c r="MFH1015"/>
      <c r="MFI1015"/>
      <c r="MFJ1015"/>
      <c r="MFK1015"/>
      <c r="MFL1015"/>
      <c r="MFM1015"/>
      <c r="MFN1015"/>
      <c r="MFO1015"/>
      <c r="MFP1015"/>
      <c r="MFQ1015"/>
      <c r="MFR1015"/>
      <c r="MFS1015"/>
      <c r="MFT1015"/>
      <c r="MFU1015"/>
      <c r="MFV1015"/>
      <c r="MFW1015"/>
      <c r="MFX1015"/>
      <c r="MFY1015"/>
      <c r="MFZ1015"/>
      <c r="MGA1015"/>
      <c r="MGB1015"/>
      <c r="MGC1015"/>
      <c r="MGD1015"/>
      <c r="MGE1015"/>
      <c r="MGF1015"/>
      <c r="MGG1015"/>
      <c r="MGH1015"/>
      <c r="MGI1015"/>
      <c r="MGJ1015"/>
      <c r="MGK1015"/>
      <c r="MGL1015"/>
      <c r="MGM1015"/>
      <c r="MGN1015"/>
      <c r="MGO1015"/>
      <c r="MGP1015"/>
      <c r="MGQ1015"/>
      <c r="MGR1015"/>
      <c r="MGS1015"/>
      <c r="MGT1015"/>
      <c r="MGU1015"/>
      <c r="MGV1015"/>
      <c r="MGW1015"/>
      <c r="MGX1015"/>
      <c r="MGY1015"/>
      <c r="MGZ1015"/>
      <c r="MHA1015"/>
      <c r="MHB1015"/>
      <c r="MHC1015"/>
      <c r="MHD1015"/>
      <c r="MHE1015"/>
      <c r="MHF1015"/>
      <c r="MHG1015"/>
      <c r="MHH1015"/>
      <c r="MHI1015"/>
      <c r="MHJ1015"/>
      <c r="MHK1015"/>
      <c r="MHL1015"/>
      <c r="MHM1015"/>
      <c r="MHN1015"/>
      <c r="MHO1015"/>
      <c r="MHP1015"/>
      <c r="MHQ1015"/>
      <c r="MHR1015"/>
      <c r="MHS1015"/>
      <c r="MHT1015"/>
      <c r="MHU1015"/>
      <c r="MHV1015"/>
      <c r="MHW1015"/>
      <c r="MHX1015"/>
      <c r="MHY1015"/>
      <c r="MHZ1015"/>
      <c r="MIA1015"/>
      <c r="MIB1015"/>
      <c r="MIC1015"/>
      <c r="MID1015"/>
      <c r="MIE1015"/>
      <c r="MIF1015"/>
      <c r="MIG1015"/>
      <c r="MIH1015"/>
      <c r="MII1015"/>
      <c r="MIJ1015"/>
      <c r="MIK1015"/>
      <c r="MIL1015"/>
      <c r="MIM1015"/>
      <c r="MIN1015"/>
      <c r="MIO1015"/>
      <c r="MIP1015"/>
      <c r="MIQ1015"/>
      <c r="MIR1015"/>
      <c r="MIS1015"/>
      <c r="MIT1015"/>
      <c r="MIU1015"/>
      <c r="MIV1015"/>
      <c r="MIW1015"/>
      <c r="MIX1015"/>
      <c r="MIY1015"/>
      <c r="MIZ1015"/>
      <c r="MJA1015"/>
      <c r="MJB1015"/>
      <c r="MJC1015"/>
      <c r="MJD1015"/>
      <c r="MJE1015"/>
      <c r="MJF1015"/>
      <c r="MJG1015"/>
      <c r="MJH1015"/>
      <c r="MJI1015"/>
      <c r="MJJ1015"/>
      <c r="MJK1015"/>
      <c r="MJL1015"/>
      <c r="MJM1015"/>
      <c r="MJN1015"/>
      <c r="MJO1015"/>
      <c r="MJP1015"/>
      <c r="MJQ1015"/>
      <c r="MJR1015"/>
      <c r="MJS1015"/>
      <c r="MJT1015"/>
      <c r="MJU1015"/>
      <c r="MJV1015"/>
      <c r="MJW1015"/>
      <c r="MJX1015"/>
      <c r="MJY1015"/>
      <c r="MJZ1015"/>
      <c r="MKA1015"/>
      <c r="MKB1015"/>
      <c r="MKC1015"/>
      <c r="MKD1015"/>
      <c r="MKE1015"/>
      <c r="MKF1015"/>
      <c r="MKG1015"/>
      <c r="MKH1015"/>
      <c r="MKI1015"/>
      <c r="MKJ1015"/>
      <c r="MKK1015"/>
      <c r="MKL1015"/>
      <c r="MKM1015"/>
      <c r="MKN1015"/>
      <c r="MKO1015"/>
      <c r="MKP1015"/>
      <c r="MKQ1015"/>
      <c r="MKR1015"/>
      <c r="MKS1015"/>
      <c r="MKT1015"/>
      <c r="MKU1015"/>
      <c r="MKV1015"/>
      <c r="MKW1015"/>
      <c r="MKX1015"/>
      <c r="MKY1015"/>
      <c r="MKZ1015"/>
      <c r="MLA1015"/>
      <c r="MLB1015"/>
      <c r="MLC1015"/>
      <c r="MLD1015"/>
      <c r="MLE1015"/>
      <c r="MLF1015"/>
      <c r="MLG1015"/>
      <c r="MLH1015"/>
      <c r="MLI1015"/>
      <c r="MLJ1015"/>
      <c r="MLK1015"/>
      <c r="MLL1015"/>
      <c r="MLM1015"/>
      <c r="MLN1015"/>
      <c r="MLO1015"/>
      <c r="MLP1015"/>
      <c r="MLQ1015"/>
      <c r="MLR1015"/>
      <c r="MLS1015"/>
      <c r="MLT1015"/>
      <c r="MLU1015"/>
      <c r="MLV1015"/>
      <c r="MLW1015"/>
      <c r="MLX1015"/>
      <c r="MLY1015"/>
      <c r="MLZ1015"/>
      <c r="MMA1015"/>
      <c r="MMB1015"/>
      <c r="MMC1015"/>
      <c r="MMD1015"/>
      <c r="MME1015"/>
      <c r="MMF1015"/>
      <c r="MMG1015"/>
      <c r="MMH1015"/>
      <c r="MMI1015"/>
      <c r="MMJ1015"/>
      <c r="MMK1015"/>
      <c r="MML1015"/>
      <c r="MMM1015"/>
      <c r="MMN1015"/>
      <c r="MMO1015"/>
      <c r="MMP1015"/>
      <c r="MMQ1015"/>
      <c r="MMR1015"/>
      <c r="MMS1015"/>
      <c r="MMT1015"/>
      <c r="MMU1015"/>
      <c r="MMV1015"/>
      <c r="MMW1015"/>
      <c r="MMX1015"/>
      <c r="MMY1015"/>
      <c r="MMZ1015"/>
      <c r="MNA1015"/>
      <c r="MNB1015"/>
      <c r="MNC1015"/>
      <c r="MND1015"/>
      <c r="MNE1015"/>
      <c r="MNF1015"/>
      <c r="MNG1015"/>
      <c r="MNH1015"/>
      <c r="MNI1015"/>
      <c r="MNJ1015"/>
      <c r="MNK1015"/>
      <c r="MNL1015"/>
      <c r="MNM1015"/>
      <c r="MNN1015"/>
      <c r="MNO1015"/>
      <c r="MNP1015"/>
      <c r="MNQ1015"/>
      <c r="MNR1015"/>
      <c r="MNS1015"/>
      <c r="MNT1015"/>
      <c r="MNU1015"/>
      <c r="MNV1015"/>
      <c r="MNW1015"/>
      <c r="MNX1015"/>
      <c r="MNY1015"/>
      <c r="MNZ1015"/>
      <c r="MOA1015"/>
      <c r="MOB1015"/>
      <c r="MOC1015"/>
      <c r="MOD1015"/>
      <c r="MOE1015"/>
      <c r="MOF1015"/>
      <c r="MOG1015"/>
      <c r="MOH1015"/>
      <c r="MOI1015"/>
      <c r="MOJ1015"/>
      <c r="MOK1015"/>
      <c r="MOL1015"/>
      <c r="MOM1015"/>
      <c r="MON1015"/>
      <c r="MOO1015"/>
      <c r="MOP1015"/>
      <c r="MOQ1015"/>
      <c r="MOR1015"/>
      <c r="MOS1015"/>
      <c r="MOT1015"/>
      <c r="MOU1015"/>
      <c r="MOV1015"/>
      <c r="MOW1015"/>
      <c r="MOX1015"/>
      <c r="MOY1015"/>
      <c r="MOZ1015"/>
      <c r="MPA1015"/>
      <c r="MPB1015"/>
      <c r="MPC1015"/>
      <c r="MPD1015"/>
      <c r="MPE1015"/>
      <c r="MPF1015"/>
      <c r="MPG1015"/>
      <c r="MPH1015"/>
      <c r="MPI1015"/>
      <c r="MPJ1015"/>
      <c r="MPK1015"/>
      <c r="MPL1015"/>
      <c r="MPM1015"/>
      <c r="MPN1015"/>
      <c r="MPO1015"/>
      <c r="MPP1015"/>
      <c r="MPQ1015"/>
      <c r="MPR1015"/>
      <c r="MPS1015"/>
      <c r="MPT1015"/>
      <c r="MPU1015"/>
      <c r="MPV1015"/>
      <c r="MPW1015"/>
      <c r="MPX1015"/>
      <c r="MPY1015"/>
      <c r="MPZ1015"/>
      <c r="MQA1015"/>
      <c r="MQB1015"/>
      <c r="MQC1015"/>
      <c r="MQD1015"/>
      <c r="MQE1015"/>
      <c r="MQF1015"/>
      <c r="MQG1015"/>
      <c r="MQH1015"/>
      <c r="MQI1015"/>
      <c r="MQJ1015"/>
      <c r="MQK1015"/>
      <c r="MQL1015"/>
      <c r="MQM1015"/>
      <c r="MQN1015"/>
      <c r="MQO1015"/>
      <c r="MQP1015"/>
      <c r="MQQ1015"/>
      <c r="MQR1015"/>
      <c r="MQS1015"/>
      <c r="MQT1015"/>
      <c r="MQU1015"/>
      <c r="MQV1015"/>
      <c r="MQW1015"/>
      <c r="MQX1015"/>
      <c r="MQY1015"/>
      <c r="MQZ1015"/>
      <c r="MRA1015"/>
      <c r="MRB1015"/>
      <c r="MRC1015"/>
      <c r="MRD1015"/>
      <c r="MRE1015"/>
      <c r="MRF1015"/>
      <c r="MRG1015"/>
      <c r="MRH1015"/>
      <c r="MRI1015"/>
      <c r="MRJ1015"/>
      <c r="MRK1015"/>
      <c r="MRL1015"/>
      <c r="MRM1015"/>
      <c r="MRN1015"/>
      <c r="MRO1015"/>
      <c r="MRP1015"/>
      <c r="MRQ1015"/>
      <c r="MRR1015"/>
      <c r="MRS1015"/>
      <c r="MRT1015"/>
      <c r="MRU1015"/>
      <c r="MRV1015"/>
      <c r="MRW1015"/>
      <c r="MRX1015"/>
      <c r="MRY1015"/>
      <c r="MRZ1015"/>
      <c r="MSA1015"/>
      <c r="MSB1015"/>
      <c r="MSC1015"/>
      <c r="MSD1015"/>
      <c r="MSE1015"/>
      <c r="MSF1015"/>
      <c r="MSG1015"/>
      <c r="MSH1015"/>
      <c r="MSI1015"/>
      <c r="MSJ1015"/>
      <c r="MSK1015"/>
      <c r="MSL1015"/>
      <c r="MSM1015"/>
      <c r="MSN1015"/>
      <c r="MSO1015"/>
      <c r="MSP1015"/>
      <c r="MSQ1015"/>
      <c r="MSR1015"/>
      <c r="MSS1015"/>
      <c r="MST1015"/>
      <c r="MSU1015"/>
      <c r="MSV1015"/>
      <c r="MSW1015"/>
      <c r="MSX1015"/>
      <c r="MSY1015"/>
      <c r="MSZ1015"/>
      <c r="MTA1015"/>
      <c r="MTB1015"/>
      <c r="MTC1015"/>
      <c r="MTD1015"/>
      <c r="MTE1015"/>
      <c r="MTF1015"/>
      <c r="MTG1015"/>
      <c r="MTH1015"/>
      <c r="MTI1015"/>
      <c r="MTJ1015"/>
      <c r="MTK1015"/>
      <c r="MTL1015"/>
      <c r="MTM1015"/>
      <c r="MTN1015"/>
      <c r="MTO1015"/>
      <c r="MTP1015"/>
      <c r="MTQ1015"/>
      <c r="MTR1015"/>
      <c r="MTS1015"/>
      <c r="MTT1015"/>
      <c r="MTU1015"/>
      <c r="MTV1015"/>
      <c r="MTW1015"/>
      <c r="MTX1015"/>
      <c r="MTY1015"/>
      <c r="MTZ1015"/>
      <c r="MUA1015"/>
      <c r="MUB1015"/>
      <c r="MUC1015"/>
      <c r="MUD1015"/>
      <c r="MUE1015"/>
      <c r="MUF1015"/>
      <c r="MUG1015"/>
      <c r="MUH1015"/>
      <c r="MUI1015"/>
      <c r="MUJ1015"/>
      <c r="MUK1015"/>
      <c r="MUL1015"/>
      <c r="MUM1015"/>
      <c r="MUN1015"/>
      <c r="MUO1015"/>
      <c r="MUP1015"/>
      <c r="MUQ1015"/>
      <c r="MUR1015"/>
      <c r="MUS1015"/>
      <c r="MUT1015"/>
      <c r="MUU1015"/>
      <c r="MUV1015"/>
      <c r="MUW1015"/>
      <c r="MUX1015"/>
      <c r="MUY1015"/>
      <c r="MUZ1015"/>
      <c r="MVA1015"/>
      <c r="MVB1015"/>
      <c r="MVC1015"/>
      <c r="MVD1015"/>
      <c r="MVE1015"/>
      <c r="MVF1015"/>
      <c r="MVG1015"/>
      <c r="MVH1015"/>
      <c r="MVI1015"/>
      <c r="MVJ1015"/>
      <c r="MVK1015"/>
      <c r="MVL1015"/>
      <c r="MVM1015"/>
      <c r="MVN1015"/>
      <c r="MVO1015"/>
      <c r="MVP1015"/>
      <c r="MVQ1015"/>
      <c r="MVR1015"/>
      <c r="MVS1015"/>
      <c r="MVT1015"/>
      <c r="MVU1015"/>
      <c r="MVV1015"/>
      <c r="MVW1015"/>
      <c r="MVX1015"/>
      <c r="MVY1015"/>
      <c r="MVZ1015"/>
      <c r="MWA1015"/>
      <c r="MWB1015"/>
      <c r="MWC1015"/>
      <c r="MWD1015"/>
      <c r="MWE1015"/>
      <c r="MWF1015"/>
      <c r="MWG1015"/>
      <c r="MWH1015"/>
      <c r="MWI1015"/>
      <c r="MWJ1015"/>
      <c r="MWK1015"/>
      <c r="MWL1015"/>
      <c r="MWM1015"/>
      <c r="MWN1015"/>
      <c r="MWO1015"/>
      <c r="MWP1015"/>
      <c r="MWQ1015"/>
      <c r="MWR1015"/>
      <c r="MWS1015"/>
      <c r="MWT1015"/>
      <c r="MWU1015"/>
      <c r="MWV1015"/>
      <c r="MWW1015"/>
      <c r="MWX1015"/>
      <c r="MWY1015"/>
      <c r="MWZ1015"/>
      <c r="MXA1015"/>
      <c r="MXB1015"/>
      <c r="MXC1015"/>
      <c r="MXD1015"/>
      <c r="MXE1015"/>
      <c r="MXF1015"/>
      <c r="MXG1015"/>
      <c r="MXH1015"/>
      <c r="MXI1015"/>
      <c r="MXJ1015"/>
      <c r="MXK1015"/>
      <c r="MXL1015"/>
      <c r="MXM1015"/>
      <c r="MXN1015"/>
      <c r="MXO1015"/>
      <c r="MXP1015"/>
      <c r="MXQ1015"/>
      <c r="MXR1015"/>
      <c r="MXS1015"/>
      <c r="MXT1015"/>
      <c r="MXU1015"/>
      <c r="MXV1015"/>
      <c r="MXW1015"/>
      <c r="MXX1015"/>
      <c r="MXY1015"/>
      <c r="MXZ1015"/>
      <c r="MYA1015"/>
      <c r="MYB1015"/>
      <c r="MYC1015"/>
      <c r="MYD1015"/>
      <c r="MYE1015"/>
      <c r="MYF1015"/>
      <c r="MYG1015"/>
      <c r="MYH1015"/>
      <c r="MYI1015"/>
      <c r="MYJ1015"/>
      <c r="MYK1015"/>
      <c r="MYL1015"/>
      <c r="MYM1015"/>
      <c r="MYN1015"/>
      <c r="MYO1015"/>
      <c r="MYP1015"/>
      <c r="MYQ1015"/>
      <c r="MYR1015"/>
      <c r="MYS1015"/>
      <c r="MYT1015"/>
      <c r="MYU1015"/>
      <c r="MYV1015"/>
      <c r="MYW1015"/>
      <c r="MYX1015"/>
      <c r="MYY1015"/>
      <c r="MYZ1015"/>
      <c r="MZA1015"/>
      <c r="MZB1015"/>
      <c r="MZC1015"/>
      <c r="MZD1015"/>
      <c r="MZE1015"/>
      <c r="MZF1015"/>
      <c r="MZG1015"/>
      <c r="MZH1015"/>
      <c r="MZI1015"/>
      <c r="MZJ1015"/>
      <c r="MZK1015"/>
      <c r="MZL1015"/>
      <c r="MZM1015"/>
      <c r="MZN1015"/>
      <c r="MZO1015"/>
      <c r="MZP1015"/>
      <c r="MZQ1015"/>
      <c r="MZR1015"/>
      <c r="MZS1015"/>
      <c r="MZT1015"/>
      <c r="MZU1015"/>
      <c r="MZV1015"/>
      <c r="MZW1015"/>
      <c r="MZX1015"/>
      <c r="MZY1015"/>
      <c r="MZZ1015"/>
      <c r="NAA1015"/>
      <c r="NAB1015"/>
      <c r="NAC1015"/>
      <c r="NAD1015"/>
      <c r="NAE1015"/>
      <c r="NAF1015"/>
      <c r="NAG1015"/>
      <c r="NAH1015"/>
      <c r="NAI1015"/>
      <c r="NAJ1015"/>
      <c r="NAK1015"/>
      <c r="NAL1015"/>
      <c r="NAM1015"/>
      <c r="NAN1015"/>
      <c r="NAO1015"/>
      <c r="NAP1015"/>
      <c r="NAQ1015"/>
      <c r="NAR1015"/>
      <c r="NAS1015"/>
      <c r="NAT1015"/>
      <c r="NAU1015"/>
      <c r="NAV1015"/>
      <c r="NAW1015"/>
      <c r="NAX1015"/>
      <c r="NAY1015"/>
      <c r="NAZ1015"/>
      <c r="NBA1015"/>
      <c r="NBB1015"/>
      <c r="NBC1015"/>
      <c r="NBD1015"/>
      <c r="NBE1015"/>
      <c r="NBF1015"/>
      <c r="NBG1015"/>
      <c r="NBH1015"/>
      <c r="NBI1015"/>
      <c r="NBJ1015"/>
      <c r="NBK1015"/>
      <c r="NBL1015"/>
      <c r="NBM1015"/>
      <c r="NBN1015"/>
      <c r="NBO1015"/>
      <c r="NBP1015"/>
      <c r="NBQ1015"/>
      <c r="NBR1015"/>
      <c r="NBS1015"/>
      <c r="NBT1015"/>
      <c r="NBU1015"/>
      <c r="NBV1015"/>
      <c r="NBW1015"/>
      <c r="NBX1015"/>
      <c r="NBY1015"/>
      <c r="NBZ1015"/>
      <c r="NCA1015"/>
      <c r="NCB1015"/>
      <c r="NCC1015"/>
      <c r="NCD1015"/>
      <c r="NCE1015"/>
      <c r="NCF1015"/>
      <c r="NCG1015"/>
      <c r="NCH1015"/>
      <c r="NCI1015"/>
      <c r="NCJ1015"/>
      <c r="NCK1015"/>
      <c r="NCL1015"/>
      <c r="NCM1015"/>
      <c r="NCN1015"/>
      <c r="NCO1015"/>
      <c r="NCP1015"/>
      <c r="NCQ1015"/>
      <c r="NCR1015"/>
      <c r="NCS1015"/>
      <c r="NCT1015"/>
      <c r="NCU1015"/>
      <c r="NCV1015"/>
      <c r="NCW1015"/>
      <c r="NCX1015"/>
      <c r="NCY1015"/>
      <c r="NCZ1015"/>
      <c r="NDA1015"/>
      <c r="NDB1015"/>
      <c r="NDC1015"/>
      <c r="NDD1015"/>
      <c r="NDE1015"/>
      <c r="NDF1015"/>
      <c r="NDG1015"/>
      <c r="NDH1015"/>
      <c r="NDI1015"/>
      <c r="NDJ1015"/>
      <c r="NDK1015"/>
      <c r="NDL1015"/>
      <c r="NDM1015"/>
      <c r="NDN1015"/>
      <c r="NDO1015"/>
      <c r="NDP1015"/>
      <c r="NDQ1015"/>
      <c r="NDR1015"/>
      <c r="NDS1015"/>
      <c r="NDT1015"/>
      <c r="NDU1015"/>
      <c r="NDV1015"/>
      <c r="NDW1015"/>
      <c r="NDX1015"/>
      <c r="NDY1015"/>
      <c r="NDZ1015"/>
      <c r="NEA1015"/>
      <c r="NEB1015"/>
      <c r="NEC1015"/>
      <c r="NED1015"/>
      <c r="NEE1015"/>
      <c r="NEF1015"/>
      <c r="NEG1015"/>
      <c r="NEH1015"/>
      <c r="NEI1015"/>
      <c r="NEJ1015"/>
      <c r="NEK1015"/>
      <c r="NEL1015"/>
      <c r="NEM1015"/>
      <c r="NEN1015"/>
      <c r="NEO1015"/>
      <c r="NEP1015"/>
      <c r="NEQ1015"/>
      <c r="NER1015"/>
      <c r="NES1015"/>
      <c r="NET1015"/>
      <c r="NEU1015"/>
      <c r="NEV1015"/>
      <c r="NEW1015"/>
      <c r="NEX1015"/>
      <c r="NEY1015"/>
      <c r="NEZ1015"/>
      <c r="NFA1015"/>
      <c r="NFB1015"/>
      <c r="NFC1015"/>
      <c r="NFD1015"/>
      <c r="NFE1015"/>
      <c r="NFF1015"/>
      <c r="NFG1015"/>
      <c r="NFH1015"/>
      <c r="NFI1015"/>
      <c r="NFJ1015"/>
      <c r="NFK1015"/>
      <c r="NFL1015"/>
      <c r="NFM1015"/>
      <c r="NFN1015"/>
      <c r="NFO1015"/>
      <c r="NFP1015"/>
      <c r="NFQ1015"/>
      <c r="NFR1015"/>
      <c r="NFS1015"/>
      <c r="NFT1015"/>
      <c r="NFU1015"/>
      <c r="NFV1015"/>
      <c r="NFW1015"/>
      <c r="NFX1015"/>
      <c r="NFY1015"/>
      <c r="NFZ1015"/>
      <c r="NGA1015"/>
      <c r="NGB1015"/>
      <c r="NGC1015"/>
      <c r="NGD1015"/>
      <c r="NGE1015"/>
      <c r="NGF1015"/>
      <c r="NGG1015"/>
      <c r="NGH1015"/>
      <c r="NGI1015"/>
      <c r="NGJ1015"/>
      <c r="NGK1015"/>
      <c r="NGL1015"/>
      <c r="NGM1015"/>
      <c r="NGN1015"/>
      <c r="NGO1015"/>
      <c r="NGP1015"/>
      <c r="NGQ1015"/>
      <c r="NGR1015"/>
      <c r="NGS1015"/>
      <c r="NGT1015"/>
      <c r="NGU1015"/>
      <c r="NGV1015"/>
      <c r="NGW1015"/>
      <c r="NGX1015"/>
      <c r="NGY1015"/>
      <c r="NGZ1015"/>
      <c r="NHA1015"/>
      <c r="NHB1015"/>
      <c r="NHC1015"/>
      <c r="NHD1015"/>
      <c r="NHE1015"/>
      <c r="NHF1015"/>
      <c r="NHG1015"/>
      <c r="NHH1015"/>
      <c r="NHI1015"/>
      <c r="NHJ1015"/>
      <c r="NHK1015"/>
      <c r="NHL1015"/>
      <c r="NHM1015"/>
      <c r="NHN1015"/>
      <c r="NHO1015"/>
      <c r="NHP1015"/>
      <c r="NHQ1015"/>
      <c r="NHR1015"/>
      <c r="NHS1015"/>
      <c r="NHT1015"/>
      <c r="NHU1015"/>
      <c r="NHV1015"/>
      <c r="NHW1015"/>
      <c r="NHX1015"/>
      <c r="NHY1015"/>
      <c r="NHZ1015"/>
      <c r="NIA1015"/>
      <c r="NIB1015"/>
      <c r="NIC1015"/>
      <c r="NID1015"/>
      <c r="NIE1015"/>
      <c r="NIF1015"/>
      <c r="NIG1015"/>
      <c r="NIH1015"/>
      <c r="NII1015"/>
      <c r="NIJ1015"/>
      <c r="NIK1015"/>
      <c r="NIL1015"/>
      <c r="NIM1015"/>
      <c r="NIN1015"/>
      <c r="NIO1015"/>
      <c r="NIP1015"/>
      <c r="NIQ1015"/>
      <c r="NIR1015"/>
      <c r="NIS1015"/>
      <c r="NIT1015"/>
      <c r="NIU1015"/>
      <c r="NIV1015"/>
      <c r="NIW1015"/>
      <c r="NIX1015"/>
      <c r="NIY1015"/>
      <c r="NIZ1015"/>
      <c r="NJA1015"/>
      <c r="NJB1015"/>
      <c r="NJC1015"/>
      <c r="NJD1015"/>
      <c r="NJE1015"/>
      <c r="NJF1015"/>
      <c r="NJG1015"/>
      <c r="NJH1015"/>
      <c r="NJI1015"/>
      <c r="NJJ1015"/>
      <c r="NJK1015"/>
      <c r="NJL1015"/>
      <c r="NJM1015"/>
      <c r="NJN1015"/>
      <c r="NJO1015"/>
      <c r="NJP1015"/>
      <c r="NJQ1015"/>
      <c r="NJR1015"/>
      <c r="NJS1015"/>
      <c r="NJT1015"/>
      <c r="NJU1015"/>
      <c r="NJV1015"/>
      <c r="NJW1015"/>
      <c r="NJX1015"/>
      <c r="NJY1015"/>
      <c r="NJZ1015"/>
      <c r="NKA1015"/>
      <c r="NKB1015"/>
      <c r="NKC1015"/>
      <c r="NKD1015"/>
      <c r="NKE1015"/>
      <c r="NKF1015"/>
      <c r="NKG1015"/>
      <c r="NKH1015"/>
      <c r="NKI1015"/>
      <c r="NKJ1015"/>
      <c r="NKK1015"/>
      <c r="NKL1015"/>
      <c r="NKM1015"/>
      <c r="NKN1015"/>
      <c r="NKO1015"/>
      <c r="NKP1015"/>
      <c r="NKQ1015"/>
      <c r="NKR1015"/>
      <c r="NKS1015"/>
      <c r="NKT1015"/>
      <c r="NKU1015"/>
      <c r="NKV1015"/>
      <c r="NKW1015"/>
      <c r="NKX1015"/>
      <c r="NKY1015"/>
      <c r="NKZ1015"/>
      <c r="NLA1015"/>
      <c r="NLB1015"/>
      <c r="NLC1015"/>
      <c r="NLD1015"/>
      <c r="NLE1015"/>
      <c r="NLF1015"/>
      <c r="NLG1015"/>
      <c r="NLH1015"/>
      <c r="NLI1015"/>
      <c r="NLJ1015"/>
      <c r="NLK1015"/>
      <c r="NLL1015"/>
      <c r="NLM1015"/>
      <c r="NLN1015"/>
      <c r="NLO1015"/>
      <c r="NLP1015"/>
      <c r="NLQ1015"/>
      <c r="NLR1015"/>
      <c r="NLS1015"/>
      <c r="NLT1015"/>
      <c r="NLU1015"/>
      <c r="NLV1015"/>
      <c r="NLW1015"/>
      <c r="NLX1015"/>
      <c r="NLY1015"/>
      <c r="NLZ1015"/>
      <c r="NMA1015"/>
      <c r="NMB1015"/>
      <c r="NMC1015"/>
      <c r="NMD1015"/>
      <c r="NME1015"/>
      <c r="NMF1015"/>
      <c r="NMG1015"/>
      <c r="NMH1015"/>
      <c r="NMI1015"/>
      <c r="NMJ1015"/>
      <c r="NMK1015"/>
      <c r="NML1015"/>
      <c r="NMM1015"/>
      <c r="NMN1015"/>
      <c r="NMO1015"/>
      <c r="NMP1015"/>
      <c r="NMQ1015"/>
      <c r="NMR1015"/>
      <c r="NMS1015"/>
      <c r="NMT1015"/>
      <c r="NMU1015"/>
      <c r="NMV1015"/>
      <c r="NMW1015"/>
      <c r="NMX1015"/>
      <c r="NMY1015"/>
      <c r="NMZ1015"/>
      <c r="NNA1015"/>
      <c r="NNB1015"/>
      <c r="NNC1015"/>
      <c r="NND1015"/>
      <c r="NNE1015"/>
      <c r="NNF1015"/>
      <c r="NNG1015"/>
      <c r="NNH1015"/>
      <c r="NNI1015"/>
      <c r="NNJ1015"/>
      <c r="NNK1015"/>
      <c r="NNL1015"/>
      <c r="NNM1015"/>
      <c r="NNN1015"/>
      <c r="NNO1015"/>
      <c r="NNP1015"/>
      <c r="NNQ1015"/>
      <c r="NNR1015"/>
      <c r="NNS1015"/>
      <c r="NNT1015"/>
      <c r="NNU1015"/>
      <c r="NNV1015"/>
      <c r="NNW1015"/>
      <c r="NNX1015"/>
      <c r="NNY1015"/>
      <c r="NNZ1015"/>
      <c r="NOA1015"/>
      <c r="NOB1015"/>
      <c r="NOC1015"/>
      <c r="NOD1015"/>
      <c r="NOE1015"/>
      <c r="NOF1015"/>
      <c r="NOG1015"/>
      <c r="NOH1015"/>
      <c r="NOI1015"/>
      <c r="NOJ1015"/>
      <c r="NOK1015"/>
      <c r="NOL1015"/>
      <c r="NOM1015"/>
      <c r="NON1015"/>
      <c r="NOO1015"/>
      <c r="NOP1015"/>
      <c r="NOQ1015"/>
      <c r="NOR1015"/>
      <c r="NOS1015"/>
      <c r="NOT1015"/>
      <c r="NOU1015"/>
      <c r="NOV1015"/>
      <c r="NOW1015"/>
      <c r="NOX1015"/>
      <c r="NOY1015"/>
      <c r="NOZ1015"/>
      <c r="NPA1015"/>
      <c r="NPB1015"/>
      <c r="NPC1015"/>
      <c r="NPD1015"/>
      <c r="NPE1015"/>
      <c r="NPF1015"/>
      <c r="NPG1015"/>
      <c r="NPH1015"/>
      <c r="NPI1015"/>
      <c r="NPJ1015"/>
      <c r="NPK1015"/>
      <c r="NPL1015"/>
      <c r="NPM1015"/>
      <c r="NPN1015"/>
      <c r="NPO1015"/>
      <c r="NPP1015"/>
      <c r="NPQ1015"/>
      <c r="NPR1015"/>
      <c r="NPS1015"/>
      <c r="NPT1015"/>
      <c r="NPU1015"/>
      <c r="NPV1015"/>
      <c r="NPW1015"/>
      <c r="NPX1015"/>
      <c r="NPY1015"/>
      <c r="NPZ1015"/>
      <c r="NQA1015"/>
      <c r="NQB1015"/>
      <c r="NQC1015"/>
      <c r="NQD1015"/>
      <c r="NQE1015"/>
      <c r="NQF1015"/>
      <c r="NQG1015"/>
      <c r="NQH1015"/>
      <c r="NQI1015"/>
      <c r="NQJ1015"/>
      <c r="NQK1015"/>
      <c r="NQL1015"/>
      <c r="NQM1015"/>
      <c r="NQN1015"/>
      <c r="NQO1015"/>
      <c r="NQP1015"/>
      <c r="NQQ1015"/>
      <c r="NQR1015"/>
      <c r="NQS1015"/>
      <c r="NQT1015"/>
      <c r="NQU1015"/>
      <c r="NQV1015"/>
      <c r="NQW1015"/>
      <c r="NQX1015"/>
      <c r="NQY1015"/>
      <c r="NQZ1015"/>
      <c r="NRA1015"/>
      <c r="NRB1015"/>
      <c r="NRC1015"/>
      <c r="NRD1015"/>
      <c r="NRE1015"/>
      <c r="NRF1015"/>
      <c r="NRG1015"/>
      <c r="NRH1015"/>
      <c r="NRI1015"/>
      <c r="NRJ1015"/>
      <c r="NRK1015"/>
      <c r="NRL1015"/>
      <c r="NRM1015"/>
      <c r="NRN1015"/>
      <c r="NRO1015"/>
      <c r="NRP1015"/>
      <c r="NRQ1015"/>
      <c r="NRR1015"/>
      <c r="NRS1015"/>
      <c r="NRT1015"/>
      <c r="NRU1015"/>
      <c r="NRV1015"/>
      <c r="NRW1015"/>
      <c r="NRX1015"/>
      <c r="NRY1015"/>
      <c r="NRZ1015"/>
      <c r="NSA1015"/>
      <c r="NSB1015"/>
      <c r="NSC1015"/>
      <c r="NSD1015"/>
      <c r="NSE1015"/>
      <c r="NSF1015"/>
      <c r="NSG1015"/>
      <c r="NSH1015"/>
      <c r="NSI1015"/>
      <c r="NSJ1015"/>
      <c r="NSK1015"/>
      <c r="NSL1015"/>
      <c r="NSM1015"/>
      <c r="NSN1015"/>
      <c r="NSO1015"/>
      <c r="NSP1015"/>
      <c r="NSQ1015"/>
      <c r="NSR1015"/>
      <c r="NSS1015"/>
      <c r="NST1015"/>
      <c r="NSU1015"/>
      <c r="NSV1015"/>
      <c r="NSW1015"/>
      <c r="NSX1015"/>
      <c r="NSY1015"/>
      <c r="NSZ1015"/>
      <c r="NTA1015"/>
      <c r="NTB1015"/>
      <c r="NTC1015"/>
      <c r="NTD1015"/>
      <c r="NTE1015"/>
      <c r="NTF1015"/>
      <c r="NTG1015"/>
      <c r="NTH1015"/>
      <c r="NTI1015"/>
      <c r="NTJ1015"/>
      <c r="NTK1015"/>
      <c r="NTL1015"/>
      <c r="NTM1015"/>
      <c r="NTN1015"/>
      <c r="NTO1015"/>
      <c r="NTP1015"/>
      <c r="NTQ1015"/>
      <c r="NTR1015"/>
      <c r="NTS1015"/>
      <c r="NTT1015"/>
      <c r="NTU1015"/>
      <c r="NTV1015"/>
      <c r="NTW1015"/>
      <c r="NTX1015"/>
      <c r="NTY1015"/>
      <c r="NTZ1015"/>
      <c r="NUA1015"/>
      <c r="NUB1015"/>
      <c r="NUC1015"/>
      <c r="NUD1015"/>
      <c r="NUE1015"/>
      <c r="NUF1015"/>
      <c r="NUG1015"/>
      <c r="NUH1015"/>
      <c r="NUI1015"/>
      <c r="NUJ1015"/>
      <c r="NUK1015"/>
      <c r="NUL1015"/>
      <c r="NUM1015"/>
      <c r="NUN1015"/>
      <c r="NUO1015"/>
      <c r="NUP1015"/>
      <c r="NUQ1015"/>
      <c r="NUR1015"/>
      <c r="NUS1015"/>
      <c r="NUT1015"/>
      <c r="NUU1015"/>
      <c r="NUV1015"/>
      <c r="NUW1015"/>
      <c r="NUX1015"/>
      <c r="NUY1015"/>
      <c r="NUZ1015"/>
      <c r="NVA1015"/>
      <c r="NVB1015"/>
      <c r="NVC1015"/>
      <c r="NVD1015"/>
      <c r="NVE1015"/>
      <c r="NVF1015"/>
      <c r="NVG1015"/>
      <c r="NVH1015"/>
      <c r="NVI1015"/>
      <c r="NVJ1015"/>
      <c r="NVK1015"/>
      <c r="NVL1015"/>
      <c r="NVM1015"/>
      <c r="NVN1015"/>
      <c r="NVO1015"/>
      <c r="NVP1015"/>
      <c r="NVQ1015"/>
      <c r="NVR1015"/>
      <c r="NVS1015"/>
      <c r="NVT1015"/>
      <c r="NVU1015"/>
      <c r="NVV1015"/>
      <c r="NVW1015"/>
      <c r="NVX1015"/>
      <c r="NVY1015"/>
      <c r="NVZ1015"/>
      <c r="NWA1015"/>
      <c r="NWB1015"/>
      <c r="NWC1015"/>
      <c r="NWD1015"/>
      <c r="NWE1015"/>
      <c r="NWF1015"/>
      <c r="NWG1015"/>
      <c r="NWH1015"/>
      <c r="NWI1015"/>
      <c r="NWJ1015"/>
      <c r="NWK1015"/>
      <c r="NWL1015"/>
      <c r="NWM1015"/>
      <c r="NWN1015"/>
      <c r="NWO1015"/>
      <c r="NWP1015"/>
      <c r="NWQ1015"/>
      <c r="NWR1015"/>
      <c r="NWS1015"/>
      <c r="NWT1015"/>
      <c r="NWU1015"/>
      <c r="NWV1015"/>
      <c r="NWW1015"/>
      <c r="NWX1015"/>
      <c r="NWY1015"/>
      <c r="NWZ1015"/>
      <c r="NXA1015"/>
      <c r="NXB1015"/>
      <c r="NXC1015"/>
      <c r="NXD1015"/>
      <c r="NXE1015"/>
      <c r="NXF1015"/>
      <c r="NXG1015"/>
      <c r="NXH1015"/>
      <c r="NXI1015"/>
      <c r="NXJ1015"/>
      <c r="NXK1015"/>
      <c r="NXL1015"/>
      <c r="NXM1015"/>
      <c r="NXN1015"/>
      <c r="NXO1015"/>
      <c r="NXP1015"/>
      <c r="NXQ1015"/>
      <c r="NXR1015"/>
      <c r="NXS1015"/>
      <c r="NXT1015"/>
      <c r="NXU1015"/>
      <c r="NXV1015"/>
      <c r="NXW1015"/>
      <c r="NXX1015"/>
      <c r="NXY1015"/>
      <c r="NXZ1015"/>
      <c r="NYA1015"/>
      <c r="NYB1015"/>
      <c r="NYC1015"/>
      <c r="NYD1015"/>
      <c r="NYE1015"/>
      <c r="NYF1015"/>
      <c r="NYG1015"/>
      <c r="NYH1015"/>
      <c r="NYI1015"/>
      <c r="NYJ1015"/>
      <c r="NYK1015"/>
      <c r="NYL1015"/>
      <c r="NYM1015"/>
      <c r="NYN1015"/>
      <c r="NYO1015"/>
      <c r="NYP1015"/>
      <c r="NYQ1015"/>
      <c r="NYR1015"/>
      <c r="NYS1015"/>
      <c r="NYT1015"/>
      <c r="NYU1015"/>
      <c r="NYV1015"/>
      <c r="NYW1015"/>
      <c r="NYX1015"/>
      <c r="NYY1015"/>
      <c r="NYZ1015"/>
      <c r="NZA1015"/>
      <c r="NZB1015"/>
      <c r="NZC1015"/>
      <c r="NZD1015"/>
      <c r="NZE1015"/>
      <c r="NZF1015"/>
      <c r="NZG1015"/>
      <c r="NZH1015"/>
      <c r="NZI1015"/>
      <c r="NZJ1015"/>
      <c r="NZK1015"/>
      <c r="NZL1015"/>
      <c r="NZM1015"/>
      <c r="NZN1015"/>
      <c r="NZO1015"/>
      <c r="NZP1015"/>
      <c r="NZQ1015"/>
      <c r="NZR1015"/>
      <c r="NZS1015"/>
      <c r="NZT1015"/>
      <c r="NZU1015"/>
      <c r="NZV1015"/>
      <c r="NZW1015"/>
      <c r="NZX1015"/>
      <c r="NZY1015"/>
      <c r="NZZ1015"/>
      <c r="OAA1015"/>
      <c r="OAB1015"/>
      <c r="OAC1015"/>
      <c r="OAD1015"/>
      <c r="OAE1015"/>
      <c r="OAF1015"/>
      <c r="OAG1015"/>
      <c r="OAH1015"/>
      <c r="OAI1015"/>
      <c r="OAJ1015"/>
      <c r="OAK1015"/>
      <c r="OAL1015"/>
      <c r="OAM1015"/>
      <c r="OAN1015"/>
      <c r="OAO1015"/>
      <c r="OAP1015"/>
      <c r="OAQ1015"/>
      <c r="OAR1015"/>
      <c r="OAS1015"/>
      <c r="OAT1015"/>
      <c r="OAU1015"/>
      <c r="OAV1015"/>
      <c r="OAW1015"/>
      <c r="OAX1015"/>
      <c r="OAY1015"/>
      <c r="OAZ1015"/>
      <c r="OBA1015"/>
      <c r="OBB1015"/>
      <c r="OBC1015"/>
      <c r="OBD1015"/>
      <c r="OBE1015"/>
      <c r="OBF1015"/>
      <c r="OBG1015"/>
      <c r="OBH1015"/>
      <c r="OBI1015"/>
      <c r="OBJ1015"/>
      <c r="OBK1015"/>
      <c r="OBL1015"/>
      <c r="OBM1015"/>
      <c r="OBN1015"/>
      <c r="OBO1015"/>
      <c r="OBP1015"/>
      <c r="OBQ1015"/>
      <c r="OBR1015"/>
      <c r="OBS1015"/>
      <c r="OBT1015"/>
      <c r="OBU1015"/>
      <c r="OBV1015"/>
      <c r="OBW1015"/>
      <c r="OBX1015"/>
      <c r="OBY1015"/>
      <c r="OBZ1015"/>
      <c r="OCA1015"/>
      <c r="OCB1015"/>
      <c r="OCC1015"/>
      <c r="OCD1015"/>
      <c r="OCE1015"/>
      <c r="OCF1015"/>
      <c r="OCG1015"/>
      <c r="OCH1015"/>
      <c r="OCI1015"/>
      <c r="OCJ1015"/>
      <c r="OCK1015"/>
      <c r="OCL1015"/>
      <c r="OCM1015"/>
      <c r="OCN1015"/>
      <c r="OCO1015"/>
      <c r="OCP1015"/>
      <c r="OCQ1015"/>
      <c r="OCR1015"/>
      <c r="OCS1015"/>
      <c r="OCT1015"/>
      <c r="OCU1015"/>
      <c r="OCV1015"/>
      <c r="OCW1015"/>
      <c r="OCX1015"/>
      <c r="OCY1015"/>
      <c r="OCZ1015"/>
      <c r="ODA1015"/>
      <c r="ODB1015"/>
      <c r="ODC1015"/>
      <c r="ODD1015"/>
      <c r="ODE1015"/>
      <c r="ODF1015"/>
      <c r="ODG1015"/>
      <c r="ODH1015"/>
      <c r="ODI1015"/>
      <c r="ODJ1015"/>
      <c r="ODK1015"/>
      <c r="ODL1015"/>
      <c r="ODM1015"/>
      <c r="ODN1015"/>
      <c r="ODO1015"/>
      <c r="ODP1015"/>
      <c r="ODQ1015"/>
      <c r="ODR1015"/>
      <c r="ODS1015"/>
      <c r="ODT1015"/>
      <c r="ODU1015"/>
      <c r="ODV1015"/>
      <c r="ODW1015"/>
      <c r="ODX1015"/>
      <c r="ODY1015"/>
      <c r="ODZ1015"/>
      <c r="OEA1015"/>
      <c r="OEB1015"/>
      <c r="OEC1015"/>
      <c r="OED1015"/>
      <c r="OEE1015"/>
      <c r="OEF1015"/>
      <c r="OEG1015"/>
      <c r="OEH1015"/>
      <c r="OEI1015"/>
      <c r="OEJ1015"/>
      <c r="OEK1015"/>
      <c r="OEL1015"/>
      <c r="OEM1015"/>
      <c r="OEN1015"/>
      <c r="OEO1015"/>
      <c r="OEP1015"/>
      <c r="OEQ1015"/>
      <c r="OER1015"/>
      <c r="OES1015"/>
      <c r="OET1015"/>
      <c r="OEU1015"/>
      <c r="OEV1015"/>
      <c r="OEW1015"/>
      <c r="OEX1015"/>
      <c r="OEY1015"/>
      <c r="OEZ1015"/>
      <c r="OFA1015"/>
      <c r="OFB1015"/>
      <c r="OFC1015"/>
      <c r="OFD1015"/>
      <c r="OFE1015"/>
      <c r="OFF1015"/>
      <c r="OFG1015"/>
      <c r="OFH1015"/>
      <c r="OFI1015"/>
      <c r="OFJ1015"/>
      <c r="OFK1015"/>
      <c r="OFL1015"/>
      <c r="OFM1015"/>
      <c r="OFN1015"/>
      <c r="OFO1015"/>
      <c r="OFP1015"/>
      <c r="OFQ1015"/>
      <c r="OFR1015"/>
      <c r="OFS1015"/>
      <c r="OFT1015"/>
      <c r="OFU1015"/>
      <c r="OFV1015"/>
      <c r="OFW1015"/>
      <c r="OFX1015"/>
      <c r="OFY1015"/>
      <c r="OFZ1015"/>
      <c r="OGA1015"/>
      <c r="OGB1015"/>
      <c r="OGC1015"/>
      <c r="OGD1015"/>
      <c r="OGE1015"/>
      <c r="OGF1015"/>
      <c r="OGG1015"/>
      <c r="OGH1015"/>
      <c r="OGI1015"/>
      <c r="OGJ1015"/>
      <c r="OGK1015"/>
      <c r="OGL1015"/>
      <c r="OGM1015"/>
      <c r="OGN1015"/>
      <c r="OGO1015"/>
      <c r="OGP1015"/>
      <c r="OGQ1015"/>
      <c r="OGR1015"/>
      <c r="OGS1015"/>
      <c r="OGT1015"/>
      <c r="OGU1015"/>
      <c r="OGV1015"/>
      <c r="OGW1015"/>
      <c r="OGX1015"/>
      <c r="OGY1015"/>
      <c r="OGZ1015"/>
      <c r="OHA1015"/>
      <c r="OHB1015"/>
      <c r="OHC1015"/>
      <c r="OHD1015"/>
      <c r="OHE1015"/>
      <c r="OHF1015"/>
      <c r="OHG1015"/>
      <c r="OHH1015"/>
      <c r="OHI1015"/>
      <c r="OHJ1015"/>
      <c r="OHK1015"/>
      <c r="OHL1015"/>
      <c r="OHM1015"/>
      <c r="OHN1015"/>
      <c r="OHO1015"/>
      <c r="OHP1015"/>
      <c r="OHQ1015"/>
      <c r="OHR1015"/>
      <c r="OHS1015"/>
      <c r="OHT1015"/>
      <c r="OHU1015"/>
      <c r="OHV1015"/>
      <c r="OHW1015"/>
      <c r="OHX1015"/>
      <c r="OHY1015"/>
      <c r="OHZ1015"/>
      <c r="OIA1015"/>
      <c r="OIB1015"/>
      <c r="OIC1015"/>
      <c r="OID1015"/>
      <c r="OIE1015"/>
      <c r="OIF1015"/>
      <c r="OIG1015"/>
      <c r="OIH1015"/>
      <c r="OII1015"/>
      <c r="OIJ1015"/>
      <c r="OIK1015"/>
      <c r="OIL1015"/>
      <c r="OIM1015"/>
      <c r="OIN1015"/>
      <c r="OIO1015"/>
      <c r="OIP1015"/>
      <c r="OIQ1015"/>
      <c r="OIR1015"/>
      <c r="OIS1015"/>
      <c r="OIT1015"/>
      <c r="OIU1015"/>
      <c r="OIV1015"/>
      <c r="OIW1015"/>
      <c r="OIX1015"/>
      <c r="OIY1015"/>
      <c r="OIZ1015"/>
      <c r="OJA1015"/>
      <c r="OJB1015"/>
      <c r="OJC1015"/>
      <c r="OJD1015"/>
      <c r="OJE1015"/>
      <c r="OJF1015"/>
      <c r="OJG1015"/>
      <c r="OJH1015"/>
      <c r="OJI1015"/>
      <c r="OJJ1015"/>
      <c r="OJK1015"/>
      <c r="OJL1015"/>
      <c r="OJM1015"/>
      <c r="OJN1015"/>
      <c r="OJO1015"/>
      <c r="OJP1015"/>
      <c r="OJQ1015"/>
      <c r="OJR1015"/>
      <c r="OJS1015"/>
      <c r="OJT1015"/>
      <c r="OJU1015"/>
      <c r="OJV1015"/>
      <c r="OJW1015"/>
      <c r="OJX1015"/>
      <c r="OJY1015"/>
      <c r="OJZ1015"/>
      <c r="OKA1015"/>
      <c r="OKB1015"/>
      <c r="OKC1015"/>
      <c r="OKD1015"/>
      <c r="OKE1015"/>
      <c r="OKF1015"/>
      <c r="OKG1015"/>
      <c r="OKH1015"/>
      <c r="OKI1015"/>
      <c r="OKJ1015"/>
      <c r="OKK1015"/>
      <c r="OKL1015"/>
      <c r="OKM1015"/>
      <c r="OKN1015"/>
      <c r="OKO1015"/>
      <c r="OKP1015"/>
      <c r="OKQ1015"/>
      <c r="OKR1015"/>
      <c r="OKS1015"/>
      <c r="OKT1015"/>
      <c r="OKU1015"/>
      <c r="OKV1015"/>
      <c r="OKW1015"/>
      <c r="OKX1015"/>
      <c r="OKY1015"/>
      <c r="OKZ1015"/>
      <c r="OLA1015"/>
      <c r="OLB1015"/>
      <c r="OLC1015"/>
      <c r="OLD1015"/>
      <c r="OLE1015"/>
      <c r="OLF1015"/>
      <c r="OLG1015"/>
      <c r="OLH1015"/>
      <c r="OLI1015"/>
      <c r="OLJ1015"/>
      <c r="OLK1015"/>
      <c r="OLL1015"/>
      <c r="OLM1015"/>
      <c r="OLN1015"/>
      <c r="OLO1015"/>
      <c r="OLP1015"/>
      <c r="OLQ1015"/>
      <c r="OLR1015"/>
      <c r="OLS1015"/>
      <c r="OLT1015"/>
      <c r="OLU1015"/>
      <c r="OLV1015"/>
      <c r="OLW1015"/>
      <c r="OLX1015"/>
      <c r="OLY1015"/>
      <c r="OLZ1015"/>
      <c r="OMA1015"/>
      <c r="OMB1015"/>
      <c r="OMC1015"/>
      <c r="OMD1015"/>
      <c r="OME1015"/>
      <c r="OMF1015"/>
      <c r="OMG1015"/>
      <c r="OMH1015"/>
      <c r="OMI1015"/>
      <c r="OMJ1015"/>
      <c r="OMK1015"/>
      <c r="OML1015"/>
      <c r="OMM1015"/>
      <c r="OMN1015"/>
      <c r="OMO1015"/>
      <c r="OMP1015"/>
      <c r="OMQ1015"/>
      <c r="OMR1015"/>
      <c r="OMS1015"/>
      <c r="OMT1015"/>
      <c r="OMU1015"/>
      <c r="OMV1015"/>
      <c r="OMW1015"/>
      <c r="OMX1015"/>
      <c r="OMY1015"/>
      <c r="OMZ1015"/>
      <c r="ONA1015"/>
      <c r="ONB1015"/>
      <c r="ONC1015"/>
      <c r="OND1015"/>
      <c r="ONE1015"/>
      <c r="ONF1015"/>
      <c r="ONG1015"/>
      <c r="ONH1015"/>
      <c r="ONI1015"/>
      <c r="ONJ1015"/>
      <c r="ONK1015"/>
      <c r="ONL1015"/>
      <c r="ONM1015"/>
      <c r="ONN1015"/>
      <c r="ONO1015"/>
      <c r="ONP1015"/>
      <c r="ONQ1015"/>
      <c r="ONR1015"/>
      <c r="ONS1015"/>
      <c r="ONT1015"/>
      <c r="ONU1015"/>
      <c r="ONV1015"/>
      <c r="ONW1015"/>
      <c r="ONX1015"/>
      <c r="ONY1015"/>
      <c r="ONZ1015"/>
      <c r="OOA1015"/>
      <c r="OOB1015"/>
      <c r="OOC1015"/>
      <c r="OOD1015"/>
      <c r="OOE1015"/>
      <c r="OOF1015"/>
      <c r="OOG1015"/>
      <c r="OOH1015"/>
      <c r="OOI1015"/>
      <c r="OOJ1015"/>
      <c r="OOK1015"/>
      <c r="OOL1015"/>
      <c r="OOM1015"/>
      <c r="OON1015"/>
      <c r="OOO1015"/>
      <c r="OOP1015"/>
      <c r="OOQ1015"/>
      <c r="OOR1015"/>
      <c r="OOS1015"/>
      <c r="OOT1015"/>
      <c r="OOU1015"/>
      <c r="OOV1015"/>
      <c r="OOW1015"/>
      <c r="OOX1015"/>
      <c r="OOY1015"/>
      <c r="OOZ1015"/>
      <c r="OPA1015"/>
      <c r="OPB1015"/>
      <c r="OPC1015"/>
      <c r="OPD1015"/>
      <c r="OPE1015"/>
      <c r="OPF1015"/>
      <c r="OPG1015"/>
      <c r="OPH1015"/>
      <c r="OPI1015"/>
      <c r="OPJ1015"/>
      <c r="OPK1015"/>
      <c r="OPL1015"/>
      <c r="OPM1015"/>
      <c r="OPN1015"/>
      <c r="OPO1015"/>
      <c r="OPP1015"/>
      <c r="OPQ1015"/>
      <c r="OPR1015"/>
      <c r="OPS1015"/>
      <c r="OPT1015"/>
      <c r="OPU1015"/>
      <c r="OPV1015"/>
      <c r="OPW1015"/>
      <c r="OPX1015"/>
      <c r="OPY1015"/>
      <c r="OPZ1015"/>
      <c r="OQA1015"/>
      <c r="OQB1015"/>
      <c r="OQC1015"/>
      <c r="OQD1015"/>
      <c r="OQE1015"/>
      <c r="OQF1015"/>
      <c r="OQG1015"/>
      <c r="OQH1015"/>
      <c r="OQI1015"/>
      <c r="OQJ1015"/>
      <c r="OQK1015"/>
      <c r="OQL1015"/>
      <c r="OQM1015"/>
      <c r="OQN1015"/>
      <c r="OQO1015"/>
      <c r="OQP1015"/>
      <c r="OQQ1015"/>
      <c r="OQR1015"/>
      <c r="OQS1015"/>
      <c r="OQT1015"/>
      <c r="OQU1015"/>
      <c r="OQV1015"/>
      <c r="OQW1015"/>
      <c r="OQX1015"/>
      <c r="OQY1015"/>
      <c r="OQZ1015"/>
      <c r="ORA1015"/>
      <c r="ORB1015"/>
      <c r="ORC1015"/>
      <c r="ORD1015"/>
      <c r="ORE1015"/>
      <c r="ORF1015"/>
      <c r="ORG1015"/>
      <c r="ORH1015"/>
      <c r="ORI1015"/>
      <c r="ORJ1015"/>
      <c r="ORK1015"/>
      <c r="ORL1015"/>
      <c r="ORM1015"/>
      <c r="ORN1015"/>
      <c r="ORO1015"/>
      <c r="ORP1015"/>
      <c r="ORQ1015"/>
      <c r="ORR1015"/>
      <c r="ORS1015"/>
      <c r="ORT1015"/>
      <c r="ORU1015"/>
      <c r="ORV1015"/>
      <c r="ORW1015"/>
      <c r="ORX1015"/>
      <c r="ORY1015"/>
      <c r="ORZ1015"/>
      <c r="OSA1015"/>
      <c r="OSB1015"/>
      <c r="OSC1015"/>
      <c r="OSD1015"/>
      <c r="OSE1015"/>
      <c r="OSF1015"/>
      <c r="OSG1015"/>
      <c r="OSH1015"/>
      <c r="OSI1015"/>
      <c r="OSJ1015"/>
      <c r="OSK1015"/>
      <c r="OSL1015"/>
      <c r="OSM1015"/>
      <c r="OSN1015"/>
      <c r="OSO1015"/>
      <c r="OSP1015"/>
      <c r="OSQ1015"/>
      <c r="OSR1015"/>
      <c r="OSS1015"/>
      <c r="OST1015"/>
      <c r="OSU1015"/>
      <c r="OSV1015"/>
      <c r="OSW1015"/>
      <c r="OSX1015"/>
      <c r="OSY1015"/>
      <c r="OSZ1015"/>
      <c r="OTA1015"/>
      <c r="OTB1015"/>
      <c r="OTC1015"/>
      <c r="OTD1015"/>
      <c r="OTE1015"/>
      <c r="OTF1015"/>
      <c r="OTG1015"/>
      <c r="OTH1015"/>
      <c r="OTI1015"/>
      <c r="OTJ1015"/>
      <c r="OTK1015"/>
      <c r="OTL1015"/>
      <c r="OTM1015"/>
      <c r="OTN1015"/>
      <c r="OTO1015"/>
      <c r="OTP1015"/>
      <c r="OTQ1015"/>
      <c r="OTR1015"/>
      <c r="OTS1015"/>
      <c r="OTT1015"/>
      <c r="OTU1015"/>
      <c r="OTV1015"/>
      <c r="OTW1015"/>
      <c r="OTX1015"/>
      <c r="OTY1015"/>
      <c r="OTZ1015"/>
      <c r="OUA1015"/>
      <c r="OUB1015"/>
      <c r="OUC1015"/>
      <c r="OUD1015"/>
      <c r="OUE1015"/>
      <c r="OUF1015"/>
      <c r="OUG1015"/>
      <c r="OUH1015"/>
      <c r="OUI1015"/>
      <c r="OUJ1015"/>
      <c r="OUK1015"/>
      <c r="OUL1015"/>
      <c r="OUM1015"/>
      <c r="OUN1015"/>
      <c r="OUO1015"/>
      <c r="OUP1015"/>
      <c r="OUQ1015"/>
      <c r="OUR1015"/>
      <c r="OUS1015"/>
      <c r="OUT1015"/>
      <c r="OUU1015"/>
      <c r="OUV1015"/>
      <c r="OUW1015"/>
      <c r="OUX1015"/>
      <c r="OUY1015"/>
      <c r="OUZ1015"/>
      <c r="OVA1015"/>
      <c r="OVB1015"/>
      <c r="OVC1015"/>
      <c r="OVD1015"/>
      <c r="OVE1015"/>
      <c r="OVF1015"/>
      <c r="OVG1015"/>
      <c r="OVH1015"/>
      <c r="OVI1015"/>
      <c r="OVJ1015"/>
      <c r="OVK1015"/>
      <c r="OVL1015"/>
      <c r="OVM1015"/>
      <c r="OVN1015"/>
      <c r="OVO1015"/>
      <c r="OVP1015"/>
      <c r="OVQ1015"/>
      <c r="OVR1015"/>
      <c r="OVS1015"/>
      <c r="OVT1015"/>
      <c r="OVU1015"/>
      <c r="OVV1015"/>
      <c r="OVW1015"/>
      <c r="OVX1015"/>
      <c r="OVY1015"/>
      <c r="OVZ1015"/>
      <c r="OWA1015"/>
      <c r="OWB1015"/>
      <c r="OWC1015"/>
      <c r="OWD1015"/>
      <c r="OWE1015"/>
      <c r="OWF1015"/>
      <c r="OWG1015"/>
      <c r="OWH1015"/>
      <c r="OWI1015"/>
      <c r="OWJ1015"/>
      <c r="OWK1015"/>
      <c r="OWL1015"/>
      <c r="OWM1015"/>
      <c r="OWN1015"/>
      <c r="OWO1015"/>
      <c r="OWP1015"/>
      <c r="OWQ1015"/>
      <c r="OWR1015"/>
      <c r="OWS1015"/>
      <c r="OWT1015"/>
      <c r="OWU1015"/>
      <c r="OWV1015"/>
      <c r="OWW1015"/>
      <c r="OWX1015"/>
      <c r="OWY1015"/>
      <c r="OWZ1015"/>
      <c r="OXA1015"/>
      <c r="OXB1015"/>
      <c r="OXC1015"/>
      <c r="OXD1015"/>
      <c r="OXE1015"/>
      <c r="OXF1015"/>
      <c r="OXG1015"/>
      <c r="OXH1015"/>
      <c r="OXI1015"/>
      <c r="OXJ1015"/>
      <c r="OXK1015"/>
      <c r="OXL1015"/>
      <c r="OXM1015"/>
      <c r="OXN1015"/>
      <c r="OXO1015"/>
      <c r="OXP1015"/>
      <c r="OXQ1015"/>
      <c r="OXR1015"/>
      <c r="OXS1015"/>
      <c r="OXT1015"/>
      <c r="OXU1015"/>
      <c r="OXV1015"/>
      <c r="OXW1015"/>
      <c r="OXX1015"/>
      <c r="OXY1015"/>
      <c r="OXZ1015"/>
      <c r="OYA1015"/>
      <c r="OYB1015"/>
      <c r="OYC1015"/>
      <c r="OYD1015"/>
      <c r="OYE1015"/>
      <c r="OYF1015"/>
      <c r="OYG1015"/>
      <c r="OYH1015"/>
      <c r="OYI1015"/>
      <c r="OYJ1015"/>
      <c r="OYK1015"/>
      <c r="OYL1015"/>
      <c r="OYM1015"/>
      <c r="OYN1015"/>
      <c r="OYO1015"/>
      <c r="OYP1015"/>
      <c r="OYQ1015"/>
      <c r="OYR1015"/>
      <c r="OYS1015"/>
      <c r="OYT1015"/>
      <c r="OYU1015"/>
      <c r="OYV1015"/>
      <c r="OYW1015"/>
      <c r="OYX1015"/>
      <c r="OYY1015"/>
      <c r="OYZ1015"/>
      <c r="OZA1015"/>
      <c r="OZB1015"/>
      <c r="OZC1015"/>
      <c r="OZD1015"/>
      <c r="OZE1015"/>
      <c r="OZF1015"/>
      <c r="OZG1015"/>
      <c r="OZH1015"/>
      <c r="OZI1015"/>
      <c r="OZJ1015"/>
      <c r="OZK1015"/>
      <c r="OZL1015"/>
      <c r="OZM1015"/>
      <c r="OZN1015"/>
      <c r="OZO1015"/>
      <c r="OZP1015"/>
      <c r="OZQ1015"/>
      <c r="OZR1015"/>
      <c r="OZS1015"/>
      <c r="OZT1015"/>
      <c r="OZU1015"/>
      <c r="OZV1015"/>
      <c r="OZW1015"/>
      <c r="OZX1015"/>
      <c r="OZY1015"/>
      <c r="OZZ1015"/>
      <c r="PAA1015"/>
      <c r="PAB1015"/>
      <c r="PAC1015"/>
      <c r="PAD1015"/>
      <c r="PAE1015"/>
      <c r="PAF1015"/>
      <c r="PAG1015"/>
      <c r="PAH1015"/>
      <c r="PAI1015"/>
      <c r="PAJ1015"/>
      <c r="PAK1015"/>
      <c r="PAL1015"/>
      <c r="PAM1015"/>
      <c r="PAN1015"/>
      <c r="PAO1015"/>
      <c r="PAP1015"/>
      <c r="PAQ1015"/>
      <c r="PAR1015"/>
      <c r="PAS1015"/>
      <c r="PAT1015"/>
      <c r="PAU1015"/>
      <c r="PAV1015"/>
      <c r="PAW1015"/>
      <c r="PAX1015"/>
      <c r="PAY1015"/>
      <c r="PAZ1015"/>
      <c r="PBA1015"/>
      <c r="PBB1015"/>
      <c r="PBC1015"/>
      <c r="PBD1015"/>
      <c r="PBE1015"/>
      <c r="PBF1015"/>
      <c r="PBG1015"/>
      <c r="PBH1015"/>
      <c r="PBI1015"/>
      <c r="PBJ1015"/>
      <c r="PBK1015"/>
      <c r="PBL1015"/>
      <c r="PBM1015"/>
      <c r="PBN1015"/>
      <c r="PBO1015"/>
      <c r="PBP1015"/>
      <c r="PBQ1015"/>
      <c r="PBR1015"/>
      <c r="PBS1015"/>
      <c r="PBT1015"/>
      <c r="PBU1015"/>
      <c r="PBV1015"/>
      <c r="PBW1015"/>
      <c r="PBX1015"/>
      <c r="PBY1015"/>
      <c r="PBZ1015"/>
      <c r="PCA1015"/>
      <c r="PCB1015"/>
      <c r="PCC1015"/>
      <c r="PCD1015"/>
      <c r="PCE1015"/>
      <c r="PCF1015"/>
      <c r="PCG1015"/>
      <c r="PCH1015"/>
      <c r="PCI1015"/>
      <c r="PCJ1015"/>
      <c r="PCK1015"/>
      <c r="PCL1015"/>
      <c r="PCM1015"/>
      <c r="PCN1015"/>
      <c r="PCO1015"/>
      <c r="PCP1015"/>
      <c r="PCQ1015"/>
      <c r="PCR1015"/>
      <c r="PCS1015"/>
      <c r="PCT1015"/>
      <c r="PCU1015"/>
      <c r="PCV1015"/>
      <c r="PCW1015"/>
      <c r="PCX1015"/>
      <c r="PCY1015"/>
      <c r="PCZ1015"/>
      <c r="PDA1015"/>
      <c r="PDB1015"/>
      <c r="PDC1015"/>
      <c r="PDD1015"/>
      <c r="PDE1015"/>
      <c r="PDF1015"/>
      <c r="PDG1015"/>
      <c r="PDH1015"/>
      <c r="PDI1015"/>
      <c r="PDJ1015"/>
      <c r="PDK1015"/>
      <c r="PDL1015"/>
      <c r="PDM1015"/>
      <c r="PDN1015"/>
      <c r="PDO1015"/>
      <c r="PDP1015"/>
      <c r="PDQ1015"/>
      <c r="PDR1015"/>
      <c r="PDS1015"/>
      <c r="PDT1015"/>
      <c r="PDU1015"/>
      <c r="PDV1015"/>
      <c r="PDW1015"/>
      <c r="PDX1015"/>
      <c r="PDY1015"/>
      <c r="PDZ1015"/>
      <c r="PEA1015"/>
      <c r="PEB1015"/>
      <c r="PEC1015"/>
      <c r="PED1015"/>
      <c r="PEE1015"/>
      <c r="PEF1015"/>
      <c r="PEG1015"/>
      <c r="PEH1015"/>
      <c r="PEI1015"/>
      <c r="PEJ1015"/>
      <c r="PEK1015"/>
      <c r="PEL1015"/>
      <c r="PEM1015"/>
      <c r="PEN1015"/>
      <c r="PEO1015"/>
      <c r="PEP1015"/>
      <c r="PEQ1015"/>
      <c r="PER1015"/>
      <c r="PES1015"/>
      <c r="PET1015"/>
      <c r="PEU1015"/>
      <c r="PEV1015"/>
      <c r="PEW1015"/>
      <c r="PEX1015"/>
      <c r="PEY1015"/>
      <c r="PEZ1015"/>
      <c r="PFA1015"/>
      <c r="PFB1015"/>
      <c r="PFC1015"/>
      <c r="PFD1015"/>
      <c r="PFE1015"/>
      <c r="PFF1015"/>
      <c r="PFG1015"/>
      <c r="PFH1015"/>
      <c r="PFI1015"/>
      <c r="PFJ1015"/>
      <c r="PFK1015"/>
      <c r="PFL1015"/>
      <c r="PFM1015"/>
      <c r="PFN1015"/>
      <c r="PFO1015"/>
      <c r="PFP1015"/>
      <c r="PFQ1015"/>
      <c r="PFR1015"/>
      <c r="PFS1015"/>
      <c r="PFT1015"/>
      <c r="PFU1015"/>
      <c r="PFV1015"/>
      <c r="PFW1015"/>
      <c r="PFX1015"/>
      <c r="PFY1015"/>
      <c r="PFZ1015"/>
      <c r="PGA1015"/>
      <c r="PGB1015"/>
      <c r="PGC1015"/>
      <c r="PGD1015"/>
      <c r="PGE1015"/>
      <c r="PGF1015"/>
      <c r="PGG1015"/>
      <c r="PGH1015"/>
      <c r="PGI1015"/>
      <c r="PGJ1015"/>
      <c r="PGK1015"/>
      <c r="PGL1015"/>
      <c r="PGM1015"/>
      <c r="PGN1015"/>
      <c r="PGO1015"/>
      <c r="PGP1015"/>
      <c r="PGQ1015"/>
      <c r="PGR1015"/>
      <c r="PGS1015"/>
      <c r="PGT1015"/>
      <c r="PGU1015"/>
      <c r="PGV1015"/>
      <c r="PGW1015"/>
      <c r="PGX1015"/>
      <c r="PGY1015"/>
      <c r="PGZ1015"/>
      <c r="PHA1015"/>
      <c r="PHB1015"/>
      <c r="PHC1015"/>
      <c r="PHD1015"/>
      <c r="PHE1015"/>
      <c r="PHF1015"/>
      <c r="PHG1015"/>
      <c r="PHH1015"/>
      <c r="PHI1015"/>
      <c r="PHJ1015"/>
      <c r="PHK1015"/>
      <c r="PHL1015"/>
      <c r="PHM1015"/>
      <c r="PHN1015"/>
      <c r="PHO1015"/>
      <c r="PHP1015"/>
      <c r="PHQ1015"/>
      <c r="PHR1015"/>
      <c r="PHS1015"/>
      <c r="PHT1015"/>
      <c r="PHU1015"/>
      <c r="PHV1015"/>
      <c r="PHW1015"/>
      <c r="PHX1015"/>
      <c r="PHY1015"/>
      <c r="PHZ1015"/>
      <c r="PIA1015"/>
      <c r="PIB1015"/>
      <c r="PIC1015"/>
      <c r="PID1015"/>
      <c r="PIE1015"/>
      <c r="PIF1015"/>
      <c r="PIG1015"/>
      <c r="PIH1015"/>
      <c r="PII1015"/>
      <c r="PIJ1015"/>
      <c r="PIK1015"/>
      <c r="PIL1015"/>
      <c r="PIM1015"/>
      <c r="PIN1015"/>
      <c r="PIO1015"/>
      <c r="PIP1015"/>
      <c r="PIQ1015"/>
      <c r="PIR1015"/>
      <c r="PIS1015"/>
      <c r="PIT1015"/>
      <c r="PIU1015"/>
      <c r="PIV1015"/>
      <c r="PIW1015"/>
      <c r="PIX1015"/>
      <c r="PIY1015"/>
      <c r="PIZ1015"/>
      <c r="PJA1015"/>
      <c r="PJB1015"/>
      <c r="PJC1015"/>
      <c r="PJD1015"/>
      <c r="PJE1015"/>
      <c r="PJF1015"/>
      <c r="PJG1015"/>
      <c r="PJH1015"/>
      <c r="PJI1015"/>
      <c r="PJJ1015"/>
      <c r="PJK1015"/>
      <c r="PJL1015"/>
      <c r="PJM1015"/>
      <c r="PJN1015"/>
      <c r="PJO1015"/>
      <c r="PJP1015"/>
      <c r="PJQ1015"/>
      <c r="PJR1015"/>
      <c r="PJS1015"/>
      <c r="PJT1015"/>
      <c r="PJU1015"/>
      <c r="PJV1015"/>
      <c r="PJW1015"/>
      <c r="PJX1015"/>
      <c r="PJY1015"/>
      <c r="PJZ1015"/>
      <c r="PKA1015"/>
      <c r="PKB1015"/>
      <c r="PKC1015"/>
      <c r="PKD1015"/>
      <c r="PKE1015"/>
      <c r="PKF1015"/>
      <c r="PKG1015"/>
      <c r="PKH1015"/>
      <c r="PKI1015"/>
      <c r="PKJ1015"/>
      <c r="PKK1015"/>
      <c r="PKL1015"/>
      <c r="PKM1015"/>
      <c r="PKN1015"/>
      <c r="PKO1015"/>
      <c r="PKP1015"/>
      <c r="PKQ1015"/>
      <c r="PKR1015"/>
      <c r="PKS1015"/>
      <c r="PKT1015"/>
      <c r="PKU1015"/>
      <c r="PKV1015"/>
      <c r="PKW1015"/>
      <c r="PKX1015"/>
      <c r="PKY1015"/>
      <c r="PKZ1015"/>
      <c r="PLA1015"/>
      <c r="PLB1015"/>
      <c r="PLC1015"/>
      <c r="PLD1015"/>
      <c r="PLE1015"/>
      <c r="PLF1015"/>
      <c r="PLG1015"/>
      <c r="PLH1015"/>
      <c r="PLI1015"/>
      <c r="PLJ1015"/>
      <c r="PLK1015"/>
      <c r="PLL1015"/>
      <c r="PLM1015"/>
      <c r="PLN1015"/>
      <c r="PLO1015"/>
      <c r="PLP1015"/>
      <c r="PLQ1015"/>
      <c r="PLR1015"/>
      <c r="PLS1015"/>
      <c r="PLT1015"/>
      <c r="PLU1015"/>
      <c r="PLV1015"/>
      <c r="PLW1015"/>
      <c r="PLX1015"/>
      <c r="PLY1015"/>
      <c r="PLZ1015"/>
      <c r="PMA1015"/>
      <c r="PMB1015"/>
      <c r="PMC1015"/>
      <c r="PMD1015"/>
      <c r="PME1015"/>
      <c r="PMF1015"/>
      <c r="PMG1015"/>
      <c r="PMH1015"/>
      <c r="PMI1015"/>
      <c r="PMJ1015"/>
      <c r="PMK1015"/>
      <c r="PML1015"/>
      <c r="PMM1015"/>
      <c r="PMN1015"/>
      <c r="PMO1015"/>
      <c r="PMP1015"/>
      <c r="PMQ1015"/>
      <c r="PMR1015"/>
      <c r="PMS1015"/>
      <c r="PMT1015"/>
      <c r="PMU1015"/>
      <c r="PMV1015"/>
      <c r="PMW1015"/>
      <c r="PMX1015"/>
      <c r="PMY1015"/>
      <c r="PMZ1015"/>
      <c r="PNA1015"/>
      <c r="PNB1015"/>
      <c r="PNC1015"/>
      <c r="PND1015"/>
      <c r="PNE1015"/>
      <c r="PNF1015"/>
      <c r="PNG1015"/>
      <c r="PNH1015"/>
      <c r="PNI1015"/>
      <c r="PNJ1015"/>
      <c r="PNK1015"/>
      <c r="PNL1015"/>
      <c r="PNM1015"/>
      <c r="PNN1015"/>
      <c r="PNO1015"/>
      <c r="PNP1015"/>
      <c r="PNQ1015"/>
      <c r="PNR1015"/>
      <c r="PNS1015"/>
      <c r="PNT1015"/>
      <c r="PNU1015"/>
      <c r="PNV1015"/>
      <c r="PNW1015"/>
      <c r="PNX1015"/>
      <c r="PNY1015"/>
      <c r="PNZ1015"/>
      <c r="POA1015"/>
      <c r="POB1015"/>
      <c r="POC1015"/>
      <c r="POD1015"/>
      <c r="POE1015"/>
      <c r="POF1015"/>
      <c r="POG1015"/>
      <c r="POH1015"/>
      <c r="POI1015"/>
      <c r="POJ1015"/>
      <c r="POK1015"/>
      <c r="POL1015"/>
      <c r="POM1015"/>
      <c r="PON1015"/>
      <c r="POO1015"/>
      <c r="POP1015"/>
      <c r="POQ1015"/>
      <c r="POR1015"/>
      <c r="POS1015"/>
      <c r="POT1015"/>
      <c r="POU1015"/>
      <c r="POV1015"/>
      <c r="POW1015"/>
      <c r="POX1015"/>
      <c r="POY1015"/>
      <c r="POZ1015"/>
      <c r="PPA1015"/>
      <c r="PPB1015"/>
      <c r="PPC1015"/>
      <c r="PPD1015"/>
      <c r="PPE1015"/>
      <c r="PPF1015"/>
      <c r="PPG1015"/>
      <c r="PPH1015"/>
      <c r="PPI1015"/>
      <c r="PPJ1015"/>
      <c r="PPK1015"/>
      <c r="PPL1015"/>
      <c r="PPM1015"/>
      <c r="PPN1015"/>
      <c r="PPO1015"/>
      <c r="PPP1015"/>
      <c r="PPQ1015"/>
      <c r="PPR1015"/>
      <c r="PPS1015"/>
      <c r="PPT1015"/>
      <c r="PPU1015"/>
      <c r="PPV1015"/>
      <c r="PPW1015"/>
      <c r="PPX1015"/>
      <c r="PPY1015"/>
      <c r="PPZ1015"/>
      <c r="PQA1015"/>
      <c r="PQB1015"/>
      <c r="PQC1015"/>
      <c r="PQD1015"/>
      <c r="PQE1015"/>
      <c r="PQF1015"/>
      <c r="PQG1015"/>
      <c r="PQH1015"/>
      <c r="PQI1015"/>
      <c r="PQJ1015"/>
      <c r="PQK1015"/>
      <c r="PQL1015"/>
      <c r="PQM1015"/>
      <c r="PQN1015"/>
      <c r="PQO1015"/>
      <c r="PQP1015"/>
      <c r="PQQ1015"/>
      <c r="PQR1015"/>
      <c r="PQS1015"/>
      <c r="PQT1015"/>
      <c r="PQU1015"/>
      <c r="PQV1015"/>
      <c r="PQW1015"/>
      <c r="PQX1015"/>
      <c r="PQY1015"/>
      <c r="PQZ1015"/>
      <c r="PRA1015"/>
      <c r="PRB1015"/>
      <c r="PRC1015"/>
      <c r="PRD1015"/>
      <c r="PRE1015"/>
      <c r="PRF1015"/>
      <c r="PRG1015"/>
      <c r="PRH1015"/>
      <c r="PRI1015"/>
      <c r="PRJ1015"/>
      <c r="PRK1015"/>
      <c r="PRL1015"/>
      <c r="PRM1015"/>
      <c r="PRN1015"/>
      <c r="PRO1015"/>
      <c r="PRP1015"/>
      <c r="PRQ1015"/>
      <c r="PRR1015"/>
      <c r="PRS1015"/>
      <c r="PRT1015"/>
      <c r="PRU1015"/>
      <c r="PRV1015"/>
      <c r="PRW1015"/>
      <c r="PRX1015"/>
      <c r="PRY1015"/>
      <c r="PRZ1015"/>
      <c r="PSA1015"/>
      <c r="PSB1015"/>
      <c r="PSC1015"/>
      <c r="PSD1015"/>
      <c r="PSE1015"/>
      <c r="PSF1015"/>
      <c r="PSG1015"/>
      <c r="PSH1015"/>
      <c r="PSI1015"/>
      <c r="PSJ1015"/>
      <c r="PSK1015"/>
      <c r="PSL1015"/>
      <c r="PSM1015"/>
      <c r="PSN1015"/>
      <c r="PSO1015"/>
      <c r="PSP1015"/>
      <c r="PSQ1015"/>
      <c r="PSR1015"/>
      <c r="PSS1015"/>
      <c r="PST1015"/>
      <c r="PSU1015"/>
      <c r="PSV1015"/>
      <c r="PSW1015"/>
      <c r="PSX1015"/>
      <c r="PSY1015"/>
      <c r="PSZ1015"/>
      <c r="PTA1015"/>
      <c r="PTB1015"/>
      <c r="PTC1015"/>
      <c r="PTD1015"/>
      <c r="PTE1015"/>
      <c r="PTF1015"/>
      <c r="PTG1015"/>
      <c r="PTH1015"/>
      <c r="PTI1015"/>
      <c r="PTJ1015"/>
      <c r="PTK1015"/>
      <c r="PTL1015"/>
      <c r="PTM1015"/>
      <c r="PTN1015"/>
      <c r="PTO1015"/>
      <c r="PTP1015"/>
      <c r="PTQ1015"/>
      <c r="PTR1015"/>
      <c r="PTS1015"/>
      <c r="PTT1015"/>
      <c r="PTU1015"/>
      <c r="PTV1015"/>
      <c r="PTW1015"/>
      <c r="PTX1015"/>
      <c r="PTY1015"/>
      <c r="PTZ1015"/>
      <c r="PUA1015"/>
      <c r="PUB1015"/>
      <c r="PUC1015"/>
      <c r="PUD1015"/>
      <c r="PUE1015"/>
      <c r="PUF1015"/>
      <c r="PUG1015"/>
      <c r="PUH1015"/>
      <c r="PUI1015"/>
      <c r="PUJ1015"/>
      <c r="PUK1015"/>
      <c r="PUL1015"/>
      <c r="PUM1015"/>
      <c r="PUN1015"/>
      <c r="PUO1015"/>
      <c r="PUP1015"/>
      <c r="PUQ1015"/>
      <c r="PUR1015"/>
      <c r="PUS1015"/>
      <c r="PUT1015"/>
      <c r="PUU1015"/>
      <c r="PUV1015"/>
      <c r="PUW1015"/>
      <c r="PUX1015"/>
      <c r="PUY1015"/>
      <c r="PUZ1015"/>
      <c r="PVA1015"/>
      <c r="PVB1015"/>
      <c r="PVC1015"/>
      <c r="PVD1015"/>
      <c r="PVE1015"/>
      <c r="PVF1015"/>
      <c r="PVG1015"/>
      <c r="PVH1015"/>
      <c r="PVI1015"/>
      <c r="PVJ1015"/>
      <c r="PVK1015"/>
      <c r="PVL1015"/>
      <c r="PVM1015"/>
      <c r="PVN1015"/>
      <c r="PVO1015"/>
      <c r="PVP1015"/>
      <c r="PVQ1015"/>
      <c r="PVR1015"/>
      <c r="PVS1015"/>
      <c r="PVT1015"/>
      <c r="PVU1015"/>
      <c r="PVV1015"/>
      <c r="PVW1015"/>
      <c r="PVX1015"/>
      <c r="PVY1015"/>
      <c r="PVZ1015"/>
      <c r="PWA1015"/>
      <c r="PWB1015"/>
      <c r="PWC1015"/>
      <c r="PWD1015"/>
      <c r="PWE1015"/>
      <c r="PWF1015"/>
      <c r="PWG1015"/>
      <c r="PWH1015"/>
      <c r="PWI1015"/>
      <c r="PWJ1015"/>
      <c r="PWK1015"/>
      <c r="PWL1015"/>
      <c r="PWM1015"/>
      <c r="PWN1015"/>
      <c r="PWO1015"/>
      <c r="PWP1015"/>
      <c r="PWQ1015"/>
      <c r="PWR1015"/>
      <c r="PWS1015"/>
      <c r="PWT1015"/>
      <c r="PWU1015"/>
      <c r="PWV1015"/>
      <c r="PWW1015"/>
      <c r="PWX1015"/>
      <c r="PWY1015"/>
      <c r="PWZ1015"/>
      <c r="PXA1015"/>
      <c r="PXB1015"/>
      <c r="PXC1015"/>
      <c r="PXD1015"/>
      <c r="PXE1015"/>
      <c r="PXF1015"/>
      <c r="PXG1015"/>
      <c r="PXH1015"/>
      <c r="PXI1015"/>
      <c r="PXJ1015"/>
      <c r="PXK1015"/>
      <c r="PXL1015"/>
      <c r="PXM1015"/>
      <c r="PXN1015"/>
      <c r="PXO1015"/>
      <c r="PXP1015"/>
      <c r="PXQ1015"/>
      <c r="PXR1015"/>
      <c r="PXS1015"/>
      <c r="PXT1015"/>
      <c r="PXU1015"/>
      <c r="PXV1015"/>
      <c r="PXW1015"/>
      <c r="PXX1015"/>
      <c r="PXY1015"/>
      <c r="PXZ1015"/>
      <c r="PYA1015"/>
      <c r="PYB1015"/>
      <c r="PYC1015"/>
      <c r="PYD1015"/>
      <c r="PYE1015"/>
      <c r="PYF1015"/>
      <c r="PYG1015"/>
      <c r="PYH1015"/>
      <c r="PYI1015"/>
      <c r="PYJ1015"/>
      <c r="PYK1015"/>
      <c r="PYL1015"/>
      <c r="PYM1015"/>
      <c r="PYN1015"/>
      <c r="PYO1015"/>
      <c r="PYP1015"/>
      <c r="PYQ1015"/>
      <c r="PYR1015"/>
      <c r="PYS1015"/>
      <c r="PYT1015"/>
      <c r="PYU1015"/>
      <c r="PYV1015"/>
      <c r="PYW1015"/>
      <c r="PYX1015"/>
      <c r="PYY1015"/>
      <c r="PYZ1015"/>
      <c r="PZA1015"/>
      <c r="PZB1015"/>
      <c r="PZC1015"/>
      <c r="PZD1015"/>
      <c r="PZE1015"/>
      <c r="PZF1015"/>
      <c r="PZG1015"/>
      <c r="PZH1015"/>
      <c r="PZI1015"/>
      <c r="PZJ1015"/>
      <c r="PZK1015"/>
      <c r="PZL1015"/>
      <c r="PZM1015"/>
      <c r="PZN1015"/>
      <c r="PZO1015"/>
      <c r="PZP1015"/>
      <c r="PZQ1015"/>
      <c r="PZR1015"/>
      <c r="PZS1015"/>
      <c r="PZT1015"/>
      <c r="PZU1015"/>
      <c r="PZV1015"/>
      <c r="PZW1015"/>
      <c r="PZX1015"/>
      <c r="PZY1015"/>
      <c r="PZZ1015"/>
      <c r="QAA1015"/>
      <c r="QAB1015"/>
      <c r="QAC1015"/>
      <c r="QAD1015"/>
      <c r="QAE1015"/>
      <c r="QAF1015"/>
      <c r="QAG1015"/>
      <c r="QAH1015"/>
      <c r="QAI1015"/>
      <c r="QAJ1015"/>
      <c r="QAK1015"/>
      <c r="QAL1015"/>
      <c r="QAM1015"/>
      <c r="QAN1015"/>
      <c r="QAO1015"/>
      <c r="QAP1015"/>
      <c r="QAQ1015"/>
      <c r="QAR1015"/>
      <c r="QAS1015"/>
      <c r="QAT1015"/>
      <c r="QAU1015"/>
      <c r="QAV1015"/>
      <c r="QAW1015"/>
      <c r="QAX1015"/>
      <c r="QAY1015"/>
      <c r="QAZ1015"/>
      <c r="QBA1015"/>
      <c r="QBB1015"/>
      <c r="QBC1015"/>
      <c r="QBD1015"/>
      <c r="QBE1015"/>
      <c r="QBF1015"/>
      <c r="QBG1015"/>
      <c r="QBH1015"/>
      <c r="QBI1015"/>
      <c r="QBJ1015"/>
      <c r="QBK1015"/>
      <c r="QBL1015"/>
      <c r="QBM1015"/>
      <c r="QBN1015"/>
      <c r="QBO1015"/>
      <c r="QBP1015"/>
      <c r="QBQ1015"/>
      <c r="QBR1015"/>
      <c r="QBS1015"/>
      <c r="QBT1015"/>
      <c r="QBU1015"/>
      <c r="QBV1015"/>
      <c r="QBW1015"/>
      <c r="QBX1015"/>
      <c r="QBY1015"/>
      <c r="QBZ1015"/>
      <c r="QCA1015"/>
      <c r="QCB1015"/>
      <c r="QCC1015"/>
      <c r="QCD1015"/>
      <c r="QCE1015"/>
      <c r="QCF1015"/>
      <c r="QCG1015"/>
      <c r="QCH1015"/>
      <c r="QCI1015"/>
      <c r="QCJ1015"/>
      <c r="QCK1015"/>
      <c r="QCL1015"/>
      <c r="QCM1015"/>
      <c r="QCN1015"/>
      <c r="QCO1015"/>
      <c r="QCP1015"/>
      <c r="QCQ1015"/>
      <c r="QCR1015"/>
      <c r="QCS1015"/>
      <c r="QCT1015"/>
      <c r="QCU1015"/>
      <c r="QCV1015"/>
      <c r="QCW1015"/>
      <c r="QCX1015"/>
      <c r="QCY1015"/>
      <c r="QCZ1015"/>
      <c r="QDA1015"/>
      <c r="QDB1015"/>
      <c r="QDC1015"/>
      <c r="QDD1015"/>
      <c r="QDE1015"/>
      <c r="QDF1015"/>
      <c r="QDG1015"/>
      <c r="QDH1015"/>
      <c r="QDI1015"/>
      <c r="QDJ1015"/>
      <c r="QDK1015"/>
      <c r="QDL1015"/>
      <c r="QDM1015"/>
      <c r="QDN1015"/>
      <c r="QDO1015"/>
      <c r="QDP1015"/>
      <c r="QDQ1015"/>
      <c r="QDR1015"/>
      <c r="QDS1015"/>
      <c r="QDT1015"/>
      <c r="QDU1015"/>
      <c r="QDV1015"/>
      <c r="QDW1015"/>
      <c r="QDX1015"/>
      <c r="QDY1015"/>
      <c r="QDZ1015"/>
      <c r="QEA1015"/>
      <c r="QEB1015"/>
      <c r="QEC1015"/>
      <c r="QED1015"/>
      <c r="QEE1015"/>
      <c r="QEF1015"/>
      <c r="QEG1015"/>
      <c r="QEH1015"/>
      <c r="QEI1015"/>
      <c r="QEJ1015"/>
      <c r="QEK1015"/>
      <c r="QEL1015"/>
      <c r="QEM1015"/>
      <c r="QEN1015"/>
      <c r="QEO1015"/>
      <c r="QEP1015"/>
      <c r="QEQ1015"/>
      <c r="QER1015"/>
      <c r="QES1015"/>
      <c r="QET1015"/>
      <c r="QEU1015"/>
      <c r="QEV1015"/>
      <c r="QEW1015"/>
      <c r="QEX1015"/>
      <c r="QEY1015"/>
      <c r="QEZ1015"/>
      <c r="QFA1015"/>
      <c r="QFB1015"/>
      <c r="QFC1015"/>
      <c r="QFD1015"/>
      <c r="QFE1015"/>
      <c r="QFF1015"/>
      <c r="QFG1015"/>
      <c r="QFH1015"/>
      <c r="QFI1015"/>
      <c r="QFJ1015"/>
      <c r="QFK1015"/>
      <c r="QFL1015"/>
      <c r="QFM1015"/>
      <c r="QFN1015"/>
      <c r="QFO1015"/>
      <c r="QFP1015"/>
      <c r="QFQ1015"/>
      <c r="QFR1015"/>
      <c r="QFS1015"/>
      <c r="QFT1015"/>
      <c r="QFU1015"/>
      <c r="QFV1015"/>
      <c r="QFW1015"/>
      <c r="QFX1015"/>
      <c r="QFY1015"/>
      <c r="QFZ1015"/>
      <c r="QGA1015"/>
      <c r="QGB1015"/>
      <c r="QGC1015"/>
      <c r="QGD1015"/>
      <c r="QGE1015"/>
      <c r="QGF1015"/>
      <c r="QGG1015"/>
      <c r="QGH1015"/>
      <c r="QGI1015"/>
      <c r="QGJ1015"/>
      <c r="QGK1015"/>
      <c r="QGL1015"/>
      <c r="QGM1015"/>
      <c r="QGN1015"/>
      <c r="QGO1015"/>
      <c r="QGP1015"/>
      <c r="QGQ1015"/>
      <c r="QGR1015"/>
      <c r="QGS1015"/>
      <c r="QGT1015"/>
      <c r="QGU1015"/>
      <c r="QGV1015"/>
      <c r="QGW1015"/>
      <c r="QGX1015"/>
      <c r="QGY1015"/>
      <c r="QGZ1015"/>
      <c r="QHA1015"/>
      <c r="QHB1015"/>
      <c r="QHC1015"/>
      <c r="QHD1015"/>
      <c r="QHE1015"/>
      <c r="QHF1015"/>
      <c r="QHG1015"/>
      <c r="QHH1015"/>
      <c r="QHI1015"/>
      <c r="QHJ1015"/>
      <c r="QHK1015"/>
      <c r="QHL1015"/>
      <c r="QHM1015"/>
      <c r="QHN1015"/>
      <c r="QHO1015"/>
      <c r="QHP1015"/>
      <c r="QHQ1015"/>
      <c r="QHR1015"/>
      <c r="QHS1015"/>
      <c r="QHT1015"/>
      <c r="QHU1015"/>
      <c r="QHV1015"/>
      <c r="QHW1015"/>
      <c r="QHX1015"/>
      <c r="QHY1015"/>
      <c r="QHZ1015"/>
      <c r="QIA1015"/>
      <c r="QIB1015"/>
      <c r="QIC1015"/>
      <c r="QID1015"/>
      <c r="QIE1015"/>
      <c r="QIF1015"/>
      <c r="QIG1015"/>
      <c r="QIH1015"/>
      <c r="QII1015"/>
      <c r="QIJ1015"/>
      <c r="QIK1015"/>
      <c r="QIL1015"/>
      <c r="QIM1015"/>
      <c r="QIN1015"/>
      <c r="QIO1015"/>
      <c r="QIP1015"/>
      <c r="QIQ1015"/>
      <c r="QIR1015"/>
      <c r="QIS1015"/>
      <c r="QIT1015"/>
      <c r="QIU1015"/>
      <c r="QIV1015"/>
      <c r="QIW1015"/>
      <c r="QIX1015"/>
      <c r="QIY1015"/>
      <c r="QIZ1015"/>
      <c r="QJA1015"/>
      <c r="QJB1015"/>
      <c r="QJC1015"/>
      <c r="QJD1015"/>
      <c r="QJE1015"/>
      <c r="QJF1015"/>
      <c r="QJG1015"/>
      <c r="QJH1015"/>
      <c r="QJI1015"/>
      <c r="QJJ1015"/>
      <c r="QJK1015"/>
      <c r="QJL1015"/>
      <c r="QJM1015"/>
      <c r="QJN1015"/>
      <c r="QJO1015"/>
      <c r="QJP1015"/>
      <c r="QJQ1015"/>
      <c r="QJR1015"/>
      <c r="QJS1015"/>
      <c r="QJT1015"/>
      <c r="QJU1015"/>
      <c r="QJV1015"/>
      <c r="QJW1015"/>
      <c r="QJX1015"/>
      <c r="QJY1015"/>
      <c r="QJZ1015"/>
      <c r="QKA1015"/>
      <c r="QKB1015"/>
      <c r="QKC1015"/>
      <c r="QKD1015"/>
      <c r="QKE1015"/>
      <c r="QKF1015"/>
      <c r="QKG1015"/>
      <c r="QKH1015"/>
      <c r="QKI1015"/>
      <c r="QKJ1015"/>
      <c r="QKK1015"/>
      <c r="QKL1015"/>
      <c r="QKM1015"/>
      <c r="QKN1015"/>
      <c r="QKO1015"/>
      <c r="QKP1015"/>
      <c r="QKQ1015"/>
      <c r="QKR1015"/>
      <c r="QKS1015"/>
      <c r="QKT1015"/>
      <c r="QKU1015"/>
      <c r="QKV1015"/>
      <c r="QKW1015"/>
      <c r="QKX1015"/>
      <c r="QKY1015"/>
      <c r="QKZ1015"/>
      <c r="QLA1015"/>
      <c r="QLB1015"/>
      <c r="QLC1015"/>
      <c r="QLD1015"/>
      <c r="QLE1015"/>
      <c r="QLF1015"/>
      <c r="QLG1015"/>
      <c r="QLH1015"/>
      <c r="QLI1015"/>
      <c r="QLJ1015"/>
      <c r="QLK1015"/>
      <c r="QLL1015"/>
      <c r="QLM1015"/>
      <c r="QLN1015"/>
      <c r="QLO1015"/>
      <c r="QLP1015"/>
      <c r="QLQ1015"/>
      <c r="QLR1015"/>
      <c r="QLS1015"/>
      <c r="QLT1015"/>
      <c r="QLU1015"/>
      <c r="QLV1015"/>
      <c r="QLW1015"/>
      <c r="QLX1015"/>
      <c r="QLY1015"/>
      <c r="QLZ1015"/>
      <c r="QMA1015"/>
      <c r="QMB1015"/>
      <c r="QMC1015"/>
      <c r="QMD1015"/>
      <c r="QME1015"/>
      <c r="QMF1015"/>
      <c r="QMG1015"/>
      <c r="QMH1015"/>
      <c r="QMI1015"/>
      <c r="QMJ1015"/>
      <c r="QMK1015"/>
      <c r="QML1015"/>
      <c r="QMM1015"/>
      <c r="QMN1015"/>
      <c r="QMO1015"/>
      <c r="QMP1015"/>
      <c r="QMQ1015"/>
      <c r="QMR1015"/>
      <c r="QMS1015"/>
      <c r="QMT1015"/>
      <c r="QMU1015"/>
      <c r="QMV1015"/>
      <c r="QMW1015"/>
      <c r="QMX1015"/>
      <c r="QMY1015"/>
      <c r="QMZ1015"/>
      <c r="QNA1015"/>
      <c r="QNB1015"/>
      <c r="QNC1015"/>
      <c r="QND1015"/>
      <c r="QNE1015"/>
      <c r="QNF1015"/>
      <c r="QNG1015"/>
      <c r="QNH1015"/>
      <c r="QNI1015"/>
      <c r="QNJ1015"/>
      <c r="QNK1015"/>
      <c r="QNL1015"/>
      <c r="QNM1015"/>
      <c r="QNN1015"/>
      <c r="QNO1015"/>
      <c r="QNP1015"/>
      <c r="QNQ1015"/>
      <c r="QNR1015"/>
      <c r="QNS1015"/>
      <c r="QNT1015"/>
      <c r="QNU1015"/>
      <c r="QNV1015"/>
      <c r="QNW1015"/>
      <c r="QNX1015"/>
      <c r="QNY1015"/>
      <c r="QNZ1015"/>
      <c r="QOA1015"/>
      <c r="QOB1015"/>
      <c r="QOC1015"/>
      <c r="QOD1015"/>
      <c r="QOE1015"/>
      <c r="QOF1015"/>
      <c r="QOG1015"/>
      <c r="QOH1015"/>
      <c r="QOI1015"/>
      <c r="QOJ1015"/>
      <c r="QOK1015"/>
      <c r="QOL1015"/>
      <c r="QOM1015"/>
      <c r="QON1015"/>
      <c r="QOO1015"/>
      <c r="QOP1015"/>
      <c r="QOQ1015"/>
      <c r="QOR1015"/>
      <c r="QOS1015"/>
      <c r="QOT1015"/>
      <c r="QOU1015"/>
      <c r="QOV1015"/>
      <c r="QOW1015"/>
      <c r="QOX1015"/>
      <c r="QOY1015"/>
      <c r="QOZ1015"/>
      <c r="QPA1015"/>
      <c r="QPB1015"/>
      <c r="QPC1015"/>
      <c r="QPD1015"/>
      <c r="QPE1015"/>
      <c r="QPF1015"/>
      <c r="QPG1015"/>
      <c r="QPH1015"/>
      <c r="QPI1015"/>
      <c r="QPJ1015"/>
      <c r="QPK1015"/>
      <c r="QPL1015"/>
      <c r="QPM1015"/>
      <c r="QPN1015"/>
      <c r="QPO1015"/>
      <c r="QPP1015"/>
      <c r="QPQ1015"/>
      <c r="QPR1015"/>
      <c r="QPS1015"/>
      <c r="QPT1015"/>
      <c r="QPU1015"/>
      <c r="QPV1015"/>
      <c r="QPW1015"/>
      <c r="QPX1015"/>
      <c r="QPY1015"/>
      <c r="QPZ1015"/>
      <c r="QQA1015"/>
      <c r="QQB1015"/>
      <c r="QQC1015"/>
      <c r="QQD1015"/>
      <c r="QQE1015"/>
      <c r="QQF1015"/>
      <c r="QQG1015"/>
      <c r="QQH1015"/>
      <c r="QQI1015"/>
      <c r="QQJ1015"/>
      <c r="QQK1015"/>
      <c r="QQL1015"/>
      <c r="QQM1015"/>
      <c r="QQN1015"/>
      <c r="QQO1015"/>
      <c r="QQP1015"/>
      <c r="QQQ1015"/>
      <c r="QQR1015"/>
      <c r="QQS1015"/>
      <c r="QQT1015"/>
      <c r="QQU1015"/>
      <c r="QQV1015"/>
      <c r="QQW1015"/>
      <c r="QQX1015"/>
      <c r="QQY1015"/>
      <c r="QQZ1015"/>
      <c r="QRA1015"/>
      <c r="QRB1015"/>
      <c r="QRC1015"/>
      <c r="QRD1015"/>
      <c r="QRE1015"/>
      <c r="QRF1015"/>
      <c r="QRG1015"/>
      <c r="QRH1015"/>
      <c r="QRI1015"/>
      <c r="QRJ1015"/>
      <c r="QRK1015"/>
      <c r="QRL1015"/>
      <c r="QRM1015"/>
      <c r="QRN1015"/>
      <c r="QRO1015"/>
      <c r="QRP1015"/>
      <c r="QRQ1015"/>
      <c r="QRR1015"/>
      <c r="QRS1015"/>
      <c r="QRT1015"/>
      <c r="QRU1015"/>
      <c r="QRV1015"/>
      <c r="QRW1015"/>
      <c r="QRX1015"/>
      <c r="QRY1015"/>
      <c r="QRZ1015"/>
      <c r="QSA1015"/>
      <c r="QSB1015"/>
      <c r="QSC1015"/>
      <c r="QSD1015"/>
      <c r="QSE1015"/>
      <c r="QSF1015"/>
      <c r="QSG1015"/>
      <c r="QSH1015"/>
      <c r="QSI1015"/>
      <c r="QSJ1015"/>
      <c r="QSK1015"/>
      <c r="QSL1015"/>
      <c r="QSM1015"/>
      <c r="QSN1015"/>
      <c r="QSO1015"/>
      <c r="QSP1015"/>
      <c r="QSQ1015"/>
      <c r="QSR1015"/>
      <c r="QSS1015"/>
      <c r="QST1015"/>
      <c r="QSU1015"/>
      <c r="QSV1015"/>
      <c r="QSW1015"/>
      <c r="QSX1015"/>
      <c r="QSY1015"/>
      <c r="QSZ1015"/>
      <c r="QTA1015"/>
      <c r="QTB1015"/>
      <c r="QTC1015"/>
      <c r="QTD1015"/>
      <c r="QTE1015"/>
      <c r="QTF1015"/>
      <c r="QTG1015"/>
      <c r="QTH1015"/>
      <c r="QTI1015"/>
      <c r="QTJ1015"/>
      <c r="QTK1015"/>
      <c r="QTL1015"/>
      <c r="QTM1015"/>
      <c r="QTN1015"/>
      <c r="QTO1015"/>
      <c r="QTP1015"/>
      <c r="QTQ1015"/>
      <c r="QTR1015"/>
      <c r="QTS1015"/>
      <c r="QTT1015"/>
      <c r="QTU1015"/>
      <c r="QTV1015"/>
      <c r="QTW1015"/>
      <c r="QTX1015"/>
      <c r="QTY1015"/>
      <c r="QTZ1015"/>
      <c r="QUA1015"/>
      <c r="QUB1015"/>
      <c r="QUC1015"/>
      <c r="QUD1015"/>
      <c r="QUE1015"/>
      <c r="QUF1015"/>
      <c r="QUG1015"/>
      <c r="QUH1015"/>
      <c r="QUI1015"/>
      <c r="QUJ1015"/>
      <c r="QUK1015"/>
      <c r="QUL1015"/>
      <c r="QUM1015"/>
      <c r="QUN1015"/>
      <c r="QUO1015"/>
      <c r="QUP1015"/>
      <c r="QUQ1015"/>
      <c r="QUR1015"/>
      <c r="QUS1015"/>
      <c r="QUT1015"/>
      <c r="QUU1015"/>
      <c r="QUV1015"/>
      <c r="QUW1015"/>
      <c r="QUX1015"/>
      <c r="QUY1015"/>
      <c r="QUZ1015"/>
      <c r="QVA1015"/>
      <c r="QVB1015"/>
      <c r="QVC1015"/>
      <c r="QVD1015"/>
      <c r="QVE1015"/>
      <c r="QVF1015"/>
      <c r="QVG1015"/>
      <c r="QVH1015"/>
      <c r="QVI1015"/>
      <c r="QVJ1015"/>
      <c r="QVK1015"/>
      <c r="QVL1015"/>
      <c r="QVM1015"/>
      <c r="QVN1015"/>
      <c r="QVO1015"/>
      <c r="QVP1015"/>
      <c r="QVQ1015"/>
      <c r="QVR1015"/>
      <c r="QVS1015"/>
      <c r="QVT1015"/>
      <c r="QVU1015"/>
      <c r="QVV1015"/>
      <c r="QVW1015"/>
      <c r="QVX1015"/>
      <c r="QVY1015"/>
      <c r="QVZ1015"/>
      <c r="QWA1015"/>
      <c r="QWB1015"/>
      <c r="QWC1015"/>
      <c r="QWD1015"/>
      <c r="QWE1015"/>
      <c r="QWF1015"/>
      <c r="QWG1015"/>
      <c r="QWH1015"/>
      <c r="QWI1015"/>
      <c r="QWJ1015"/>
      <c r="QWK1015"/>
      <c r="QWL1015"/>
      <c r="QWM1015"/>
      <c r="QWN1015"/>
      <c r="QWO1015"/>
      <c r="QWP1015"/>
      <c r="QWQ1015"/>
      <c r="QWR1015"/>
      <c r="QWS1015"/>
      <c r="QWT1015"/>
      <c r="QWU1015"/>
      <c r="QWV1015"/>
      <c r="QWW1015"/>
      <c r="QWX1015"/>
      <c r="QWY1015"/>
      <c r="QWZ1015"/>
      <c r="QXA1015"/>
      <c r="QXB1015"/>
      <c r="QXC1015"/>
      <c r="QXD1015"/>
      <c r="QXE1015"/>
      <c r="QXF1015"/>
      <c r="QXG1015"/>
      <c r="QXH1015"/>
      <c r="QXI1015"/>
      <c r="QXJ1015"/>
      <c r="QXK1015"/>
      <c r="QXL1015"/>
      <c r="QXM1015"/>
      <c r="QXN1015"/>
      <c r="QXO1015"/>
      <c r="QXP1015"/>
      <c r="QXQ1015"/>
      <c r="QXR1015"/>
      <c r="QXS1015"/>
      <c r="QXT1015"/>
      <c r="QXU1015"/>
      <c r="QXV1015"/>
      <c r="QXW1015"/>
      <c r="QXX1015"/>
      <c r="QXY1015"/>
      <c r="QXZ1015"/>
      <c r="QYA1015"/>
      <c r="QYB1015"/>
      <c r="QYC1015"/>
      <c r="QYD1015"/>
      <c r="QYE1015"/>
      <c r="QYF1015"/>
      <c r="QYG1015"/>
      <c r="QYH1015"/>
      <c r="QYI1015"/>
      <c r="QYJ1015"/>
      <c r="QYK1015"/>
      <c r="QYL1015"/>
      <c r="QYM1015"/>
      <c r="QYN1015"/>
      <c r="QYO1015"/>
      <c r="QYP1015"/>
      <c r="QYQ1015"/>
      <c r="QYR1015"/>
      <c r="QYS1015"/>
      <c r="QYT1015"/>
      <c r="QYU1015"/>
      <c r="QYV1015"/>
      <c r="QYW1015"/>
      <c r="QYX1015"/>
      <c r="QYY1015"/>
      <c r="QYZ1015"/>
      <c r="QZA1015"/>
      <c r="QZB1015"/>
      <c r="QZC1015"/>
      <c r="QZD1015"/>
      <c r="QZE1015"/>
      <c r="QZF1015"/>
      <c r="QZG1015"/>
      <c r="QZH1015"/>
      <c r="QZI1015"/>
      <c r="QZJ1015"/>
      <c r="QZK1015"/>
      <c r="QZL1015"/>
      <c r="QZM1015"/>
      <c r="QZN1015"/>
      <c r="QZO1015"/>
      <c r="QZP1015"/>
      <c r="QZQ1015"/>
      <c r="QZR1015"/>
      <c r="QZS1015"/>
      <c r="QZT1015"/>
      <c r="QZU1015"/>
      <c r="QZV1015"/>
      <c r="QZW1015"/>
      <c r="QZX1015"/>
      <c r="QZY1015"/>
      <c r="QZZ1015"/>
      <c r="RAA1015"/>
      <c r="RAB1015"/>
      <c r="RAC1015"/>
      <c r="RAD1015"/>
      <c r="RAE1015"/>
      <c r="RAF1015"/>
      <c r="RAG1015"/>
      <c r="RAH1015"/>
      <c r="RAI1015"/>
      <c r="RAJ1015"/>
      <c r="RAK1015"/>
      <c r="RAL1015"/>
      <c r="RAM1015"/>
      <c r="RAN1015"/>
      <c r="RAO1015"/>
      <c r="RAP1015"/>
      <c r="RAQ1015"/>
      <c r="RAR1015"/>
      <c r="RAS1015"/>
      <c r="RAT1015"/>
      <c r="RAU1015"/>
      <c r="RAV1015"/>
      <c r="RAW1015"/>
      <c r="RAX1015"/>
      <c r="RAY1015"/>
      <c r="RAZ1015"/>
      <c r="RBA1015"/>
      <c r="RBB1015"/>
      <c r="RBC1015"/>
      <c r="RBD1015"/>
      <c r="RBE1015"/>
      <c r="RBF1015"/>
      <c r="RBG1015"/>
      <c r="RBH1015"/>
      <c r="RBI1015"/>
      <c r="RBJ1015"/>
      <c r="RBK1015"/>
      <c r="RBL1015"/>
      <c r="RBM1015"/>
      <c r="RBN1015"/>
      <c r="RBO1015"/>
      <c r="RBP1015"/>
      <c r="RBQ1015"/>
      <c r="RBR1015"/>
      <c r="RBS1015"/>
      <c r="RBT1015"/>
      <c r="RBU1015"/>
      <c r="RBV1015"/>
      <c r="RBW1015"/>
      <c r="RBX1015"/>
      <c r="RBY1015"/>
      <c r="RBZ1015"/>
      <c r="RCA1015"/>
      <c r="RCB1015"/>
      <c r="RCC1015"/>
      <c r="RCD1015"/>
      <c r="RCE1015"/>
      <c r="RCF1015"/>
      <c r="RCG1015"/>
      <c r="RCH1015"/>
      <c r="RCI1015"/>
      <c r="RCJ1015"/>
      <c r="RCK1015"/>
      <c r="RCL1015"/>
      <c r="RCM1015"/>
      <c r="RCN1015"/>
      <c r="RCO1015"/>
      <c r="RCP1015"/>
      <c r="RCQ1015"/>
      <c r="RCR1015"/>
      <c r="RCS1015"/>
      <c r="RCT1015"/>
      <c r="RCU1015"/>
      <c r="RCV1015"/>
      <c r="RCW1015"/>
      <c r="RCX1015"/>
      <c r="RCY1015"/>
      <c r="RCZ1015"/>
      <c r="RDA1015"/>
      <c r="RDB1015"/>
      <c r="RDC1015"/>
      <c r="RDD1015"/>
      <c r="RDE1015"/>
      <c r="RDF1015"/>
      <c r="RDG1015"/>
      <c r="RDH1015"/>
      <c r="RDI1015"/>
      <c r="RDJ1015"/>
      <c r="RDK1015"/>
      <c r="RDL1015"/>
      <c r="RDM1015"/>
      <c r="RDN1015"/>
      <c r="RDO1015"/>
      <c r="RDP1015"/>
      <c r="RDQ1015"/>
      <c r="RDR1015"/>
      <c r="RDS1015"/>
      <c r="RDT1015"/>
      <c r="RDU1015"/>
      <c r="RDV1015"/>
      <c r="RDW1015"/>
      <c r="RDX1015"/>
      <c r="RDY1015"/>
      <c r="RDZ1015"/>
      <c r="REA1015"/>
      <c r="REB1015"/>
      <c r="REC1015"/>
      <c r="RED1015"/>
      <c r="REE1015"/>
      <c r="REF1015"/>
      <c r="REG1015"/>
      <c r="REH1015"/>
      <c r="REI1015"/>
      <c r="REJ1015"/>
      <c r="REK1015"/>
      <c r="REL1015"/>
      <c r="REM1015"/>
      <c r="REN1015"/>
      <c r="REO1015"/>
      <c r="REP1015"/>
      <c r="REQ1015"/>
      <c r="RER1015"/>
      <c r="RES1015"/>
      <c r="RET1015"/>
      <c r="REU1015"/>
      <c r="REV1015"/>
      <c r="REW1015"/>
      <c r="REX1015"/>
      <c r="REY1015"/>
      <c r="REZ1015"/>
      <c r="RFA1015"/>
      <c r="RFB1015"/>
      <c r="RFC1015"/>
      <c r="RFD1015"/>
      <c r="RFE1015"/>
      <c r="RFF1015"/>
      <c r="RFG1015"/>
      <c r="RFH1015"/>
      <c r="RFI1015"/>
      <c r="RFJ1015"/>
      <c r="RFK1015"/>
      <c r="RFL1015"/>
      <c r="RFM1015"/>
      <c r="RFN1015"/>
      <c r="RFO1015"/>
      <c r="RFP1015"/>
      <c r="RFQ1015"/>
      <c r="RFR1015"/>
      <c r="RFS1015"/>
      <c r="RFT1015"/>
      <c r="RFU1015"/>
      <c r="RFV1015"/>
      <c r="RFW1015"/>
      <c r="RFX1015"/>
      <c r="RFY1015"/>
      <c r="RFZ1015"/>
      <c r="RGA1015"/>
      <c r="RGB1015"/>
      <c r="RGC1015"/>
      <c r="RGD1015"/>
      <c r="RGE1015"/>
      <c r="RGF1015"/>
      <c r="RGG1015"/>
      <c r="RGH1015"/>
      <c r="RGI1015"/>
      <c r="RGJ1015"/>
      <c r="RGK1015"/>
      <c r="RGL1015"/>
      <c r="RGM1015"/>
      <c r="RGN1015"/>
      <c r="RGO1015"/>
      <c r="RGP1015"/>
      <c r="RGQ1015"/>
      <c r="RGR1015"/>
      <c r="RGS1015"/>
      <c r="RGT1015"/>
      <c r="RGU1015"/>
      <c r="RGV1015"/>
      <c r="RGW1015"/>
      <c r="RGX1015"/>
      <c r="RGY1015"/>
      <c r="RGZ1015"/>
      <c r="RHA1015"/>
      <c r="RHB1015"/>
      <c r="RHC1015"/>
      <c r="RHD1015"/>
      <c r="RHE1015"/>
      <c r="RHF1015"/>
      <c r="RHG1015"/>
      <c r="RHH1015"/>
      <c r="RHI1015"/>
      <c r="RHJ1015"/>
      <c r="RHK1015"/>
      <c r="RHL1015"/>
      <c r="RHM1015"/>
      <c r="RHN1015"/>
      <c r="RHO1015"/>
      <c r="RHP1015"/>
      <c r="RHQ1015"/>
      <c r="RHR1015"/>
      <c r="RHS1015"/>
      <c r="RHT1015"/>
      <c r="RHU1015"/>
      <c r="RHV1015"/>
      <c r="RHW1015"/>
      <c r="RHX1015"/>
      <c r="RHY1015"/>
      <c r="RHZ1015"/>
      <c r="RIA1015"/>
      <c r="RIB1015"/>
      <c r="RIC1015"/>
      <c r="RID1015"/>
      <c r="RIE1015"/>
      <c r="RIF1015"/>
      <c r="RIG1015"/>
      <c r="RIH1015"/>
      <c r="RII1015"/>
      <c r="RIJ1015"/>
      <c r="RIK1015"/>
      <c r="RIL1015"/>
      <c r="RIM1015"/>
      <c r="RIN1015"/>
      <c r="RIO1015"/>
      <c r="RIP1015"/>
      <c r="RIQ1015"/>
      <c r="RIR1015"/>
      <c r="RIS1015"/>
      <c r="RIT1015"/>
      <c r="RIU1015"/>
      <c r="RIV1015"/>
      <c r="RIW1015"/>
      <c r="RIX1015"/>
      <c r="RIY1015"/>
      <c r="RIZ1015"/>
      <c r="RJA1015"/>
      <c r="RJB1015"/>
      <c r="RJC1015"/>
      <c r="RJD1015"/>
      <c r="RJE1015"/>
      <c r="RJF1015"/>
      <c r="RJG1015"/>
      <c r="RJH1015"/>
      <c r="RJI1015"/>
      <c r="RJJ1015"/>
      <c r="RJK1015"/>
      <c r="RJL1015"/>
      <c r="RJM1015"/>
      <c r="RJN1015"/>
      <c r="RJO1015"/>
      <c r="RJP1015"/>
      <c r="RJQ1015"/>
      <c r="RJR1015"/>
      <c r="RJS1015"/>
      <c r="RJT1015"/>
      <c r="RJU1015"/>
      <c r="RJV1015"/>
      <c r="RJW1015"/>
      <c r="RJX1015"/>
      <c r="RJY1015"/>
      <c r="RJZ1015"/>
      <c r="RKA1015"/>
      <c r="RKB1015"/>
      <c r="RKC1015"/>
      <c r="RKD1015"/>
      <c r="RKE1015"/>
      <c r="RKF1015"/>
      <c r="RKG1015"/>
      <c r="RKH1015"/>
      <c r="RKI1015"/>
      <c r="RKJ1015"/>
      <c r="RKK1015"/>
      <c r="RKL1015"/>
      <c r="RKM1015"/>
      <c r="RKN1015"/>
      <c r="RKO1015"/>
      <c r="RKP1015"/>
      <c r="RKQ1015"/>
      <c r="RKR1015"/>
      <c r="RKS1015"/>
      <c r="RKT1015"/>
      <c r="RKU1015"/>
      <c r="RKV1015"/>
      <c r="RKW1015"/>
      <c r="RKX1015"/>
      <c r="RKY1015"/>
      <c r="RKZ1015"/>
      <c r="RLA1015"/>
      <c r="RLB1015"/>
      <c r="RLC1015"/>
      <c r="RLD1015"/>
      <c r="RLE1015"/>
      <c r="RLF1015"/>
      <c r="RLG1015"/>
      <c r="RLH1015"/>
      <c r="RLI1015"/>
      <c r="RLJ1015"/>
      <c r="RLK1015"/>
      <c r="RLL1015"/>
      <c r="RLM1015"/>
      <c r="RLN1015"/>
      <c r="RLO1015"/>
      <c r="RLP1015"/>
      <c r="RLQ1015"/>
      <c r="RLR1015"/>
      <c r="RLS1015"/>
      <c r="RLT1015"/>
      <c r="RLU1015"/>
      <c r="RLV1015"/>
      <c r="RLW1015"/>
      <c r="RLX1015"/>
      <c r="RLY1015"/>
      <c r="RLZ1015"/>
      <c r="RMA1015"/>
      <c r="RMB1015"/>
      <c r="RMC1015"/>
      <c r="RMD1015"/>
      <c r="RME1015"/>
      <c r="RMF1015"/>
      <c r="RMG1015"/>
      <c r="RMH1015"/>
      <c r="RMI1015"/>
      <c r="RMJ1015"/>
      <c r="RMK1015"/>
      <c r="RML1015"/>
      <c r="RMM1015"/>
      <c r="RMN1015"/>
      <c r="RMO1015"/>
      <c r="RMP1015"/>
      <c r="RMQ1015"/>
      <c r="RMR1015"/>
      <c r="RMS1015"/>
      <c r="RMT1015"/>
      <c r="RMU1015"/>
      <c r="RMV1015"/>
      <c r="RMW1015"/>
      <c r="RMX1015"/>
      <c r="RMY1015"/>
      <c r="RMZ1015"/>
      <c r="RNA1015"/>
      <c r="RNB1015"/>
      <c r="RNC1015"/>
      <c r="RND1015"/>
      <c r="RNE1015"/>
      <c r="RNF1015"/>
      <c r="RNG1015"/>
      <c r="RNH1015"/>
      <c r="RNI1015"/>
      <c r="RNJ1015"/>
      <c r="RNK1015"/>
      <c r="RNL1015"/>
      <c r="RNM1015"/>
      <c r="RNN1015"/>
      <c r="RNO1015"/>
      <c r="RNP1015"/>
      <c r="RNQ1015"/>
      <c r="RNR1015"/>
      <c r="RNS1015"/>
      <c r="RNT1015"/>
      <c r="RNU1015"/>
      <c r="RNV1015"/>
      <c r="RNW1015"/>
      <c r="RNX1015"/>
      <c r="RNY1015"/>
      <c r="RNZ1015"/>
      <c r="ROA1015"/>
      <c r="ROB1015"/>
      <c r="ROC1015"/>
      <c r="ROD1015"/>
      <c r="ROE1015"/>
      <c r="ROF1015"/>
      <c r="ROG1015"/>
      <c r="ROH1015"/>
      <c r="ROI1015"/>
      <c r="ROJ1015"/>
      <c r="ROK1015"/>
      <c r="ROL1015"/>
      <c r="ROM1015"/>
      <c r="RON1015"/>
      <c r="ROO1015"/>
      <c r="ROP1015"/>
      <c r="ROQ1015"/>
      <c r="ROR1015"/>
      <c r="ROS1015"/>
      <c r="ROT1015"/>
      <c r="ROU1015"/>
      <c r="ROV1015"/>
      <c r="ROW1015"/>
      <c r="ROX1015"/>
      <c r="ROY1015"/>
      <c r="ROZ1015"/>
      <c r="RPA1015"/>
      <c r="RPB1015"/>
      <c r="RPC1015"/>
      <c r="RPD1015"/>
      <c r="RPE1015"/>
      <c r="RPF1015"/>
      <c r="RPG1015"/>
      <c r="RPH1015"/>
      <c r="RPI1015"/>
      <c r="RPJ1015"/>
      <c r="RPK1015"/>
      <c r="RPL1015"/>
      <c r="RPM1015"/>
      <c r="RPN1015"/>
      <c r="RPO1015"/>
      <c r="RPP1015"/>
      <c r="RPQ1015"/>
      <c r="RPR1015"/>
      <c r="RPS1015"/>
      <c r="RPT1015"/>
      <c r="RPU1015"/>
      <c r="RPV1015"/>
      <c r="RPW1015"/>
      <c r="RPX1015"/>
      <c r="RPY1015"/>
      <c r="RPZ1015"/>
      <c r="RQA1015"/>
      <c r="RQB1015"/>
      <c r="RQC1015"/>
      <c r="RQD1015"/>
      <c r="RQE1015"/>
      <c r="RQF1015"/>
      <c r="RQG1015"/>
      <c r="RQH1015"/>
      <c r="RQI1015"/>
      <c r="RQJ1015"/>
      <c r="RQK1015"/>
      <c r="RQL1015"/>
      <c r="RQM1015"/>
      <c r="RQN1015"/>
      <c r="RQO1015"/>
      <c r="RQP1015"/>
      <c r="RQQ1015"/>
      <c r="RQR1015"/>
      <c r="RQS1015"/>
      <c r="RQT1015"/>
      <c r="RQU1015"/>
      <c r="RQV1015"/>
      <c r="RQW1015"/>
      <c r="RQX1015"/>
      <c r="RQY1015"/>
      <c r="RQZ1015"/>
      <c r="RRA1015"/>
      <c r="RRB1015"/>
      <c r="RRC1015"/>
      <c r="RRD1015"/>
      <c r="RRE1015"/>
      <c r="RRF1015"/>
      <c r="RRG1015"/>
      <c r="RRH1015"/>
      <c r="RRI1015"/>
      <c r="RRJ1015"/>
      <c r="RRK1015"/>
      <c r="RRL1015"/>
      <c r="RRM1015"/>
      <c r="RRN1015"/>
      <c r="RRO1015"/>
      <c r="RRP1015"/>
      <c r="RRQ1015"/>
      <c r="RRR1015"/>
      <c r="RRS1015"/>
      <c r="RRT1015"/>
      <c r="RRU1015"/>
      <c r="RRV1015"/>
      <c r="RRW1015"/>
      <c r="RRX1015"/>
      <c r="RRY1015"/>
      <c r="RRZ1015"/>
      <c r="RSA1015"/>
      <c r="RSB1015"/>
      <c r="RSC1015"/>
      <c r="RSD1015"/>
      <c r="RSE1015"/>
      <c r="RSF1015"/>
      <c r="RSG1015"/>
      <c r="RSH1015"/>
      <c r="RSI1015"/>
      <c r="RSJ1015"/>
      <c r="RSK1015"/>
      <c r="RSL1015"/>
      <c r="RSM1015"/>
      <c r="RSN1015"/>
      <c r="RSO1015"/>
      <c r="RSP1015"/>
      <c r="RSQ1015"/>
      <c r="RSR1015"/>
      <c r="RSS1015"/>
      <c r="RST1015"/>
      <c r="RSU1015"/>
      <c r="RSV1015"/>
      <c r="RSW1015"/>
      <c r="RSX1015"/>
      <c r="RSY1015"/>
      <c r="RSZ1015"/>
      <c r="RTA1015"/>
      <c r="RTB1015"/>
      <c r="RTC1015"/>
      <c r="RTD1015"/>
      <c r="RTE1015"/>
      <c r="RTF1015"/>
      <c r="RTG1015"/>
      <c r="RTH1015"/>
      <c r="RTI1015"/>
      <c r="RTJ1015"/>
      <c r="RTK1015"/>
      <c r="RTL1015"/>
      <c r="RTM1015"/>
      <c r="RTN1015"/>
      <c r="RTO1015"/>
      <c r="RTP1015"/>
      <c r="RTQ1015"/>
      <c r="RTR1015"/>
      <c r="RTS1015"/>
      <c r="RTT1015"/>
      <c r="RTU1015"/>
      <c r="RTV1015"/>
      <c r="RTW1015"/>
      <c r="RTX1015"/>
      <c r="RTY1015"/>
      <c r="RTZ1015"/>
      <c r="RUA1015"/>
      <c r="RUB1015"/>
      <c r="RUC1015"/>
      <c r="RUD1015"/>
      <c r="RUE1015"/>
      <c r="RUF1015"/>
      <c r="RUG1015"/>
      <c r="RUH1015"/>
      <c r="RUI1015"/>
      <c r="RUJ1015"/>
      <c r="RUK1015"/>
      <c r="RUL1015"/>
      <c r="RUM1015"/>
      <c r="RUN1015"/>
      <c r="RUO1015"/>
      <c r="RUP1015"/>
      <c r="RUQ1015"/>
      <c r="RUR1015"/>
      <c r="RUS1015"/>
      <c r="RUT1015"/>
      <c r="RUU1015"/>
      <c r="RUV1015"/>
      <c r="RUW1015"/>
      <c r="RUX1015"/>
      <c r="RUY1015"/>
      <c r="RUZ1015"/>
      <c r="RVA1015"/>
      <c r="RVB1015"/>
      <c r="RVC1015"/>
      <c r="RVD1015"/>
      <c r="RVE1015"/>
      <c r="RVF1015"/>
      <c r="RVG1015"/>
      <c r="RVH1015"/>
      <c r="RVI1015"/>
      <c r="RVJ1015"/>
      <c r="RVK1015"/>
      <c r="RVL1015"/>
      <c r="RVM1015"/>
      <c r="RVN1015"/>
      <c r="RVO1015"/>
      <c r="RVP1015"/>
      <c r="RVQ1015"/>
      <c r="RVR1015"/>
      <c r="RVS1015"/>
      <c r="RVT1015"/>
      <c r="RVU1015"/>
      <c r="RVV1015"/>
      <c r="RVW1015"/>
      <c r="RVX1015"/>
      <c r="RVY1015"/>
      <c r="RVZ1015"/>
      <c r="RWA1015"/>
      <c r="RWB1015"/>
      <c r="RWC1015"/>
      <c r="RWD1015"/>
      <c r="RWE1015"/>
      <c r="RWF1015"/>
      <c r="RWG1015"/>
      <c r="RWH1015"/>
      <c r="RWI1015"/>
      <c r="RWJ1015"/>
      <c r="RWK1015"/>
      <c r="RWL1015"/>
      <c r="RWM1015"/>
      <c r="RWN1015"/>
      <c r="RWO1015"/>
      <c r="RWP1015"/>
      <c r="RWQ1015"/>
      <c r="RWR1015"/>
      <c r="RWS1015"/>
      <c r="RWT1015"/>
      <c r="RWU1015"/>
      <c r="RWV1015"/>
      <c r="RWW1015"/>
      <c r="RWX1015"/>
      <c r="RWY1015"/>
      <c r="RWZ1015"/>
      <c r="RXA1015"/>
      <c r="RXB1015"/>
      <c r="RXC1015"/>
      <c r="RXD1015"/>
      <c r="RXE1015"/>
      <c r="RXF1015"/>
      <c r="RXG1015"/>
      <c r="RXH1015"/>
      <c r="RXI1015"/>
      <c r="RXJ1015"/>
      <c r="RXK1015"/>
      <c r="RXL1015"/>
      <c r="RXM1015"/>
      <c r="RXN1015"/>
      <c r="RXO1015"/>
      <c r="RXP1015"/>
      <c r="RXQ1015"/>
      <c r="RXR1015"/>
      <c r="RXS1015"/>
      <c r="RXT1015"/>
      <c r="RXU1015"/>
      <c r="RXV1015"/>
      <c r="RXW1015"/>
      <c r="RXX1015"/>
      <c r="RXY1015"/>
      <c r="RXZ1015"/>
      <c r="RYA1015"/>
      <c r="RYB1015"/>
      <c r="RYC1015"/>
      <c r="RYD1015"/>
      <c r="RYE1015"/>
      <c r="RYF1015"/>
      <c r="RYG1015"/>
      <c r="RYH1015"/>
      <c r="RYI1015"/>
      <c r="RYJ1015"/>
      <c r="RYK1015"/>
      <c r="RYL1015"/>
      <c r="RYM1015"/>
      <c r="RYN1015"/>
      <c r="RYO1015"/>
      <c r="RYP1015"/>
      <c r="RYQ1015"/>
      <c r="RYR1015"/>
      <c r="RYS1015"/>
      <c r="RYT1015"/>
      <c r="RYU1015"/>
      <c r="RYV1015"/>
      <c r="RYW1015"/>
      <c r="RYX1015"/>
      <c r="RYY1015"/>
      <c r="RYZ1015"/>
      <c r="RZA1015"/>
      <c r="RZB1015"/>
      <c r="RZC1015"/>
      <c r="RZD1015"/>
      <c r="RZE1015"/>
      <c r="RZF1015"/>
      <c r="RZG1015"/>
      <c r="RZH1015"/>
      <c r="RZI1015"/>
      <c r="RZJ1015"/>
      <c r="RZK1015"/>
      <c r="RZL1015"/>
      <c r="RZM1015"/>
      <c r="RZN1015"/>
      <c r="RZO1015"/>
      <c r="RZP1015"/>
      <c r="RZQ1015"/>
      <c r="RZR1015"/>
      <c r="RZS1015"/>
      <c r="RZT1015"/>
      <c r="RZU1015"/>
      <c r="RZV1015"/>
      <c r="RZW1015"/>
      <c r="RZX1015"/>
      <c r="RZY1015"/>
      <c r="RZZ1015"/>
      <c r="SAA1015"/>
      <c r="SAB1015"/>
      <c r="SAC1015"/>
      <c r="SAD1015"/>
      <c r="SAE1015"/>
      <c r="SAF1015"/>
      <c r="SAG1015"/>
      <c r="SAH1015"/>
      <c r="SAI1015"/>
      <c r="SAJ1015"/>
      <c r="SAK1015"/>
      <c r="SAL1015"/>
      <c r="SAM1015"/>
      <c r="SAN1015"/>
      <c r="SAO1015"/>
      <c r="SAP1015"/>
      <c r="SAQ1015"/>
      <c r="SAR1015"/>
      <c r="SAS1015"/>
      <c r="SAT1015"/>
      <c r="SAU1015"/>
      <c r="SAV1015"/>
      <c r="SAW1015"/>
      <c r="SAX1015"/>
      <c r="SAY1015"/>
      <c r="SAZ1015"/>
      <c r="SBA1015"/>
      <c r="SBB1015"/>
      <c r="SBC1015"/>
      <c r="SBD1015"/>
      <c r="SBE1015"/>
      <c r="SBF1015"/>
      <c r="SBG1015"/>
      <c r="SBH1015"/>
      <c r="SBI1015"/>
      <c r="SBJ1015"/>
      <c r="SBK1015"/>
      <c r="SBL1015"/>
      <c r="SBM1015"/>
      <c r="SBN1015"/>
      <c r="SBO1015"/>
      <c r="SBP1015"/>
      <c r="SBQ1015"/>
      <c r="SBR1015"/>
      <c r="SBS1015"/>
      <c r="SBT1015"/>
      <c r="SBU1015"/>
      <c r="SBV1015"/>
      <c r="SBW1015"/>
      <c r="SBX1015"/>
      <c r="SBY1015"/>
      <c r="SBZ1015"/>
      <c r="SCA1015"/>
      <c r="SCB1015"/>
      <c r="SCC1015"/>
      <c r="SCD1015"/>
      <c r="SCE1015"/>
      <c r="SCF1015"/>
      <c r="SCG1015"/>
      <c r="SCH1015"/>
      <c r="SCI1015"/>
      <c r="SCJ1015"/>
      <c r="SCK1015"/>
      <c r="SCL1015"/>
      <c r="SCM1015"/>
      <c r="SCN1015"/>
      <c r="SCO1015"/>
      <c r="SCP1015"/>
      <c r="SCQ1015"/>
      <c r="SCR1015"/>
      <c r="SCS1015"/>
      <c r="SCT1015"/>
      <c r="SCU1015"/>
      <c r="SCV1015"/>
      <c r="SCW1015"/>
      <c r="SCX1015"/>
      <c r="SCY1015"/>
      <c r="SCZ1015"/>
      <c r="SDA1015"/>
      <c r="SDB1015"/>
      <c r="SDC1015"/>
      <c r="SDD1015"/>
      <c r="SDE1015"/>
      <c r="SDF1015"/>
      <c r="SDG1015"/>
      <c r="SDH1015"/>
      <c r="SDI1015"/>
      <c r="SDJ1015"/>
      <c r="SDK1015"/>
      <c r="SDL1015"/>
      <c r="SDM1015"/>
      <c r="SDN1015"/>
      <c r="SDO1015"/>
      <c r="SDP1015"/>
      <c r="SDQ1015"/>
      <c r="SDR1015"/>
      <c r="SDS1015"/>
      <c r="SDT1015"/>
      <c r="SDU1015"/>
      <c r="SDV1015"/>
      <c r="SDW1015"/>
      <c r="SDX1015"/>
      <c r="SDY1015"/>
      <c r="SDZ1015"/>
      <c r="SEA1015"/>
      <c r="SEB1015"/>
      <c r="SEC1015"/>
      <c r="SED1015"/>
      <c r="SEE1015"/>
      <c r="SEF1015"/>
      <c r="SEG1015"/>
      <c r="SEH1015"/>
      <c r="SEI1015"/>
      <c r="SEJ1015"/>
      <c r="SEK1015"/>
      <c r="SEL1015"/>
      <c r="SEM1015"/>
      <c r="SEN1015"/>
      <c r="SEO1015"/>
      <c r="SEP1015"/>
      <c r="SEQ1015"/>
      <c r="SER1015"/>
      <c r="SES1015"/>
      <c r="SET1015"/>
      <c r="SEU1015"/>
      <c r="SEV1015"/>
      <c r="SEW1015"/>
      <c r="SEX1015"/>
      <c r="SEY1015"/>
      <c r="SEZ1015"/>
      <c r="SFA1015"/>
      <c r="SFB1015"/>
      <c r="SFC1015"/>
      <c r="SFD1015"/>
      <c r="SFE1015"/>
      <c r="SFF1015"/>
      <c r="SFG1015"/>
      <c r="SFH1015"/>
      <c r="SFI1015"/>
      <c r="SFJ1015"/>
      <c r="SFK1015"/>
      <c r="SFL1015"/>
      <c r="SFM1015"/>
      <c r="SFN1015"/>
      <c r="SFO1015"/>
      <c r="SFP1015"/>
      <c r="SFQ1015"/>
      <c r="SFR1015"/>
      <c r="SFS1015"/>
      <c r="SFT1015"/>
      <c r="SFU1015"/>
      <c r="SFV1015"/>
      <c r="SFW1015"/>
      <c r="SFX1015"/>
      <c r="SFY1015"/>
      <c r="SFZ1015"/>
      <c r="SGA1015"/>
      <c r="SGB1015"/>
      <c r="SGC1015"/>
      <c r="SGD1015"/>
      <c r="SGE1015"/>
      <c r="SGF1015"/>
      <c r="SGG1015"/>
      <c r="SGH1015"/>
      <c r="SGI1015"/>
      <c r="SGJ1015"/>
      <c r="SGK1015"/>
      <c r="SGL1015"/>
      <c r="SGM1015"/>
      <c r="SGN1015"/>
      <c r="SGO1015"/>
      <c r="SGP1015"/>
      <c r="SGQ1015"/>
      <c r="SGR1015"/>
      <c r="SGS1015"/>
      <c r="SGT1015"/>
      <c r="SGU1015"/>
      <c r="SGV1015"/>
      <c r="SGW1015"/>
      <c r="SGX1015"/>
      <c r="SGY1015"/>
      <c r="SGZ1015"/>
      <c r="SHA1015"/>
      <c r="SHB1015"/>
      <c r="SHC1015"/>
      <c r="SHD1015"/>
      <c r="SHE1015"/>
      <c r="SHF1015"/>
      <c r="SHG1015"/>
      <c r="SHH1015"/>
      <c r="SHI1015"/>
      <c r="SHJ1015"/>
      <c r="SHK1015"/>
      <c r="SHL1015"/>
      <c r="SHM1015"/>
      <c r="SHN1015"/>
      <c r="SHO1015"/>
      <c r="SHP1015"/>
      <c r="SHQ1015"/>
      <c r="SHR1015"/>
      <c r="SHS1015"/>
      <c r="SHT1015"/>
      <c r="SHU1015"/>
      <c r="SHV1015"/>
      <c r="SHW1015"/>
      <c r="SHX1015"/>
      <c r="SHY1015"/>
      <c r="SHZ1015"/>
      <c r="SIA1015"/>
      <c r="SIB1015"/>
      <c r="SIC1015"/>
      <c r="SID1015"/>
      <c r="SIE1015"/>
      <c r="SIF1015"/>
      <c r="SIG1015"/>
      <c r="SIH1015"/>
      <c r="SII1015"/>
      <c r="SIJ1015"/>
      <c r="SIK1015"/>
      <c r="SIL1015"/>
      <c r="SIM1015"/>
      <c r="SIN1015"/>
      <c r="SIO1015"/>
      <c r="SIP1015"/>
      <c r="SIQ1015"/>
      <c r="SIR1015"/>
      <c r="SIS1015"/>
      <c r="SIT1015"/>
      <c r="SIU1015"/>
      <c r="SIV1015"/>
      <c r="SIW1015"/>
      <c r="SIX1015"/>
      <c r="SIY1015"/>
      <c r="SIZ1015"/>
      <c r="SJA1015"/>
      <c r="SJB1015"/>
      <c r="SJC1015"/>
      <c r="SJD1015"/>
      <c r="SJE1015"/>
      <c r="SJF1015"/>
      <c r="SJG1015"/>
      <c r="SJH1015"/>
      <c r="SJI1015"/>
      <c r="SJJ1015"/>
      <c r="SJK1015"/>
      <c r="SJL1015"/>
      <c r="SJM1015"/>
      <c r="SJN1015"/>
      <c r="SJO1015"/>
      <c r="SJP1015"/>
      <c r="SJQ1015"/>
      <c r="SJR1015"/>
      <c r="SJS1015"/>
      <c r="SJT1015"/>
      <c r="SJU1015"/>
      <c r="SJV1015"/>
      <c r="SJW1015"/>
      <c r="SJX1015"/>
      <c r="SJY1015"/>
      <c r="SJZ1015"/>
      <c r="SKA1015"/>
      <c r="SKB1015"/>
      <c r="SKC1015"/>
      <c r="SKD1015"/>
      <c r="SKE1015"/>
      <c r="SKF1015"/>
      <c r="SKG1015"/>
      <c r="SKH1015"/>
      <c r="SKI1015"/>
      <c r="SKJ1015"/>
      <c r="SKK1015"/>
      <c r="SKL1015"/>
      <c r="SKM1015"/>
      <c r="SKN1015"/>
      <c r="SKO1015"/>
      <c r="SKP1015"/>
      <c r="SKQ1015"/>
      <c r="SKR1015"/>
      <c r="SKS1015"/>
      <c r="SKT1015"/>
      <c r="SKU1015"/>
      <c r="SKV1015"/>
      <c r="SKW1015"/>
      <c r="SKX1015"/>
      <c r="SKY1015"/>
      <c r="SKZ1015"/>
      <c r="SLA1015"/>
      <c r="SLB1015"/>
      <c r="SLC1015"/>
      <c r="SLD1015"/>
      <c r="SLE1015"/>
      <c r="SLF1015"/>
      <c r="SLG1015"/>
      <c r="SLH1015"/>
      <c r="SLI1015"/>
      <c r="SLJ1015"/>
      <c r="SLK1015"/>
      <c r="SLL1015"/>
      <c r="SLM1015"/>
      <c r="SLN1015"/>
      <c r="SLO1015"/>
      <c r="SLP1015"/>
      <c r="SLQ1015"/>
      <c r="SLR1015"/>
      <c r="SLS1015"/>
      <c r="SLT1015"/>
      <c r="SLU1015"/>
      <c r="SLV1015"/>
      <c r="SLW1015"/>
      <c r="SLX1015"/>
      <c r="SLY1015"/>
      <c r="SLZ1015"/>
      <c r="SMA1015"/>
      <c r="SMB1015"/>
      <c r="SMC1015"/>
      <c r="SMD1015"/>
      <c r="SME1015"/>
      <c r="SMF1015"/>
      <c r="SMG1015"/>
      <c r="SMH1015"/>
      <c r="SMI1015"/>
      <c r="SMJ1015"/>
      <c r="SMK1015"/>
      <c r="SML1015"/>
      <c r="SMM1015"/>
      <c r="SMN1015"/>
      <c r="SMO1015"/>
      <c r="SMP1015"/>
      <c r="SMQ1015"/>
      <c r="SMR1015"/>
      <c r="SMS1015"/>
      <c r="SMT1015"/>
      <c r="SMU1015"/>
      <c r="SMV1015"/>
      <c r="SMW1015"/>
      <c r="SMX1015"/>
      <c r="SMY1015"/>
      <c r="SMZ1015"/>
      <c r="SNA1015"/>
      <c r="SNB1015"/>
      <c r="SNC1015"/>
      <c r="SND1015"/>
      <c r="SNE1015"/>
      <c r="SNF1015"/>
      <c r="SNG1015"/>
      <c r="SNH1015"/>
      <c r="SNI1015"/>
      <c r="SNJ1015"/>
      <c r="SNK1015"/>
      <c r="SNL1015"/>
      <c r="SNM1015"/>
      <c r="SNN1015"/>
      <c r="SNO1015"/>
      <c r="SNP1015"/>
      <c r="SNQ1015"/>
      <c r="SNR1015"/>
      <c r="SNS1015"/>
      <c r="SNT1015"/>
      <c r="SNU1015"/>
      <c r="SNV1015"/>
      <c r="SNW1015"/>
      <c r="SNX1015"/>
      <c r="SNY1015"/>
      <c r="SNZ1015"/>
      <c r="SOA1015"/>
      <c r="SOB1015"/>
      <c r="SOC1015"/>
      <c r="SOD1015"/>
      <c r="SOE1015"/>
      <c r="SOF1015"/>
      <c r="SOG1015"/>
      <c r="SOH1015"/>
      <c r="SOI1015"/>
      <c r="SOJ1015"/>
      <c r="SOK1015"/>
      <c r="SOL1015"/>
      <c r="SOM1015"/>
      <c r="SON1015"/>
      <c r="SOO1015"/>
      <c r="SOP1015"/>
      <c r="SOQ1015"/>
      <c r="SOR1015"/>
      <c r="SOS1015"/>
      <c r="SOT1015"/>
      <c r="SOU1015"/>
      <c r="SOV1015"/>
      <c r="SOW1015"/>
      <c r="SOX1015"/>
      <c r="SOY1015"/>
      <c r="SOZ1015"/>
      <c r="SPA1015"/>
      <c r="SPB1015"/>
      <c r="SPC1015"/>
      <c r="SPD1015"/>
      <c r="SPE1015"/>
      <c r="SPF1015"/>
      <c r="SPG1015"/>
      <c r="SPH1015"/>
      <c r="SPI1015"/>
      <c r="SPJ1015"/>
      <c r="SPK1015"/>
      <c r="SPL1015"/>
      <c r="SPM1015"/>
      <c r="SPN1015"/>
      <c r="SPO1015"/>
      <c r="SPP1015"/>
      <c r="SPQ1015"/>
      <c r="SPR1015"/>
      <c r="SPS1015"/>
      <c r="SPT1015"/>
      <c r="SPU1015"/>
      <c r="SPV1015"/>
      <c r="SPW1015"/>
      <c r="SPX1015"/>
      <c r="SPY1015"/>
      <c r="SPZ1015"/>
      <c r="SQA1015"/>
      <c r="SQB1015"/>
      <c r="SQC1015"/>
      <c r="SQD1015"/>
      <c r="SQE1015"/>
      <c r="SQF1015"/>
      <c r="SQG1015"/>
      <c r="SQH1015"/>
      <c r="SQI1015"/>
      <c r="SQJ1015"/>
      <c r="SQK1015"/>
      <c r="SQL1015"/>
      <c r="SQM1015"/>
      <c r="SQN1015"/>
      <c r="SQO1015"/>
      <c r="SQP1015"/>
      <c r="SQQ1015"/>
      <c r="SQR1015"/>
      <c r="SQS1015"/>
      <c r="SQT1015"/>
      <c r="SQU1015"/>
      <c r="SQV1015"/>
      <c r="SQW1015"/>
      <c r="SQX1015"/>
      <c r="SQY1015"/>
      <c r="SQZ1015"/>
      <c r="SRA1015"/>
      <c r="SRB1015"/>
      <c r="SRC1015"/>
      <c r="SRD1015"/>
      <c r="SRE1015"/>
      <c r="SRF1015"/>
      <c r="SRG1015"/>
      <c r="SRH1015"/>
      <c r="SRI1015"/>
      <c r="SRJ1015"/>
      <c r="SRK1015"/>
      <c r="SRL1015"/>
      <c r="SRM1015"/>
      <c r="SRN1015"/>
      <c r="SRO1015"/>
      <c r="SRP1015"/>
      <c r="SRQ1015"/>
      <c r="SRR1015"/>
      <c r="SRS1015"/>
      <c r="SRT1015"/>
      <c r="SRU1015"/>
      <c r="SRV1015"/>
      <c r="SRW1015"/>
      <c r="SRX1015"/>
      <c r="SRY1015"/>
      <c r="SRZ1015"/>
      <c r="SSA1015"/>
      <c r="SSB1015"/>
      <c r="SSC1015"/>
      <c r="SSD1015"/>
      <c r="SSE1015"/>
      <c r="SSF1015"/>
      <c r="SSG1015"/>
      <c r="SSH1015"/>
      <c r="SSI1015"/>
      <c r="SSJ1015"/>
      <c r="SSK1015"/>
      <c r="SSL1015"/>
      <c r="SSM1015"/>
      <c r="SSN1015"/>
      <c r="SSO1015"/>
      <c r="SSP1015"/>
      <c r="SSQ1015"/>
      <c r="SSR1015"/>
      <c r="SSS1015"/>
      <c r="SST1015"/>
      <c r="SSU1015"/>
      <c r="SSV1015"/>
      <c r="SSW1015"/>
      <c r="SSX1015"/>
      <c r="SSY1015"/>
      <c r="SSZ1015"/>
      <c r="STA1015"/>
      <c r="STB1015"/>
      <c r="STC1015"/>
      <c r="STD1015"/>
      <c r="STE1015"/>
      <c r="STF1015"/>
      <c r="STG1015"/>
      <c r="STH1015"/>
      <c r="STI1015"/>
      <c r="STJ1015"/>
      <c r="STK1015"/>
      <c r="STL1015"/>
      <c r="STM1015"/>
      <c r="STN1015"/>
      <c r="STO1015"/>
      <c r="STP1015"/>
      <c r="STQ1015"/>
      <c r="STR1015"/>
      <c r="STS1015"/>
      <c r="STT1015"/>
      <c r="STU1015"/>
      <c r="STV1015"/>
      <c r="STW1015"/>
      <c r="STX1015"/>
      <c r="STY1015"/>
      <c r="STZ1015"/>
      <c r="SUA1015"/>
      <c r="SUB1015"/>
      <c r="SUC1015"/>
      <c r="SUD1015"/>
      <c r="SUE1015"/>
      <c r="SUF1015"/>
      <c r="SUG1015"/>
      <c r="SUH1015"/>
      <c r="SUI1015"/>
      <c r="SUJ1015"/>
      <c r="SUK1015"/>
      <c r="SUL1015"/>
      <c r="SUM1015"/>
      <c r="SUN1015"/>
      <c r="SUO1015"/>
      <c r="SUP1015"/>
      <c r="SUQ1015"/>
      <c r="SUR1015"/>
      <c r="SUS1015"/>
      <c r="SUT1015"/>
      <c r="SUU1015"/>
      <c r="SUV1015"/>
      <c r="SUW1015"/>
      <c r="SUX1015"/>
      <c r="SUY1015"/>
      <c r="SUZ1015"/>
      <c r="SVA1015"/>
      <c r="SVB1015"/>
      <c r="SVC1015"/>
      <c r="SVD1015"/>
      <c r="SVE1015"/>
      <c r="SVF1015"/>
      <c r="SVG1015"/>
      <c r="SVH1015"/>
      <c r="SVI1015"/>
      <c r="SVJ1015"/>
      <c r="SVK1015"/>
      <c r="SVL1015"/>
      <c r="SVM1015"/>
      <c r="SVN1015"/>
      <c r="SVO1015"/>
      <c r="SVP1015"/>
      <c r="SVQ1015"/>
      <c r="SVR1015"/>
      <c r="SVS1015"/>
      <c r="SVT1015"/>
      <c r="SVU1015"/>
      <c r="SVV1015"/>
      <c r="SVW1015"/>
      <c r="SVX1015"/>
      <c r="SVY1015"/>
      <c r="SVZ1015"/>
      <c r="SWA1015"/>
      <c r="SWB1015"/>
      <c r="SWC1015"/>
      <c r="SWD1015"/>
      <c r="SWE1015"/>
      <c r="SWF1015"/>
      <c r="SWG1015"/>
      <c r="SWH1015"/>
      <c r="SWI1015"/>
      <c r="SWJ1015"/>
      <c r="SWK1015"/>
      <c r="SWL1015"/>
      <c r="SWM1015"/>
      <c r="SWN1015"/>
      <c r="SWO1015"/>
      <c r="SWP1015"/>
      <c r="SWQ1015"/>
      <c r="SWR1015"/>
      <c r="SWS1015"/>
      <c r="SWT1015"/>
      <c r="SWU1015"/>
      <c r="SWV1015"/>
      <c r="SWW1015"/>
      <c r="SWX1015"/>
      <c r="SWY1015"/>
      <c r="SWZ1015"/>
      <c r="SXA1015"/>
      <c r="SXB1015"/>
      <c r="SXC1015"/>
      <c r="SXD1015"/>
      <c r="SXE1015"/>
      <c r="SXF1015"/>
      <c r="SXG1015"/>
      <c r="SXH1015"/>
      <c r="SXI1015"/>
      <c r="SXJ1015"/>
      <c r="SXK1015"/>
      <c r="SXL1015"/>
      <c r="SXM1015"/>
      <c r="SXN1015"/>
      <c r="SXO1015"/>
      <c r="SXP1015"/>
      <c r="SXQ1015"/>
      <c r="SXR1015"/>
      <c r="SXS1015"/>
      <c r="SXT1015"/>
      <c r="SXU1015"/>
      <c r="SXV1015"/>
      <c r="SXW1015"/>
      <c r="SXX1015"/>
      <c r="SXY1015"/>
      <c r="SXZ1015"/>
      <c r="SYA1015"/>
      <c r="SYB1015"/>
      <c r="SYC1015"/>
      <c r="SYD1015"/>
      <c r="SYE1015"/>
      <c r="SYF1015"/>
      <c r="SYG1015"/>
      <c r="SYH1015"/>
      <c r="SYI1015"/>
      <c r="SYJ1015"/>
      <c r="SYK1015"/>
      <c r="SYL1015"/>
      <c r="SYM1015"/>
      <c r="SYN1015"/>
      <c r="SYO1015"/>
      <c r="SYP1015"/>
      <c r="SYQ1015"/>
      <c r="SYR1015"/>
      <c r="SYS1015"/>
      <c r="SYT1015"/>
      <c r="SYU1015"/>
      <c r="SYV1015"/>
      <c r="SYW1015"/>
      <c r="SYX1015"/>
      <c r="SYY1015"/>
      <c r="SYZ1015"/>
      <c r="SZA1015"/>
      <c r="SZB1015"/>
      <c r="SZC1015"/>
      <c r="SZD1015"/>
      <c r="SZE1015"/>
      <c r="SZF1015"/>
      <c r="SZG1015"/>
      <c r="SZH1015"/>
      <c r="SZI1015"/>
      <c r="SZJ1015"/>
      <c r="SZK1015"/>
      <c r="SZL1015"/>
      <c r="SZM1015"/>
      <c r="SZN1015"/>
      <c r="SZO1015"/>
      <c r="SZP1015"/>
      <c r="SZQ1015"/>
      <c r="SZR1015"/>
      <c r="SZS1015"/>
      <c r="SZT1015"/>
      <c r="SZU1015"/>
      <c r="SZV1015"/>
      <c r="SZW1015"/>
      <c r="SZX1015"/>
      <c r="SZY1015"/>
      <c r="SZZ1015"/>
      <c r="TAA1015"/>
      <c r="TAB1015"/>
      <c r="TAC1015"/>
      <c r="TAD1015"/>
      <c r="TAE1015"/>
      <c r="TAF1015"/>
      <c r="TAG1015"/>
      <c r="TAH1015"/>
      <c r="TAI1015"/>
      <c r="TAJ1015"/>
      <c r="TAK1015"/>
      <c r="TAL1015"/>
      <c r="TAM1015"/>
      <c r="TAN1015"/>
      <c r="TAO1015"/>
      <c r="TAP1015"/>
      <c r="TAQ1015"/>
      <c r="TAR1015"/>
      <c r="TAS1015"/>
      <c r="TAT1015"/>
      <c r="TAU1015"/>
      <c r="TAV1015"/>
      <c r="TAW1015"/>
      <c r="TAX1015"/>
      <c r="TAY1015"/>
      <c r="TAZ1015"/>
      <c r="TBA1015"/>
      <c r="TBB1015"/>
      <c r="TBC1015"/>
      <c r="TBD1015"/>
      <c r="TBE1015"/>
      <c r="TBF1015"/>
      <c r="TBG1015"/>
      <c r="TBH1015"/>
      <c r="TBI1015"/>
      <c r="TBJ1015"/>
      <c r="TBK1015"/>
      <c r="TBL1015"/>
      <c r="TBM1015"/>
      <c r="TBN1015"/>
      <c r="TBO1015"/>
      <c r="TBP1015"/>
      <c r="TBQ1015"/>
      <c r="TBR1015"/>
      <c r="TBS1015"/>
      <c r="TBT1015"/>
      <c r="TBU1015"/>
      <c r="TBV1015"/>
      <c r="TBW1015"/>
      <c r="TBX1015"/>
      <c r="TBY1015"/>
      <c r="TBZ1015"/>
      <c r="TCA1015"/>
      <c r="TCB1015"/>
      <c r="TCC1015"/>
      <c r="TCD1015"/>
      <c r="TCE1015"/>
      <c r="TCF1015"/>
      <c r="TCG1015"/>
      <c r="TCH1015"/>
      <c r="TCI1015"/>
      <c r="TCJ1015"/>
      <c r="TCK1015"/>
      <c r="TCL1015"/>
      <c r="TCM1015"/>
      <c r="TCN1015"/>
      <c r="TCO1015"/>
      <c r="TCP1015"/>
      <c r="TCQ1015"/>
      <c r="TCR1015"/>
      <c r="TCS1015"/>
      <c r="TCT1015"/>
      <c r="TCU1015"/>
      <c r="TCV1015"/>
      <c r="TCW1015"/>
      <c r="TCX1015"/>
      <c r="TCY1015"/>
      <c r="TCZ1015"/>
      <c r="TDA1015"/>
      <c r="TDB1015"/>
      <c r="TDC1015"/>
      <c r="TDD1015"/>
      <c r="TDE1015"/>
      <c r="TDF1015"/>
      <c r="TDG1015"/>
      <c r="TDH1015"/>
      <c r="TDI1015"/>
      <c r="TDJ1015"/>
      <c r="TDK1015"/>
      <c r="TDL1015"/>
      <c r="TDM1015"/>
      <c r="TDN1015"/>
      <c r="TDO1015"/>
      <c r="TDP1015"/>
      <c r="TDQ1015"/>
      <c r="TDR1015"/>
      <c r="TDS1015"/>
      <c r="TDT1015"/>
      <c r="TDU1015"/>
      <c r="TDV1015"/>
      <c r="TDW1015"/>
      <c r="TDX1015"/>
      <c r="TDY1015"/>
      <c r="TDZ1015"/>
      <c r="TEA1015"/>
      <c r="TEB1015"/>
      <c r="TEC1015"/>
      <c r="TED1015"/>
      <c r="TEE1015"/>
      <c r="TEF1015"/>
      <c r="TEG1015"/>
      <c r="TEH1015"/>
      <c r="TEI1015"/>
      <c r="TEJ1015"/>
      <c r="TEK1015"/>
      <c r="TEL1015"/>
      <c r="TEM1015"/>
      <c r="TEN1015"/>
      <c r="TEO1015"/>
      <c r="TEP1015"/>
      <c r="TEQ1015"/>
      <c r="TER1015"/>
      <c r="TES1015"/>
      <c r="TET1015"/>
      <c r="TEU1015"/>
      <c r="TEV1015"/>
      <c r="TEW1015"/>
      <c r="TEX1015"/>
      <c r="TEY1015"/>
      <c r="TEZ1015"/>
      <c r="TFA1015"/>
      <c r="TFB1015"/>
      <c r="TFC1015"/>
      <c r="TFD1015"/>
      <c r="TFE1015"/>
      <c r="TFF1015"/>
      <c r="TFG1015"/>
      <c r="TFH1015"/>
      <c r="TFI1015"/>
      <c r="TFJ1015"/>
      <c r="TFK1015"/>
      <c r="TFL1015"/>
      <c r="TFM1015"/>
      <c r="TFN1015"/>
      <c r="TFO1015"/>
      <c r="TFP1015"/>
      <c r="TFQ1015"/>
      <c r="TFR1015"/>
      <c r="TFS1015"/>
      <c r="TFT1015"/>
      <c r="TFU1015"/>
      <c r="TFV1015"/>
      <c r="TFW1015"/>
      <c r="TFX1015"/>
      <c r="TFY1015"/>
      <c r="TFZ1015"/>
      <c r="TGA1015"/>
      <c r="TGB1015"/>
      <c r="TGC1015"/>
      <c r="TGD1015"/>
      <c r="TGE1015"/>
      <c r="TGF1015"/>
      <c r="TGG1015"/>
      <c r="TGH1015"/>
      <c r="TGI1015"/>
      <c r="TGJ1015"/>
      <c r="TGK1015"/>
      <c r="TGL1015"/>
      <c r="TGM1015"/>
      <c r="TGN1015"/>
      <c r="TGO1015"/>
      <c r="TGP1015"/>
      <c r="TGQ1015"/>
      <c r="TGR1015"/>
      <c r="TGS1015"/>
      <c r="TGT1015"/>
      <c r="TGU1015"/>
      <c r="TGV1015"/>
      <c r="TGW1015"/>
      <c r="TGX1015"/>
      <c r="TGY1015"/>
      <c r="TGZ1015"/>
      <c r="THA1015"/>
      <c r="THB1015"/>
      <c r="THC1015"/>
      <c r="THD1015"/>
      <c r="THE1015"/>
      <c r="THF1015"/>
      <c r="THG1015"/>
      <c r="THH1015"/>
      <c r="THI1015"/>
      <c r="THJ1015"/>
      <c r="THK1015"/>
      <c r="THL1015"/>
      <c r="THM1015"/>
      <c r="THN1015"/>
      <c r="THO1015"/>
      <c r="THP1015"/>
      <c r="THQ1015"/>
      <c r="THR1015"/>
      <c r="THS1015"/>
      <c r="THT1015"/>
      <c r="THU1015"/>
      <c r="THV1015"/>
      <c r="THW1015"/>
      <c r="THX1015"/>
      <c r="THY1015"/>
      <c r="THZ1015"/>
      <c r="TIA1015"/>
      <c r="TIB1015"/>
      <c r="TIC1015"/>
      <c r="TID1015"/>
      <c r="TIE1015"/>
      <c r="TIF1015"/>
      <c r="TIG1015"/>
      <c r="TIH1015"/>
      <c r="TII1015"/>
      <c r="TIJ1015"/>
      <c r="TIK1015"/>
      <c r="TIL1015"/>
      <c r="TIM1015"/>
      <c r="TIN1015"/>
      <c r="TIO1015"/>
      <c r="TIP1015"/>
      <c r="TIQ1015"/>
      <c r="TIR1015"/>
      <c r="TIS1015"/>
      <c r="TIT1015"/>
      <c r="TIU1015"/>
      <c r="TIV1015"/>
      <c r="TIW1015"/>
      <c r="TIX1015"/>
      <c r="TIY1015"/>
      <c r="TIZ1015"/>
      <c r="TJA1015"/>
      <c r="TJB1015"/>
      <c r="TJC1015"/>
      <c r="TJD1015"/>
      <c r="TJE1015"/>
      <c r="TJF1015"/>
      <c r="TJG1015"/>
      <c r="TJH1015"/>
      <c r="TJI1015"/>
      <c r="TJJ1015"/>
      <c r="TJK1015"/>
      <c r="TJL1015"/>
      <c r="TJM1015"/>
      <c r="TJN1015"/>
      <c r="TJO1015"/>
      <c r="TJP1015"/>
      <c r="TJQ1015"/>
      <c r="TJR1015"/>
      <c r="TJS1015"/>
      <c r="TJT1015"/>
      <c r="TJU1015"/>
      <c r="TJV1015"/>
      <c r="TJW1015"/>
      <c r="TJX1015"/>
      <c r="TJY1015"/>
      <c r="TJZ1015"/>
      <c r="TKA1015"/>
      <c r="TKB1015"/>
      <c r="TKC1015"/>
      <c r="TKD1015"/>
      <c r="TKE1015"/>
      <c r="TKF1015"/>
      <c r="TKG1015"/>
      <c r="TKH1015"/>
      <c r="TKI1015"/>
      <c r="TKJ1015"/>
      <c r="TKK1015"/>
      <c r="TKL1015"/>
      <c r="TKM1015"/>
      <c r="TKN1015"/>
      <c r="TKO1015"/>
      <c r="TKP1015"/>
      <c r="TKQ1015"/>
      <c r="TKR1015"/>
      <c r="TKS1015"/>
      <c r="TKT1015"/>
      <c r="TKU1015"/>
      <c r="TKV1015"/>
      <c r="TKW1015"/>
      <c r="TKX1015"/>
      <c r="TKY1015"/>
      <c r="TKZ1015"/>
      <c r="TLA1015"/>
      <c r="TLB1015"/>
      <c r="TLC1015"/>
      <c r="TLD1015"/>
      <c r="TLE1015"/>
      <c r="TLF1015"/>
      <c r="TLG1015"/>
      <c r="TLH1015"/>
      <c r="TLI1015"/>
      <c r="TLJ1015"/>
      <c r="TLK1015"/>
      <c r="TLL1015"/>
      <c r="TLM1015"/>
      <c r="TLN1015"/>
      <c r="TLO1015"/>
      <c r="TLP1015"/>
      <c r="TLQ1015"/>
      <c r="TLR1015"/>
      <c r="TLS1015"/>
      <c r="TLT1015"/>
      <c r="TLU1015"/>
      <c r="TLV1015"/>
      <c r="TLW1015"/>
      <c r="TLX1015"/>
      <c r="TLY1015"/>
      <c r="TLZ1015"/>
      <c r="TMA1015"/>
      <c r="TMB1015"/>
      <c r="TMC1015"/>
      <c r="TMD1015"/>
      <c r="TME1015"/>
      <c r="TMF1015"/>
      <c r="TMG1015"/>
      <c r="TMH1015"/>
      <c r="TMI1015"/>
      <c r="TMJ1015"/>
      <c r="TMK1015"/>
      <c r="TML1015"/>
      <c r="TMM1015"/>
      <c r="TMN1015"/>
      <c r="TMO1015"/>
      <c r="TMP1015"/>
      <c r="TMQ1015"/>
      <c r="TMR1015"/>
      <c r="TMS1015"/>
      <c r="TMT1015"/>
      <c r="TMU1015"/>
      <c r="TMV1015"/>
      <c r="TMW1015"/>
      <c r="TMX1015"/>
      <c r="TMY1015"/>
      <c r="TMZ1015"/>
      <c r="TNA1015"/>
      <c r="TNB1015"/>
      <c r="TNC1015"/>
      <c r="TND1015"/>
      <c r="TNE1015"/>
      <c r="TNF1015"/>
      <c r="TNG1015"/>
      <c r="TNH1015"/>
      <c r="TNI1015"/>
      <c r="TNJ1015"/>
      <c r="TNK1015"/>
      <c r="TNL1015"/>
      <c r="TNM1015"/>
      <c r="TNN1015"/>
      <c r="TNO1015"/>
      <c r="TNP1015"/>
      <c r="TNQ1015"/>
      <c r="TNR1015"/>
      <c r="TNS1015"/>
      <c r="TNT1015"/>
      <c r="TNU1015"/>
      <c r="TNV1015"/>
      <c r="TNW1015"/>
      <c r="TNX1015"/>
      <c r="TNY1015"/>
      <c r="TNZ1015"/>
      <c r="TOA1015"/>
      <c r="TOB1015"/>
      <c r="TOC1015"/>
      <c r="TOD1015"/>
      <c r="TOE1015"/>
      <c r="TOF1015"/>
      <c r="TOG1015"/>
      <c r="TOH1015"/>
      <c r="TOI1015"/>
      <c r="TOJ1015"/>
      <c r="TOK1015"/>
      <c r="TOL1015"/>
      <c r="TOM1015"/>
      <c r="TON1015"/>
      <c r="TOO1015"/>
      <c r="TOP1015"/>
      <c r="TOQ1015"/>
      <c r="TOR1015"/>
      <c r="TOS1015"/>
      <c r="TOT1015"/>
      <c r="TOU1015"/>
      <c r="TOV1015"/>
      <c r="TOW1015"/>
      <c r="TOX1015"/>
      <c r="TOY1015"/>
      <c r="TOZ1015"/>
      <c r="TPA1015"/>
      <c r="TPB1015"/>
      <c r="TPC1015"/>
      <c r="TPD1015"/>
      <c r="TPE1015"/>
      <c r="TPF1015"/>
      <c r="TPG1015"/>
      <c r="TPH1015"/>
      <c r="TPI1015"/>
      <c r="TPJ1015"/>
      <c r="TPK1015"/>
      <c r="TPL1015"/>
      <c r="TPM1015"/>
      <c r="TPN1015"/>
      <c r="TPO1015"/>
      <c r="TPP1015"/>
      <c r="TPQ1015"/>
      <c r="TPR1015"/>
      <c r="TPS1015"/>
      <c r="TPT1015"/>
      <c r="TPU1015"/>
      <c r="TPV1015"/>
      <c r="TPW1015"/>
      <c r="TPX1015"/>
      <c r="TPY1015"/>
      <c r="TPZ1015"/>
      <c r="TQA1015"/>
      <c r="TQB1015"/>
      <c r="TQC1015"/>
      <c r="TQD1015"/>
      <c r="TQE1015"/>
      <c r="TQF1015"/>
      <c r="TQG1015"/>
      <c r="TQH1015"/>
      <c r="TQI1015"/>
      <c r="TQJ1015"/>
      <c r="TQK1015"/>
      <c r="TQL1015"/>
      <c r="TQM1015"/>
      <c r="TQN1015"/>
      <c r="TQO1015"/>
      <c r="TQP1015"/>
      <c r="TQQ1015"/>
      <c r="TQR1015"/>
      <c r="TQS1015"/>
      <c r="TQT1015"/>
      <c r="TQU1015"/>
      <c r="TQV1015"/>
      <c r="TQW1015"/>
      <c r="TQX1015"/>
      <c r="TQY1015"/>
      <c r="TQZ1015"/>
      <c r="TRA1015"/>
      <c r="TRB1015"/>
      <c r="TRC1015"/>
      <c r="TRD1015"/>
      <c r="TRE1015"/>
      <c r="TRF1015"/>
      <c r="TRG1015"/>
      <c r="TRH1015"/>
      <c r="TRI1015"/>
      <c r="TRJ1015"/>
      <c r="TRK1015"/>
      <c r="TRL1015"/>
      <c r="TRM1015"/>
      <c r="TRN1015"/>
      <c r="TRO1015"/>
      <c r="TRP1015"/>
      <c r="TRQ1015"/>
      <c r="TRR1015"/>
      <c r="TRS1015"/>
      <c r="TRT1015"/>
      <c r="TRU1015"/>
      <c r="TRV1015"/>
      <c r="TRW1015"/>
      <c r="TRX1015"/>
      <c r="TRY1015"/>
      <c r="TRZ1015"/>
      <c r="TSA1015"/>
      <c r="TSB1015"/>
      <c r="TSC1015"/>
      <c r="TSD1015"/>
      <c r="TSE1015"/>
      <c r="TSF1015"/>
      <c r="TSG1015"/>
      <c r="TSH1015"/>
      <c r="TSI1015"/>
      <c r="TSJ1015"/>
      <c r="TSK1015"/>
      <c r="TSL1015"/>
      <c r="TSM1015"/>
      <c r="TSN1015"/>
      <c r="TSO1015"/>
      <c r="TSP1015"/>
      <c r="TSQ1015"/>
      <c r="TSR1015"/>
      <c r="TSS1015"/>
      <c r="TST1015"/>
      <c r="TSU1015"/>
      <c r="TSV1015"/>
      <c r="TSW1015"/>
      <c r="TSX1015"/>
      <c r="TSY1015"/>
      <c r="TSZ1015"/>
      <c r="TTA1015"/>
      <c r="TTB1015"/>
      <c r="TTC1015"/>
      <c r="TTD1015"/>
      <c r="TTE1015"/>
      <c r="TTF1015"/>
      <c r="TTG1015"/>
      <c r="TTH1015"/>
      <c r="TTI1015"/>
      <c r="TTJ1015"/>
      <c r="TTK1015"/>
      <c r="TTL1015"/>
      <c r="TTM1015"/>
      <c r="TTN1015"/>
      <c r="TTO1015"/>
      <c r="TTP1015"/>
      <c r="TTQ1015"/>
      <c r="TTR1015"/>
      <c r="TTS1015"/>
      <c r="TTT1015"/>
      <c r="TTU1015"/>
      <c r="TTV1015"/>
      <c r="TTW1015"/>
      <c r="TTX1015"/>
      <c r="TTY1015"/>
      <c r="TTZ1015"/>
      <c r="TUA1015"/>
      <c r="TUB1015"/>
      <c r="TUC1015"/>
      <c r="TUD1015"/>
      <c r="TUE1015"/>
      <c r="TUF1015"/>
      <c r="TUG1015"/>
      <c r="TUH1015"/>
      <c r="TUI1015"/>
      <c r="TUJ1015"/>
      <c r="TUK1015"/>
      <c r="TUL1015"/>
      <c r="TUM1015"/>
      <c r="TUN1015"/>
      <c r="TUO1015"/>
      <c r="TUP1015"/>
      <c r="TUQ1015"/>
      <c r="TUR1015"/>
      <c r="TUS1015"/>
      <c r="TUT1015"/>
      <c r="TUU1015"/>
      <c r="TUV1015"/>
      <c r="TUW1015"/>
      <c r="TUX1015"/>
      <c r="TUY1015"/>
      <c r="TUZ1015"/>
      <c r="TVA1015"/>
      <c r="TVB1015"/>
      <c r="TVC1015"/>
      <c r="TVD1015"/>
      <c r="TVE1015"/>
      <c r="TVF1015"/>
      <c r="TVG1015"/>
      <c r="TVH1015"/>
      <c r="TVI1015"/>
      <c r="TVJ1015"/>
      <c r="TVK1015"/>
      <c r="TVL1015"/>
      <c r="TVM1015"/>
      <c r="TVN1015"/>
      <c r="TVO1015"/>
      <c r="TVP1015"/>
      <c r="TVQ1015"/>
      <c r="TVR1015"/>
      <c r="TVS1015"/>
      <c r="TVT1015"/>
      <c r="TVU1015"/>
      <c r="TVV1015"/>
      <c r="TVW1015"/>
      <c r="TVX1015"/>
      <c r="TVY1015"/>
      <c r="TVZ1015"/>
      <c r="TWA1015"/>
      <c r="TWB1015"/>
      <c r="TWC1015"/>
      <c r="TWD1015"/>
      <c r="TWE1015"/>
      <c r="TWF1015"/>
      <c r="TWG1015"/>
      <c r="TWH1015"/>
      <c r="TWI1015"/>
      <c r="TWJ1015"/>
      <c r="TWK1015"/>
      <c r="TWL1015"/>
      <c r="TWM1015"/>
      <c r="TWN1015"/>
      <c r="TWO1015"/>
      <c r="TWP1015"/>
      <c r="TWQ1015"/>
      <c r="TWR1015"/>
      <c r="TWS1015"/>
      <c r="TWT1015"/>
      <c r="TWU1015"/>
      <c r="TWV1015"/>
      <c r="TWW1015"/>
      <c r="TWX1015"/>
      <c r="TWY1015"/>
      <c r="TWZ1015"/>
      <c r="TXA1015"/>
      <c r="TXB1015"/>
      <c r="TXC1015"/>
      <c r="TXD1015"/>
      <c r="TXE1015"/>
      <c r="TXF1015"/>
      <c r="TXG1015"/>
      <c r="TXH1015"/>
      <c r="TXI1015"/>
      <c r="TXJ1015"/>
      <c r="TXK1015"/>
      <c r="TXL1015"/>
      <c r="TXM1015"/>
      <c r="TXN1015"/>
      <c r="TXO1015"/>
      <c r="TXP1015"/>
      <c r="TXQ1015"/>
      <c r="TXR1015"/>
      <c r="TXS1015"/>
      <c r="TXT1015"/>
      <c r="TXU1015"/>
      <c r="TXV1015"/>
      <c r="TXW1015"/>
      <c r="TXX1015"/>
      <c r="TXY1015"/>
      <c r="TXZ1015"/>
      <c r="TYA1015"/>
      <c r="TYB1015"/>
      <c r="TYC1015"/>
      <c r="TYD1015"/>
      <c r="TYE1015"/>
      <c r="TYF1015"/>
      <c r="TYG1015"/>
      <c r="TYH1015"/>
      <c r="TYI1015"/>
      <c r="TYJ1015"/>
      <c r="TYK1015"/>
      <c r="TYL1015"/>
      <c r="TYM1015"/>
      <c r="TYN1015"/>
      <c r="TYO1015"/>
      <c r="TYP1015"/>
      <c r="TYQ1015"/>
      <c r="TYR1015"/>
      <c r="TYS1015"/>
      <c r="TYT1015"/>
      <c r="TYU1015"/>
      <c r="TYV1015"/>
      <c r="TYW1015"/>
      <c r="TYX1015"/>
      <c r="TYY1015"/>
      <c r="TYZ1015"/>
      <c r="TZA1015"/>
      <c r="TZB1015"/>
      <c r="TZC1015"/>
      <c r="TZD1015"/>
      <c r="TZE1015"/>
      <c r="TZF1015"/>
      <c r="TZG1015"/>
      <c r="TZH1015"/>
      <c r="TZI1015"/>
      <c r="TZJ1015"/>
      <c r="TZK1015"/>
      <c r="TZL1015"/>
      <c r="TZM1015"/>
      <c r="TZN1015"/>
      <c r="TZO1015"/>
      <c r="TZP1015"/>
      <c r="TZQ1015"/>
      <c r="TZR1015"/>
      <c r="TZS1015"/>
      <c r="TZT1015"/>
      <c r="TZU1015"/>
      <c r="TZV1015"/>
      <c r="TZW1015"/>
      <c r="TZX1015"/>
      <c r="TZY1015"/>
      <c r="TZZ1015"/>
      <c r="UAA1015"/>
      <c r="UAB1015"/>
      <c r="UAC1015"/>
      <c r="UAD1015"/>
      <c r="UAE1015"/>
      <c r="UAF1015"/>
      <c r="UAG1015"/>
      <c r="UAH1015"/>
      <c r="UAI1015"/>
      <c r="UAJ1015"/>
      <c r="UAK1015"/>
      <c r="UAL1015"/>
      <c r="UAM1015"/>
      <c r="UAN1015"/>
      <c r="UAO1015"/>
      <c r="UAP1015"/>
      <c r="UAQ1015"/>
      <c r="UAR1015"/>
      <c r="UAS1015"/>
      <c r="UAT1015"/>
      <c r="UAU1015"/>
      <c r="UAV1015"/>
      <c r="UAW1015"/>
      <c r="UAX1015"/>
      <c r="UAY1015"/>
      <c r="UAZ1015"/>
      <c r="UBA1015"/>
      <c r="UBB1015"/>
      <c r="UBC1015"/>
      <c r="UBD1015"/>
      <c r="UBE1015"/>
      <c r="UBF1015"/>
      <c r="UBG1015"/>
      <c r="UBH1015"/>
      <c r="UBI1015"/>
      <c r="UBJ1015"/>
      <c r="UBK1015"/>
      <c r="UBL1015"/>
      <c r="UBM1015"/>
      <c r="UBN1015"/>
      <c r="UBO1015"/>
      <c r="UBP1015"/>
      <c r="UBQ1015"/>
      <c r="UBR1015"/>
      <c r="UBS1015"/>
      <c r="UBT1015"/>
      <c r="UBU1015"/>
      <c r="UBV1015"/>
      <c r="UBW1015"/>
      <c r="UBX1015"/>
      <c r="UBY1015"/>
      <c r="UBZ1015"/>
      <c r="UCA1015"/>
      <c r="UCB1015"/>
      <c r="UCC1015"/>
      <c r="UCD1015"/>
      <c r="UCE1015"/>
      <c r="UCF1015"/>
      <c r="UCG1015"/>
      <c r="UCH1015"/>
      <c r="UCI1015"/>
      <c r="UCJ1015"/>
      <c r="UCK1015"/>
      <c r="UCL1015"/>
      <c r="UCM1015"/>
      <c r="UCN1015"/>
      <c r="UCO1015"/>
      <c r="UCP1015"/>
      <c r="UCQ1015"/>
      <c r="UCR1015"/>
      <c r="UCS1015"/>
      <c r="UCT1015"/>
      <c r="UCU1015"/>
      <c r="UCV1015"/>
      <c r="UCW1015"/>
      <c r="UCX1015"/>
      <c r="UCY1015"/>
      <c r="UCZ1015"/>
      <c r="UDA1015"/>
      <c r="UDB1015"/>
      <c r="UDC1015"/>
      <c r="UDD1015"/>
      <c r="UDE1015"/>
      <c r="UDF1015"/>
      <c r="UDG1015"/>
      <c r="UDH1015"/>
      <c r="UDI1015"/>
      <c r="UDJ1015"/>
      <c r="UDK1015"/>
      <c r="UDL1015"/>
      <c r="UDM1015"/>
      <c r="UDN1015"/>
      <c r="UDO1015"/>
      <c r="UDP1015"/>
      <c r="UDQ1015"/>
      <c r="UDR1015"/>
      <c r="UDS1015"/>
      <c r="UDT1015"/>
      <c r="UDU1015"/>
      <c r="UDV1015"/>
      <c r="UDW1015"/>
      <c r="UDX1015"/>
      <c r="UDY1015"/>
      <c r="UDZ1015"/>
      <c r="UEA1015"/>
      <c r="UEB1015"/>
      <c r="UEC1015"/>
      <c r="UED1015"/>
      <c r="UEE1015"/>
      <c r="UEF1015"/>
      <c r="UEG1015"/>
      <c r="UEH1015"/>
      <c r="UEI1015"/>
      <c r="UEJ1015"/>
      <c r="UEK1015"/>
      <c r="UEL1015"/>
      <c r="UEM1015"/>
      <c r="UEN1015"/>
      <c r="UEO1015"/>
      <c r="UEP1015"/>
      <c r="UEQ1015"/>
      <c r="UER1015"/>
      <c r="UES1015"/>
      <c r="UET1015"/>
      <c r="UEU1015"/>
      <c r="UEV1015"/>
      <c r="UEW1015"/>
      <c r="UEX1015"/>
      <c r="UEY1015"/>
      <c r="UEZ1015"/>
      <c r="UFA1015"/>
      <c r="UFB1015"/>
      <c r="UFC1015"/>
      <c r="UFD1015"/>
      <c r="UFE1015"/>
      <c r="UFF1015"/>
      <c r="UFG1015"/>
      <c r="UFH1015"/>
      <c r="UFI1015"/>
      <c r="UFJ1015"/>
      <c r="UFK1015"/>
      <c r="UFL1015"/>
      <c r="UFM1015"/>
      <c r="UFN1015"/>
      <c r="UFO1015"/>
      <c r="UFP1015"/>
      <c r="UFQ1015"/>
      <c r="UFR1015"/>
      <c r="UFS1015"/>
      <c r="UFT1015"/>
      <c r="UFU1015"/>
      <c r="UFV1015"/>
      <c r="UFW1015"/>
      <c r="UFX1015"/>
      <c r="UFY1015"/>
      <c r="UFZ1015"/>
      <c r="UGA1015"/>
      <c r="UGB1015"/>
      <c r="UGC1015"/>
      <c r="UGD1015"/>
      <c r="UGE1015"/>
      <c r="UGF1015"/>
      <c r="UGG1015"/>
      <c r="UGH1015"/>
      <c r="UGI1015"/>
      <c r="UGJ1015"/>
      <c r="UGK1015"/>
      <c r="UGL1015"/>
      <c r="UGM1015"/>
      <c r="UGN1015"/>
      <c r="UGO1015"/>
      <c r="UGP1015"/>
      <c r="UGQ1015"/>
      <c r="UGR1015"/>
      <c r="UGS1015"/>
      <c r="UGT1015"/>
      <c r="UGU1015"/>
      <c r="UGV1015"/>
      <c r="UGW1015"/>
      <c r="UGX1015"/>
      <c r="UGY1015"/>
      <c r="UGZ1015"/>
      <c r="UHA1015"/>
      <c r="UHB1015"/>
      <c r="UHC1015"/>
      <c r="UHD1015"/>
      <c r="UHE1015"/>
      <c r="UHF1015"/>
      <c r="UHG1015"/>
      <c r="UHH1015"/>
      <c r="UHI1015"/>
      <c r="UHJ1015"/>
      <c r="UHK1015"/>
      <c r="UHL1015"/>
      <c r="UHM1015"/>
      <c r="UHN1015"/>
      <c r="UHO1015"/>
      <c r="UHP1015"/>
      <c r="UHQ1015"/>
      <c r="UHR1015"/>
      <c r="UHS1015"/>
      <c r="UHT1015"/>
      <c r="UHU1015"/>
      <c r="UHV1015"/>
      <c r="UHW1015"/>
      <c r="UHX1015"/>
      <c r="UHY1015"/>
      <c r="UHZ1015"/>
      <c r="UIA1015"/>
      <c r="UIB1015"/>
      <c r="UIC1015"/>
      <c r="UID1015"/>
      <c r="UIE1015"/>
      <c r="UIF1015"/>
      <c r="UIG1015"/>
      <c r="UIH1015"/>
      <c r="UII1015"/>
      <c r="UIJ1015"/>
      <c r="UIK1015"/>
      <c r="UIL1015"/>
      <c r="UIM1015"/>
      <c r="UIN1015"/>
      <c r="UIO1015"/>
      <c r="UIP1015"/>
      <c r="UIQ1015"/>
      <c r="UIR1015"/>
      <c r="UIS1015"/>
      <c r="UIT1015"/>
      <c r="UIU1015"/>
      <c r="UIV1015"/>
      <c r="UIW1015"/>
      <c r="UIX1015"/>
      <c r="UIY1015"/>
      <c r="UIZ1015"/>
      <c r="UJA1015"/>
      <c r="UJB1015"/>
      <c r="UJC1015"/>
      <c r="UJD1015"/>
      <c r="UJE1015"/>
      <c r="UJF1015"/>
      <c r="UJG1015"/>
      <c r="UJH1015"/>
      <c r="UJI1015"/>
      <c r="UJJ1015"/>
      <c r="UJK1015"/>
      <c r="UJL1015"/>
      <c r="UJM1015"/>
      <c r="UJN1015"/>
      <c r="UJO1015"/>
      <c r="UJP1015"/>
      <c r="UJQ1015"/>
      <c r="UJR1015"/>
      <c r="UJS1015"/>
      <c r="UJT1015"/>
      <c r="UJU1015"/>
      <c r="UJV1015"/>
      <c r="UJW1015"/>
      <c r="UJX1015"/>
      <c r="UJY1015"/>
      <c r="UJZ1015"/>
      <c r="UKA1015"/>
      <c r="UKB1015"/>
      <c r="UKC1015"/>
      <c r="UKD1015"/>
      <c r="UKE1015"/>
      <c r="UKF1015"/>
      <c r="UKG1015"/>
      <c r="UKH1015"/>
      <c r="UKI1015"/>
      <c r="UKJ1015"/>
      <c r="UKK1015"/>
      <c r="UKL1015"/>
      <c r="UKM1015"/>
      <c r="UKN1015"/>
      <c r="UKO1015"/>
      <c r="UKP1015"/>
      <c r="UKQ1015"/>
      <c r="UKR1015"/>
      <c r="UKS1015"/>
      <c r="UKT1015"/>
      <c r="UKU1015"/>
      <c r="UKV1015"/>
      <c r="UKW1015"/>
      <c r="UKX1015"/>
      <c r="UKY1015"/>
      <c r="UKZ1015"/>
      <c r="ULA1015"/>
      <c r="ULB1015"/>
      <c r="ULC1015"/>
      <c r="ULD1015"/>
      <c r="ULE1015"/>
      <c r="ULF1015"/>
      <c r="ULG1015"/>
      <c r="ULH1015"/>
      <c r="ULI1015"/>
      <c r="ULJ1015"/>
      <c r="ULK1015"/>
      <c r="ULL1015"/>
      <c r="ULM1015"/>
      <c r="ULN1015"/>
      <c r="ULO1015"/>
      <c r="ULP1015"/>
      <c r="ULQ1015"/>
      <c r="ULR1015"/>
      <c r="ULS1015"/>
      <c r="ULT1015"/>
      <c r="ULU1015"/>
      <c r="ULV1015"/>
      <c r="ULW1015"/>
      <c r="ULX1015"/>
      <c r="ULY1015"/>
      <c r="ULZ1015"/>
      <c r="UMA1015"/>
      <c r="UMB1015"/>
      <c r="UMC1015"/>
      <c r="UMD1015"/>
      <c r="UME1015"/>
      <c r="UMF1015"/>
      <c r="UMG1015"/>
      <c r="UMH1015"/>
      <c r="UMI1015"/>
      <c r="UMJ1015"/>
      <c r="UMK1015"/>
      <c r="UML1015"/>
      <c r="UMM1015"/>
      <c r="UMN1015"/>
      <c r="UMO1015"/>
      <c r="UMP1015"/>
      <c r="UMQ1015"/>
      <c r="UMR1015"/>
      <c r="UMS1015"/>
      <c r="UMT1015"/>
      <c r="UMU1015"/>
      <c r="UMV1015"/>
      <c r="UMW1015"/>
      <c r="UMX1015"/>
      <c r="UMY1015"/>
      <c r="UMZ1015"/>
      <c r="UNA1015"/>
      <c r="UNB1015"/>
      <c r="UNC1015"/>
      <c r="UND1015"/>
      <c r="UNE1015"/>
      <c r="UNF1015"/>
      <c r="UNG1015"/>
      <c r="UNH1015"/>
      <c r="UNI1015"/>
      <c r="UNJ1015"/>
      <c r="UNK1015"/>
      <c r="UNL1015"/>
      <c r="UNM1015"/>
      <c r="UNN1015"/>
      <c r="UNO1015"/>
      <c r="UNP1015"/>
      <c r="UNQ1015"/>
      <c r="UNR1015"/>
      <c r="UNS1015"/>
      <c r="UNT1015"/>
      <c r="UNU1015"/>
      <c r="UNV1015"/>
      <c r="UNW1015"/>
      <c r="UNX1015"/>
      <c r="UNY1015"/>
      <c r="UNZ1015"/>
      <c r="UOA1015"/>
      <c r="UOB1015"/>
      <c r="UOC1015"/>
      <c r="UOD1015"/>
      <c r="UOE1015"/>
      <c r="UOF1015"/>
      <c r="UOG1015"/>
      <c r="UOH1015"/>
      <c r="UOI1015"/>
      <c r="UOJ1015"/>
      <c r="UOK1015"/>
      <c r="UOL1015"/>
      <c r="UOM1015"/>
      <c r="UON1015"/>
      <c r="UOO1015"/>
      <c r="UOP1015"/>
      <c r="UOQ1015"/>
      <c r="UOR1015"/>
      <c r="UOS1015"/>
      <c r="UOT1015"/>
      <c r="UOU1015"/>
      <c r="UOV1015"/>
      <c r="UOW1015"/>
      <c r="UOX1015"/>
      <c r="UOY1015"/>
      <c r="UOZ1015"/>
      <c r="UPA1015"/>
      <c r="UPB1015"/>
      <c r="UPC1015"/>
      <c r="UPD1015"/>
      <c r="UPE1015"/>
      <c r="UPF1015"/>
      <c r="UPG1015"/>
      <c r="UPH1015"/>
      <c r="UPI1015"/>
      <c r="UPJ1015"/>
      <c r="UPK1015"/>
      <c r="UPL1015"/>
      <c r="UPM1015"/>
      <c r="UPN1015"/>
      <c r="UPO1015"/>
      <c r="UPP1015"/>
      <c r="UPQ1015"/>
      <c r="UPR1015"/>
      <c r="UPS1015"/>
      <c r="UPT1015"/>
      <c r="UPU1015"/>
      <c r="UPV1015"/>
      <c r="UPW1015"/>
      <c r="UPX1015"/>
      <c r="UPY1015"/>
      <c r="UPZ1015"/>
      <c r="UQA1015"/>
      <c r="UQB1015"/>
      <c r="UQC1015"/>
      <c r="UQD1015"/>
      <c r="UQE1015"/>
      <c r="UQF1015"/>
      <c r="UQG1015"/>
      <c r="UQH1015"/>
      <c r="UQI1015"/>
      <c r="UQJ1015"/>
      <c r="UQK1015"/>
      <c r="UQL1015"/>
      <c r="UQM1015"/>
      <c r="UQN1015"/>
      <c r="UQO1015"/>
      <c r="UQP1015"/>
      <c r="UQQ1015"/>
      <c r="UQR1015"/>
      <c r="UQS1015"/>
      <c r="UQT1015"/>
      <c r="UQU1015"/>
      <c r="UQV1015"/>
      <c r="UQW1015"/>
      <c r="UQX1015"/>
      <c r="UQY1015"/>
      <c r="UQZ1015"/>
      <c r="URA1015"/>
      <c r="URB1015"/>
      <c r="URC1015"/>
      <c r="URD1015"/>
      <c r="URE1015"/>
      <c r="URF1015"/>
      <c r="URG1015"/>
      <c r="URH1015"/>
      <c r="URI1015"/>
      <c r="URJ1015"/>
      <c r="URK1015"/>
      <c r="URL1015"/>
      <c r="URM1015"/>
      <c r="URN1015"/>
      <c r="URO1015"/>
      <c r="URP1015"/>
      <c r="URQ1015"/>
      <c r="URR1015"/>
      <c r="URS1015"/>
      <c r="URT1015"/>
      <c r="URU1015"/>
      <c r="URV1015"/>
      <c r="URW1015"/>
      <c r="URX1015"/>
      <c r="URY1015"/>
      <c r="URZ1015"/>
      <c r="USA1015"/>
      <c r="USB1015"/>
      <c r="USC1015"/>
      <c r="USD1015"/>
      <c r="USE1015"/>
      <c r="USF1015"/>
      <c r="USG1015"/>
      <c r="USH1015"/>
      <c r="USI1015"/>
      <c r="USJ1015"/>
      <c r="USK1015"/>
      <c r="USL1015"/>
      <c r="USM1015"/>
      <c r="USN1015"/>
      <c r="USO1015"/>
      <c r="USP1015"/>
      <c r="USQ1015"/>
      <c r="USR1015"/>
      <c r="USS1015"/>
      <c r="UST1015"/>
      <c r="USU1015"/>
      <c r="USV1015"/>
      <c r="USW1015"/>
      <c r="USX1015"/>
      <c r="USY1015"/>
      <c r="USZ1015"/>
      <c r="UTA1015"/>
      <c r="UTB1015"/>
      <c r="UTC1015"/>
      <c r="UTD1015"/>
      <c r="UTE1015"/>
      <c r="UTF1015"/>
      <c r="UTG1015"/>
      <c r="UTH1015"/>
      <c r="UTI1015"/>
      <c r="UTJ1015"/>
      <c r="UTK1015"/>
      <c r="UTL1015"/>
      <c r="UTM1015"/>
      <c r="UTN1015"/>
      <c r="UTO1015"/>
      <c r="UTP1015"/>
      <c r="UTQ1015"/>
      <c r="UTR1015"/>
      <c r="UTS1015"/>
      <c r="UTT1015"/>
      <c r="UTU1015"/>
      <c r="UTV1015"/>
      <c r="UTW1015"/>
      <c r="UTX1015"/>
      <c r="UTY1015"/>
      <c r="UTZ1015"/>
      <c r="UUA1015"/>
      <c r="UUB1015"/>
      <c r="UUC1015"/>
      <c r="UUD1015"/>
      <c r="UUE1015"/>
      <c r="UUF1015"/>
      <c r="UUG1015"/>
      <c r="UUH1015"/>
      <c r="UUI1015"/>
      <c r="UUJ1015"/>
      <c r="UUK1015"/>
      <c r="UUL1015"/>
      <c r="UUM1015"/>
      <c r="UUN1015"/>
      <c r="UUO1015"/>
      <c r="UUP1015"/>
      <c r="UUQ1015"/>
      <c r="UUR1015"/>
      <c r="UUS1015"/>
      <c r="UUT1015"/>
      <c r="UUU1015"/>
      <c r="UUV1015"/>
      <c r="UUW1015"/>
      <c r="UUX1015"/>
      <c r="UUY1015"/>
      <c r="UUZ1015"/>
      <c r="UVA1015"/>
      <c r="UVB1015"/>
      <c r="UVC1015"/>
      <c r="UVD1015"/>
      <c r="UVE1015"/>
      <c r="UVF1015"/>
      <c r="UVG1015"/>
      <c r="UVH1015"/>
      <c r="UVI1015"/>
      <c r="UVJ1015"/>
      <c r="UVK1015"/>
      <c r="UVL1015"/>
      <c r="UVM1015"/>
      <c r="UVN1015"/>
      <c r="UVO1015"/>
      <c r="UVP1015"/>
      <c r="UVQ1015"/>
      <c r="UVR1015"/>
      <c r="UVS1015"/>
      <c r="UVT1015"/>
      <c r="UVU1015"/>
      <c r="UVV1015"/>
      <c r="UVW1015"/>
      <c r="UVX1015"/>
      <c r="UVY1015"/>
      <c r="UVZ1015"/>
      <c r="UWA1015"/>
      <c r="UWB1015"/>
      <c r="UWC1015"/>
      <c r="UWD1015"/>
      <c r="UWE1015"/>
      <c r="UWF1015"/>
      <c r="UWG1015"/>
      <c r="UWH1015"/>
      <c r="UWI1015"/>
      <c r="UWJ1015"/>
      <c r="UWK1015"/>
      <c r="UWL1015"/>
      <c r="UWM1015"/>
      <c r="UWN1015"/>
      <c r="UWO1015"/>
      <c r="UWP1015"/>
      <c r="UWQ1015"/>
      <c r="UWR1015"/>
      <c r="UWS1015"/>
      <c r="UWT1015"/>
      <c r="UWU1015"/>
      <c r="UWV1015"/>
      <c r="UWW1015"/>
      <c r="UWX1015"/>
      <c r="UWY1015"/>
      <c r="UWZ1015"/>
      <c r="UXA1015"/>
      <c r="UXB1015"/>
      <c r="UXC1015"/>
      <c r="UXD1015"/>
      <c r="UXE1015"/>
      <c r="UXF1015"/>
      <c r="UXG1015"/>
      <c r="UXH1015"/>
      <c r="UXI1015"/>
      <c r="UXJ1015"/>
      <c r="UXK1015"/>
      <c r="UXL1015"/>
      <c r="UXM1015"/>
      <c r="UXN1015"/>
      <c r="UXO1015"/>
      <c r="UXP1015"/>
      <c r="UXQ1015"/>
      <c r="UXR1015"/>
      <c r="UXS1015"/>
      <c r="UXT1015"/>
      <c r="UXU1015"/>
      <c r="UXV1015"/>
      <c r="UXW1015"/>
      <c r="UXX1015"/>
      <c r="UXY1015"/>
      <c r="UXZ1015"/>
      <c r="UYA1015"/>
      <c r="UYB1015"/>
      <c r="UYC1015"/>
      <c r="UYD1015"/>
      <c r="UYE1015"/>
      <c r="UYF1015"/>
      <c r="UYG1015"/>
      <c r="UYH1015"/>
      <c r="UYI1015"/>
      <c r="UYJ1015"/>
      <c r="UYK1015"/>
      <c r="UYL1015"/>
      <c r="UYM1015"/>
      <c r="UYN1015"/>
      <c r="UYO1015"/>
      <c r="UYP1015"/>
      <c r="UYQ1015"/>
      <c r="UYR1015"/>
      <c r="UYS1015"/>
      <c r="UYT1015"/>
      <c r="UYU1015"/>
      <c r="UYV1015"/>
      <c r="UYW1015"/>
      <c r="UYX1015"/>
      <c r="UYY1015"/>
      <c r="UYZ1015"/>
      <c r="UZA1015"/>
      <c r="UZB1015"/>
      <c r="UZC1015"/>
      <c r="UZD1015"/>
      <c r="UZE1015"/>
      <c r="UZF1015"/>
      <c r="UZG1015"/>
      <c r="UZH1015"/>
      <c r="UZI1015"/>
      <c r="UZJ1015"/>
      <c r="UZK1015"/>
      <c r="UZL1015"/>
      <c r="UZM1015"/>
      <c r="UZN1015"/>
      <c r="UZO1015"/>
      <c r="UZP1015"/>
      <c r="UZQ1015"/>
      <c r="UZR1015"/>
      <c r="UZS1015"/>
      <c r="UZT1015"/>
      <c r="UZU1015"/>
      <c r="UZV1015"/>
      <c r="UZW1015"/>
      <c r="UZX1015"/>
      <c r="UZY1015"/>
      <c r="UZZ1015"/>
      <c r="VAA1015"/>
      <c r="VAB1015"/>
      <c r="VAC1015"/>
      <c r="VAD1015"/>
      <c r="VAE1015"/>
      <c r="VAF1015"/>
      <c r="VAG1015"/>
      <c r="VAH1015"/>
      <c r="VAI1015"/>
      <c r="VAJ1015"/>
      <c r="VAK1015"/>
      <c r="VAL1015"/>
      <c r="VAM1015"/>
      <c r="VAN1015"/>
      <c r="VAO1015"/>
      <c r="VAP1015"/>
      <c r="VAQ1015"/>
      <c r="VAR1015"/>
      <c r="VAS1015"/>
      <c r="VAT1015"/>
      <c r="VAU1015"/>
      <c r="VAV1015"/>
      <c r="VAW1015"/>
      <c r="VAX1015"/>
      <c r="VAY1015"/>
      <c r="VAZ1015"/>
      <c r="VBA1015"/>
      <c r="VBB1015"/>
      <c r="VBC1015"/>
      <c r="VBD1015"/>
      <c r="VBE1015"/>
      <c r="VBF1015"/>
      <c r="VBG1015"/>
      <c r="VBH1015"/>
      <c r="VBI1015"/>
      <c r="VBJ1015"/>
      <c r="VBK1015"/>
      <c r="VBL1015"/>
      <c r="VBM1015"/>
      <c r="VBN1015"/>
      <c r="VBO1015"/>
      <c r="VBP1015"/>
      <c r="VBQ1015"/>
      <c r="VBR1015"/>
      <c r="VBS1015"/>
      <c r="VBT1015"/>
      <c r="VBU1015"/>
      <c r="VBV1015"/>
      <c r="VBW1015"/>
      <c r="VBX1015"/>
      <c r="VBY1015"/>
      <c r="VBZ1015"/>
      <c r="VCA1015"/>
      <c r="VCB1015"/>
      <c r="VCC1015"/>
      <c r="VCD1015"/>
      <c r="VCE1015"/>
      <c r="VCF1015"/>
      <c r="VCG1015"/>
      <c r="VCH1015"/>
      <c r="VCI1015"/>
      <c r="VCJ1015"/>
      <c r="VCK1015"/>
      <c r="VCL1015"/>
      <c r="VCM1015"/>
      <c r="VCN1015"/>
      <c r="VCO1015"/>
      <c r="VCP1015"/>
      <c r="VCQ1015"/>
      <c r="VCR1015"/>
      <c r="VCS1015"/>
      <c r="VCT1015"/>
      <c r="VCU1015"/>
      <c r="VCV1015"/>
      <c r="VCW1015"/>
      <c r="VCX1015"/>
      <c r="VCY1015"/>
      <c r="VCZ1015"/>
      <c r="VDA1015"/>
      <c r="VDB1015"/>
      <c r="VDC1015"/>
      <c r="VDD1015"/>
      <c r="VDE1015"/>
      <c r="VDF1015"/>
      <c r="VDG1015"/>
      <c r="VDH1015"/>
      <c r="VDI1015"/>
      <c r="VDJ1015"/>
      <c r="VDK1015"/>
      <c r="VDL1015"/>
      <c r="VDM1015"/>
      <c r="VDN1015"/>
      <c r="VDO1015"/>
      <c r="VDP1015"/>
      <c r="VDQ1015"/>
      <c r="VDR1015"/>
      <c r="VDS1015"/>
      <c r="VDT1015"/>
      <c r="VDU1015"/>
      <c r="VDV1015"/>
      <c r="VDW1015"/>
      <c r="VDX1015"/>
      <c r="VDY1015"/>
      <c r="VDZ1015"/>
      <c r="VEA1015"/>
      <c r="VEB1015"/>
      <c r="VEC1015"/>
      <c r="VED1015"/>
      <c r="VEE1015"/>
      <c r="VEF1015"/>
      <c r="VEG1015"/>
      <c r="VEH1015"/>
      <c r="VEI1015"/>
      <c r="VEJ1015"/>
      <c r="VEK1015"/>
      <c r="VEL1015"/>
      <c r="VEM1015"/>
      <c r="VEN1015"/>
      <c r="VEO1015"/>
      <c r="VEP1015"/>
      <c r="VEQ1015"/>
      <c r="VER1015"/>
      <c r="VES1015"/>
      <c r="VET1015"/>
      <c r="VEU1015"/>
      <c r="VEV1015"/>
      <c r="VEW1015"/>
      <c r="VEX1015"/>
      <c r="VEY1015"/>
      <c r="VEZ1015"/>
      <c r="VFA1015"/>
      <c r="VFB1015"/>
      <c r="VFC1015"/>
      <c r="VFD1015"/>
      <c r="VFE1015"/>
      <c r="VFF1015"/>
      <c r="VFG1015"/>
      <c r="VFH1015"/>
      <c r="VFI1015"/>
      <c r="VFJ1015"/>
      <c r="VFK1015"/>
      <c r="VFL1015"/>
      <c r="VFM1015"/>
      <c r="VFN1015"/>
      <c r="VFO1015"/>
      <c r="VFP1015"/>
      <c r="VFQ1015"/>
      <c r="VFR1015"/>
      <c r="VFS1015"/>
      <c r="VFT1015"/>
      <c r="VFU1015"/>
      <c r="VFV1015"/>
      <c r="VFW1015"/>
      <c r="VFX1015"/>
      <c r="VFY1015"/>
      <c r="VFZ1015"/>
      <c r="VGA1015"/>
      <c r="VGB1015"/>
      <c r="VGC1015"/>
      <c r="VGD1015"/>
      <c r="VGE1015"/>
      <c r="VGF1015"/>
      <c r="VGG1015"/>
      <c r="VGH1015"/>
      <c r="VGI1015"/>
      <c r="VGJ1015"/>
      <c r="VGK1015"/>
      <c r="VGL1015"/>
      <c r="VGM1015"/>
      <c r="VGN1015"/>
      <c r="VGO1015"/>
      <c r="VGP1015"/>
      <c r="VGQ1015"/>
      <c r="VGR1015"/>
      <c r="VGS1015"/>
      <c r="VGT1015"/>
      <c r="VGU1015"/>
      <c r="VGV1015"/>
      <c r="VGW1015"/>
      <c r="VGX1015"/>
      <c r="VGY1015"/>
      <c r="VGZ1015"/>
      <c r="VHA1015"/>
      <c r="VHB1015"/>
      <c r="VHC1015"/>
      <c r="VHD1015"/>
      <c r="VHE1015"/>
      <c r="VHF1015"/>
      <c r="VHG1015"/>
      <c r="VHH1015"/>
      <c r="VHI1015"/>
      <c r="VHJ1015"/>
      <c r="VHK1015"/>
      <c r="VHL1015"/>
      <c r="VHM1015"/>
      <c r="VHN1015"/>
      <c r="VHO1015"/>
      <c r="VHP1015"/>
      <c r="VHQ1015"/>
      <c r="VHR1015"/>
      <c r="VHS1015"/>
      <c r="VHT1015"/>
      <c r="VHU1015"/>
      <c r="VHV1015"/>
      <c r="VHW1015"/>
      <c r="VHX1015"/>
      <c r="VHY1015"/>
      <c r="VHZ1015"/>
      <c r="VIA1015"/>
      <c r="VIB1015"/>
      <c r="VIC1015"/>
      <c r="VID1015"/>
      <c r="VIE1015"/>
      <c r="VIF1015"/>
      <c r="VIG1015"/>
      <c r="VIH1015"/>
      <c r="VII1015"/>
      <c r="VIJ1015"/>
      <c r="VIK1015"/>
      <c r="VIL1015"/>
      <c r="VIM1015"/>
      <c r="VIN1015"/>
      <c r="VIO1015"/>
      <c r="VIP1015"/>
      <c r="VIQ1015"/>
      <c r="VIR1015"/>
      <c r="VIS1015"/>
      <c r="VIT1015"/>
      <c r="VIU1015"/>
      <c r="VIV1015"/>
      <c r="VIW1015"/>
      <c r="VIX1015"/>
      <c r="VIY1015"/>
      <c r="VIZ1015"/>
      <c r="VJA1015"/>
      <c r="VJB1015"/>
      <c r="VJC1015"/>
      <c r="VJD1015"/>
      <c r="VJE1015"/>
      <c r="VJF1015"/>
      <c r="VJG1015"/>
      <c r="VJH1015"/>
      <c r="VJI1015"/>
      <c r="VJJ1015"/>
      <c r="VJK1015"/>
      <c r="VJL1015"/>
      <c r="VJM1015"/>
      <c r="VJN1015"/>
      <c r="VJO1015"/>
      <c r="VJP1015"/>
      <c r="VJQ1015"/>
      <c r="VJR1015"/>
      <c r="VJS1015"/>
      <c r="VJT1015"/>
      <c r="VJU1015"/>
      <c r="VJV1015"/>
      <c r="VJW1015"/>
      <c r="VJX1015"/>
      <c r="VJY1015"/>
      <c r="VJZ1015"/>
      <c r="VKA1015"/>
      <c r="VKB1015"/>
      <c r="VKC1015"/>
      <c r="VKD1015"/>
      <c r="VKE1015"/>
      <c r="VKF1015"/>
      <c r="VKG1015"/>
      <c r="VKH1015"/>
      <c r="VKI1015"/>
      <c r="VKJ1015"/>
      <c r="VKK1015"/>
      <c r="VKL1015"/>
      <c r="VKM1015"/>
      <c r="VKN1015"/>
      <c r="VKO1015"/>
      <c r="VKP1015"/>
      <c r="VKQ1015"/>
      <c r="VKR1015"/>
      <c r="VKS1015"/>
      <c r="VKT1015"/>
      <c r="VKU1015"/>
      <c r="VKV1015"/>
      <c r="VKW1015"/>
      <c r="VKX1015"/>
      <c r="VKY1015"/>
      <c r="VKZ1015"/>
      <c r="VLA1015"/>
      <c r="VLB1015"/>
      <c r="VLC1015"/>
      <c r="VLD1015"/>
      <c r="VLE1015"/>
      <c r="VLF1015"/>
      <c r="VLG1015"/>
      <c r="VLH1015"/>
      <c r="VLI1015"/>
      <c r="VLJ1015"/>
      <c r="VLK1015"/>
      <c r="VLL1015"/>
      <c r="VLM1015"/>
      <c r="VLN1015"/>
      <c r="VLO1015"/>
      <c r="VLP1015"/>
      <c r="VLQ1015"/>
      <c r="VLR1015"/>
      <c r="VLS1015"/>
      <c r="VLT1015"/>
      <c r="VLU1015"/>
      <c r="VLV1015"/>
      <c r="VLW1015"/>
      <c r="VLX1015"/>
      <c r="VLY1015"/>
      <c r="VLZ1015"/>
      <c r="VMA1015"/>
      <c r="VMB1015"/>
      <c r="VMC1015"/>
      <c r="VMD1015"/>
      <c r="VME1015"/>
      <c r="VMF1015"/>
      <c r="VMG1015"/>
      <c r="VMH1015"/>
      <c r="VMI1015"/>
      <c r="VMJ1015"/>
      <c r="VMK1015"/>
      <c r="VML1015"/>
      <c r="VMM1015"/>
      <c r="VMN1015"/>
      <c r="VMO1015"/>
      <c r="VMP1015"/>
      <c r="VMQ1015"/>
      <c r="VMR1015"/>
      <c r="VMS1015"/>
      <c r="VMT1015"/>
      <c r="VMU1015"/>
      <c r="VMV1015"/>
      <c r="VMW1015"/>
      <c r="VMX1015"/>
      <c r="VMY1015"/>
      <c r="VMZ1015"/>
      <c r="VNA1015"/>
      <c r="VNB1015"/>
      <c r="VNC1015"/>
      <c r="VND1015"/>
      <c r="VNE1015"/>
      <c r="VNF1015"/>
      <c r="VNG1015"/>
      <c r="VNH1015"/>
      <c r="VNI1015"/>
      <c r="VNJ1015"/>
      <c r="VNK1015"/>
      <c r="VNL1015"/>
      <c r="VNM1015"/>
      <c r="VNN1015"/>
      <c r="VNO1015"/>
      <c r="VNP1015"/>
      <c r="VNQ1015"/>
      <c r="VNR1015"/>
      <c r="VNS1015"/>
      <c r="VNT1015"/>
      <c r="VNU1015"/>
      <c r="VNV1015"/>
      <c r="VNW1015"/>
      <c r="VNX1015"/>
      <c r="VNY1015"/>
      <c r="VNZ1015"/>
      <c r="VOA1015"/>
      <c r="VOB1015"/>
      <c r="VOC1015"/>
      <c r="VOD1015"/>
      <c r="VOE1015"/>
      <c r="VOF1015"/>
      <c r="VOG1015"/>
      <c r="VOH1015"/>
      <c r="VOI1015"/>
      <c r="VOJ1015"/>
      <c r="VOK1015"/>
      <c r="VOL1015"/>
      <c r="VOM1015"/>
      <c r="VON1015"/>
      <c r="VOO1015"/>
      <c r="VOP1015"/>
      <c r="VOQ1015"/>
      <c r="VOR1015"/>
      <c r="VOS1015"/>
      <c r="VOT1015"/>
      <c r="VOU1015"/>
      <c r="VOV1015"/>
      <c r="VOW1015"/>
      <c r="VOX1015"/>
      <c r="VOY1015"/>
      <c r="VOZ1015"/>
      <c r="VPA1015"/>
      <c r="VPB1015"/>
      <c r="VPC1015"/>
      <c r="VPD1015"/>
      <c r="VPE1015"/>
      <c r="VPF1015"/>
      <c r="VPG1015"/>
      <c r="VPH1015"/>
      <c r="VPI1015"/>
      <c r="VPJ1015"/>
      <c r="VPK1015"/>
      <c r="VPL1015"/>
      <c r="VPM1015"/>
      <c r="VPN1015"/>
      <c r="VPO1015"/>
      <c r="VPP1015"/>
      <c r="VPQ1015"/>
      <c r="VPR1015"/>
      <c r="VPS1015"/>
      <c r="VPT1015"/>
      <c r="VPU1015"/>
      <c r="VPV1015"/>
      <c r="VPW1015"/>
      <c r="VPX1015"/>
      <c r="VPY1015"/>
      <c r="VPZ1015"/>
      <c r="VQA1015"/>
      <c r="VQB1015"/>
      <c r="VQC1015"/>
      <c r="VQD1015"/>
      <c r="VQE1015"/>
      <c r="VQF1015"/>
      <c r="VQG1015"/>
      <c r="VQH1015"/>
      <c r="VQI1015"/>
      <c r="VQJ1015"/>
      <c r="VQK1015"/>
      <c r="VQL1015"/>
      <c r="VQM1015"/>
      <c r="VQN1015"/>
      <c r="VQO1015"/>
      <c r="VQP1015"/>
      <c r="VQQ1015"/>
      <c r="VQR1015"/>
      <c r="VQS1015"/>
      <c r="VQT1015"/>
      <c r="VQU1015"/>
      <c r="VQV1015"/>
      <c r="VQW1015"/>
      <c r="VQX1015"/>
      <c r="VQY1015"/>
      <c r="VQZ1015"/>
      <c r="VRA1015"/>
      <c r="VRB1015"/>
      <c r="VRC1015"/>
      <c r="VRD1015"/>
      <c r="VRE1015"/>
      <c r="VRF1015"/>
      <c r="VRG1015"/>
      <c r="VRH1015"/>
      <c r="VRI1015"/>
      <c r="VRJ1015"/>
      <c r="VRK1015"/>
      <c r="VRL1015"/>
      <c r="VRM1015"/>
      <c r="VRN1015"/>
      <c r="VRO1015"/>
      <c r="VRP1015"/>
      <c r="VRQ1015"/>
      <c r="VRR1015"/>
      <c r="VRS1015"/>
      <c r="VRT1015"/>
      <c r="VRU1015"/>
      <c r="VRV1015"/>
      <c r="VRW1015"/>
      <c r="VRX1015"/>
      <c r="VRY1015"/>
      <c r="VRZ1015"/>
      <c r="VSA1015"/>
      <c r="VSB1015"/>
      <c r="VSC1015"/>
      <c r="VSD1015"/>
      <c r="VSE1015"/>
      <c r="VSF1015"/>
      <c r="VSG1015"/>
      <c r="VSH1015"/>
      <c r="VSI1015"/>
      <c r="VSJ1015"/>
      <c r="VSK1015"/>
      <c r="VSL1015"/>
      <c r="VSM1015"/>
      <c r="VSN1015"/>
      <c r="VSO1015"/>
      <c r="VSP1015"/>
      <c r="VSQ1015"/>
      <c r="VSR1015"/>
      <c r="VSS1015"/>
      <c r="VST1015"/>
      <c r="VSU1015"/>
      <c r="VSV1015"/>
      <c r="VSW1015"/>
      <c r="VSX1015"/>
      <c r="VSY1015"/>
      <c r="VSZ1015"/>
      <c r="VTA1015"/>
      <c r="VTB1015"/>
      <c r="VTC1015"/>
      <c r="VTD1015"/>
      <c r="VTE1015"/>
      <c r="VTF1015"/>
      <c r="VTG1015"/>
      <c r="VTH1015"/>
      <c r="VTI1015"/>
      <c r="VTJ1015"/>
      <c r="VTK1015"/>
      <c r="VTL1015"/>
      <c r="VTM1015"/>
      <c r="VTN1015"/>
      <c r="VTO1015"/>
      <c r="VTP1015"/>
      <c r="VTQ1015"/>
      <c r="VTR1015"/>
      <c r="VTS1015"/>
      <c r="VTT1015"/>
      <c r="VTU1015"/>
      <c r="VTV1015"/>
      <c r="VTW1015"/>
      <c r="VTX1015"/>
      <c r="VTY1015"/>
      <c r="VTZ1015"/>
      <c r="VUA1015"/>
      <c r="VUB1015"/>
      <c r="VUC1015"/>
      <c r="VUD1015"/>
      <c r="VUE1015"/>
      <c r="VUF1015"/>
      <c r="VUG1015"/>
      <c r="VUH1015"/>
      <c r="VUI1015"/>
      <c r="VUJ1015"/>
      <c r="VUK1015"/>
      <c r="VUL1015"/>
      <c r="VUM1015"/>
      <c r="VUN1015"/>
      <c r="VUO1015"/>
      <c r="VUP1015"/>
      <c r="VUQ1015"/>
      <c r="VUR1015"/>
      <c r="VUS1015"/>
      <c r="VUT1015"/>
      <c r="VUU1015"/>
      <c r="VUV1015"/>
      <c r="VUW1015"/>
      <c r="VUX1015"/>
      <c r="VUY1015"/>
      <c r="VUZ1015"/>
      <c r="VVA1015"/>
      <c r="VVB1015"/>
      <c r="VVC1015"/>
      <c r="VVD1015"/>
      <c r="VVE1015"/>
      <c r="VVF1015"/>
      <c r="VVG1015"/>
      <c r="VVH1015"/>
      <c r="VVI1015"/>
      <c r="VVJ1015"/>
      <c r="VVK1015"/>
      <c r="VVL1015"/>
      <c r="VVM1015"/>
      <c r="VVN1015"/>
      <c r="VVO1015"/>
      <c r="VVP1015"/>
      <c r="VVQ1015"/>
      <c r="VVR1015"/>
      <c r="VVS1015"/>
      <c r="VVT1015"/>
      <c r="VVU1015"/>
      <c r="VVV1015"/>
      <c r="VVW1015"/>
      <c r="VVX1015"/>
      <c r="VVY1015"/>
      <c r="VVZ1015"/>
      <c r="VWA1015"/>
      <c r="VWB1015"/>
      <c r="VWC1015"/>
      <c r="VWD1015"/>
      <c r="VWE1015"/>
      <c r="VWF1015"/>
      <c r="VWG1015"/>
      <c r="VWH1015"/>
      <c r="VWI1015"/>
      <c r="VWJ1015"/>
      <c r="VWK1015"/>
      <c r="VWL1015"/>
      <c r="VWM1015"/>
      <c r="VWN1015"/>
      <c r="VWO1015"/>
      <c r="VWP1015"/>
      <c r="VWQ1015"/>
      <c r="VWR1015"/>
      <c r="VWS1015"/>
      <c r="VWT1015"/>
      <c r="VWU1015"/>
      <c r="VWV1015"/>
      <c r="VWW1015"/>
      <c r="VWX1015"/>
      <c r="VWY1015"/>
      <c r="VWZ1015"/>
      <c r="VXA1015"/>
      <c r="VXB1015"/>
      <c r="VXC1015"/>
      <c r="VXD1015"/>
      <c r="VXE1015"/>
      <c r="VXF1015"/>
      <c r="VXG1015"/>
      <c r="VXH1015"/>
      <c r="VXI1015"/>
      <c r="VXJ1015"/>
      <c r="VXK1015"/>
      <c r="VXL1015"/>
      <c r="VXM1015"/>
      <c r="VXN1015"/>
      <c r="VXO1015"/>
      <c r="VXP1015"/>
      <c r="VXQ1015"/>
      <c r="VXR1015"/>
      <c r="VXS1015"/>
      <c r="VXT1015"/>
      <c r="VXU1015"/>
      <c r="VXV1015"/>
      <c r="VXW1015"/>
      <c r="VXX1015"/>
      <c r="VXY1015"/>
      <c r="VXZ1015"/>
      <c r="VYA1015"/>
      <c r="VYB1015"/>
      <c r="VYC1015"/>
      <c r="VYD1015"/>
      <c r="VYE1015"/>
      <c r="VYF1015"/>
      <c r="VYG1015"/>
      <c r="VYH1015"/>
      <c r="VYI1015"/>
      <c r="VYJ1015"/>
      <c r="VYK1015"/>
      <c r="VYL1015"/>
      <c r="VYM1015"/>
      <c r="VYN1015"/>
      <c r="VYO1015"/>
      <c r="VYP1015"/>
      <c r="VYQ1015"/>
      <c r="VYR1015"/>
      <c r="VYS1015"/>
      <c r="VYT1015"/>
      <c r="VYU1015"/>
      <c r="VYV1015"/>
      <c r="VYW1015"/>
      <c r="VYX1015"/>
      <c r="VYY1015"/>
      <c r="VYZ1015"/>
      <c r="VZA1015"/>
      <c r="VZB1015"/>
      <c r="VZC1015"/>
      <c r="VZD1015"/>
      <c r="VZE1015"/>
      <c r="VZF1015"/>
      <c r="VZG1015"/>
      <c r="VZH1015"/>
      <c r="VZI1015"/>
      <c r="VZJ1015"/>
      <c r="VZK1015"/>
      <c r="VZL1015"/>
      <c r="VZM1015"/>
      <c r="VZN1015"/>
      <c r="VZO1015"/>
      <c r="VZP1015"/>
      <c r="VZQ1015"/>
      <c r="VZR1015"/>
      <c r="VZS1015"/>
      <c r="VZT1015"/>
      <c r="VZU1015"/>
      <c r="VZV1015"/>
      <c r="VZW1015"/>
      <c r="VZX1015"/>
      <c r="VZY1015"/>
      <c r="VZZ1015"/>
      <c r="WAA1015"/>
      <c r="WAB1015"/>
      <c r="WAC1015"/>
      <c r="WAD1015"/>
      <c r="WAE1015"/>
      <c r="WAF1015"/>
      <c r="WAG1015"/>
      <c r="WAH1015"/>
      <c r="WAI1015"/>
      <c r="WAJ1015"/>
      <c r="WAK1015"/>
      <c r="WAL1015"/>
      <c r="WAM1015"/>
      <c r="WAN1015"/>
      <c r="WAO1015"/>
      <c r="WAP1015"/>
      <c r="WAQ1015"/>
      <c r="WAR1015"/>
      <c r="WAS1015"/>
      <c r="WAT1015"/>
      <c r="WAU1015"/>
      <c r="WAV1015"/>
      <c r="WAW1015"/>
      <c r="WAX1015"/>
      <c r="WAY1015"/>
      <c r="WAZ1015"/>
      <c r="WBA1015"/>
      <c r="WBB1015"/>
      <c r="WBC1015"/>
      <c r="WBD1015"/>
      <c r="WBE1015"/>
      <c r="WBF1015"/>
      <c r="WBG1015"/>
      <c r="WBH1015"/>
      <c r="WBI1015"/>
      <c r="WBJ1015"/>
      <c r="WBK1015"/>
      <c r="WBL1015"/>
      <c r="WBM1015"/>
      <c r="WBN1015"/>
      <c r="WBO1015"/>
      <c r="WBP1015"/>
      <c r="WBQ1015"/>
      <c r="WBR1015"/>
      <c r="WBS1015"/>
      <c r="WBT1015"/>
      <c r="WBU1015"/>
      <c r="WBV1015"/>
      <c r="WBW1015"/>
      <c r="WBX1015"/>
      <c r="WBY1015"/>
      <c r="WBZ1015"/>
      <c r="WCA1015"/>
      <c r="WCB1015"/>
      <c r="WCC1015"/>
      <c r="WCD1015"/>
      <c r="WCE1015"/>
      <c r="WCF1015"/>
      <c r="WCG1015"/>
      <c r="WCH1015"/>
      <c r="WCI1015"/>
      <c r="WCJ1015"/>
      <c r="WCK1015"/>
      <c r="WCL1015"/>
      <c r="WCM1015"/>
      <c r="WCN1015"/>
      <c r="WCO1015"/>
      <c r="WCP1015"/>
      <c r="WCQ1015"/>
      <c r="WCR1015"/>
      <c r="WCS1015"/>
      <c r="WCT1015"/>
      <c r="WCU1015"/>
      <c r="WCV1015"/>
      <c r="WCW1015"/>
      <c r="WCX1015"/>
      <c r="WCY1015"/>
      <c r="WCZ1015"/>
      <c r="WDA1015"/>
      <c r="WDB1015"/>
      <c r="WDC1015"/>
      <c r="WDD1015"/>
      <c r="WDE1015"/>
      <c r="WDF1015"/>
      <c r="WDG1015"/>
      <c r="WDH1015"/>
      <c r="WDI1015"/>
      <c r="WDJ1015"/>
      <c r="WDK1015"/>
      <c r="WDL1015"/>
      <c r="WDM1015"/>
      <c r="WDN1015"/>
      <c r="WDO1015"/>
      <c r="WDP1015"/>
      <c r="WDQ1015"/>
      <c r="WDR1015"/>
      <c r="WDS1015"/>
      <c r="WDT1015"/>
      <c r="WDU1015"/>
      <c r="WDV1015"/>
      <c r="WDW1015"/>
      <c r="WDX1015"/>
      <c r="WDY1015"/>
      <c r="WDZ1015"/>
      <c r="WEA1015"/>
      <c r="WEB1015"/>
      <c r="WEC1015"/>
      <c r="WED1015"/>
      <c r="WEE1015"/>
      <c r="WEF1015"/>
      <c r="WEG1015"/>
      <c r="WEH1015"/>
      <c r="WEI1015"/>
      <c r="WEJ1015"/>
      <c r="WEK1015"/>
      <c r="WEL1015"/>
      <c r="WEM1015"/>
      <c r="WEN1015"/>
      <c r="WEO1015"/>
      <c r="WEP1015"/>
      <c r="WEQ1015"/>
      <c r="WER1015"/>
      <c r="WES1015"/>
      <c r="WET1015"/>
      <c r="WEU1015"/>
      <c r="WEV1015"/>
      <c r="WEW1015"/>
      <c r="WEX1015"/>
      <c r="WEY1015"/>
      <c r="WEZ1015"/>
      <c r="WFA1015"/>
      <c r="WFB1015"/>
      <c r="WFC1015"/>
      <c r="WFD1015"/>
      <c r="WFE1015"/>
      <c r="WFF1015"/>
      <c r="WFG1015"/>
      <c r="WFH1015"/>
      <c r="WFI1015"/>
      <c r="WFJ1015"/>
      <c r="WFK1015"/>
      <c r="WFL1015"/>
      <c r="WFM1015"/>
      <c r="WFN1015"/>
      <c r="WFO1015"/>
      <c r="WFP1015"/>
      <c r="WFQ1015"/>
      <c r="WFR1015"/>
      <c r="WFS1015"/>
      <c r="WFT1015"/>
      <c r="WFU1015"/>
      <c r="WFV1015"/>
      <c r="WFW1015"/>
      <c r="WFX1015"/>
      <c r="WFY1015"/>
      <c r="WFZ1015"/>
      <c r="WGA1015"/>
      <c r="WGB1015"/>
      <c r="WGC1015"/>
      <c r="WGD1015"/>
      <c r="WGE1015"/>
      <c r="WGF1015"/>
      <c r="WGG1015"/>
      <c r="WGH1015"/>
      <c r="WGI1015"/>
      <c r="WGJ1015"/>
      <c r="WGK1015"/>
      <c r="WGL1015"/>
      <c r="WGM1015"/>
      <c r="WGN1015"/>
      <c r="WGO1015"/>
      <c r="WGP1015"/>
      <c r="WGQ1015"/>
      <c r="WGR1015"/>
      <c r="WGS1015"/>
      <c r="WGT1015"/>
      <c r="WGU1015"/>
      <c r="WGV1015"/>
      <c r="WGW1015"/>
      <c r="WGX1015"/>
      <c r="WGY1015"/>
      <c r="WGZ1015"/>
      <c r="WHA1015"/>
      <c r="WHB1015"/>
      <c r="WHC1015"/>
      <c r="WHD1015"/>
      <c r="WHE1015"/>
      <c r="WHF1015"/>
      <c r="WHG1015"/>
      <c r="WHH1015"/>
      <c r="WHI1015"/>
      <c r="WHJ1015"/>
      <c r="WHK1015"/>
      <c r="WHL1015"/>
      <c r="WHM1015"/>
      <c r="WHN1015"/>
      <c r="WHO1015"/>
      <c r="WHP1015"/>
      <c r="WHQ1015"/>
      <c r="WHR1015"/>
      <c r="WHS1015"/>
      <c r="WHT1015"/>
      <c r="WHU1015"/>
      <c r="WHV1015"/>
      <c r="WHW1015"/>
      <c r="WHX1015"/>
      <c r="WHY1015"/>
      <c r="WHZ1015"/>
      <c r="WIA1015"/>
      <c r="WIB1015"/>
      <c r="WIC1015"/>
      <c r="WID1015"/>
      <c r="WIE1015"/>
      <c r="WIF1015"/>
      <c r="WIG1015"/>
      <c r="WIH1015"/>
      <c r="WII1015"/>
      <c r="WIJ1015"/>
      <c r="WIK1015"/>
      <c r="WIL1015"/>
      <c r="WIM1015"/>
      <c r="WIN1015"/>
      <c r="WIO1015"/>
      <c r="WIP1015"/>
      <c r="WIQ1015"/>
      <c r="WIR1015"/>
      <c r="WIS1015"/>
      <c r="WIT1015"/>
      <c r="WIU1015"/>
      <c r="WIV1015"/>
      <c r="WIW1015"/>
      <c r="WIX1015"/>
      <c r="WIY1015"/>
      <c r="WIZ1015"/>
      <c r="WJA1015"/>
      <c r="WJB1015"/>
      <c r="WJC1015"/>
      <c r="WJD1015"/>
      <c r="WJE1015"/>
      <c r="WJF1015"/>
      <c r="WJG1015"/>
      <c r="WJH1015"/>
      <c r="WJI1015"/>
      <c r="WJJ1015"/>
      <c r="WJK1015"/>
      <c r="WJL1015"/>
      <c r="WJM1015"/>
      <c r="WJN1015"/>
      <c r="WJO1015"/>
      <c r="WJP1015"/>
      <c r="WJQ1015"/>
      <c r="WJR1015"/>
      <c r="WJS1015"/>
      <c r="WJT1015"/>
      <c r="WJU1015"/>
      <c r="WJV1015"/>
      <c r="WJW1015"/>
      <c r="WJX1015"/>
      <c r="WJY1015"/>
      <c r="WJZ1015"/>
      <c r="WKA1015"/>
      <c r="WKB1015"/>
      <c r="WKC1015"/>
      <c r="WKD1015"/>
      <c r="WKE1015"/>
      <c r="WKF1015"/>
      <c r="WKG1015"/>
      <c r="WKH1015"/>
      <c r="WKI1015"/>
      <c r="WKJ1015"/>
      <c r="WKK1015"/>
      <c r="WKL1015"/>
      <c r="WKM1015"/>
      <c r="WKN1015"/>
      <c r="WKO1015"/>
      <c r="WKP1015"/>
      <c r="WKQ1015"/>
      <c r="WKR1015"/>
      <c r="WKS1015"/>
      <c r="WKT1015"/>
      <c r="WKU1015"/>
      <c r="WKV1015"/>
      <c r="WKW1015"/>
      <c r="WKX1015"/>
      <c r="WKY1015"/>
      <c r="WKZ1015"/>
      <c r="WLA1015"/>
      <c r="WLB1015"/>
      <c r="WLC1015"/>
      <c r="WLD1015"/>
      <c r="WLE1015"/>
      <c r="WLF1015"/>
      <c r="WLG1015"/>
      <c r="WLH1015"/>
      <c r="WLI1015"/>
      <c r="WLJ1015"/>
      <c r="WLK1015"/>
      <c r="WLL1015"/>
      <c r="WLM1015"/>
      <c r="WLN1015"/>
      <c r="WLO1015"/>
      <c r="WLP1015"/>
      <c r="WLQ1015"/>
      <c r="WLR1015"/>
      <c r="WLS1015"/>
      <c r="WLT1015"/>
      <c r="WLU1015"/>
      <c r="WLV1015"/>
      <c r="WLW1015"/>
      <c r="WLX1015"/>
      <c r="WLY1015"/>
      <c r="WLZ1015"/>
      <c r="WMA1015"/>
      <c r="WMB1015"/>
      <c r="WMC1015"/>
      <c r="WMD1015"/>
      <c r="WME1015"/>
      <c r="WMF1015"/>
      <c r="WMG1015"/>
      <c r="WMH1015"/>
      <c r="WMI1015"/>
      <c r="WMJ1015"/>
      <c r="WMK1015"/>
      <c r="WML1015"/>
      <c r="WMM1015"/>
      <c r="WMN1015"/>
      <c r="WMO1015"/>
      <c r="WMP1015"/>
      <c r="WMQ1015"/>
      <c r="WMR1015"/>
      <c r="WMS1015"/>
      <c r="WMT1015"/>
      <c r="WMU1015"/>
      <c r="WMV1015"/>
      <c r="WMW1015"/>
      <c r="WMX1015"/>
      <c r="WMY1015"/>
      <c r="WMZ1015"/>
      <c r="WNA1015"/>
      <c r="WNB1015"/>
      <c r="WNC1015"/>
      <c r="WND1015"/>
      <c r="WNE1015"/>
      <c r="WNF1015"/>
      <c r="WNG1015"/>
      <c r="WNH1015"/>
      <c r="WNI1015"/>
      <c r="WNJ1015"/>
      <c r="WNK1015"/>
      <c r="WNL1015"/>
      <c r="WNM1015"/>
      <c r="WNN1015"/>
      <c r="WNO1015"/>
      <c r="WNP1015"/>
      <c r="WNQ1015"/>
      <c r="WNR1015"/>
      <c r="WNS1015"/>
      <c r="WNT1015"/>
      <c r="WNU1015"/>
      <c r="WNV1015"/>
      <c r="WNW1015"/>
      <c r="WNX1015"/>
      <c r="WNY1015"/>
      <c r="WNZ1015"/>
      <c r="WOA1015"/>
      <c r="WOB1015"/>
      <c r="WOC1015"/>
      <c r="WOD1015"/>
      <c r="WOE1015"/>
      <c r="WOF1015"/>
      <c r="WOG1015"/>
      <c r="WOH1015"/>
      <c r="WOI1015"/>
      <c r="WOJ1015"/>
      <c r="WOK1015"/>
      <c r="WOL1015"/>
      <c r="WOM1015"/>
      <c r="WON1015"/>
      <c r="WOO1015"/>
      <c r="WOP1015"/>
      <c r="WOQ1015"/>
      <c r="WOR1015"/>
      <c r="WOS1015"/>
      <c r="WOT1015"/>
      <c r="WOU1015"/>
      <c r="WOV1015"/>
      <c r="WOW1015"/>
      <c r="WOX1015"/>
      <c r="WOY1015"/>
      <c r="WOZ1015"/>
      <c r="WPA1015"/>
      <c r="WPB1015"/>
      <c r="WPC1015"/>
      <c r="WPD1015"/>
      <c r="WPE1015"/>
      <c r="WPF1015"/>
      <c r="WPG1015"/>
      <c r="WPH1015"/>
      <c r="WPI1015"/>
      <c r="WPJ1015"/>
      <c r="WPK1015"/>
      <c r="WPL1015"/>
      <c r="WPM1015"/>
      <c r="WPN1015"/>
      <c r="WPO1015"/>
      <c r="WPP1015"/>
      <c r="WPQ1015"/>
      <c r="WPR1015"/>
      <c r="WPS1015"/>
      <c r="WPT1015"/>
      <c r="WPU1015"/>
      <c r="WPV1015"/>
      <c r="WPW1015"/>
      <c r="WPX1015"/>
      <c r="WPY1015"/>
      <c r="WPZ1015"/>
      <c r="WQA1015"/>
      <c r="WQB1015"/>
      <c r="WQC1015"/>
      <c r="WQD1015"/>
      <c r="WQE1015"/>
      <c r="WQF1015"/>
      <c r="WQG1015"/>
      <c r="WQH1015"/>
      <c r="WQI1015"/>
      <c r="WQJ1015"/>
      <c r="WQK1015"/>
      <c r="WQL1015"/>
      <c r="WQM1015"/>
      <c r="WQN1015"/>
      <c r="WQO1015"/>
      <c r="WQP1015"/>
      <c r="WQQ1015"/>
      <c r="WQR1015"/>
      <c r="WQS1015"/>
      <c r="WQT1015"/>
      <c r="WQU1015"/>
      <c r="WQV1015"/>
      <c r="WQW1015"/>
      <c r="WQX1015"/>
      <c r="WQY1015"/>
      <c r="WQZ1015"/>
      <c r="WRA1015"/>
      <c r="WRB1015"/>
      <c r="WRC1015"/>
      <c r="WRD1015"/>
      <c r="WRE1015"/>
      <c r="WRF1015"/>
      <c r="WRG1015"/>
      <c r="WRH1015"/>
      <c r="WRI1015"/>
      <c r="WRJ1015"/>
      <c r="WRK1015"/>
      <c r="WRL1015"/>
      <c r="WRM1015"/>
      <c r="WRN1015"/>
      <c r="WRO1015"/>
      <c r="WRP1015"/>
      <c r="WRQ1015"/>
      <c r="WRR1015"/>
      <c r="WRS1015"/>
      <c r="WRT1015"/>
      <c r="WRU1015"/>
      <c r="WRV1015"/>
      <c r="WRW1015"/>
      <c r="WRX1015"/>
      <c r="WRY1015"/>
      <c r="WRZ1015"/>
      <c r="WSA1015"/>
      <c r="WSB1015"/>
      <c r="WSC1015"/>
      <c r="WSD1015"/>
      <c r="WSE1015"/>
      <c r="WSF1015"/>
      <c r="WSG1015"/>
      <c r="WSH1015"/>
      <c r="WSI1015"/>
      <c r="WSJ1015"/>
      <c r="WSK1015"/>
      <c r="WSL1015"/>
      <c r="WSM1015"/>
      <c r="WSN1015"/>
      <c r="WSO1015"/>
      <c r="WSP1015"/>
      <c r="WSQ1015"/>
      <c r="WSR1015"/>
      <c r="WSS1015"/>
      <c r="WST1015"/>
      <c r="WSU1015"/>
      <c r="WSV1015"/>
      <c r="WSW1015"/>
      <c r="WSX1015"/>
      <c r="WSY1015"/>
      <c r="WSZ1015"/>
      <c r="WTA1015"/>
      <c r="WTB1015"/>
      <c r="WTC1015"/>
      <c r="WTD1015"/>
      <c r="WTE1015"/>
      <c r="WTF1015"/>
      <c r="WTG1015"/>
      <c r="WTH1015"/>
      <c r="WTI1015"/>
      <c r="WTJ1015"/>
      <c r="WTK1015"/>
      <c r="WTL1015"/>
      <c r="WTM1015"/>
      <c r="WTN1015"/>
      <c r="WTO1015"/>
      <c r="WTP1015"/>
      <c r="WTQ1015"/>
      <c r="WTR1015"/>
      <c r="WTS1015"/>
      <c r="WTT1015"/>
      <c r="WTU1015"/>
      <c r="WTV1015"/>
      <c r="WTW1015"/>
      <c r="WTX1015"/>
      <c r="WTY1015"/>
      <c r="WTZ1015"/>
      <c r="WUA1015"/>
      <c r="WUB1015"/>
      <c r="WUC1015"/>
      <c r="WUD1015"/>
      <c r="WUE1015"/>
      <c r="WUF1015"/>
      <c r="WUG1015"/>
      <c r="WUH1015"/>
      <c r="WUI1015"/>
      <c r="WUJ1015"/>
      <c r="WUK1015"/>
      <c r="WUL1015"/>
      <c r="WUM1015"/>
      <c r="WUN1015"/>
      <c r="WUO1015"/>
      <c r="WUP1015"/>
      <c r="WUQ1015"/>
      <c r="WUR1015"/>
      <c r="WUS1015"/>
      <c r="WUT1015"/>
      <c r="WUU1015"/>
      <c r="WUV1015"/>
      <c r="WUW1015"/>
      <c r="WUX1015"/>
      <c r="WUY1015"/>
      <c r="WUZ1015"/>
      <c r="WVA1015"/>
      <c r="WVB1015"/>
      <c r="WVC1015"/>
      <c r="WVD1015"/>
      <c r="WVE1015"/>
      <c r="WVF1015"/>
      <c r="WVG1015"/>
      <c r="WVH1015"/>
      <c r="WVI1015"/>
      <c r="WVJ1015"/>
      <c r="WVK1015"/>
      <c r="WVL1015"/>
      <c r="WVM1015"/>
      <c r="WVN1015"/>
      <c r="WVO1015"/>
      <c r="WVP1015"/>
      <c r="WVQ1015"/>
      <c r="WVR1015"/>
      <c r="WVS1015"/>
      <c r="WVT1015"/>
      <c r="WVU1015"/>
      <c r="WVV1015"/>
      <c r="WVW1015"/>
      <c r="WVX1015"/>
      <c r="WVY1015"/>
      <c r="WVZ1015"/>
      <c r="WWA1015"/>
      <c r="WWB1015"/>
      <c r="WWC1015"/>
      <c r="WWD1015"/>
      <c r="WWE1015"/>
      <c r="WWF1015"/>
      <c r="WWG1015"/>
      <c r="WWH1015"/>
      <c r="WWI1015"/>
      <c r="WWJ1015"/>
      <c r="WWK1015"/>
      <c r="WWL1015"/>
      <c r="WWM1015"/>
      <c r="WWN1015"/>
      <c r="WWO1015"/>
      <c r="WWP1015"/>
      <c r="WWQ1015"/>
      <c r="WWR1015"/>
      <c r="WWS1015"/>
      <c r="WWT1015"/>
      <c r="WWU1015"/>
      <c r="WWV1015"/>
      <c r="WWW1015"/>
      <c r="WWX1015"/>
      <c r="WWY1015"/>
      <c r="WWZ1015"/>
      <c r="WXA1015"/>
      <c r="WXB1015"/>
      <c r="WXC1015"/>
      <c r="WXD1015"/>
      <c r="WXE1015"/>
      <c r="WXF1015"/>
      <c r="WXG1015"/>
      <c r="WXH1015"/>
      <c r="WXI1015"/>
      <c r="WXJ1015"/>
      <c r="WXK1015"/>
      <c r="WXL1015"/>
      <c r="WXM1015"/>
      <c r="WXN1015"/>
      <c r="WXO1015"/>
      <c r="WXP1015"/>
      <c r="WXQ1015"/>
      <c r="WXR1015"/>
      <c r="WXS1015"/>
      <c r="WXT1015"/>
      <c r="WXU1015"/>
      <c r="WXV1015"/>
      <c r="WXW1015"/>
      <c r="WXX1015"/>
      <c r="WXY1015"/>
      <c r="WXZ1015"/>
      <c r="WYA1015"/>
      <c r="WYB1015"/>
      <c r="WYC1015"/>
      <c r="WYD1015"/>
      <c r="WYE1015"/>
      <c r="WYF1015"/>
      <c r="WYG1015"/>
      <c r="WYH1015"/>
      <c r="WYI1015"/>
      <c r="WYJ1015"/>
      <c r="WYK1015"/>
      <c r="WYL1015"/>
      <c r="WYM1015"/>
      <c r="WYN1015"/>
      <c r="WYO1015"/>
      <c r="WYP1015"/>
      <c r="WYQ1015"/>
      <c r="WYR1015"/>
      <c r="WYS1015"/>
      <c r="WYT1015"/>
      <c r="WYU1015"/>
      <c r="WYV1015"/>
      <c r="WYW1015"/>
      <c r="WYX1015"/>
      <c r="WYY1015"/>
      <c r="WYZ1015"/>
      <c r="WZA1015"/>
      <c r="WZB1015"/>
      <c r="WZC1015"/>
      <c r="WZD1015"/>
      <c r="WZE1015"/>
      <c r="WZF1015"/>
      <c r="WZG1015"/>
      <c r="WZH1015"/>
      <c r="WZI1015"/>
      <c r="WZJ1015"/>
      <c r="WZK1015"/>
      <c r="WZL1015"/>
      <c r="WZM1015"/>
      <c r="WZN1015"/>
      <c r="WZO1015"/>
      <c r="WZP1015"/>
      <c r="WZQ1015"/>
      <c r="WZR1015"/>
      <c r="WZS1015"/>
      <c r="WZT1015"/>
      <c r="WZU1015"/>
      <c r="WZV1015"/>
      <c r="WZW1015"/>
      <c r="WZX1015"/>
      <c r="WZY1015"/>
      <c r="WZZ1015"/>
      <c r="XAA1015"/>
      <c r="XAB1015"/>
      <c r="XAC1015"/>
      <c r="XAD1015"/>
      <c r="XAE1015"/>
      <c r="XAF1015"/>
      <c r="XAG1015"/>
      <c r="XAH1015"/>
      <c r="XAI1015"/>
      <c r="XAJ1015"/>
      <c r="XAK1015"/>
      <c r="XAL1015"/>
      <c r="XAM1015"/>
      <c r="XAN1015"/>
      <c r="XAO1015"/>
      <c r="XAP1015"/>
      <c r="XAQ1015"/>
      <c r="XAR1015"/>
      <c r="XAS1015"/>
      <c r="XAT1015"/>
      <c r="XAU1015"/>
      <c r="XAV1015"/>
      <c r="XAW1015"/>
      <c r="XAX1015"/>
      <c r="XAY1015"/>
      <c r="XAZ1015"/>
      <c r="XBA1015"/>
      <c r="XBB1015"/>
      <c r="XBC1015"/>
      <c r="XBD1015"/>
      <c r="XBE1015"/>
      <c r="XBF1015"/>
      <c r="XBG1015"/>
      <c r="XBH1015"/>
      <c r="XBI1015"/>
      <c r="XBJ1015"/>
      <c r="XBK1015"/>
      <c r="XBL1015"/>
      <c r="XBM1015"/>
      <c r="XBN1015"/>
      <c r="XBO1015"/>
      <c r="XBP1015"/>
      <c r="XBQ1015"/>
      <c r="XBR1015"/>
      <c r="XBS1015"/>
      <c r="XBT1015"/>
      <c r="XBU1015"/>
      <c r="XBV1015"/>
      <c r="XBW1015"/>
      <c r="XBX1015"/>
      <c r="XBY1015"/>
      <c r="XBZ1015"/>
      <c r="XCA1015"/>
      <c r="XCB1015"/>
      <c r="XCC1015"/>
      <c r="XCD1015"/>
      <c r="XCE1015"/>
      <c r="XCF1015"/>
      <c r="XCG1015"/>
      <c r="XCH1015"/>
      <c r="XCI1015"/>
      <c r="XCJ1015"/>
      <c r="XCK1015"/>
      <c r="XCL1015"/>
      <c r="XCM1015"/>
      <c r="XCN1015"/>
      <c r="XCO1015"/>
      <c r="XCP1015"/>
      <c r="XCQ1015"/>
      <c r="XCR1015"/>
      <c r="XCS1015"/>
      <c r="XCT1015"/>
      <c r="XCU1015"/>
      <c r="XCV1015"/>
      <c r="XCW1015"/>
      <c r="XCX1015"/>
      <c r="XCY1015"/>
      <c r="XCZ1015"/>
      <c r="XDA1015"/>
      <c r="XDB1015"/>
      <c r="XDC1015"/>
      <c r="XDD1015"/>
      <c r="XDE1015"/>
      <c r="XDF1015"/>
      <c r="XDG1015"/>
      <c r="XDH1015"/>
      <c r="XDI1015"/>
      <c r="XDJ1015"/>
      <c r="XDK1015"/>
      <c r="XDL1015"/>
      <c r="XDM1015"/>
      <c r="XDN1015"/>
      <c r="XDO1015"/>
      <c r="XDP1015"/>
      <c r="XDQ1015"/>
      <c r="XDR1015"/>
      <c r="XDS1015"/>
      <c r="XDT1015"/>
      <c r="XDU1015"/>
      <c r="XDV1015"/>
      <c r="XDW1015"/>
      <c r="XDX1015"/>
      <c r="XDY1015"/>
      <c r="XDZ1015"/>
      <c r="XEA1015"/>
      <c r="XEB1015"/>
      <c r="XEC1015"/>
      <c r="XED1015"/>
      <c r="XEE1015"/>
      <c r="XEF1015"/>
      <c r="XEG1015"/>
      <c r="XEH1015"/>
      <c r="XEI1015"/>
      <c r="XEJ1015"/>
      <c r="XEK1015"/>
      <c r="XEL1015"/>
      <c r="XEM1015"/>
      <c r="XEN1015"/>
      <c r="XEO1015"/>
      <c r="XEP1015"/>
      <c r="XEQ1015"/>
    </row>
  </sheetData>
  <autoFilter ref="A1:G785" xr:uid="{19A70B91-6B35-49DE-B8A2-7CEE41FD7BCA}">
    <filterColumn colId="3">
      <filters>
        <filter val="TAULA2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805341-6C7B-4930-A7BB-90773113BD5B}"/>
</file>

<file path=customXml/itemProps2.xml><?xml version="1.0" encoding="utf-8"?>
<ds:datastoreItem xmlns:ds="http://schemas.openxmlformats.org/officeDocument/2006/customXml" ds:itemID="{B88D38CF-3A01-4636-8154-D519D6EB6EB8}"/>
</file>

<file path=customXml/itemProps3.xml><?xml version="1.0" encoding="utf-8"?>
<ds:datastoreItem xmlns:ds="http://schemas.openxmlformats.org/officeDocument/2006/customXml" ds:itemID="{30A1248B-2B4E-4C69-A1B0-AEE55DEC1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lfernandez</dc:creator>
  <cp:keywords/>
  <dc:description/>
  <cp:lastModifiedBy>Víctor Javier  Jiménez Rico | h&amp;k</cp:lastModifiedBy>
  <cp:revision/>
  <dcterms:created xsi:type="dcterms:W3CDTF">2026-06-01T08:48:35Z</dcterms:created>
  <dcterms:modified xsi:type="dcterms:W3CDTF">2026-06-11T10:58:43Z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0x0101002C7E496E75F43449807DA20AEA9E5BD1</vt:lpwstr>
  </property>
  <property fmtid="{D5CDD505-2E9C-101B-9397-08002B2CF9AE}" pid="3" name="MediaServiceImageTags">
    <vt:lpwstr/>
  </property>
</Properties>
</file>