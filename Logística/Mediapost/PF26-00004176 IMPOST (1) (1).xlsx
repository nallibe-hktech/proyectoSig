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igespana.sharepoint.com/sites/SIG_INPOST-OPERATIVA/Documentos compartidos/OPERATIVA/CONTROL DE I Y G/HOJAS DE GASTOS Y PAYHAW Y FACTURAS/FACTURAS RECIBIDAS DE MDP/FRAS MDP-INPOST 2026/FRAS MDP-INPOST 04ABRIL/"/>
    </mc:Choice>
  </mc:AlternateContent>
  <xr:revisionPtr revIDLastSave="6" documentId="13_ncr:1_{D484EA53-BF7A-493B-9A54-6E136419A762}" xr6:coauthVersionLast="47" xr6:coauthVersionMax="47" xr10:uidLastSave="{166B2F17-DDAF-4AC9-973C-9D9851853183}"/>
  <bookViews>
    <workbookView xWindow="-23148" yWindow="-2256" windowWidth="23256" windowHeight="12456" tabRatio="661" firstSheet="1" activeTab="7" xr2:uid="{00000000-000D-0000-FFFF-FFFF00000000}"/>
  </bookViews>
  <sheets>
    <sheet name="Parámetros" sheetId="1" state="hidden" r:id="rId1"/>
    <sheet name="Almacenaje" sheetId="269" r:id="rId2"/>
    <sheet name="Recepciones" sheetId="4" r:id="rId3"/>
    <sheet name="Pedidos" sheetId="5" r:id="rId4"/>
    <sheet name="Servicios transporte" sheetId="6" r:id="rId5"/>
    <sheet name="Cargos manuales" sheetId="7" r:id="rId6"/>
    <sheet name="Fijos" sheetId="588" r:id="rId7"/>
    <sheet name="Resumen" sheetId="158" r:id="rId8"/>
    <sheet name="Hoja22" sheetId="792" state="veryHidden" r:id="rId9"/>
    <sheet name="Hoja23" sheetId="793" state="veryHidden" r:id="rId10"/>
    <sheet name="Hoja24" sheetId="794" state="veryHidden" r:id="rId11"/>
    <sheet name="Hoja25" sheetId="795" state="veryHidden" r:id="rId12"/>
    <sheet name="Hoja26" sheetId="796" state="veryHidden" r:id="rId13"/>
    <sheet name="Hoja27" sheetId="797" state="veryHidden" r:id="rId14"/>
    <sheet name="Hoja28" sheetId="798" state="veryHidden" r:id="rId15"/>
    <sheet name="Hoja29" sheetId="799" state="veryHidden" r:id="rId16"/>
    <sheet name="Hoja30" sheetId="800" state="veryHidden" r:id="rId17"/>
    <sheet name="Hoja31" sheetId="801" state="veryHidden" r:id="rId18"/>
    <sheet name="Hoja32" sheetId="802" state="veryHidden" r:id="rId19"/>
    <sheet name="Hoja33" sheetId="803" state="veryHidden" r:id="rId20"/>
    <sheet name="Hoja34" sheetId="804" state="veryHidden" r:id="rId21"/>
    <sheet name="Hoja35" sheetId="805" state="veryHidden" r:id="rId22"/>
    <sheet name="Hoja113" sheetId="918" state="veryHidden" r:id="rId23"/>
    <sheet name="Hoja114" sheetId="919" state="veryHidden" r:id="rId24"/>
    <sheet name="Hoja115" sheetId="920" state="veryHidden" r:id="rId25"/>
    <sheet name="Hoja116" sheetId="921" state="veryHidden" r:id="rId26"/>
    <sheet name="Hoja117" sheetId="922" state="veryHidden" r:id="rId27"/>
    <sheet name="Hoja118" sheetId="923" state="veryHidden" r:id="rId28"/>
    <sheet name="Hoja119" sheetId="924" state="veryHidden" r:id="rId29"/>
  </sheets>
  <externalReferences>
    <externalReference r:id="rId30"/>
  </externalReferences>
  <definedNames>
    <definedName name="_xlnm._FilterDatabase" localSheetId="3" hidden="1">Pedidos!$A$3:$AJ$108</definedName>
    <definedName name="_xlnm._FilterDatabase" localSheetId="2" hidden="1">Recepciones!$A$3:$AG$20</definedName>
    <definedName name="almacenaje" localSheetId="6">[1]Almacenaje!#REF!</definedName>
    <definedName name="almacenaje">Almacenaje!$D$6</definedName>
    <definedName name="cargos">'Cargos manuales'!$H$7</definedName>
    <definedName name="CodCliente" localSheetId="1">Parámetros!$C$4</definedName>
    <definedName name="CodCliente">Parámetros!$C$4</definedName>
    <definedName name="CodOperativa">Parámetros!$C$6</definedName>
    <definedName name="fechafin">Parámetros!$C$8</definedName>
    <definedName name="fechaini">Parámetros!$C$7</definedName>
    <definedName name="fijos">Fijos!$H$5</definedName>
    <definedName name="IdPrefactura">Parámetros!$C$5</definedName>
    <definedName name="pedidos">Pedidos!$AI$110</definedName>
    <definedName name="recepciones">Recepciones!$AF$22</definedName>
    <definedName name="TipoDocEntrada">Parámetros!$C$3</definedName>
    <definedName name="TipoDocSalida">Parámetros!$C$2</definedName>
    <definedName name="_xlnm.Print_Titles" localSheetId="6">Fijos!$2:$2</definedName>
    <definedName name="transporte">'Servicios transporte'!$X$7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7" l="1"/>
  <c r="C3" i="7"/>
  <c r="D3" i="7"/>
  <c r="B4" i="7"/>
  <c r="C4" i="7"/>
  <c r="D4" i="7"/>
  <c r="B5" i="7"/>
  <c r="C5" i="7"/>
  <c r="D5" i="7"/>
  <c r="B4" i="4"/>
  <c r="C4" i="4"/>
  <c r="D4" i="4"/>
  <c r="E4" i="4"/>
  <c r="F4" i="4"/>
  <c r="G4" i="4"/>
  <c r="H4" i="4"/>
  <c r="I4" i="4"/>
  <c r="J4" i="4"/>
  <c r="L4" i="4"/>
  <c r="M4" i="4"/>
  <c r="N4" i="4"/>
  <c r="O4" i="4"/>
  <c r="P4" i="4"/>
  <c r="Q4" i="4"/>
  <c r="R4" i="4"/>
  <c r="S4" i="4"/>
  <c r="W4" i="4"/>
  <c r="X4" i="4"/>
  <c r="AB4" i="4"/>
  <c r="AF4" i="4" s="1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Z5" i="4"/>
  <c r="AA5" i="4"/>
  <c r="AC5" i="4"/>
  <c r="AD5" i="4"/>
  <c r="AE5" i="4"/>
  <c r="AF5" i="4"/>
  <c r="AG5" i="4"/>
  <c r="AB5" i="4" s="1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Z6" i="4"/>
  <c r="AA6" i="4"/>
  <c r="AB6" i="4"/>
  <c r="AC6" i="4"/>
  <c r="AD6" i="4"/>
  <c r="AE6" i="4"/>
  <c r="AF6" i="4"/>
  <c r="AG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Z7" i="4"/>
  <c r="AA7" i="4"/>
  <c r="AC7" i="4"/>
  <c r="AD7" i="4"/>
  <c r="AE7" i="4"/>
  <c r="AF7" i="4"/>
  <c r="AG7" i="4"/>
  <c r="AB7" i="4" s="1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Z8" i="4"/>
  <c r="AA8" i="4"/>
  <c r="AB8" i="4"/>
  <c r="AC8" i="4"/>
  <c r="AD8" i="4"/>
  <c r="AE8" i="4"/>
  <c r="AF8" i="4"/>
  <c r="AG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Z9" i="4"/>
  <c r="AA9" i="4"/>
  <c r="AC9" i="4"/>
  <c r="AD9" i="4"/>
  <c r="AE9" i="4"/>
  <c r="AF9" i="4"/>
  <c r="AG9" i="4"/>
  <c r="AB9" i="4" s="1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Z10" i="4"/>
  <c r="AA10" i="4"/>
  <c r="AB10" i="4"/>
  <c r="AC10" i="4"/>
  <c r="AD10" i="4"/>
  <c r="AE10" i="4"/>
  <c r="AF10" i="4"/>
  <c r="AG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Z11" i="4"/>
  <c r="AA11" i="4"/>
  <c r="AB11" i="4"/>
  <c r="AC11" i="4"/>
  <c r="AD11" i="4"/>
  <c r="AE11" i="4"/>
  <c r="AF11" i="4"/>
  <c r="AG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Z12" i="4"/>
  <c r="AA12" i="4"/>
  <c r="AB12" i="4"/>
  <c r="AC12" i="4"/>
  <c r="AD12" i="4"/>
  <c r="AE12" i="4"/>
  <c r="AF12" i="4"/>
  <c r="AG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Z13" i="4"/>
  <c r="AA13" i="4"/>
  <c r="AC13" i="4"/>
  <c r="AD13" i="4"/>
  <c r="AE13" i="4"/>
  <c r="AF13" i="4"/>
  <c r="AG13" i="4"/>
  <c r="AB13" i="4" s="1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Z14" i="4"/>
  <c r="AA14" i="4"/>
  <c r="AC14" i="4"/>
  <c r="AD14" i="4"/>
  <c r="AE14" i="4"/>
  <c r="AF14" i="4"/>
  <c r="AG14" i="4"/>
  <c r="AB14" i="4" s="1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Z15" i="4"/>
  <c r="AA15" i="4"/>
  <c r="AC15" i="4"/>
  <c r="AD15" i="4"/>
  <c r="AE15" i="4"/>
  <c r="AF15" i="4"/>
  <c r="AG15" i="4"/>
  <c r="AB15" i="4" s="1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Z16" i="4"/>
  <c r="AA16" i="4"/>
  <c r="AC16" i="4"/>
  <c r="AD16" i="4"/>
  <c r="AE16" i="4"/>
  <c r="AF16" i="4"/>
  <c r="AG16" i="4"/>
  <c r="AB16" i="4" s="1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Z17" i="4"/>
  <c r="AA17" i="4"/>
  <c r="AC17" i="4"/>
  <c r="AD17" i="4"/>
  <c r="AE17" i="4"/>
  <c r="AF17" i="4"/>
  <c r="AG17" i="4"/>
  <c r="AB17" i="4" s="1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Z18" i="4"/>
  <c r="AA18" i="4"/>
  <c r="AB18" i="4"/>
  <c r="AC18" i="4"/>
  <c r="AD18" i="4"/>
  <c r="AE18" i="4"/>
  <c r="AF18" i="4"/>
  <c r="AG18" i="4"/>
  <c r="B19" i="4"/>
  <c r="C19" i="4"/>
  <c r="D19" i="4"/>
  <c r="E19" i="4"/>
  <c r="F19" i="4"/>
  <c r="G19" i="4"/>
  <c r="H19" i="4"/>
  <c r="I19" i="4"/>
  <c r="J19" i="4"/>
  <c r="L19" i="4"/>
  <c r="M19" i="4"/>
  <c r="N19" i="4"/>
  <c r="O19" i="4"/>
  <c r="P19" i="4"/>
  <c r="Q19" i="4"/>
  <c r="R19" i="4"/>
  <c r="S19" i="4"/>
  <c r="W19" i="4"/>
  <c r="X19" i="4"/>
  <c r="AB19" i="4"/>
  <c r="AF19" i="4" s="1"/>
  <c r="B20" i="4"/>
  <c r="C20" i="4"/>
  <c r="D20" i="4"/>
  <c r="E20" i="4"/>
  <c r="F20" i="4"/>
  <c r="G20" i="4"/>
  <c r="H20" i="4"/>
  <c r="I20" i="4"/>
  <c r="J20" i="4"/>
  <c r="L20" i="4"/>
  <c r="M20" i="4"/>
  <c r="N20" i="4"/>
  <c r="O20" i="4"/>
  <c r="P20" i="4"/>
  <c r="Q20" i="4"/>
  <c r="R20" i="4"/>
  <c r="S20" i="4"/>
  <c r="W20" i="4"/>
  <c r="X20" i="4"/>
  <c r="AB20" i="4"/>
  <c r="AF20" i="4" s="1"/>
  <c r="B5" i="5"/>
  <c r="C5" i="5"/>
  <c r="D5" i="5"/>
  <c r="E5" i="5"/>
  <c r="F5" i="5"/>
  <c r="G5" i="5"/>
  <c r="H5" i="5"/>
  <c r="I5" i="5"/>
  <c r="J5" i="5"/>
  <c r="L5" i="5"/>
  <c r="M5" i="5"/>
  <c r="N5" i="5"/>
  <c r="O5" i="5"/>
  <c r="P5" i="5"/>
  <c r="Q5" i="5"/>
  <c r="R5" i="5"/>
  <c r="S5" i="5"/>
  <c r="W5" i="5"/>
  <c r="X5" i="5"/>
  <c r="AF5" i="5"/>
  <c r="B15" i="5"/>
  <c r="C15" i="5"/>
  <c r="D15" i="5"/>
  <c r="E15" i="5"/>
  <c r="F15" i="5"/>
  <c r="G15" i="5"/>
  <c r="AI15" i="5" s="1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W15" i="5"/>
  <c r="X15" i="5"/>
  <c r="Z15" i="5"/>
  <c r="AB15" i="5"/>
  <c r="AC15" i="5"/>
  <c r="AD15" i="5"/>
  <c r="AE15" i="5"/>
  <c r="AF15" i="5"/>
  <c r="AG15" i="5"/>
  <c r="AH15" i="5"/>
  <c r="AJ15" i="5"/>
  <c r="B4" i="5"/>
  <c r="C4" i="5"/>
  <c r="D4" i="5"/>
  <c r="E4" i="5"/>
  <c r="F4" i="5"/>
  <c r="G4" i="5"/>
  <c r="AI4" i="5" s="1"/>
  <c r="H4" i="5"/>
  <c r="I4" i="5"/>
  <c r="J4" i="5"/>
  <c r="L4" i="5"/>
  <c r="M4" i="5"/>
  <c r="N4" i="5"/>
  <c r="O4" i="5"/>
  <c r="P4" i="5"/>
  <c r="Q4" i="5"/>
  <c r="R4" i="5"/>
  <c r="S4" i="5"/>
  <c r="W4" i="5"/>
  <c r="X4" i="5"/>
  <c r="AF4" i="5"/>
  <c r="B6" i="5"/>
  <c r="C6" i="5"/>
  <c r="D6" i="5"/>
  <c r="E6" i="5"/>
  <c r="F6" i="5"/>
  <c r="G6" i="5"/>
  <c r="AI6" i="5" s="1"/>
  <c r="H6" i="5"/>
  <c r="I6" i="5"/>
  <c r="J6" i="5"/>
  <c r="L6" i="5"/>
  <c r="M6" i="5"/>
  <c r="N6" i="5"/>
  <c r="O6" i="5"/>
  <c r="P6" i="5"/>
  <c r="Q6" i="5"/>
  <c r="R6" i="5"/>
  <c r="S6" i="5"/>
  <c r="W6" i="5"/>
  <c r="X6" i="5"/>
  <c r="AF6" i="5"/>
  <c r="B14" i="5"/>
  <c r="C14" i="5"/>
  <c r="D14" i="5"/>
  <c r="E14" i="5"/>
  <c r="F14" i="5"/>
  <c r="G14" i="5"/>
  <c r="H14" i="5"/>
  <c r="I14" i="5"/>
  <c r="J14" i="5"/>
  <c r="L14" i="5"/>
  <c r="M14" i="5"/>
  <c r="N14" i="5"/>
  <c r="O14" i="5"/>
  <c r="P14" i="5"/>
  <c r="Q14" i="5"/>
  <c r="R14" i="5"/>
  <c r="S14" i="5"/>
  <c r="W14" i="5"/>
  <c r="X14" i="5"/>
  <c r="AF14" i="5"/>
  <c r="AI14" i="5" s="1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W16" i="5"/>
  <c r="X16" i="5"/>
  <c r="Z16" i="5"/>
  <c r="AB16" i="5"/>
  <c r="AC16" i="5"/>
  <c r="AD16" i="5"/>
  <c r="AE16" i="5"/>
  <c r="AF16" i="5"/>
  <c r="AG16" i="5"/>
  <c r="AH16" i="5"/>
  <c r="AI16" i="5"/>
  <c r="AJ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W17" i="5"/>
  <c r="X17" i="5"/>
  <c r="Z17" i="5"/>
  <c r="AB17" i="5"/>
  <c r="AC17" i="5"/>
  <c r="AD17" i="5"/>
  <c r="AE17" i="5"/>
  <c r="AF17" i="5"/>
  <c r="AG17" i="5"/>
  <c r="AH17" i="5"/>
  <c r="AI17" i="5"/>
  <c r="AJ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W18" i="5"/>
  <c r="X18" i="5"/>
  <c r="Z18" i="5"/>
  <c r="AB18" i="5"/>
  <c r="AC18" i="5"/>
  <c r="AD18" i="5"/>
  <c r="AE18" i="5"/>
  <c r="AF18" i="5"/>
  <c r="AG18" i="5"/>
  <c r="AH18" i="5"/>
  <c r="AI18" i="5"/>
  <c r="AJ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W19" i="5"/>
  <c r="X19" i="5"/>
  <c r="Z19" i="5"/>
  <c r="AB19" i="5"/>
  <c r="AC19" i="5"/>
  <c r="AD19" i="5"/>
  <c r="AE19" i="5"/>
  <c r="AF19" i="5"/>
  <c r="AG19" i="5"/>
  <c r="AH19" i="5"/>
  <c r="AI19" i="5"/>
  <c r="AJ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W20" i="5"/>
  <c r="X20" i="5"/>
  <c r="Z20" i="5"/>
  <c r="AB20" i="5"/>
  <c r="AC20" i="5"/>
  <c r="AD20" i="5"/>
  <c r="AE20" i="5"/>
  <c r="AF20" i="5"/>
  <c r="AG20" i="5"/>
  <c r="AH20" i="5"/>
  <c r="AI20" i="5"/>
  <c r="AJ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W21" i="5"/>
  <c r="X21" i="5"/>
  <c r="Z21" i="5"/>
  <c r="AB21" i="5"/>
  <c r="AC21" i="5"/>
  <c r="AD21" i="5"/>
  <c r="AE21" i="5"/>
  <c r="AF21" i="5"/>
  <c r="AG21" i="5"/>
  <c r="AH21" i="5"/>
  <c r="AI21" i="5"/>
  <c r="AJ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W22" i="5"/>
  <c r="X22" i="5"/>
  <c r="Z22" i="5"/>
  <c r="AB22" i="5"/>
  <c r="AC22" i="5"/>
  <c r="AD22" i="5"/>
  <c r="AE22" i="5"/>
  <c r="AF22" i="5"/>
  <c r="AG22" i="5"/>
  <c r="AH22" i="5"/>
  <c r="AI22" i="5"/>
  <c r="AJ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W23" i="5"/>
  <c r="X23" i="5"/>
  <c r="Z23" i="5"/>
  <c r="AB23" i="5"/>
  <c r="AC23" i="5"/>
  <c r="AD23" i="5"/>
  <c r="AE23" i="5"/>
  <c r="AF23" i="5"/>
  <c r="AG23" i="5"/>
  <c r="AH23" i="5"/>
  <c r="AI23" i="5"/>
  <c r="AJ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W24" i="5"/>
  <c r="X24" i="5"/>
  <c r="Z24" i="5"/>
  <c r="AB24" i="5"/>
  <c r="AC24" i="5"/>
  <c r="AD24" i="5"/>
  <c r="AE24" i="5"/>
  <c r="AF24" i="5"/>
  <c r="AG24" i="5"/>
  <c r="AH24" i="5"/>
  <c r="AI24" i="5"/>
  <c r="AJ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W25" i="5"/>
  <c r="X25" i="5"/>
  <c r="Z25" i="5"/>
  <c r="AB25" i="5"/>
  <c r="AC25" i="5"/>
  <c r="AD25" i="5"/>
  <c r="AE25" i="5"/>
  <c r="AF25" i="5"/>
  <c r="AG25" i="5"/>
  <c r="AH25" i="5"/>
  <c r="AI25" i="5"/>
  <c r="AJ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W26" i="5"/>
  <c r="X26" i="5"/>
  <c r="Z26" i="5"/>
  <c r="AB26" i="5"/>
  <c r="AC26" i="5"/>
  <c r="AD26" i="5"/>
  <c r="AE26" i="5"/>
  <c r="AF26" i="5"/>
  <c r="AG26" i="5"/>
  <c r="AH26" i="5"/>
  <c r="AI26" i="5"/>
  <c r="AJ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W27" i="5"/>
  <c r="X27" i="5"/>
  <c r="Z27" i="5"/>
  <c r="AB27" i="5"/>
  <c r="AC27" i="5"/>
  <c r="AD27" i="5"/>
  <c r="AE27" i="5"/>
  <c r="AF27" i="5"/>
  <c r="AG27" i="5"/>
  <c r="AH27" i="5"/>
  <c r="AI27" i="5"/>
  <c r="AJ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W28" i="5"/>
  <c r="X28" i="5"/>
  <c r="Z28" i="5"/>
  <c r="AB28" i="5"/>
  <c r="AC28" i="5"/>
  <c r="AD28" i="5"/>
  <c r="AE28" i="5"/>
  <c r="AF28" i="5"/>
  <c r="AG28" i="5"/>
  <c r="AH28" i="5"/>
  <c r="AI28" i="5"/>
  <c r="AJ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W29" i="5"/>
  <c r="X29" i="5"/>
  <c r="Z29" i="5"/>
  <c r="AB29" i="5"/>
  <c r="AC29" i="5"/>
  <c r="AD29" i="5"/>
  <c r="AE29" i="5"/>
  <c r="AF29" i="5"/>
  <c r="AG29" i="5"/>
  <c r="AH29" i="5"/>
  <c r="AI29" i="5"/>
  <c r="AJ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W30" i="5"/>
  <c r="X30" i="5"/>
  <c r="Z30" i="5"/>
  <c r="AB30" i="5"/>
  <c r="AC30" i="5"/>
  <c r="AD30" i="5"/>
  <c r="AE30" i="5"/>
  <c r="AF30" i="5"/>
  <c r="AG30" i="5"/>
  <c r="AH30" i="5"/>
  <c r="AI30" i="5"/>
  <c r="AJ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W31" i="5"/>
  <c r="X31" i="5"/>
  <c r="Z31" i="5"/>
  <c r="AB31" i="5"/>
  <c r="AC31" i="5"/>
  <c r="AD31" i="5"/>
  <c r="AE31" i="5"/>
  <c r="AF31" i="5"/>
  <c r="AG31" i="5"/>
  <c r="AH31" i="5"/>
  <c r="AI31" i="5"/>
  <c r="AJ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W32" i="5"/>
  <c r="X32" i="5"/>
  <c r="Z32" i="5"/>
  <c r="AB32" i="5"/>
  <c r="AC32" i="5"/>
  <c r="AD32" i="5"/>
  <c r="AE32" i="5"/>
  <c r="AF32" i="5"/>
  <c r="AG32" i="5"/>
  <c r="AH32" i="5"/>
  <c r="AI32" i="5"/>
  <c r="AJ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W33" i="5"/>
  <c r="X33" i="5"/>
  <c r="Z33" i="5"/>
  <c r="AB33" i="5"/>
  <c r="AC33" i="5"/>
  <c r="AD33" i="5"/>
  <c r="AE33" i="5"/>
  <c r="AF33" i="5"/>
  <c r="AG33" i="5"/>
  <c r="AH33" i="5"/>
  <c r="AI33" i="5"/>
  <c r="AJ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W34" i="5"/>
  <c r="X34" i="5"/>
  <c r="Z34" i="5"/>
  <c r="AB34" i="5"/>
  <c r="AC34" i="5"/>
  <c r="AD34" i="5"/>
  <c r="AE34" i="5"/>
  <c r="AF34" i="5"/>
  <c r="AG34" i="5"/>
  <c r="AH34" i="5"/>
  <c r="AI34" i="5"/>
  <c r="AJ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W35" i="5"/>
  <c r="X35" i="5"/>
  <c r="Z35" i="5"/>
  <c r="AB35" i="5"/>
  <c r="AC35" i="5"/>
  <c r="AD35" i="5"/>
  <c r="AE35" i="5"/>
  <c r="AF35" i="5"/>
  <c r="AG35" i="5"/>
  <c r="AH35" i="5"/>
  <c r="AI35" i="5"/>
  <c r="AJ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W36" i="5"/>
  <c r="X36" i="5"/>
  <c r="Z36" i="5"/>
  <c r="AB36" i="5"/>
  <c r="AC36" i="5"/>
  <c r="AD36" i="5"/>
  <c r="AE36" i="5"/>
  <c r="AF36" i="5"/>
  <c r="AG36" i="5"/>
  <c r="AH36" i="5"/>
  <c r="AI36" i="5"/>
  <c r="AJ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W37" i="5"/>
  <c r="X37" i="5"/>
  <c r="Z37" i="5"/>
  <c r="AB37" i="5"/>
  <c r="AC37" i="5"/>
  <c r="AD37" i="5"/>
  <c r="AE37" i="5"/>
  <c r="AF37" i="5"/>
  <c r="AG37" i="5"/>
  <c r="AH37" i="5"/>
  <c r="AI37" i="5"/>
  <c r="AJ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W38" i="5"/>
  <c r="X38" i="5"/>
  <c r="Z38" i="5"/>
  <c r="AB38" i="5"/>
  <c r="AC38" i="5"/>
  <c r="AD38" i="5"/>
  <c r="AE38" i="5"/>
  <c r="AF38" i="5"/>
  <c r="AG38" i="5"/>
  <c r="AH38" i="5"/>
  <c r="AI38" i="5"/>
  <c r="AJ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W39" i="5"/>
  <c r="X39" i="5"/>
  <c r="Z39" i="5"/>
  <c r="AB39" i="5"/>
  <c r="AC39" i="5"/>
  <c r="AD39" i="5"/>
  <c r="AE39" i="5"/>
  <c r="AF39" i="5"/>
  <c r="AG39" i="5"/>
  <c r="AH39" i="5"/>
  <c r="AI39" i="5"/>
  <c r="AJ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W40" i="5"/>
  <c r="X40" i="5"/>
  <c r="Z40" i="5"/>
  <c r="AB40" i="5"/>
  <c r="AC40" i="5"/>
  <c r="AD40" i="5"/>
  <c r="AE40" i="5"/>
  <c r="AF40" i="5"/>
  <c r="AG40" i="5"/>
  <c r="AH40" i="5"/>
  <c r="AI40" i="5"/>
  <c r="AJ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W41" i="5"/>
  <c r="X41" i="5"/>
  <c r="Z41" i="5"/>
  <c r="AB41" i="5"/>
  <c r="AC41" i="5"/>
  <c r="AD41" i="5"/>
  <c r="AE41" i="5"/>
  <c r="AF41" i="5"/>
  <c r="AG41" i="5"/>
  <c r="AH41" i="5"/>
  <c r="AI41" i="5"/>
  <c r="AJ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W42" i="5"/>
  <c r="X42" i="5"/>
  <c r="Z42" i="5"/>
  <c r="AB42" i="5"/>
  <c r="AC42" i="5"/>
  <c r="AD42" i="5"/>
  <c r="AE42" i="5"/>
  <c r="AF42" i="5"/>
  <c r="AG42" i="5"/>
  <c r="AH42" i="5"/>
  <c r="AI42" i="5"/>
  <c r="AJ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W43" i="5"/>
  <c r="X43" i="5"/>
  <c r="Z43" i="5"/>
  <c r="AB43" i="5"/>
  <c r="AC43" i="5"/>
  <c r="AD43" i="5"/>
  <c r="AE43" i="5"/>
  <c r="AF43" i="5"/>
  <c r="AG43" i="5"/>
  <c r="AH43" i="5"/>
  <c r="AI43" i="5"/>
  <c r="AJ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W44" i="5"/>
  <c r="X44" i="5"/>
  <c r="Z44" i="5"/>
  <c r="AB44" i="5"/>
  <c r="AC44" i="5"/>
  <c r="AD44" i="5"/>
  <c r="AE44" i="5"/>
  <c r="AF44" i="5"/>
  <c r="AG44" i="5"/>
  <c r="AH44" i="5"/>
  <c r="AI44" i="5"/>
  <c r="AJ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W45" i="5"/>
  <c r="X45" i="5"/>
  <c r="Z45" i="5"/>
  <c r="AB45" i="5"/>
  <c r="AC45" i="5"/>
  <c r="AD45" i="5"/>
  <c r="AE45" i="5"/>
  <c r="AF45" i="5"/>
  <c r="AG45" i="5"/>
  <c r="AH45" i="5"/>
  <c r="AI45" i="5"/>
  <c r="AJ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W46" i="5"/>
  <c r="X46" i="5"/>
  <c r="Z46" i="5"/>
  <c r="AB46" i="5"/>
  <c r="AC46" i="5"/>
  <c r="AD46" i="5"/>
  <c r="AE46" i="5"/>
  <c r="AF46" i="5"/>
  <c r="AG46" i="5"/>
  <c r="AH46" i="5"/>
  <c r="AI46" i="5"/>
  <c r="AJ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W47" i="5"/>
  <c r="X47" i="5"/>
  <c r="Z47" i="5"/>
  <c r="AB47" i="5"/>
  <c r="AC47" i="5"/>
  <c r="AD47" i="5"/>
  <c r="AE47" i="5"/>
  <c r="AF47" i="5"/>
  <c r="AG47" i="5"/>
  <c r="AH47" i="5"/>
  <c r="AI47" i="5"/>
  <c r="AJ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W48" i="5"/>
  <c r="X48" i="5"/>
  <c r="Z48" i="5"/>
  <c r="AB48" i="5"/>
  <c r="AC48" i="5"/>
  <c r="AD48" i="5"/>
  <c r="AE48" i="5"/>
  <c r="AF48" i="5"/>
  <c r="AG48" i="5"/>
  <c r="AH48" i="5"/>
  <c r="AI48" i="5"/>
  <c r="AJ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W49" i="5"/>
  <c r="X49" i="5"/>
  <c r="Z49" i="5"/>
  <c r="AB49" i="5"/>
  <c r="AC49" i="5"/>
  <c r="AD49" i="5"/>
  <c r="AE49" i="5"/>
  <c r="AF49" i="5"/>
  <c r="AG49" i="5"/>
  <c r="AH49" i="5"/>
  <c r="AI49" i="5"/>
  <c r="AJ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W50" i="5"/>
  <c r="X50" i="5"/>
  <c r="Z50" i="5"/>
  <c r="AB50" i="5"/>
  <c r="AC50" i="5"/>
  <c r="AD50" i="5"/>
  <c r="AE50" i="5"/>
  <c r="AF50" i="5"/>
  <c r="AG50" i="5"/>
  <c r="AH50" i="5"/>
  <c r="AI50" i="5"/>
  <c r="AJ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W51" i="5"/>
  <c r="X51" i="5"/>
  <c r="Z51" i="5"/>
  <c r="AB51" i="5"/>
  <c r="AC51" i="5"/>
  <c r="AD51" i="5"/>
  <c r="AE51" i="5"/>
  <c r="AF51" i="5"/>
  <c r="AG51" i="5"/>
  <c r="AH51" i="5"/>
  <c r="AI51" i="5"/>
  <c r="AJ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W52" i="5"/>
  <c r="X52" i="5"/>
  <c r="Z52" i="5"/>
  <c r="AB52" i="5"/>
  <c r="AC52" i="5"/>
  <c r="AD52" i="5"/>
  <c r="AE52" i="5"/>
  <c r="AF52" i="5"/>
  <c r="AG52" i="5"/>
  <c r="AH52" i="5"/>
  <c r="AI52" i="5"/>
  <c r="AJ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W53" i="5"/>
  <c r="X53" i="5"/>
  <c r="Z53" i="5"/>
  <c r="AB53" i="5"/>
  <c r="AC53" i="5"/>
  <c r="AD53" i="5"/>
  <c r="AE53" i="5"/>
  <c r="AF53" i="5"/>
  <c r="AG53" i="5"/>
  <c r="AH53" i="5"/>
  <c r="AI53" i="5"/>
  <c r="AJ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W54" i="5"/>
  <c r="X54" i="5"/>
  <c r="Z54" i="5"/>
  <c r="AB54" i="5"/>
  <c r="AC54" i="5"/>
  <c r="AD54" i="5"/>
  <c r="AE54" i="5"/>
  <c r="AF54" i="5"/>
  <c r="AG54" i="5"/>
  <c r="AH54" i="5"/>
  <c r="AI54" i="5"/>
  <c r="AJ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W55" i="5"/>
  <c r="X55" i="5"/>
  <c r="Z55" i="5"/>
  <c r="AB55" i="5"/>
  <c r="AC55" i="5"/>
  <c r="AD55" i="5"/>
  <c r="AE55" i="5"/>
  <c r="AF55" i="5"/>
  <c r="AG55" i="5"/>
  <c r="AH55" i="5"/>
  <c r="AI55" i="5"/>
  <c r="AJ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W56" i="5"/>
  <c r="X56" i="5"/>
  <c r="Z56" i="5"/>
  <c r="AB56" i="5"/>
  <c r="AC56" i="5"/>
  <c r="AD56" i="5"/>
  <c r="AE56" i="5"/>
  <c r="AF56" i="5"/>
  <c r="AG56" i="5"/>
  <c r="AH56" i="5"/>
  <c r="AI56" i="5"/>
  <c r="AJ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W57" i="5"/>
  <c r="X57" i="5"/>
  <c r="Z57" i="5"/>
  <c r="AB57" i="5"/>
  <c r="AC57" i="5"/>
  <c r="AD57" i="5"/>
  <c r="AE57" i="5"/>
  <c r="AF57" i="5"/>
  <c r="AG57" i="5"/>
  <c r="AH57" i="5"/>
  <c r="AI57" i="5"/>
  <c r="AJ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W58" i="5"/>
  <c r="X58" i="5"/>
  <c r="Z58" i="5"/>
  <c r="AB58" i="5"/>
  <c r="AC58" i="5"/>
  <c r="AD58" i="5"/>
  <c r="AE58" i="5"/>
  <c r="AF58" i="5"/>
  <c r="AG58" i="5"/>
  <c r="AH58" i="5"/>
  <c r="AI58" i="5"/>
  <c r="AJ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W59" i="5"/>
  <c r="X59" i="5"/>
  <c r="Z59" i="5"/>
  <c r="AB59" i="5"/>
  <c r="AC59" i="5"/>
  <c r="AD59" i="5"/>
  <c r="AE59" i="5"/>
  <c r="AF59" i="5"/>
  <c r="AG59" i="5"/>
  <c r="AH59" i="5"/>
  <c r="AI59" i="5"/>
  <c r="AJ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W60" i="5"/>
  <c r="X60" i="5"/>
  <c r="Z60" i="5"/>
  <c r="AB60" i="5"/>
  <c r="AC60" i="5"/>
  <c r="AD60" i="5"/>
  <c r="AE60" i="5"/>
  <c r="AF60" i="5"/>
  <c r="AG60" i="5"/>
  <c r="AH60" i="5"/>
  <c r="AI60" i="5"/>
  <c r="AJ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W61" i="5"/>
  <c r="X61" i="5"/>
  <c r="Z61" i="5"/>
  <c r="AB61" i="5"/>
  <c r="AC61" i="5"/>
  <c r="AD61" i="5"/>
  <c r="AE61" i="5"/>
  <c r="AF61" i="5"/>
  <c r="AG61" i="5"/>
  <c r="AH61" i="5"/>
  <c r="AI61" i="5"/>
  <c r="AJ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W62" i="5"/>
  <c r="X62" i="5"/>
  <c r="Z62" i="5"/>
  <c r="AB62" i="5"/>
  <c r="AC62" i="5"/>
  <c r="AD62" i="5"/>
  <c r="AE62" i="5"/>
  <c r="AF62" i="5"/>
  <c r="AG62" i="5"/>
  <c r="AH62" i="5"/>
  <c r="AI62" i="5"/>
  <c r="AJ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W63" i="5"/>
  <c r="X63" i="5"/>
  <c r="Z63" i="5"/>
  <c r="AB63" i="5"/>
  <c r="AC63" i="5"/>
  <c r="AD63" i="5"/>
  <c r="AE63" i="5"/>
  <c r="AF63" i="5"/>
  <c r="AG63" i="5"/>
  <c r="AH63" i="5"/>
  <c r="AI63" i="5"/>
  <c r="AJ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W64" i="5"/>
  <c r="X64" i="5"/>
  <c r="Z64" i="5"/>
  <c r="AB64" i="5"/>
  <c r="AC64" i="5"/>
  <c r="AD64" i="5"/>
  <c r="AE64" i="5"/>
  <c r="AF64" i="5"/>
  <c r="AG64" i="5"/>
  <c r="AH64" i="5"/>
  <c r="AI64" i="5"/>
  <c r="AJ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W65" i="5"/>
  <c r="X65" i="5"/>
  <c r="Z65" i="5"/>
  <c r="AB65" i="5"/>
  <c r="AC65" i="5"/>
  <c r="AD65" i="5"/>
  <c r="AE65" i="5"/>
  <c r="AF65" i="5"/>
  <c r="AG65" i="5"/>
  <c r="AH65" i="5"/>
  <c r="AI65" i="5"/>
  <c r="AJ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W66" i="5"/>
  <c r="X66" i="5"/>
  <c r="Z66" i="5"/>
  <c r="AB66" i="5"/>
  <c r="AC66" i="5"/>
  <c r="AD66" i="5"/>
  <c r="AE66" i="5"/>
  <c r="AF66" i="5"/>
  <c r="AG66" i="5"/>
  <c r="AH66" i="5"/>
  <c r="AI66" i="5"/>
  <c r="AJ66" i="5"/>
  <c r="B9" i="5"/>
  <c r="C9" i="5"/>
  <c r="D9" i="5"/>
  <c r="E9" i="5"/>
  <c r="F9" i="5"/>
  <c r="G9" i="5"/>
  <c r="H9" i="5"/>
  <c r="I9" i="5"/>
  <c r="J9" i="5"/>
  <c r="L9" i="5"/>
  <c r="M9" i="5"/>
  <c r="N9" i="5"/>
  <c r="O9" i="5"/>
  <c r="P9" i="5"/>
  <c r="Q9" i="5"/>
  <c r="R9" i="5"/>
  <c r="S9" i="5"/>
  <c r="W9" i="5"/>
  <c r="X9" i="5"/>
  <c r="AF9" i="5"/>
  <c r="AI9" i="5" s="1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W67" i="5"/>
  <c r="X67" i="5"/>
  <c r="Z67" i="5"/>
  <c r="AB67" i="5"/>
  <c r="AC67" i="5"/>
  <c r="AD67" i="5"/>
  <c r="AE67" i="5"/>
  <c r="AG67" i="5"/>
  <c r="AH67" i="5"/>
  <c r="AI67" i="5"/>
  <c r="AJ67" i="5"/>
  <c r="AF67" i="5" s="1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W68" i="5"/>
  <c r="X68" i="5"/>
  <c r="Z68" i="5"/>
  <c r="AB68" i="5"/>
  <c r="AC68" i="5"/>
  <c r="AD68" i="5"/>
  <c r="AE68" i="5"/>
  <c r="AG68" i="5"/>
  <c r="AH68" i="5"/>
  <c r="AI68" i="5"/>
  <c r="AJ68" i="5"/>
  <c r="AF68" i="5" s="1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W69" i="5"/>
  <c r="X69" i="5"/>
  <c r="Z69" i="5"/>
  <c r="AB69" i="5"/>
  <c r="AC69" i="5"/>
  <c r="AD69" i="5"/>
  <c r="AE69" i="5"/>
  <c r="AG69" i="5"/>
  <c r="AH69" i="5"/>
  <c r="AI69" i="5"/>
  <c r="AJ69" i="5"/>
  <c r="AF69" i="5" s="1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W70" i="5"/>
  <c r="X70" i="5"/>
  <c r="Z70" i="5"/>
  <c r="AB70" i="5"/>
  <c r="AC70" i="5"/>
  <c r="AD70" i="5"/>
  <c r="AE70" i="5"/>
  <c r="AG70" i="5"/>
  <c r="AH70" i="5"/>
  <c r="AI70" i="5"/>
  <c r="AJ70" i="5"/>
  <c r="AF70" i="5" s="1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W71" i="5"/>
  <c r="X71" i="5"/>
  <c r="Z71" i="5"/>
  <c r="AB71" i="5"/>
  <c r="AC71" i="5"/>
  <c r="AD71" i="5"/>
  <c r="AE71" i="5"/>
  <c r="AG71" i="5"/>
  <c r="AH71" i="5"/>
  <c r="AI71" i="5"/>
  <c r="AJ71" i="5"/>
  <c r="AF71" i="5" s="1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W72" i="5"/>
  <c r="X72" i="5"/>
  <c r="Z72" i="5"/>
  <c r="AB72" i="5"/>
  <c r="AC72" i="5"/>
  <c r="AD72" i="5"/>
  <c r="AE72" i="5"/>
  <c r="AG72" i="5"/>
  <c r="AH72" i="5"/>
  <c r="AI72" i="5"/>
  <c r="AJ72" i="5"/>
  <c r="AF72" i="5" s="1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W73" i="5"/>
  <c r="X73" i="5"/>
  <c r="Z73" i="5"/>
  <c r="AB73" i="5"/>
  <c r="AC73" i="5"/>
  <c r="AD73" i="5"/>
  <c r="AE73" i="5"/>
  <c r="AG73" i="5"/>
  <c r="AH73" i="5"/>
  <c r="AI73" i="5"/>
  <c r="AJ73" i="5"/>
  <c r="AF73" i="5" s="1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W74" i="5"/>
  <c r="X74" i="5"/>
  <c r="Z74" i="5"/>
  <c r="AB74" i="5"/>
  <c r="AC74" i="5"/>
  <c r="AD74" i="5"/>
  <c r="AE74" i="5"/>
  <c r="AG74" i="5"/>
  <c r="AH74" i="5"/>
  <c r="AI74" i="5"/>
  <c r="AJ74" i="5"/>
  <c r="AF74" i="5" s="1"/>
  <c r="B12" i="5"/>
  <c r="C12" i="5"/>
  <c r="D12" i="5"/>
  <c r="E12" i="5"/>
  <c r="F12" i="5"/>
  <c r="G12" i="5"/>
  <c r="AI12" i="5" s="1"/>
  <c r="H12" i="5"/>
  <c r="I12" i="5"/>
  <c r="J12" i="5"/>
  <c r="L12" i="5"/>
  <c r="M12" i="5"/>
  <c r="N12" i="5"/>
  <c r="O12" i="5"/>
  <c r="P12" i="5"/>
  <c r="Q12" i="5"/>
  <c r="R12" i="5"/>
  <c r="S12" i="5"/>
  <c r="W12" i="5"/>
  <c r="X12" i="5"/>
  <c r="AF12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W75" i="5"/>
  <c r="X75" i="5"/>
  <c r="Z75" i="5"/>
  <c r="AB75" i="5"/>
  <c r="AC75" i="5"/>
  <c r="AD75" i="5"/>
  <c r="AE75" i="5"/>
  <c r="AG75" i="5"/>
  <c r="AH75" i="5"/>
  <c r="AI75" i="5"/>
  <c r="AJ75" i="5"/>
  <c r="AF75" i="5" s="1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W76" i="5"/>
  <c r="X76" i="5"/>
  <c r="Z76" i="5"/>
  <c r="AB76" i="5"/>
  <c r="AC76" i="5"/>
  <c r="AD76" i="5"/>
  <c r="AE76" i="5"/>
  <c r="AG76" i="5"/>
  <c r="AH76" i="5"/>
  <c r="AI76" i="5"/>
  <c r="AJ76" i="5"/>
  <c r="AF76" i="5" s="1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W77" i="5"/>
  <c r="X77" i="5"/>
  <c r="Z77" i="5"/>
  <c r="AB77" i="5"/>
  <c r="AC77" i="5"/>
  <c r="AD77" i="5"/>
  <c r="AE77" i="5"/>
  <c r="AG77" i="5"/>
  <c r="AH77" i="5"/>
  <c r="AI77" i="5"/>
  <c r="AJ77" i="5"/>
  <c r="AF77" i="5" s="1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W78" i="5"/>
  <c r="X78" i="5"/>
  <c r="Z78" i="5"/>
  <c r="AB78" i="5"/>
  <c r="AC78" i="5"/>
  <c r="AD78" i="5"/>
  <c r="AE78" i="5"/>
  <c r="AG78" i="5"/>
  <c r="AH78" i="5"/>
  <c r="AI78" i="5"/>
  <c r="AJ78" i="5"/>
  <c r="AF78" i="5" s="1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W79" i="5"/>
  <c r="X79" i="5"/>
  <c r="Z79" i="5"/>
  <c r="AB79" i="5"/>
  <c r="AC79" i="5"/>
  <c r="AD79" i="5"/>
  <c r="AE79" i="5"/>
  <c r="AG79" i="5"/>
  <c r="AH79" i="5"/>
  <c r="AI79" i="5"/>
  <c r="AJ79" i="5"/>
  <c r="AF79" i="5" s="1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W80" i="5"/>
  <c r="X80" i="5"/>
  <c r="Z80" i="5"/>
  <c r="AB80" i="5"/>
  <c r="AC80" i="5"/>
  <c r="AD80" i="5"/>
  <c r="AE80" i="5"/>
  <c r="AG80" i="5"/>
  <c r="AH80" i="5"/>
  <c r="AI80" i="5"/>
  <c r="AJ80" i="5"/>
  <c r="AF80" i="5" s="1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W81" i="5"/>
  <c r="X81" i="5"/>
  <c r="Z81" i="5"/>
  <c r="AB81" i="5"/>
  <c r="AC81" i="5"/>
  <c r="AD81" i="5"/>
  <c r="AE81" i="5"/>
  <c r="AG81" i="5"/>
  <c r="AH81" i="5"/>
  <c r="AI81" i="5"/>
  <c r="AJ81" i="5"/>
  <c r="AF81" i="5" s="1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W82" i="5"/>
  <c r="X82" i="5"/>
  <c r="Z82" i="5"/>
  <c r="AB82" i="5"/>
  <c r="AC82" i="5"/>
  <c r="AD82" i="5"/>
  <c r="AE82" i="5"/>
  <c r="AG82" i="5"/>
  <c r="AH82" i="5"/>
  <c r="AI82" i="5"/>
  <c r="AJ82" i="5"/>
  <c r="AF82" i="5" s="1"/>
  <c r="B83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W83" i="5"/>
  <c r="X83" i="5"/>
  <c r="Z83" i="5"/>
  <c r="AB83" i="5"/>
  <c r="AC83" i="5"/>
  <c r="AD83" i="5"/>
  <c r="AE83" i="5"/>
  <c r="AG83" i="5"/>
  <c r="AH83" i="5"/>
  <c r="AI83" i="5"/>
  <c r="AJ83" i="5"/>
  <c r="AF83" i="5" s="1"/>
  <c r="B7" i="5"/>
  <c r="C7" i="5"/>
  <c r="D7" i="5"/>
  <c r="E7" i="5"/>
  <c r="F7" i="5"/>
  <c r="G7" i="5"/>
  <c r="H7" i="5"/>
  <c r="I7" i="5"/>
  <c r="J7" i="5"/>
  <c r="L7" i="5"/>
  <c r="M7" i="5"/>
  <c r="N7" i="5"/>
  <c r="O7" i="5"/>
  <c r="P7" i="5"/>
  <c r="Q7" i="5"/>
  <c r="R7" i="5"/>
  <c r="S7" i="5"/>
  <c r="W7" i="5"/>
  <c r="X7" i="5"/>
  <c r="AF7" i="5"/>
  <c r="AI7" i="5" s="1"/>
  <c r="B84" i="5"/>
  <c r="C84" i="5"/>
  <c r="D84" i="5"/>
  <c r="E84" i="5"/>
  <c r="F84" i="5"/>
  <c r="G84" i="5"/>
  <c r="AI84" i="5" s="1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W84" i="5"/>
  <c r="X84" i="5"/>
  <c r="Z84" i="5"/>
  <c r="AB84" i="5"/>
  <c r="AC84" i="5"/>
  <c r="AD84" i="5"/>
  <c r="AE84" i="5"/>
  <c r="AG84" i="5"/>
  <c r="AH84" i="5"/>
  <c r="AJ84" i="5"/>
  <c r="AF84" i="5" s="1"/>
  <c r="B85" i="5"/>
  <c r="C85" i="5"/>
  <c r="D85" i="5"/>
  <c r="E85" i="5"/>
  <c r="F85" i="5"/>
  <c r="G85" i="5"/>
  <c r="AI85" i="5" s="1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W85" i="5"/>
  <c r="X85" i="5"/>
  <c r="Z85" i="5"/>
  <c r="AB85" i="5"/>
  <c r="AC85" i="5"/>
  <c r="AD85" i="5"/>
  <c r="AE85" i="5"/>
  <c r="AG85" i="5"/>
  <c r="AH85" i="5"/>
  <c r="AJ85" i="5"/>
  <c r="AF85" i="5" s="1"/>
  <c r="B86" i="5"/>
  <c r="C86" i="5"/>
  <c r="D86" i="5"/>
  <c r="E86" i="5"/>
  <c r="F86" i="5"/>
  <c r="G86" i="5"/>
  <c r="AI86" i="5" s="1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W86" i="5"/>
  <c r="X86" i="5"/>
  <c r="Z86" i="5"/>
  <c r="AB86" i="5"/>
  <c r="AC86" i="5"/>
  <c r="AD86" i="5"/>
  <c r="AE86" i="5"/>
  <c r="AG86" i="5"/>
  <c r="AH86" i="5"/>
  <c r="AJ86" i="5"/>
  <c r="AF86" i="5" s="1"/>
  <c r="B13" i="5"/>
  <c r="C13" i="5"/>
  <c r="D13" i="5"/>
  <c r="E13" i="5"/>
  <c r="F13" i="5"/>
  <c r="G13" i="5"/>
  <c r="H13" i="5"/>
  <c r="I13" i="5"/>
  <c r="J13" i="5"/>
  <c r="L13" i="5"/>
  <c r="M13" i="5"/>
  <c r="N13" i="5"/>
  <c r="O13" i="5"/>
  <c r="P13" i="5"/>
  <c r="Q13" i="5"/>
  <c r="R13" i="5"/>
  <c r="S13" i="5"/>
  <c r="W13" i="5"/>
  <c r="X13" i="5"/>
  <c r="AF13" i="5"/>
  <c r="AI13" i="5" s="1"/>
  <c r="B87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W87" i="5"/>
  <c r="X87" i="5"/>
  <c r="Z87" i="5"/>
  <c r="AB87" i="5"/>
  <c r="AC87" i="5"/>
  <c r="AD87" i="5"/>
  <c r="AE87" i="5"/>
  <c r="AG87" i="5"/>
  <c r="AH87" i="5"/>
  <c r="AI87" i="5"/>
  <c r="AJ87" i="5"/>
  <c r="AF87" i="5" s="1"/>
  <c r="B88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W88" i="5"/>
  <c r="X88" i="5"/>
  <c r="Z88" i="5"/>
  <c r="AB88" i="5"/>
  <c r="AC88" i="5"/>
  <c r="AD88" i="5"/>
  <c r="AE88" i="5"/>
  <c r="AG88" i="5"/>
  <c r="AH88" i="5"/>
  <c r="AI88" i="5"/>
  <c r="AJ88" i="5"/>
  <c r="AF88" i="5" s="1"/>
  <c r="B89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W89" i="5"/>
  <c r="X89" i="5"/>
  <c r="Z89" i="5"/>
  <c r="AB89" i="5"/>
  <c r="AC89" i="5"/>
  <c r="AD89" i="5"/>
  <c r="AE89" i="5"/>
  <c r="AG89" i="5"/>
  <c r="AH89" i="5"/>
  <c r="AI89" i="5"/>
  <c r="AJ89" i="5"/>
  <c r="AF89" i="5" s="1"/>
  <c r="B10" i="5"/>
  <c r="C10" i="5"/>
  <c r="D10" i="5"/>
  <c r="E10" i="5"/>
  <c r="F10" i="5"/>
  <c r="G10" i="5"/>
  <c r="H10" i="5"/>
  <c r="I10" i="5"/>
  <c r="J10" i="5"/>
  <c r="L10" i="5"/>
  <c r="M10" i="5"/>
  <c r="N10" i="5"/>
  <c r="O10" i="5"/>
  <c r="P10" i="5"/>
  <c r="Q10" i="5"/>
  <c r="R10" i="5"/>
  <c r="S10" i="5"/>
  <c r="W10" i="5"/>
  <c r="X10" i="5"/>
  <c r="AF10" i="5"/>
  <c r="AI10" i="5" s="1"/>
  <c r="B90" i="5"/>
  <c r="C90" i="5"/>
  <c r="D90" i="5"/>
  <c r="E90" i="5"/>
  <c r="F90" i="5"/>
  <c r="G90" i="5"/>
  <c r="AI90" i="5" s="1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W90" i="5"/>
  <c r="X90" i="5"/>
  <c r="Z90" i="5"/>
  <c r="AB90" i="5"/>
  <c r="AC90" i="5"/>
  <c r="AD90" i="5"/>
  <c r="AE90" i="5"/>
  <c r="AF90" i="5"/>
  <c r="AG90" i="5"/>
  <c r="AH90" i="5"/>
  <c r="AJ90" i="5"/>
  <c r="B91" i="5"/>
  <c r="C91" i="5"/>
  <c r="D91" i="5"/>
  <c r="E91" i="5"/>
  <c r="F91" i="5"/>
  <c r="G91" i="5"/>
  <c r="AI91" i="5" s="1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W91" i="5"/>
  <c r="X91" i="5"/>
  <c r="Z91" i="5"/>
  <c r="AB91" i="5"/>
  <c r="AC91" i="5"/>
  <c r="AD91" i="5"/>
  <c r="AE91" i="5"/>
  <c r="AF91" i="5"/>
  <c r="AG91" i="5"/>
  <c r="AH91" i="5"/>
  <c r="AJ91" i="5"/>
  <c r="B92" i="5"/>
  <c r="C92" i="5"/>
  <c r="D92" i="5"/>
  <c r="E92" i="5"/>
  <c r="F92" i="5"/>
  <c r="G92" i="5"/>
  <c r="AI92" i="5" s="1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W92" i="5"/>
  <c r="X92" i="5"/>
  <c r="Z92" i="5"/>
  <c r="AB92" i="5"/>
  <c r="AC92" i="5"/>
  <c r="AD92" i="5"/>
  <c r="AE92" i="5"/>
  <c r="AF92" i="5"/>
  <c r="AG92" i="5"/>
  <c r="AH92" i="5"/>
  <c r="AJ92" i="5"/>
  <c r="B93" i="5"/>
  <c r="C93" i="5"/>
  <c r="D93" i="5"/>
  <c r="E93" i="5"/>
  <c r="F93" i="5"/>
  <c r="G93" i="5"/>
  <c r="AI93" i="5" s="1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W93" i="5"/>
  <c r="X93" i="5"/>
  <c r="Z93" i="5"/>
  <c r="AB93" i="5"/>
  <c r="AC93" i="5"/>
  <c r="AD93" i="5"/>
  <c r="AE93" i="5"/>
  <c r="AF93" i="5"/>
  <c r="AG93" i="5"/>
  <c r="AH93" i="5"/>
  <c r="AJ93" i="5"/>
  <c r="B94" i="5"/>
  <c r="C94" i="5"/>
  <c r="D94" i="5"/>
  <c r="E94" i="5"/>
  <c r="F94" i="5"/>
  <c r="G94" i="5"/>
  <c r="AI94" i="5" s="1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W94" i="5"/>
  <c r="X94" i="5"/>
  <c r="Z94" i="5"/>
  <c r="AB94" i="5"/>
  <c r="AC94" i="5"/>
  <c r="AD94" i="5"/>
  <c r="AE94" i="5"/>
  <c r="AF94" i="5"/>
  <c r="AG94" i="5"/>
  <c r="AH94" i="5"/>
  <c r="AJ94" i="5"/>
  <c r="B95" i="5"/>
  <c r="C95" i="5"/>
  <c r="D95" i="5"/>
  <c r="E95" i="5"/>
  <c r="F95" i="5"/>
  <c r="G95" i="5"/>
  <c r="AI95" i="5" s="1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W95" i="5"/>
  <c r="X95" i="5"/>
  <c r="Z95" i="5"/>
  <c r="AB95" i="5"/>
  <c r="AC95" i="5"/>
  <c r="AD95" i="5"/>
  <c r="AE95" i="5"/>
  <c r="AF95" i="5"/>
  <c r="AG95" i="5"/>
  <c r="AH95" i="5"/>
  <c r="AJ95" i="5"/>
  <c r="B96" i="5"/>
  <c r="C96" i="5"/>
  <c r="D96" i="5"/>
  <c r="E96" i="5"/>
  <c r="F96" i="5"/>
  <c r="G96" i="5"/>
  <c r="AI96" i="5" s="1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W96" i="5"/>
  <c r="X96" i="5"/>
  <c r="Z96" i="5"/>
  <c r="AB96" i="5"/>
  <c r="AC96" i="5"/>
  <c r="AD96" i="5"/>
  <c r="AE96" i="5"/>
  <c r="AF96" i="5"/>
  <c r="AG96" i="5"/>
  <c r="AH96" i="5"/>
  <c r="AJ96" i="5"/>
  <c r="B8" i="5"/>
  <c r="C8" i="5"/>
  <c r="D8" i="5"/>
  <c r="E8" i="5"/>
  <c r="F8" i="5"/>
  <c r="G8" i="5"/>
  <c r="H8" i="5"/>
  <c r="I8" i="5"/>
  <c r="J8" i="5"/>
  <c r="L8" i="5"/>
  <c r="M8" i="5"/>
  <c r="N8" i="5"/>
  <c r="O8" i="5"/>
  <c r="P8" i="5"/>
  <c r="Q8" i="5"/>
  <c r="R8" i="5"/>
  <c r="S8" i="5"/>
  <c r="W8" i="5"/>
  <c r="X8" i="5"/>
  <c r="AF8" i="5"/>
  <c r="B97" i="5"/>
  <c r="C97" i="5"/>
  <c r="D97" i="5"/>
  <c r="E97" i="5"/>
  <c r="F97" i="5"/>
  <c r="G97" i="5"/>
  <c r="AI97" i="5" s="1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W97" i="5"/>
  <c r="X97" i="5"/>
  <c r="Z97" i="5"/>
  <c r="AB97" i="5"/>
  <c r="AC97" i="5"/>
  <c r="AD97" i="5"/>
  <c r="AE97" i="5"/>
  <c r="AF97" i="5"/>
  <c r="AG97" i="5"/>
  <c r="AH97" i="5"/>
  <c r="AJ97" i="5"/>
  <c r="B98" i="5"/>
  <c r="C98" i="5"/>
  <c r="D98" i="5"/>
  <c r="E98" i="5"/>
  <c r="F98" i="5"/>
  <c r="G98" i="5"/>
  <c r="AI98" i="5" s="1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W98" i="5"/>
  <c r="X98" i="5"/>
  <c r="Z98" i="5"/>
  <c r="AB98" i="5"/>
  <c r="AC98" i="5"/>
  <c r="AD98" i="5"/>
  <c r="AE98" i="5"/>
  <c r="AF98" i="5"/>
  <c r="AG98" i="5"/>
  <c r="AH98" i="5"/>
  <c r="AJ98" i="5"/>
  <c r="B99" i="5"/>
  <c r="C99" i="5"/>
  <c r="D99" i="5"/>
  <c r="E99" i="5"/>
  <c r="F99" i="5"/>
  <c r="G99" i="5"/>
  <c r="AI99" i="5" s="1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W99" i="5"/>
  <c r="X99" i="5"/>
  <c r="Z99" i="5"/>
  <c r="AB99" i="5"/>
  <c r="AC99" i="5"/>
  <c r="AD99" i="5"/>
  <c r="AE99" i="5"/>
  <c r="AF99" i="5"/>
  <c r="AG99" i="5"/>
  <c r="AH99" i="5"/>
  <c r="AJ99" i="5"/>
  <c r="B100" i="5"/>
  <c r="C100" i="5"/>
  <c r="D100" i="5"/>
  <c r="E100" i="5"/>
  <c r="F100" i="5"/>
  <c r="G100" i="5"/>
  <c r="AI100" i="5" s="1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W100" i="5"/>
  <c r="X100" i="5"/>
  <c r="Z100" i="5"/>
  <c r="AB100" i="5"/>
  <c r="AC100" i="5"/>
  <c r="AD100" i="5"/>
  <c r="AE100" i="5"/>
  <c r="AF100" i="5"/>
  <c r="AG100" i="5"/>
  <c r="AH100" i="5"/>
  <c r="AJ100" i="5"/>
  <c r="B101" i="5"/>
  <c r="C101" i="5"/>
  <c r="D101" i="5"/>
  <c r="E101" i="5"/>
  <c r="F101" i="5"/>
  <c r="G101" i="5"/>
  <c r="AI101" i="5" s="1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W101" i="5"/>
  <c r="X101" i="5"/>
  <c r="Z101" i="5"/>
  <c r="AB101" i="5"/>
  <c r="AC101" i="5"/>
  <c r="AD101" i="5"/>
  <c r="AE101" i="5"/>
  <c r="AF101" i="5"/>
  <c r="AG101" i="5"/>
  <c r="AH101" i="5"/>
  <c r="AJ101" i="5"/>
  <c r="B102" i="5"/>
  <c r="C102" i="5"/>
  <c r="D102" i="5"/>
  <c r="E102" i="5"/>
  <c r="F102" i="5"/>
  <c r="G102" i="5"/>
  <c r="AI102" i="5" s="1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W102" i="5"/>
  <c r="X102" i="5"/>
  <c r="Z102" i="5"/>
  <c r="AB102" i="5"/>
  <c r="AC102" i="5"/>
  <c r="AD102" i="5"/>
  <c r="AE102" i="5"/>
  <c r="AF102" i="5"/>
  <c r="AG102" i="5"/>
  <c r="AH102" i="5"/>
  <c r="AJ102" i="5"/>
  <c r="B103" i="5"/>
  <c r="C103" i="5"/>
  <c r="D103" i="5"/>
  <c r="E103" i="5"/>
  <c r="F103" i="5"/>
  <c r="G103" i="5"/>
  <c r="AI103" i="5" s="1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W103" i="5"/>
  <c r="X103" i="5"/>
  <c r="Z103" i="5"/>
  <c r="AB103" i="5"/>
  <c r="AC103" i="5"/>
  <c r="AD103" i="5"/>
  <c r="AE103" i="5"/>
  <c r="AF103" i="5"/>
  <c r="AG103" i="5"/>
  <c r="AH103" i="5"/>
  <c r="AJ103" i="5"/>
  <c r="B11" i="5"/>
  <c r="C11" i="5"/>
  <c r="D11" i="5"/>
  <c r="E11" i="5"/>
  <c r="F11" i="5"/>
  <c r="G11" i="5"/>
  <c r="AI11" i="5" s="1"/>
  <c r="H11" i="5"/>
  <c r="I11" i="5"/>
  <c r="J11" i="5"/>
  <c r="L11" i="5"/>
  <c r="M11" i="5"/>
  <c r="N11" i="5"/>
  <c r="O11" i="5"/>
  <c r="P11" i="5"/>
  <c r="Q11" i="5"/>
  <c r="R11" i="5"/>
  <c r="S11" i="5"/>
  <c r="W11" i="5"/>
  <c r="X11" i="5"/>
  <c r="AF11" i="5"/>
  <c r="B104" i="5"/>
  <c r="C104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W104" i="5"/>
  <c r="X104" i="5"/>
  <c r="Z104" i="5"/>
  <c r="AB104" i="5"/>
  <c r="AC104" i="5"/>
  <c r="AD104" i="5"/>
  <c r="AE104" i="5"/>
  <c r="AF104" i="5"/>
  <c r="AG104" i="5"/>
  <c r="AH104" i="5"/>
  <c r="AI104" i="5"/>
  <c r="AJ104" i="5"/>
  <c r="B105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W105" i="5"/>
  <c r="X105" i="5"/>
  <c r="Z105" i="5"/>
  <c r="AB105" i="5"/>
  <c r="AC105" i="5"/>
  <c r="AD105" i="5"/>
  <c r="AE105" i="5"/>
  <c r="AF105" i="5"/>
  <c r="AG105" i="5"/>
  <c r="AH105" i="5"/>
  <c r="AI105" i="5"/>
  <c r="AJ105" i="5"/>
  <c r="B106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W106" i="5"/>
  <c r="X106" i="5"/>
  <c r="Z106" i="5"/>
  <c r="AB106" i="5"/>
  <c r="AC106" i="5"/>
  <c r="AD106" i="5"/>
  <c r="AE106" i="5"/>
  <c r="AF106" i="5"/>
  <c r="AG106" i="5"/>
  <c r="AH106" i="5"/>
  <c r="AI106" i="5"/>
  <c r="AJ106" i="5"/>
  <c r="B107" i="5"/>
  <c r="C107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W107" i="5"/>
  <c r="X107" i="5"/>
  <c r="Z107" i="5"/>
  <c r="AB107" i="5"/>
  <c r="AC107" i="5"/>
  <c r="AD107" i="5"/>
  <c r="AE107" i="5"/>
  <c r="AF107" i="5"/>
  <c r="AG107" i="5"/>
  <c r="AH107" i="5"/>
  <c r="AI107" i="5"/>
  <c r="AJ107" i="5"/>
  <c r="B108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W108" i="5"/>
  <c r="X108" i="5"/>
  <c r="Z108" i="5"/>
  <c r="AB108" i="5"/>
  <c r="AC108" i="5"/>
  <c r="AD108" i="5"/>
  <c r="AE108" i="5"/>
  <c r="AF108" i="5"/>
  <c r="AG108" i="5"/>
  <c r="AH108" i="5"/>
  <c r="AI108" i="5"/>
  <c r="AJ108" i="5"/>
  <c r="C4" i="1"/>
  <c r="D4" i="1"/>
  <c r="C5" i="1"/>
  <c r="D5" i="1"/>
  <c r="B9" i="1"/>
  <c r="B3" i="588"/>
  <c r="C3" i="588"/>
  <c r="D3" i="588"/>
  <c r="E3" i="588"/>
  <c r="F3" i="588"/>
  <c r="G3" i="588"/>
  <c r="H3" i="588"/>
  <c r="B3" i="269"/>
  <c r="B4" i="269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C5" i="6"/>
  <c r="E5" i="6"/>
  <c r="F5" i="6"/>
  <c r="G5" i="6"/>
  <c r="H5" i="6"/>
  <c r="I5" i="6"/>
  <c r="X5" i="6"/>
  <c r="F3" i="7"/>
  <c r="F4" i="7"/>
  <c r="F5" i="7"/>
  <c r="E3" i="269"/>
  <c r="E4" i="269"/>
  <c r="C3" i="269"/>
  <c r="C4" i="269"/>
  <c r="AI5" i="5" l="1"/>
  <c r="AI8" i="5"/>
  <c r="B5" i="6"/>
  <c r="B4" i="6"/>
  <c r="E8" i="1" l="1"/>
  <c r="AC22" i="4" l="1"/>
  <c r="AA22" i="4"/>
  <c r="Z22" i="4"/>
  <c r="AB22" i="4"/>
  <c r="D6" i="269"/>
  <c r="C3" i="158" s="1"/>
  <c r="H7" i="7"/>
  <c r="C7" i="158" s="1"/>
  <c r="H5" i="588"/>
  <c r="C8" i="158" s="1"/>
  <c r="AD22" i="4" l="1"/>
  <c r="AE22" i="4"/>
  <c r="AF22" i="4"/>
  <c r="C4" i="158" s="1"/>
  <c r="X7" i="6"/>
  <c r="C6" i="158" s="1"/>
  <c r="AA110" i="5" l="1"/>
  <c r="AE110" i="5"/>
  <c r="AH110" i="5"/>
  <c r="AG110" i="5"/>
  <c r="AD110" i="5"/>
  <c r="AC110" i="5"/>
  <c r="AF110" i="5"/>
  <c r="AB110" i="5"/>
  <c r="Z110" i="5"/>
  <c r="AI110" i="5" l="1"/>
  <c r="C5" i="158" s="1"/>
  <c r="C9" i="158" s="1"/>
</calcChain>
</file>

<file path=xl/sharedStrings.xml><?xml version="1.0" encoding="utf-8"?>
<sst xmlns="http://schemas.openxmlformats.org/spreadsheetml/2006/main" count="5867" uniqueCount="4487">
  <si>
    <t>Título</t>
  </si>
  <si>
    <t>Valor</t>
  </si>
  <si>
    <t>Buscar</t>
  </si>
  <si>
    <t>Validar</t>
  </si>
  <si>
    <t>Ocultar</t>
  </si>
  <si>
    <t>Tipo documento salida</t>
  </si>
  <si>
    <t>Pedido|bulto opaco</t>
  </si>
  <si>
    <t>Tipo documento entrada</t>
  </si>
  <si>
    <t>Recepción|Devolución|Rechazo|RMA|Recogida</t>
  </si>
  <si>
    <t>Opción</t>
  </si>
  <si>
    <t>Cód. cliente ERP</t>
  </si>
  <si>
    <t>Operativa</t>
  </si>
  <si>
    <t>Fecha inicial</t>
  </si>
  <si>
    <t>Fecha final</t>
  </si>
  <si>
    <t>Id. Pre-factura</t>
  </si>
  <si>
    <t>Encajar</t>
  </si>
  <si>
    <t>Campaña</t>
  </si>
  <si>
    <t>Punto de entrega</t>
  </si>
  <si>
    <t>Importes facturados</t>
  </si>
  <si>
    <t>Factura Nº</t>
  </si>
  <si>
    <t>Tipo documento</t>
  </si>
  <si>
    <t>Nº pedido cliente</t>
  </si>
  <si>
    <t>Ref. en transporte</t>
  </si>
  <si>
    <t>Nº albarán interno</t>
  </si>
  <si>
    <t>Fecha  recepción</t>
  </si>
  <si>
    <t>Nombre</t>
  </si>
  <si>
    <t>Atención</t>
  </si>
  <si>
    <t>Dirección</t>
  </si>
  <si>
    <t>C. Postal</t>
  </si>
  <si>
    <t>Población</t>
  </si>
  <si>
    <t>Provincia</t>
  </si>
  <si>
    <t>Servicio</t>
  </si>
  <si>
    <t>Bultos Recibidos</t>
  </si>
  <si>
    <t>Palés recibidos</t>
  </si>
  <si>
    <t>Kilos recibidos</t>
  </si>
  <si>
    <t>Producto</t>
  </si>
  <si>
    <t>Descripción</t>
  </si>
  <si>
    <t>Unidades</t>
  </si>
  <si>
    <t>Recepción</t>
  </si>
  <si>
    <t>Devolución</t>
  </si>
  <si>
    <t>Gestión</t>
  </si>
  <si>
    <t>Transporte</t>
  </si>
  <si>
    <t>Total</t>
  </si>
  <si>
    <t>Totales:</t>
  </si>
  <si>
    <t>Familia pedido</t>
  </si>
  <si>
    <t>Fecha envío</t>
  </si>
  <si>
    <t>Bultos Pedido</t>
  </si>
  <si>
    <t>Bultos expedición</t>
  </si>
  <si>
    <t>Kilos Expedición</t>
  </si>
  <si>
    <t>Manipulación</t>
  </si>
  <si>
    <t>Embalaje</t>
  </si>
  <si>
    <t>Prima Seguro</t>
  </si>
  <si>
    <t>Reembolsos</t>
  </si>
  <si>
    <t>Impuestos</t>
  </si>
  <si>
    <t>Despacho</t>
  </si>
  <si>
    <t>Origen</t>
  </si>
  <si>
    <t>Destino</t>
  </si>
  <si>
    <t>Nº referencia</t>
  </si>
  <si>
    <t>Tipo expedición</t>
  </si>
  <si>
    <t>C.P.</t>
  </si>
  <si>
    <t>País</t>
  </si>
  <si>
    <t xml:space="preserve">Fecha </t>
  </si>
  <si>
    <t>Importe</t>
  </si>
  <si>
    <t>Recepciones</t>
  </si>
  <si>
    <t>Pedidos</t>
  </si>
  <si>
    <t>Servicios transporte</t>
  </si>
  <si>
    <t>Cargos manuales</t>
  </si>
  <si>
    <t>Auto+Ocultar</t>
  </si>
  <si>
    <t>Familia recepción</t>
  </si>
  <si>
    <t>Familia</t>
  </si>
  <si>
    <t>Franqueo</t>
  </si>
  <si>
    <t>Prima</t>
  </si>
  <si>
    <t>Ocultar+?</t>
  </si>
  <si>
    <t>Nº Documento Cliente</t>
  </si>
  <si>
    <t>Descripcion</t>
  </si>
  <si>
    <t>importe</t>
  </si>
  <si>
    <t>Almacenaje</t>
  </si>
  <si>
    <t>=NL("Buscar","Cab. Venta","Venta a-Nº cliente","Fecha registro",Parámetros!$B$9,"Tipo documento","Factura")</t>
  </si>
  <si>
    <t>=NL("Buscar","Cab. Venta","Nº","Fecha registro",Parámetros!$B$9,"Venta a-Nº cliente",$C$4,"Tipo documento","Factura")</t>
  </si>
  <si>
    <t>=IF(fechafin&lt;fechaini,FALSE,TRUE)</t>
  </si>
  <si>
    <t>=NP("FiltroFecha",fechaini,fechafin)</t>
  </si>
  <si>
    <t>=NL("Buscar";"Cab. Venta";"Venta a-Nº cliente";"Fecha registro";Parámetros!$B$9;"Tipo documento";"Factura")</t>
  </si>
  <si>
    <t>=NL("Buscar";"Cab. Venta";"Nº";"Fecha registro";Parámetros!$B$9;"Venta a-Nº cliente";$C$4;"Tipo documento";"Factura")</t>
  </si>
  <si>
    <t>=SI(fechafin&lt;fechaini;FALSO;VERDADERO)</t>
  </si>
  <si>
    <t>=NP("FiltroFecha";fechaini;fechafin)</t>
  </si>
  <si>
    <t>=NF($B3,"Descripción")</t>
  </si>
  <si>
    <t>=NF($B3,"Importe a facturar")</t>
  </si>
  <si>
    <t>=NF($B3,"Cod. operativa")</t>
  </si>
  <si>
    <t>=SUM($D3:D4)</t>
  </si>
  <si>
    <t>=NF($B3;"Descripción")</t>
  </si>
  <si>
    <t>=NF($B3;"Importe a facturar")</t>
  </si>
  <si>
    <t>=NF($B3;"Cod. operativa")</t>
  </si>
  <si>
    <t>=SUMA($D3:D4)</t>
  </si>
  <si>
    <t>=NF($B4,"Nº documento")</t>
  </si>
  <si>
    <t>=IF($C4=$C3,"",IF($C4="","",NF($B4,"Id_ Prefactura")))</t>
  </si>
  <si>
    <t>=IF($C4=$C3,"",IF($C4="","",CONCATENATE(NF($B4,"Operativa")," ",NF($B4,"Descripción"))))</t>
  </si>
  <si>
    <t>=IF($C4=$C3,"",IF($C4="","",IF(NF($B4,"Tipo Documento")=0,"Recepción",IF(NF($B4,"Tipo Documento")=1,"Devolución",IF(NF($B4,"Tipo Documento")=2,"Rechazo",IF(NF($B4,"Tipo Documento")=3,"RMA","Recogida"))))))</t>
  </si>
  <si>
    <t>=IF($C4=$C3,"",IF($C4="","",NF($B4,"Nº documento cliente")))</t>
  </si>
  <si>
    <t>=IF($C4=$C3,"",IF($C4="","",NF($B4,"No_ referencia transporte")))</t>
  </si>
  <si>
    <t>=IF($C4=$C3,"",IF($C4="","",NF($B4,"Familia pedido")))</t>
  </si>
  <si>
    <t>=IF($C4=$C3,"",IF($C4="","",NF($B4,"Nº documento")))</t>
  </si>
  <si>
    <t>=IF($C4=$C3,"",IF($C4="","",NF($B4,"Fecha confirmación SGA")))</t>
  </si>
  <si>
    <t>=IF($C4=$C3,"",IF($C4="","",NF($B4,"Nombre proveedor")))</t>
  </si>
  <si>
    <t>=IF($C4=$C3,"",IF($C4="","",NF($B4,"Contacto proveedor")))</t>
  </si>
  <si>
    <t>=IF($C4=$C3,"",IF($C4="","",NF($B4,"Dirección proveedor")))</t>
  </si>
  <si>
    <t>=IF($C4=$C3,"",IF($C4="","",NF($B4,"CP proveedor")))</t>
  </si>
  <si>
    <t>=IF($C4=$C3,"",IF($C4="","",NF($B4,"Población proveedor")))</t>
  </si>
  <si>
    <t>=IF($C4=$C3,"",IF($C4="","",NF($B4,"Provincia proveedor")))</t>
  </si>
  <si>
    <t>=IF($C4=$C3,"",IF($C4="","",NF($B4,"País proveedor")))</t>
  </si>
  <si>
    <t>=IF($C4=$C3,"",IF($C4="","",NF($B4,"Cód_ Servicio solicitado Fact_")))</t>
  </si>
  <si>
    <t>=IF($C4=$C3,"",IF($C4="","",NF($B4,"bultosP")))</t>
  </si>
  <si>
    <t>=IF($C4=$C3,"",IF($C4="","",NF($B4,"palesP")))</t>
  </si>
  <si>
    <t>=IF($C4=$C3,"",IF($C4="","",NF($B4,"Peso facturable")))</t>
  </si>
  <si>
    <t>=IF($C4="","",NF($B4,"Cód_ producto cliente"))</t>
  </si>
  <si>
    <t>=IF($C4="","",NF($B4,"Descripción ampliada"))</t>
  </si>
  <si>
    <t>=IF($C4="","",NF($B4,"Cantidad confirmada por SGA"))</t>
  </si>
  <si>
    <t>=IF(OR($C4="",$C4=$C3),"",NF($B4,"recepcion")/NF($B4,"numeroexpediciones"))</t>
  </si>
  <si>
    <t>=IF(OR($C4="",$C4=$C3),"",NF($B4,"devolucion")/NF($B4,"numeroexpediciones"))</t>
  </si>
  <si>
    <t>=IF(OR($C4="",$C4=$C3),"",NF($B4,"franqueo")/NF($B4,"numeroexpediciones"))</t>
  </si>
  <si>
    <t>=IF(OR($C4="",$C4=$C3),"",IF(F4="Recogida",IF(OR($C4="",$C4=$C3),"",NF($B4,"prima")/NF($B4,"numeroexpediciones")),NF($B4,"prima")/NP("Codeunit","Miscelanea","NumeroAlbaranesEnExpedicion",NF($B4,"Nº documento"),,,,,,,,,,"MEDIAPOST SPAIN","Navision")))</t>
  </si>
  <si>
    <t>=IF(OR($C4="",$C4=$C3),"",IF(F4="Recogida",IF(OR($C4="",$C4=$C3),"",NF($B4,"transporte")/NF($B4,"numeroexpediciones")),NF($B4,"transporte")/NP("Codeunit","Miscelanea","NumeroAlbaranesEnExpedicion",NF($B4,"Nº documento"),,,,,,,,,,"MEDIAPOST SPAIN","Navision")))</t>
  </si>
  <si>
    <t>=IF($G4="","",IFERROR(IF(ISBLANK(Z4),0,Z4)+IF(ISBLANK(AA4),0,AA4)+IF(ISBLANK(AB4),0,AB4)+IF(ISBLANK(AC4),0,AC4)+IF(ISBLANK(AD4),0,AD4)+IF(ISBLANK(AE4),0,AE4),0))</t>
  </si>
  <si>
    <t>=SUM(Z4:Z5)</t>
  </si>
  <si>
    <t>=SUM(AA4:AA5)</t>
  </si>
  <si>
    <t>=SUM(AB4:AB5)</t>
  </si>
  <si>
    <t>=SUM(AC4:AC5)</t>
  </si>
  <si>
    <t>=SUM(AD4:AD5)</t>
  </si>
  <si>
    <t>=SUM(AE4:AE5)</t>
  </si>
  <si>
    <t>=SUM(AF4:AF5)</t>
  </si>
  <si>
    <t>=NF($B4;"Nº documento")</t>
  </si>
  <si>
    <t>=SI($C4=$C3;"";SI($C4="";"";NF($B4;"Id_ Prefactura")))</t>
  </si>
  <si>
    <t>=SI($C4=$C3;"";SI($C4="";"";CONCATENAR(NF($B4;"Operativa");" ";NF($B4;"Descripción"))))</t>
  </si>
  <si>
    <t>=SI($C4=$C3;"";SI($C4="";"";SI(NF($B4;"Tipo Documento")=0;"Recepción";SI(NF($B4;"Tipo Documento")=1;"Devolución";SI(NF($B4;"Tipo Documento")=2;"Rechazo";SI(NF($B4;"Tipo Documento")=3;"RMA";"Recogida"))))))</t>
  </si>
  <si>
    <t>=SI($C4=$C3;"";SI($C4="";"";NF($B4;"Nº documento cliente")))</t>
  </si>
  <si>
    <t>=SI($C4=$C3;"";SI($C4="";"";NF($B4;"No_ referencia transporte")))</t>
  </si>
  <si>
    <t>=SI($C4=$C3;"";SI($C4="";"";NF($B4;"Familia pedido")))</t>
  </si>
  <si>
    <t>=SI($C4=$C3;"";SI($C4="";"";NF($B4;"Nº documento")))</t>
  </si>
  <si>
    <t>=SI($C4=$C3;"";SI($C4="";"";NF($B4;"Fecha confirmación SGA")))</t>
  </si>
  <si>
    <t>=SI($C4=$C3;"";SI($C4="";"";NF($B4;"Nombre proveedor")))</t>
  </si>
  <si>
    <t>=SI($C4=$C3;"";SI($C4="";"";NF($B4;"Contacto proveedor")))</t>
  </si>
  <si>
    <t>=SI($C4=$C3;"";SI($C4="";"";NF($B4;"Dirección proveedor")))</t>
  </si>
  <si>
    <t>=SI($C4=$C3;"";SI($C4="";"";NF($B4;"CP proveedor")))</t>
  </si>
  <si>
    <t>=SI($C4=$C3;"";SI($C4="";"";NF($B4;"Población proveedor")))</t>
  </si>
  <si>
    <t>=SI($C4=$C3;"";SI($C4="";"";NF($B4;"Provincia proveedor")))</t>
  </si>
  <si>
    <t>=SI($C4=$C3;"";SI($C4="";"";NF($B4;"País proveedor")))</t>
  </si>
  <si>
    <t>=SI($C4=$C3;"";SI($C4="";"";NF($B4;"Cód_ Servicio solicitado Fact_")))</t>
  </si>
  <si>
    <t>=SI($C4=$C3;"";SI($C4="";"";NF($B4;"bultosP")))</t>
  </si>
  <si>
    <t>=SI($C4=$C3;"";SI($C4="";"";NF($B4;"palesP")))</t>
  </si>
  <si>
    <t>=SI($C4=$C3;"";SI($C4="";"";NF($B4;"Peso facturable")))</t>
  </si>
  <si>
    <t>=SI($C4="";"";NF($B4;"Cód_ producto cliente"))</t>
  </si>
  <si>
    <t>=SI($C4="";"";NF($B4;"Descripción ampliada"))</t>
  </si>
  <si>
    <t>=SI($C4="";"";NF($B4;"Cantidad confirmada por SGA"))</t>
  </si>
  <si>
    <t>=SI(O($C4="";$C4=$C3);"";NF($B4;"recepcion")/NF($B4;"numeroexpediciones"))</t>
  </si>
  <si>
    <t>=SI(O($C4="";$C4=$C3);"";NF($B4;"devolucion")/NF($B4;"numeroexpediciones"))</t>
  </si>
  <si>
    <t>=SI(O($C4="";$C4=$C3);"";NF($B4;"franqueo")/NF($B4;"numeroexpediciones"))</t>
  </si>
  <si>
    <t>=SI(O($C4="";$C4=$C3);"";SI(F4="Recogida";SI(O($C4="";$C4=$C3);"";NF($B4;"prima")/NF($B4;"numeroexpediciones"));NF($B4;"prima")/NP("Codeunit";"Miscelanea";"NumeroAlbaranesEnExpedicion";NF($B4;"Nº documento");;;;;;;;;;"MEDIAPOST SPAIN";"Navision")))</t>
  </si>
  <si>
    <t>=SI(O($C4="";$C4=$C3);"";SI(F4="Recogida";SI(O($C4="";$C4=$C3);"";NF($B4;"transporte")/NF($B4;"numeroexpediciones"));NF($B4;"transporte")/NP("Codeunit";"Miscelanea";"NumeroAlbaranesEnExpedicion";NF($B4;"Nº documento");;;;;;;;;;"MEDIAPOST SPAIN";"Navision")))</t>
  </si>
  <si>
    <t>=SI($G4="";"";SI.ERROR(SI(ESBLANCO(Z4);0;Z4)+SI(ESBLANCO(AA4);0;AA4)+SI(ESBLANCO(AB4);0;AB4)+SI(ESBLANCO(AC4);0;AC4)+SI(ESBLANCO(AD4);0;AD4)+SI(ESBLANCO(AE4);0;AE4);0))</t>
  </si>
  <si>
    <t>=SUMA(Z4:Z5)</t>
  </si>
  <si>
    <t>=SUMA(AA4:AA5)</t>
  </si>
  <si>
    <t>=SUMA(AB4:AB5)</t>
  </si>
  <si>
    <t>=SUMA(AC4:AC5)</t>
  </si>
  <si>
    <t>=SUMA(AD4:AD5)</t>
  </si>
  <si>
    <t>=SUMA(AE4:AE5)</t>
  </si>
  <si>
    <t>=SUMA(AF4:AF5)</t>
  </si>
  <si>
    <t>=NF($B4,"No_")</t>
  </si>
  <si>
    <t>=IF($C4=$C3,"",IF($C4="","",CONCATENATE(NF($B4,"Cód_ operativa")," ",NF($B4,"Descripción"))))</t>
  </si>
  <si>
    <t>=IF($C4=$C3,"",IF($C4="","",IF(NF($B4,"Tipo Documento")=0,"Pedido","Bulto Opaco")))</t>
  </si>
  <si>
    <t>=IF($C4=$C3,"",IF($C4="","",NF($B4,"No_")))</t>
  </si>
  <si>
    <t>=IF($C4=$C3,"",IF($C4="","",NF($B4,"No_ documento cliente")))</t>
  </si>
  <si>
    <t>=IF($C4=$C3,"",IF($C4="","",NF($B4,"Nombre punto entrega")))</t>
  </si>
  <si>
    <t>=IF($C4=$C3,"",IF($C4="","",NF($B4,"Contacto punto entrega")))</t>
  </si>
  <si>
    <t>=IF($C4=$C3,"",IF($C4="","",NF($B4,"Dirección punto entrega")))</t>
  </si>
  <si>
    <t>=IF($C4=$C3,"",IF($C4="","",NF($B4,"C_P_ punto entrega")))</t>
  </si>
  <si>
    <t>=IF($C4=$C3,"",IF($C4="","",NF($B4,"Población punto entrega")))</t>
  </si>
  <si>
    <t>=IF($C4=$C3,"",IF($C4="","",NF($B4,"Provincia punto entrega")))</t>
  </si>
  <si>
    <t>=IF($C4=$C3,"",IF($C4="","",NF($B4,"País punto entrega")))</t>
  </si>
  <si>
    <t>=IF($C4=$C3,"",IF($C4="","",NF($B4,"bultosE")))</t>
  </si>
  <si>
    <t>=IF(B4="","",IF($B4=$B3,"",ROUNDUP(NF($B4,"Peso facturable"),0)))</t>
  </si>
  <si>
    <t>=NF($B4,"No_ producto cliente")</t>
  </si>
  <si>
    <t>=NF($B4,"Descripción ampliada")</t>
  </si>
  <si>
    <t>=NF($B4,"Cantidad confirmada")</t>
  </si>
  <si>
    <t>=IF(OR($G4="",$G4=$G3),"",NF($B4,"manipulacion"))</t>
  </si>
  <si>
    <t>=NP("codeunit","Miscelanea","CalculaEmbalajeAlbaranPedido",G4,I4,D4,"",,,,,,,"MEDIAPOST SPAIN","Navision")</t>
  </si>
  <si>
    <t>=IF(OR($G4="",$G4=$G3),"",NF($B4,"transporte")/NF($B4,"numeroexpediciones"))</t>
  </si>
  <si>
    <t>=IF(OR($G4="",$G4=$G3),"",NF($B4,"prima")/NF($B4,"numeroexpediciones"))</t>
  </si>
  <si>
    <t>=IF(OR($G4="",$G4=$G3),"",NF($B4,"reembolso")/NF($B4,"numeroexpediciones"))</t>
  </si>
  <si>
    <t>=IF(OR($G4="",$G4=$G3),"",NF($B4,"impuestos")/NF($B4,"numeroexpediciones"))</t>
  </si>
  <si>
    <t>=IF(OR($G4="",$G4=$G3),"",NF($B4,"franqueo")/NF($B4,"numeroexpediciones"))</t>
  </si>
  <si>
    <t>=IF(OR($G4="",$G4=$G3),"",NF($B4,"despacho")/NF($B4,"numeroexpediciones"))</t>
  </si>
  <si>
    <t>=IF($G4="","",IFERROR(IF(ISBLANK(Z4),0,Z4)+IF(ISBLANK(AA4),0,AA4)+IF(ISBLANK(AB4),0,AB4)+IF(ISBLANK(AC4),0,AC4)+IF(ISBLANK(AD4),0,AD4)+IF(ISBLANK(AE4),0,AE4)+IF(ISBLANK(AF4),0,AF4)+IF(ISBLANK(AG4),0,AG4)+IF(ISBLANK(AH4),0,AH4),0))</t>
  </si>
  <si>
    <t>=SUM(AG4:AG5)</t>
  </si>
  <si>
    <t>=SUM(AH4:AH5)</t>
  </si>
  <si>
    <t>=SUM(AI4:AI5)</t>
  </si>
  <si>
    <t>=NF($B4;"No_")</t>
  </si>
  <si>
    <t>=SI($C4=$C3;"";SI($C4="";"";CONCATENAR(NF($B4;"Cód_ operativa");" ";NF($B4;"Descripción"))))</t>
  </si>
  <si>
    <t>=SI($C4=$C3;"";SI($C4="";"";SI(NF($B4;"Tipo Documento")=0;"Pedido";"Bulto Opaco")))</t>
  </si>
  <si>
    <t>=SI($C4=$C3;"";SI($C4="";"";NF($B4;"No_")))</t>
  </si>
  <si>
    <t>=SI($C4=$C3;"";SI($C4="";"";NF($B4;"No_ documento cliente")))</t>
  </si>
  <si>
    <t>=SI($C4=$C3;"";SI($C4="";"";NF($B4;"Nombre punto entrega")))</t>
  </si>
  <si>
    <t>=SI($C4=$C3;"";SI($C4="";"";NF($B4;"Contacto punto entrega")))</t>
  </si>
  <si>
    <t>=SI($C4=$C3;"";SI($C4="";"";NF($B4;"Dirección punto entrega")))</t>
  </si>
  <si>
    <t>=SI($C4=$C3;"";SI($C4="";"";NF($B4;"C_P_ punto entrega")))</t>
  </si>
  <si>
    <t>=SI($C4=$C3;"";SI($C4="";"";NF($B4;"Población punto entrega")))</t>
  </si>
  <si>
    <t>=SI($C4=$C3;"";SI($C4="";"";NF($B4;"Provincia punto entrega")))</t>
  </si>
  <si>
    <t>=SI($C4=$C3;"";SI($C4="";"";NF($B4;"País punto entrega")))</t>
  </si>
  <si>
    <t>=SI($C4=$C3;"";SI($C4="";"";NF($B4;"bultosE")))</t>
  </si>
  <si>
    <t>=SI(B4="";"";SI($B4=$B3;"";REDONDEAR.MAS(NF($B4;"Peso facturable");0)))</t>
  </si>
  <si>
    <t>=NF($B4;"No_ producto cliente")</t>
  </si>
  <si>
    <t>=NF($B4;"Descripción ampliada")</t>
  </si>
  <si>
    <t>=NF($B4;"Cantidad confirmada")</t>
  </si>
  <si>
    <t>=SI(O($G4="";$G4=$G3);"";NF($B4;"manipulacion"))</t>
  </si>
  <si>
    <t>=NP("codeunit";"Miscelanea";"CalculaEmbalajeAlbaranPedido";G4;I4;D4;"";;;;;;;"MEDIAPOST SPAIN";"Navision")</t>
  </si>
  <si>
    <t>=SI(O($G4="";$G4=$G3);"";NF($B4;"transporte")/NF($B4;"numeroexpediciones"))</t>
  </si>
  <si>
    <t>=SI(O($G4="";$G4=$G3);"";NF($B4;"prima")/NF($B4;"numeroexpediciones"))</t>
  </si>
  <si>
    <t>=SI(O($G4="";$G4=$G3);"";NF($B4;"reembolso")/NF($B4;"numeroexpediciones"))</t>
  </si>
  <si>
    <t>=SI(O($G4="";$G4=$G3);"";NF($B4;"impuestos")/NF($B4;"numeroexpediciones"))</t>
  </si>
  <si>
    <t>=SI(O($G4="";$G4=$G3);"";NF($B4;"franqueo")/NF($B4;"numeroexpediciones"))</t>
  </si>
  <si>
    <t>=SI(O($G4="";$G4=$G3);"";NF($B4;"despacho")/NF($B4;"numeroexpediciones"))</t>
  </si>
  <si>
    <t>=SI($G4="";"";SI.ERROR(SI(ESBLANCO(Z4);0;Z4)+SI(ESBLANCO(AA4);0;AA4)+SI(ESBLANCO(AB4);0;AB4)+SI(ESBLANCO(AC4);0;AC4)+SI(ESBLANCO(AD4);0;AD4)+SI(ESBLANCO(AE4);0;AE4)+SI(ESBLANCO(AF4);0;AF4)+SI(ESBLANCO(AG4);0;AG4)+SI(ESBLANCO(AH4);0;AH4);0))</t>
  </si>
  <si>
    <t>=SUMA(AG4:AG5)</t>
  </si>
  <si>
    <t>=SUMA(AH4:AH5)</t>
  </si>
  <si>
    <t>=SUMA(AI4:AI5)</t>
  </si>
  <si>
    <t>=IF($G4=$G3,"Ocultar","Mostrar")</t>
  </si>
  <si>
    <t>=IF($G4="","",NL(,"Servicio transporte",{"No. documento cliente";"Tipo expedición";"Nombre origen";"Dirección origen";"C.P. origen";"Población origen";"Provincia origen";"País origen";"Nombre entrega";"Dirección entrega";"C.P. entrega";"Población entrega";"Provincia entrega";"País entrega";"Cód. servicio solicitado";"Familia pedido"},"No. referencia",$G4,"Datasource=","Navision"))</t>
  </si>
  <si>
    <t>=NF($C4,"Id. Prefactura")</t>
  </si>
  <si>
    <t>=IF(NF($C4,"Cod. operativa")="","",CONCATENATE(NF($C4,"Cod. operativa")," ",NL("Filas","Operativas","Descripción","Código",NF($C4,"Cod. operativa"),"No. cliente SGA",NF($C4,"Código cliente SGA"),"Datasource=","Navision")))</t>
  </si>
  <si>
    <t>=NF($C4,"Nº documento")</t>
  </si>
  <si>
    <t>=NF($C4,"No. documento cliente")</t>
  </si>
  <si>
    <t>=NF($C4,"Id. familia pedido")</t>
  </si>
  <si>
    <t>=IF($G4="","",NF($D4,"Tipo expedición"))</t>
  </si>
  <si>
    <t>=IF($G4="","",NF($D4,"Nombre origen"))</t>
  </si>
  <si>
    <t>=IF($G4="","",NF($D4,"Dirección origen"))</t>
  </si>
  <si>
    <t>=IF($G4="","",NF($D4,"C.P. origen"))</t>
  </si>
  <si>
    <t>=IF($G4="","",NF($D4,"Población origen"))</t>
  </si>
  <si>
    <t>=IF($G4="","",NF($D4,"Provincia origen"))</t>
  </si>
  <si>
    <t>=IF($G4="","",NF($D4,"País origen"))</t>
  </si>
  <si>
    <t>=IF($G4="","",NF($D4,"Nombre entrega"))</t>
  </si>
  <si>
    <t>=IF($G4="","",NF($D4,"Dirección entrega"))</t>
  </si>
  <si>
    <t>=IF($G4="","",NF($D4,"C.P. entrega"))</t>
  </si>
  <si>
    <t>=IF($G4="","",NF($D4,"Población entrega"))</t>
  </si>
  <si>
    <t>=IF($G4="","",NF($D4,"Provincia entrega"))</t>
  </si>
  <si>
    <t>=IF($G4="","",NF($D4,"País entrega"))</t>
  </si>
  <si>
    <t>=IF($G4="","",NF($D4,"Cód. servicio solicitado"))</t>
  </si>
  <si>
    <t>=IF($G4="",0,IF($G4=$G3,0,NL("Suma","Registro activ. log. detallado","Importe a facturar","Id. Prefactura",IdPrefactura,"Nº documento",$G4,"Enlace=","Conceptos de facturación","Código","=Cód. Concepto de facturación","Familia Servicio","TRANSPORTE|PRIMA|GESTION|DESPACHO","Datasource=","Navision")))</t>
  </si>
  <si>
    <t>=IF($H5=$H4,"Ocultar","Mostrar")</t>
  </si>
  <si>
    <t>=NL("Filas","Registro activ. log. detallado","","Id. Prefactura",IdPrefactura,"Familia concepto","DESPACHO","No. documento cliente","''","Datasource=","Navision","TablasCache=","Falso")</t>
  </si>
  <si>
    <t>=NF($C5,"Id. Prefactura")</t>
  </si>
  <si>
    <t>=IF(NF($C5,"Cod. operativa")="","",CONCATENATE(NF($C5,"Cod. operativa")," ",NL("Filas","Operativas","Descripción","Código",NF($C5,"Cod. operativa"),"No. cliente SGA",NF($C5,"Código cliente SGA"),"Datasource=","Navision")))</t>
  </si>
  <si>
    <t>=NF($C5,"Descripción")</t>
  </si>
  <si>
    <t>=NF($C5,"No. documento cliente")</t>
  </si>
  <si>
    <t>=NF($C5,"Id. familia pedido")</t>
  </si>
  <si>
    <t>=NF($C5,"Importe a facturar")</t>
  </si>
  <si>
    <t>=SUM(X4:X6)</t>
  </si>
  <si>
    <t>=SI($G4=$G3;"Ocultar";"Mostrar")</t>
  </si>
  <si>
    <t>=SI($G4="";"";NL(;"Servicio transporte";{"No. documento cliente";"Tipo expedición";"Nombre origen";"Dirección origen";"C.P. origen";"Población origen";"Provincia origen";"País origen";"Nombre entrega";"Dirección entrega";"C.P. entrega";"Población entrega";"Provincia entrega";"País entrega";"Cód. servicio solicitado";"Familia pedido"};"No. referencia";$G4;"Datasource=";"Navision"))</t>
  </si>
  <si>
    <t>=NF($C4;"Id. Prefactura")</t>
  </si>
  <si>
    <t>=SI(NF($C4;"Cod. operativa")="";"";CONCATENAR(NF($C4;"Cod. operativa");" ";NL("Filas";"Operativas";"Descripción";"Código";NF($C4;"Cod. operativa");"No. cliente SGA";NF($C4;"Código cliente SGA");"Datasource=";"Navision")))</t>
  </si>
  <si>
    <t>=NF($C4;"Nº documento")</t>
  </si>
  <si>
    <t>=NF($C4;"No. documento cliente")</t>
  </si>
  <si>
    <t>=NF($C4;"Id. familia pedido")</t>
  </si>
  <si>
    <t>=SI($G4="";"";NF($D4;"Tipo expedición"))</t>
  </si>
  <si>
    <t>=SI($G4="";"";NF($D4;"Nombre origen"))</t>
  </si>
  <si>
    <t>=SI($G4="";"";NF($D4;"Dirección origen"))</t>
  </si>
  <si>
    <t>=SI($G4="";"";NF($D4;"C.P. origen"))</t>
  </si>
  <si>
    <t>=SI($G4="";"";NF($D4;"Población origen"))</t>
  </si>
  <si>
    <t>=SI($G4="";"";NF($D4;"Provincia origen"))</t>
  </si>
  <si>
    <t>=SI($G4="";"";NF($D4;"País origen"))</t>
  </si>
  <si>
    <t>=SI($G4="";"";NF($D4;"Nombre entrega"))</t>
  </si>
  <si>
    <t>=SI($G4="";"";NF($D4;"Dirección entrega"))</t>
  </si>
  <si>
    <t>=SI($G4="";"";NF($D4;"C.P. entrega"))</t>
  </si>
  <si>
    <t>=SI($G4="";"";NF($D4;"Población entrega"))</t>
  </si>
  <si>
    <t>=SI($G4="";"";NF($D4;"Provincia entrega"))</t>
  </si>
  <si>
    <t>=SI($G4="";"";NF($D4;"País entrega"))</t>
  </si>
  <si>
    <t>=SI($G4="";"";NF($D4;"Cód. servicio solicitado"))</t>
  </si>
  <si>
    <t>=SI($G4="";0;SI($G4=$G3;0;NL("Suma";"Registro activ. log. detallado";"Importe a facturar";"Id. Prefactura";IdPrefactura;"Nº documento";$G4;"Enlace=";"Conceptos de facturación";"Código";"=Cód. Concepto de facturación";"Familia Servicio";"TRANSPORTE|PRIMA|GESTION|DESPACHO";"Datasource=";"Navision")))</t>
  </si>
  <si>
    <t>=SI($H5=$H4;"Ocultar";"Mostrar")</t>
  </si>
  <si>
    <t>=NL("Filas";"Registro activ. log. detallado";"";"Id. Prefactura";IdPrefactura;"Familia concepto";"DESPACHO";"No. documento cliente";"''";"Datasource=";"Navision";"TablasCache=";"Falso")</t>
  </si>
  <si>
    <t>=NF($C5;"Id. Prefactura")</t>
  </si>
  <si>
    <t>=SI(NF($C5;"Cod. operativa")="";"";CONCATENAR(NF($C5;"Cod. operativa");" ";NL("Filas";"Operativas";"Descripción";"Código";NF($C5;"Cod. operativa");"No. cliente SGA";NF($C5;"Código cliente SGA");"Datasource=";"Navision")))</t>
  </si>
  <si>
    <t>=NF($C5;"Descripción")</t>
  </si>
  <si>
    <t>=NF($C5;"No. documento cliente")</t>
  </si>
  <si>
    <t>=NF($C5;"Id. familia pedido")</t>
  </si>
  <si>
    <t>=NF($C5;"Importe a facturar")</t>
  </si>
  <si>
    <t>=SUMA(X4:X6)</t>
  </si>
  <si>
    <t>=NL("Filas","Registro activ. log. detallado",{"Id. Prefactura";"Información para el cliente";"Id. Campo fecha";"Código cliente SGA";"Cod. operativa";"Valor";"Importe a facturar";"No. mov"},"Id. Prefactura",IdPrefactura,"+Nº documento","*","Cargo Manual","Sí","Datasource=","Navision","TablasCache=","Falso")</t>
  </si>
  <si>
    <t>=NF($B3,"Id. Prefactura")</t>
  </si>
  <si>
    <t>=IF(NF($B3,"Cod. operativa")="","",CONCATENATE(NF($B3,"Cod. operativa")," ",NL("Filas","Operativas","Descripción","No. cliente SGA",NF($B3,"Código cliente SGA"),"Código",NF($B3,"Cod. operativa"),"Datasource=","Navision")))</t>
  </si>
  <si>
    <t>=NF($B3,"Id. Campo fecha")</t>
  </si>
  <si>
    <t>=NF($B3,"Información para el cliente")</t>
  </si>
  <si>
    <t>=NF($B3,"Valor")</t>
  </si>
  <si>
    <t>=SUM(H3:H4)</t>
  </si>
  <si>
    <t>=NL("Filas";"Registro activ. log. detallado";{"Id. Prefactura";"Información para el cliente";"Id. Campo fecha";"Código cliente SGA";"Cod. operativa";"Valor";"Importe a facturar";"No. mov"};"Id. Prefactura";IdPrefactura;"+Nº documento";"*";"Cargo Manual";"Sí";"Datasource=";"Navision";"TablasCache=";"Falso")</t>
  </si>
  <si>
    <t>=NF($B3;"Id. Prefactura")</t>
  </si>
  <si>
    <t>=SI(NF($B3;"Cod. operativa")="";"";CONCATENAR(NF($B3;"Cod. operativa");" ";NL("Filas";"Operativas";"Descripción";"No. cliente SGA";NF($B3;"Código cliente SGA");"Código";NF($B3;"Cod. operativa");"Datasource=";"Navision")))</t>
  </si>
  <si>
    <t>=NF($B3;"Id. Campo fecha")</t>
  </si>
  <si>
    <t>=NF($B3;"Información para el cliente")</t>
  </si>
  <si>
    <t>=NF($B3;"Valor")</t>
  </si>
  <si>
    <t>=SUMA(H3:H4)</t>
  </si>
  <si>
    <t>Auto</t>
  </si>
  <si>
    <t>=NL("Filas","Registro activ. Log. detallado",{"Descripción","Importe a facturar","Cod. operativa"},"Id. Prefactura",IdPrefactura,"Familia concepto","ALMACENAJE|SEGALMACEN","Cargo Manual","No","Datasource=","Navision")</t>
  </si>
  <si>
    <t>=NL("Filas";"Registro activ. Log. detallado";{"Descripción"\"Importe a facturar"\"Cod. operativa"};"Id. Prefactura";IdPrefactura;"Familia concepto";"ALMACENAJE|SEGALMACEN";"Cargo Manual";"No";"Datasource=";"Navision")</t>
  </si>
  <si>
    <t>=IF($J4="","",NL("Suma","Registro activ. Log. detallado","Importe a facturar","Id. Prefactura",IdPrefactura,"Familia concepto","GESTION","No. documento cliente",NF($B4,"Nº documento cliente"),"Tipo de documento","Recepción|Devolución|RMA|Recogida|Rechazo","Datasource=","Navision"))</t>
  </si>
  <si>
    <t>=SI($J4="";"";NL("Suma";"Registro activ. Log. detallado";"Importe a facturar";"Id. Prefactura";IdPrefactura;"Familia concepto";"GESTION";"No. documento cliente";NF($B4;"Nº documento cliente");"Tipo de documento";"Recepción|Devolución|RMA|Recogida|Rechazo";"Datasource=";"Navision"))</t>
  </si>
  <si>
    <t>=IF($G4="","",NL("Suma","Registro activ. Log. detallado","Importe a facturar","Id. Prefactura",IdPrefactura,"Familia concepto","GESTION","Nº documento",NF($B4,"No_"),"Tipo de documento","Pedido|Bulto opaco","Datasource=","Navision"))</t>
  </si>
  <si>
    <t>=SI($G4="";"";NL("Suma";"Registro activ. Log. detallado";"Importe a facturar";"Id. Prefactura";IdPrefactura;"Familia concepto";"GESTION";"Nº documento";NF($B4;"No_");"Tipo de documento";"Pedido|Bulto opaco";"Datasource=";"Navision"))</t>
  </si>
  <si>
    <t>=IF(AG4="","",VALUE(AG4))</t>
  </si>
  <si>
    <t>=SI(AG4="";"";VALOR(AG4))</t>
  </si>
  <si>
    <t>=IF(AJ4="","",VALUE(AJ4))</t>
  </si>
  <si>
    <t>=SI(AJ4="";"";VALOR(AJ4))</t>
  </si>
  <si>
    <t>Fijos</t>
  </si>
  <si>
    <t>=NF($B3,"Cód. Concepto de facturación")</t>
  </si>
  <si>
    <t>=IF(NF($B3,"Cod. operativa")="","",CONCATENATE(NF($B3,"Cod. operativa")," ",NL("Filas","Operativas","Descripción","Código",NF($B3,"Cod. operativa"),"No. cliente SGA",NF($B3,"Código cliente SGA"),"Datasource=","Navision")))</t>
  </si>
  <si>
    <t>=NF($B3;"Cód. Concepto de facturación")</t>
  </si>
  <si>
    <t>=SI(NF($B3;"Cod. operativa")="";"";CONCATENAR(NF($B3;"Cod. operativa");" ";NL("Filas";"Operativas";"Descripción";"Código";NF($B3;"Cod. operativa");"No. cliente SGA";NF($B3;"Código cliente SGA");"Datasource=";"Navision")))</t>
  </si>
  <si>
    <t>=NL("Filas","Registro activ. log. detallado",{"Id. Prefactura";"Cód. Concepto de facturación";"Cod. operativa";"Código cliente SGA";"Valor";"Importe a facturar";"No. mov"},"Id. Prefactura",IdPrefactura,"Tabla de cálculo",7070602,"Datasource=","Navision")</t>
  </si>
  <si>
    <t>=NL("Filas";"Registro activ. log. detallado";{"Id. Prefactura";"Cód. Concepto de facturación";"Cod. operativa";"Código cliente SGA";"Valor";"Importe a facturar";"No. mov"};"Id. Prefactura";IdPrefactura;"Tabla de cálculo";7070602;"Datasource=";"Navision")</t>
  </si>
  <si>
    <t>=IF($C3="","",NL("Primero","Conceptos de facturación","Descripción ampliada","Código",$C3,"Conexión=","Navision"))</t>
  </si>
  <si>
    <t>=SI($C3="";"";NL("Primero";"Conceptos de facturación";"Descripción ampliada";"Código";$C3;"Conexión=";"Navision"))</t>
  </si>
  <si>
    <t>=NF($B4,"Importe a facturar")</t>
  </si>
  <si>
    <t>Auto+OcultarHoja+Valores+Ocultar+Formulas=Hoja22,Hoja23+FormulasOnly</t>
  </si>
  <si>
    <t>Auto+Ocultar+Valores+Formulas=Hoja24,Hoja25+FormulasOnly</t>
  </si>
  <si>
    <t>=NL("Filas","SQL=SELECT R.[Id_ Prefactura],C.[Tipo documento],C.[Nº documento],C.[Nº Documento Cliente],LE2.[No_ referencia transporte], C.[Familia pedido], C.[Fecha confirmación SGA],C.[Nombre proveedor],  "&amp;
 "      C.[Contacto proveedor],C.[Dirección proveedor],C.[CP proveedor],C.[Población proveedor],C.[Provincia proveedor],C.[País Proveedor],C.[Nº de bultos recibidos] bultosP,  "&amp;
 "      C.[Nº de palets recibidos] palesP, C.[Nº documento cliente],E.[Cód_ Servicio solicitado Fact_],C.[Peso facturable],  "&amp;
 "      C.[Operativa],O.[Descripción], L.[Nº línea],L.[Cód_ producto cliente],L.[Descripción ampliada],L.[Cantidad confirmada por SGA], ISNULL(LE.numeroexpediciones,1) numeroexpediciones,  "&amp;
 "   ISNULL(SUM(CASE WHEN RE.[Familia servicio] = 'RECEPCION' AND C.[Estado Dispatching] &lt; 4 THEN RE.Importe ELSE 0 END),0) recepcion,  "&amp;
 "   ISNULL(SUM(CASE WHEN RE.[Familia servicio] = 'DEVOLUCION'  AND C.[Estado Dispatching] &lt; 4 THEN RE.Importe ELSE 0 END),0) devolucion,  "&amp;
 "   ISNULL(SUM(CASE WHEN RE.[Familia servicio] = 'GESTION'  AND C.[Estado Dispatching] &lt; 4 THEN RE.Importe ELSE 0 END),0) gestion,  "&amp;
 "   ISNULL(SUM(CASE WHEN RE.[Familia servicio] = 'FRANQUEO' THEN RE.Importe ELSE 0 END),0) franqueo,  "&amp;
 "   ISNULL(SUM(CASE WHEN RE.[Familia servicio] = 'TRANSPORTE' THEN RE.Importe ELSE 0 END),0) transporte, "&amp;
 "   ISNULL(SUM(CASE WHEN RE.[Familia servicio] = 'PRIMA' THEN RE.Importe ELSE 0 END),0) prima "&amp;
 " FROM (SELECT DISTINCT R.[Id_ Prefactura],ISNULL(CASE WHEN R.[Tipo de documento] = 'Recogida' THEN L.[No_ albarán] ELSE C.[Nº documento] END,R.[Nº documento]) ""Nº documento"" "&amp;
 "       FROM dbo.[MEDIAPOST SPAIN$Registro activ_ log_ detallado] R with (nolock) "&amp;
 "  LEFT JOIN dbo.[MEDIAPOST SPAIN$Línea expedición] L with (nolock) ON R.[Nº documento] = L.[No_ referencia transporte] AND R.[Tipo de documento] IN ('Rechazo','Recogida') "&amp;
 "  LEFT JOIN dbo.[MEDIAPOST SPAIN$Cab_ albarán recep_ mercancía] C with (nolock) ON C.[Tipo documento] = 2 AND C.[Nº referencia transporte] = L.[No_ referencia transporte] "&amp;
 "      WHERE R.[Id_ Prefactura] = '"&amp;IdPrefactura&amp;"' "&amp;
 "         AND R.[Tipo de documento] IN ('Recepción','Devolución','Rechazo','RMA','Recogida') ) R "&amp;
 " JOIN dbo.[MEDIAPOST SPAIN$Cab_ Albarán Recep_ Mercancía] C with (nolock) ON C.[Tipo documento] IN (0,1,2,3,4) AND R.[Nº documento] = C.[Nº documento] AND C.[Estado Dispatching] IN (0,1,2) "&amp;
 " JOIN dbo.[MEDIAPOST SPAIN$Lín_ Albarán Recep_ Mercancía] L with (nolock) ON C.[Tipo documento] = L.[Tipo documento] AND C.[Nº documento] = L.[Nº documento]  "&amp;
 " LEFT JOIN (SELECT DISTINCT [No_ albarán],[No_ referencia transporte] FROM dbo.[MEDIAPOST SPAIN$Línea expedición] with (nolock) ) LE2 ON C.[Nº documento] = LE2.[No_ albarán]  "&amp;
 " LEFT JOIN (SELECT [No_ referencia transporte], COUNT([No_ referencia transporte]) numeroexpediciones FROM dbo.[MEDIAPOST SPAIN$Línea expedición] with (nolock) "&amp;
 "            GROUP BY [No_ referencia transporte]) LE ON LE2.[No_ referencia transporte] = LE.[No_ referencia transporte]  "&amp;
 " LEFT JOIN dbo.[MEDIAPOST SPAIN$Cab_ expedición] E with (nolock) ON LE2.[No_ referencia transporte] = E.[No_ referencia transporte]  "&amp;
 " JOIN dbo.[MEDIAPOST SPAIN$Operativas] O with (nolock) ON C.[Cliente SGA] = O.[No_ cliente SGA]  AND C.[Operativa] = O.[Código]  "&amp;
 " JOIN (SELECT R.[Id_ Prefactura],LE.[Nº documento] ""Nº documento"",C.[Familia servicio],SUM(R.[Importe a facturar]) importe "&amp;
 " FROM dbo.[MEDIAPOST SPAIN$Registro activ_ log_ detallado] R with (nolock) "&amp;
 " JOIN dbo.[MEDIAPOST SPAIN$Conceptos de facturación] C with (nolock) ON R.[Cód_ Concepto de facturación] = C.[Código] "&amp;
 " LEFT JOIN (SELECT DISTINCT LE.[No_ referencia transporte],C.[Nº documento] FROM dbo.[MEDIAPOST SPAIN$Línea expedición] LE with (nolock)  "&amp;
 "              JOIN dbo.[MEDIAPOST SPAIN$Cab_ Albarán Recep_ Mercancía] C with (nolock)  ON LE.[No_ referencia transporte]=C.[Nº referencia transporte]) LE  "&amp;
 "            ON R.[Nº documento] = LE.[No_ referencia transporte]  "&amp;
 " WHERE R.[Id_ Prefactura] = '"&amp;IdPrefactura&amp;"' "&amp;
 " AND R.[Tipo de documento] = 'Rechazo' "&amp;
 " GROUP BY R.[Id_ Prefactura],LE.[Nº documento],C.[Familia servicio] "&amp;
 "UNION ALL  "&amp;
 " SELECT R.[Id_ Prefactura],R.[Nº documento] ""Nº documento"",C.[Familia servicio],SUM(R.[Importe a facturar]) importe   "&amp;
 " FROM dbo.[MEDIAPOST SPAIN$Registro activ_ log_ detallado] R with (nolock)  "&amp;
 " JOIN dbo.[MEDIAPOST SPAIN$Conceptos de facturación] C with (nolock) ON R.[Cód_ Concepto de facturación] = C.[Código]   "&amp;
 " WHERE R.[Id_ Prefactura] = '"&amp;IdPrefactura&amp;"' "&amp;
 " AND R.[Tipo de documento] = 'Rechazo'   "&amp;
 " GROUP BY R.[Id_ Prefactura],R.[Nº documento],C.[Familia servicio]   "&amp;
 "UNION ALL    "&amp;
 " SELECT R.[Id_ Prefactura],ISNULL(LE.[No_ albarán],R.[Nº documento]) ""Nº documento"",C.[Familia servicio],SUM(R.[Importe a facturar]) importe "&amp;
 " FROM dbo.[MEDIAPOST SPAIN$Registro activ_ log_ detallado] R with (nolock) "&amp;
 " JOIN dbo.[MEDIAPOST SPAIN$Conceptos de facturación] C with (nolock)  ON R.[Cód_ Concepto de facturación] = C.[Código] "&amp;
 " LEFT JOIN (SELECT DISTINCT [No_ albarán],[No_ referencia transporte] FROM dbo.[MEDIAPOST SPAIN$Línea expedición] with (nolock) ) LE  "&amp;
 "            ON R.[Nº documento] = LE.[No_ referencia transporte]  "&amp;
 " WHERE R.[Id_ Prefactura] = '"&amp;IdPrefactura&amp;"' "&amp;
 " AND R.[Tipo de documento] IN ('Recepción','Devolución','RMA','Recogida') "&amp;
 " GROUP BY R.[Id_ Prefactura],ISNULL(LE.[No_ albarán],R.[Nº documento]),C.[Familia servicio]) RE ON R.[Id_ Prefactura] = RE.[Id_ Prefactura] AND C.[Nº documento] = RE.[Nº documento] "&amp;
 "WHERE C.[Nº documento] IS NOT NULL  "&amp;
 "GROUP BY R.[Id_ Prefactura],C.[Tipo documento],C.[Nº documento],C.[Nº documento cliente],LE2.[No_ referencia transporte],C.[Familia pedido],C.[Fecha confirmación SGA],C.[Nombre proveedor],  "&amp;
 "      C.[Contacto proveedor],C.[Dirección proveedor],C.[CP proveedor],C.[Población proveedor],C.[Provincia proveedor],C.[País Proveedor],C.[Nº de bultos recibidos],  "&amp;
 "      C.[Nº de palets recibidos],C.[Nº documento cliente],E.[Cód_ Servicio solicitado Fact_],C.[Peso facturable],  "&amp;
 "      C.[Operativa],O.[Descripción], L.[Nº línea],L.[Cód_ producto cliente],L.[Descripción ampliada],L.[Cantidad confirmada por SGA], LE.numeroexpediciones "&amp;
 "ORDER BY C.[Nº documento], L.[Nº línea]",
 {"Id_ Prefactura";"Tipo documento";"Nº documento";"Nº documento cliente";"No_ referencia transporte";"Familia pedido";"Fecha confirmación SGA";"Nombre proveedor";"Contacto proveedor";"Dirección proveedor";"CP proveedor";"Población proveedor";"Provincia proveedor";"País Proveedor";"bultosP";"palesP";"Nº documento cliente";"Cód_ Servicio solicitado Fact_";"Peso facturable";"Operativa";"Descripción";"Nº línea";"Cód_ producto cliente";"Descripción ampliada";"Cantidad confirmada por SGA";"numeroexpediciones";"recepcion";"devolucion";"gestion";"franqueo";"prima";"transporte"},"Datasource=","SQL-Navision","TablasCache=","Falso")</t>
  </si>
  <si>
    <t>Auto+Ocultar+Valores+Formulas=Hoja26,Hoja27+FormulasOnly</t>
  </si>
  <si>
    <t>=NL("Filas";"SQL=SELECT R.[Id_ Prefactura],C.[Tipo documento],C.[Nº documento],C.[Nº Documento Cliente],LE2.[No_ referencia transporte], C.[Familia pedido], C.[Fecha confirmación SGA],C.[Nombre proveedor],  "&amp;
 "      C.[Contacto proveedor],C.[Dirección proveedor],C.[CP proveedor],C.[Población proveedor],C.[Provincia proveedor],C.[País Proveedor],C.[Nº de bultos recibidos] bultosP,  "&amp;
 "      C.[Nº de palets recibidos] palesP, C.[Nº documento cliente],E.[Cód_ Servicio solicitado Fact_],C.[Peso facturable],  "&amp;
 "      C.[Operativa],O.[Descripción], L.[Nº línea],L.[Cód_ producto cliente],L.[Descripción ampliada],L.[Cantidad confirmada por SGA], ISNULL(LE.numeroexpediciones,1) numeroexpediciones,  "&amp;
 "   ISNULL(SUM(CASE WHEN RE.[Familia servicio] = 'RECEPCION' AND C.[Estado Dispatching] &lt; 4 THEN RE.Importe ELSE 0 END),0) recepcion,  "&amp;
 "   ISNULL(SUM(CASE WHEN RE.[Familia servicio] = 'DEVOLUCION'  AND C.[Estado Dispatching] &lt; 4 THEN RE.Importe ELSE 0 END),0) devolucion,  "&amp;
 "   ISNULL(SUM(CASE WHEN RE.[Familia servicio] = 'GESTION'  AND C.[Estado Dispatching] &lt; 4 THEN RE.Importe ELSE 0 END),0) gestion,  "&amp;
 "   ISNULL(SUM(CASE WHEN RE.[Familia servicio] = 'FRANQUEO' THEN RE.Importe ELSE 0 END),0) franqueo,  "&amp;
 "   ISNULL(SUM(CASE WHEN RE.[Familia servicio] = 'TRANSPORTE' THEN RE.Importe ELSE 0 END),0) transporte, "&amp;
 "   ISNULL(SUM(CASE WHEN RE.[Familia servicio] = 'PRIMA' THEN RE.Importe ELSE 0 END),0) prima "&amp;
 " FROM (SELECT DISTINCT R.[Id_ Prefactura],ISNULL(CASE WHEN R.[Tipo de documento] = 'Recogida' THEN L.[No_ albarán] ELSE C.[Nº documento] END,R.[Nº documento]) ""Nº documento"" "&amp;
 "       FROM dbo.[MEDIAPOST SPAIN$Registro activ_ log_ detallado] R with (nolock) "&amp;
 "  LEFT JOIN dbo.[MEDIAPOST SPAIN$Línea expedición] L with (nolock) ON R.[Nº documento] = L.[No_ referencia transporte] AND R.[Tipo de documento] IN ('Rechazo','Recogida') "&amp;
 "  LEFT JOIN dbo.[MEDIAPOST SPAIN$Cab_ albarán recep_ mercancía] C with (nolock) ON C.[Tipo documento] = 2 AND C.[Nº referencia transporte] = L.[No_ referencia transporte] "&amp;
 "      WHERE R.[Id_ Prefactura] = '"&amp;IdPrefactura&amp;"' "&amp;
 "         AND R.[Tipo de documento] IN ('Recepción','Devolución','Rechazo','RMA','Recogida') ) R "&amp;
 " JOIN dbo.[MEDIAPOST SPAIN$Cab_ Albarán Recep_ Mercancía] C with (nolock) ON C.[Tipo documento] IN (0,1,2,3,4) AND R.[Nº documento] = C.[Nº documento] AND C.[Estado Dispatching] IN (0,1,2) "&amp;
 " JOIN dbo.[MEDIAPOST SPAIN$Lín_ Albarán Recep_ Mercancía] L with (nolock) ON C.[Tipo documento] = L.[Tipo documento] AND C.[Nº documento] = L.[Nº documento]  "&amp;
 " LEFT JOIN (SELECT DISTINCT [No_ albarán],[No_ referencia transporte] FROM dbo.[MEDIAPOST SPAIN$Línea expedición] with (nolock) ) LE2 ON C.[Nº documento] = LE2.[No_ albarán]  "&amp;
 " LEFT JOIN (SELECT [No_ referencia transporte], COUNT([No_ referencia transporte]) numeroexpediciones FROM dbo.[MEDIAPOST SPAIN$Línea expedición] with (nolock) "&amp;
 "            GROUP BY [No_ referencia transporte]) LE ON LE2.[No_ referencia transporte] = LE.[No_ referencia transporte]  "&amp;
 " LEFT JOIN dbo.[MEDIAPOST SPAIN$Cab_ expedición] E with (nolock) ON LE2.[No_ referencia transporte] = E.[No_ referencia transporte]  "&amp;
 " JOIN dbo.[MEDIAPOST SPAIN$Operativas] O with (nolock) ON C.[Cliente SGA] = O.[No_ cliente SGA]  AND C.[Operativa] = O.[Código]  "&amp;
 " JOIN (SELECT R.[Id_ Prefactura],LE.[Nº documento] ""Nº documento"",C.[Familia servicio],SUM(R.[Importe a facturar]) importe "&amp;
 " FROM dbo.[MEDIAPOST SPAIN$Registro activ_ log_ detallado] R with (nolock) "&amp;
 " JOIN dbo.[MEDIAPOST SPAIN$Conceptos de facturación] C with (nolock) ON R.[Cód_ Concepto de facturación] = C.[Código] "&amp;
 " LEFT JOIN (SELECT DISTINCT LE.[No_ referencia transporte],C.[Nº documento] FROM dbo.[MEDIAPOST SPAIN$Línea expedición] LE with (nolock)  "&amp;
 "              JOIN dbo.[MEDIAPOST SPAIN$Cab_ Albarán Recep_ Mercancía] C with (nolock)  ON LE.[No_ referencia transporte]=C.[Nº referencia transporte]) LE  "&amp;
 "            ON R.[Nº documento] = LE.[No_ referencia transporte]  "&amp;
 " WHERE R.[Id_ Prefactura] = '"&amp;IdPrefactura&amp;"' "&amp;
 " AND R.[Tipo de documento] = 'Rechazo' "&amp;
 " GROUP BY R.[Id_ Prefactura],LE.[Nº documento],C.[Familia servicio] "&amp;
 "UNION ALL  "&amp;
 " SELECT R.[Id_ Prefactura],R.[Nº documento] ""Nº documento"",C.[Familia servicio],SUM(R.[Importe a facturar]) importe   "&amp;
 " FROM dbo.[MEDIAPOST SPAIN$Registro activ_ log_ detallado] R with (nolock)  "&amp;
 " JOIN dbo.[MEDIAPOST SPAIN$Conceptos de facturación] C with (nolock) ON R.[Cód_ Concepto de facturación] = C.[Código]   "&amp;
 " WHERE R.[Id_ Prefactura] = '"&amp;IdPrefactura&amp;"' "&amp;
 " AND R.[Tipo de documento] = 'Rechazo'   "&amp;
 " GROUP BY R.[Id_ Prefactura],R.[Nº documento],C.[Familia servicio]   "&amp;
 "UNION ALL    "&amp;
 " SELECT R.[Id_ Prefactura],ISNULL(LE.[No_ albarán],R.[Nº documento]) ""Nº documento"",C.[Familia servicio],SUM(R.[Importe a facturar]) importe "&amp;
 " FROM dbo.[MEDIAPOST SPAIN$Registro activ_ log_ detallado] R with (nolock) "&amp;
 " JOIN dbo.[MEDIAPOST SPAIN$Conceptos de facturación] C with (nolock)  ON R.[Cód_ Concepto de facturación] = C.[Código] "&amp;
 " LEFT JOIN (SELECT DISTINCT [No_ albarán],[No_ referencia transporte] FROM dbo.[MEDIAPOST SPAIN$Línea expedición] with (nolock) ) LE  "&amp;
 "            ON R.[Nº documento] = LE.[No_ referencia transporte]  "&amp;
 " WHERE R.[Id_ Prefactura] = '"&amp;IdPrefactura&amp;"' "&amp;
 " AND R.[Tipo de documento] IN ('Recepción','Devolución','RMA','Recogida') "&amp;
 " GROUP BY R.[Id_ Prefactura],ISNULL(LE.[No_ albarán],R.[Nº documento]),C.[Familia servicio]) RE ON R.[Id_ Prefactura] = RE.[Id_ Prefactura] AND C.[Nº documento] = RE.[Nº documento] "&amp;
 "WHERE C.[Nº documento] IS NOT NULL  "&amp;
 "GROUP BY R.[Id_ Prefactura],C.[Tipo documento],C.[Nº documento],C.[Nº documento cliente],LE2.[No_ referencia transporte],C.[Familia pedido],C.[Fecha confirmación SGA],C.[Nombre proveedor],  "&amp;
 "      C.[Contacto proveedor],C.[Dirección proveedor],C.[CP proveedor],C.[Población proveedor],C.[Provincia proveedor],C.[País Proveedor],C.[Nº de bultos recibidos],  "&amp;
 "      C.[Nº de palets recibidos],C.[Nº documento cliente],E.[Cód_ Servicio solicitado Fact_],C.[Peso facturable],  "&amp;
 "      C.[Operativa],O.[Descripción], L.[Nº línea],L.[Cód_ producto cliente],L.[Descripción ampliada],L.[Cantidad confirmada por SGA], LE.numeroexpediciones "&amp;
 "ORDER BY C.[Nº documento], L.[Nº línea]";
 {"Id_ Prefactura";"Tipo documento";"Nº documento";"Nº documento cliente";"No_ referencia transporte";"Familia pedido";"Fecha confirmación SGA";"Nombre proveedor";"Contacto proveedor";"Dirección proveedor";"CP proveedor";"Población proveedor";"Provincia proveedor";"País Proveedor";"bultosP";"palesP";"Nº documento cliente";"Cód_ Servicio solicitado Fact_";"Peso facturable";"Operativa";"Descripción";"Nº línea";"Cód_ producto cliente";"Descripción ampliada";"Cantidad confirmada por SGA";"numeroexpediciones";"recepcion";"devolucion";"gestion";"franqueo";"prima";"transporte"};"Datasource=";"SQL-Navision";"TablasCache=";"Falso")</t>
  </si>
  <si>
    <t>=NL("Filas","SQL=SELECT R.[Id_ Prefactura],C.[Tipo documento],C.[No_],C.[No_ referencia transporte],C.[Familia pedido],C.[Fecha confirmación SGA],C.[Nombre punto entrega],  "&amp;
"       C.[Contacto punto entrega],C.[Dirección punto entrega],C.[C_P_ punto entrega],C.[Población punto entrega],C.[Provincia punto entrega],C.[País punto entrega],C.[Nº bultos] bultosP, "&amp;
"       C.[No_ documento cliente],E.[Cód_ Servicio solicitado Fact_],E.[Nº bultos] bultosE,E.[Peso facturable], "&amp;
"       C.[Cód_ operativa],O.[Descripción], L.[No_ línea],L.[No_ producto cliente],L.[Descripción ampliada],L.[Cantidad confirmada], LE.numeroexpediciones,  LE.numeroalbaranes, "&amp;
"    ISNULL(SUM(CASE WHEN RE.[Familia servicio] = 'MANIPULACIÓN' THEN RE.Importe ELSE 0 END),0) manipulacion, "&amp;
"    ISNULL(SUM(CASE WHEN RE.[Familia servicio] = 'EMBALAJE' THEN RE.Importe ELSE 0 END),0) embalaje, "&amp;
"    ISNULL(SUM(CASE WHEN RE.[Familia servicio] = 'TRANSPORTE' THEN RE.Importe ELSE 0 END),0) transporte, "&amp;
"    ISNULL(SUM(CASE WHEN RE.[Familia servicio] = 'PRIMA' THEN RE.Importe ELSE 0 END),0) prima, "&amp;
"    ISNULL(SUM(CASE WHEN RE.[Familia servicio] = 'REEMBOLSO' THEN RE.Importe ELSE 0 END),0) reembolso, "&amp;
"    ISNULL(SUM(CASE WHEN RE.[Familia servicio] = 'IMPUESTO' THEN RE.Importe ELSE 0 END),0) impuestos, "&amp;
"    ISNULL(SUM(CASE WHEN RE.[Familia servicio] = 'GESTION' THEN RE.Importe ELSE 0 END),0) gestion, "&amp;
"    ISNULL(SUM(CASE WHEN RE.[Familia servicio] = 'FRANQUEO' THEN RE.Importe ELSE 0 END),0) franqueo, "&amp;
"    ISNULL(SUM(CASE WHEN RE.[Familia servicio] = 'DESPACHO' THEN RE.Importe ELSE 0 END),0) despacho "&amp;
"  FROM (SELECT DISTINCT R.[Id_ Prefactura],ISNULL(L.[No_ albarán],R.[Nº documento]) ""Nº documento"" "&amp;
"          FROM dbo.[MEDIAPOST SPAIN$Registro activ_ log_ detallado] R with (nolock) "&amp;
"     LEFT JOIN dbo.[MEDIAPOST SPAIN$Línea expedición] L with (nolock) ON R.[Nº documento] = L.[No_ referencia transporte] "&amp;
"         WHERE R.[Id_ Prefactura] = '"&amp;IdPrefactura&amp;"' "&amp;
"           AND R.[Tipo de documento] IN ('Pedido','Bulto opaco') AND R.[Nº documento] NOT like 'EX%') R "&amp;
"  JOIN dbo.[MEDIAPOST SPAIN$Cab_ albarán salida] C with (nolock) ON C.[Tipo documento] IN (0,4) AND C.[No_] = R.[Nº documento] "&amp;
"  JOIN dbo.[MEDIAPOST SPAIN$Lín_ albarán salida] L with (nolock) ON C.[Tipo documento] = L.[Tipo documento] AND C.[No_] = L.[No_ documento] "&amp;
"  LEFT JOIN (SELECT [No_ referencia transporte], COUNT([No_ referencia transporte]) numeroexpediciones, COUNT([No_ albarán]) numeroalbaranes FROM dbo.[MEDIAPOST SPAIN$Línea expedición] with (nolock) "&amp;
"             GROUP BY [No_ referencia transporte]) LE ON C.[No_ referencia transporte] = LE.[No_ referencia transporte] "&amp;
"  LEFT JOIN dbo.[MEDIAPOST SPAIN$Cab_ expedición] E with (nolock) ON C.[No_ referencia transporte] = E.[No_ referencia transporte] "&amp;
"  LEFT JOIN dbo.[MEDIAPOST SPAIN$Operativas] O with (nolock) ON C.[No_ cliente SGA] = O.[No_ cliente SGA]  AND C.[Cód_ operativa] = O.[Código] "&amp;
"  JOIN (SELECT R.[Id_ Prefactura],ISNULL(LE.[No_ albarán],R.[Nº documento]) ""Nº documento"",C.[Familia servicio],SUM(R.[Importe a facturar]) importe "&amp;
"  FROM dbo.[MEDIAPOST SPAIN$Registro activ_ log_ detallado] R with (nolock) "&amp;
"  JOIN dbo.[MEDIAPOST SPAIN$Conceptos de facturación] C with (nolock) ON R.[Cód_ Concepto de facturación] = C.[Código] "&amp;
"  LEFT JOIN (SELECT DISTINCT [No_ albarán], CE.[No_ referencia transporte] FROM dbo.[MEDIAPOST SPAIN$Línea expedición] LE with (nolock) JOIN "&amp;
" [MEDIAPOST SPAIN$Cab_ Expedición] CE with (nolock) ON CE.[No_ referencia transporte]=LE.[No_ referencia transporte]"&amp;
" WHERE CE.[No_ cliente]='"&amp;CodCliente&amp;"' ) LE  "&amp;
"             ON R.[Nº documento] = LE.[No_ referencia transporte]  "&amp;
"  WHERE R.[Id_ Prefactura] = '"&amp;IdPrefactura&amp;"' "&amp;
"  AND R.[Tipo de documento] IN ('Pedido','Bulto opaco') "&amp;
"  GROUP BY R.[Id_ Prefactura],ISNULL(LE.[No_ albarán],R.[Nº documento]),C.[Familia servicio]) RE ON R.[Id_ Prefactura] = RE.[Id_ Prefactura] "&amp;
" AND (C.[No_] = RE.[Nº documento] OR C.[No_ documento origen] = RE.[Nº documento] OR C.[No_ referencia transporte] = RE.[Nº documento]) "&amp;
" WHERE C.[No_ referencia transporte] &lt;&gt; '' "&amp;
" GROUP BY R.[Id_ Prefactura],C.[Tipo documento],C.[No_],C.[No_ referencia transporte],C.[Familia pedido],C.[Fecha confirmación SGA],C.[Nombre punto entrega], "&amp;
"       C.[Contacto punto entrega],C.[Dirección punto entrega],C.[C_P_ punto entrega],C.[Población punto entrega],C.[Provincia punto entrega],C.[País punto entrega],C.[Nº bultos], "&amp;
"       C.[No_ documento cliente],E.[Cód_ Servicio solicitado Fact_],E.[Nº bultos],E.[Peso facturable], "&amp;
"       C.[Cód_ operativa],O.[Descripción], L.[No_ línea],L.[No_ producto cliente],L.[Descripción ampliada],L.[Cantidad confirmada], LE.numeroexpediciones,LE.numeroalbaranes "&amp;
" ORDER BY C.[No_], L.[No_ línea]",
{"Id_ Prefactura";"Tipo documento";"No_";"No_ referencia transporte";"Familia pedido";"Fecha confirmación SGA";"Nombre punto entrega";"Contacto punto entrega";"Dirección punto entrega";"C_P_ punto entrega";"Población punto entrega";"Provincia punto entrega";"País punto entrega";"bultosP";"No_ documento cliente";"Cód_ Servicio solicitado Fact_";"bultosE";"Peso facturable";"Cód_ operativa";"Descripción";"No_ línea";"No_ producto cliente";"Descripción ampliada";"Cantidad confirmada";"numeroexpediciones";"numeroalbaranes";"manipulacion";"embalaje";"transporte";"prima";"reembolso";"impuestos";"gestion";"franqueo";"despacho"},"Datasource=","SQL-Navision","TablasCache=","Falso")</t>
  </si>
  <si>
    <t>Auto+Ocultar+Valores+Formulas=Hoja28,Hoja29+FormulasOnly</t>
  </si>
  <si>
    <t>=NL("Filas";"SQL=SELECT R.[Id_ Prefactura],C.[Tipo documento],C.[No_],C.[No_ referencia transporte],C.[Familia pedido],C.[Fecha confirmación SGA],C.[Nombre punto entrega],  "&amp;
"       C.[Contacto punto entrega],C.[Dirección punto entrega],C.[C_P_ punto entrega],C.[Población punto entrega],C.[Provincia punto entrega],C.[País punto entrega],C.[Nº bultos] bultosP, "&amp;
"       C.[No_ documento cliente],E.[Cód_ Servicio solicitado Fact_],E.[Nº bultos] bultosE,E.[Peso facturable], "&amp;
"       C.[Cód_ operativa],O.[Descripción], L.[No_ línea],L.[No_ producto cliente],L.[Descripción ampliada],L.[Cantidad confirmada], LE.numeroexpediciones,  LE.numeroalbaranes, "&amp;
"    ISNULL(SUM(CASE WHEN RE.[Familia servicio] = 'MANIPULACIÓN' THEN RE.Importe ELSE 0 END),0) manipulacion, "&amp;
"    ISNULL(SUM(CASE WHEN RE.[Familia servicio] = 'EMBALAJE' THEN RE.Importe ELSE 0 END),0) embalaje, "&amp;
"    ISNULL(SUM(CASE WHEN RE.[Familia servicio] = 'TRANSPORTE' THEN RE.Importe ELSE 0 END),0) transporte, "&amp;
"    ISNULL(SUM(CASE WHEN RE.[Familia servicio] = 'PRIMA' THEN RE.Importe ELSE 0 END),0) prima, "&amp;
"    ISNULL(SUM(CASE WHEN RE.[Familia servicio] = 'REEMBOLSO' THEN RE.Importe ELSE 0 END),0) reembolso, "&amp;
"    ISNULL(SUM(CASE WHEN RE.[Familia servicio] = 'IMPUESTO' THEN RE.Importe ELSE 0 END),0) impuestos, "&amp;
"    ISNULL(SUM(CASE WHEN RE.[Familia servicio] = 'GESTION' THEN RE.Importe ELSE 0 END),0) gestion, "&amp;
"    ISNULL(SUM(CASE WHEN RE.[Familia servicio] = 'FRANQUEO' THEN RE.Importe ELSE 0 END),0) franqueo, "&amp;
"    ISNULL(SUM(CASE WHEN RE.[Familia servicio] = 'DESPACHO' THEN RE.Importe ELSE 0 END),0) despacho "&amp;
"  FROM (SELECT DISTINCT R.[Id_ Prefactura],ISNULL(L.[No_ albarán],R.[Nº documento]) ""Nº documento"" "&amp;
"          FROM dbo.[MEDIAPOST SPAIN$Registro activ_ log_ detallado] R with (nolock) "&amp;
"     LEFT JOIN dbo.[MEDIAPOST SPAIN$Línea expedición] L with (nolock) ON R.[Nº documento] = L.[No_ referencia transporte] "&amp;
"         WHERE R.[Id_ Prefactura] = '"&amp;IdPrefactura&amp;"' "&amp;
"           AND R.[Tipo de documento] IN ('Pedido','Bulto opaco') AND R.[Nº documento] NOT like 'EX%') R "&amp;
"  JOIN dbo.[MEDIAPOST SPAIN$Cab_ albarán salida] C with (nolock) ON C.[Tipo documento] IN (0,4) AND C.[No_] = R.[Nº documento] "&amp;
"  JOIN dbo.[MEDIAPOST SPAIN$Lín_ albarán salida] L with (nolock) ON C.[Tipo documento] = L.[Tipo documento] AND C.[No_] = L.[No_ documento] "&amp;
"  LEFT JOIN (SELECT [No_ referencia transporte], COUNT([No_ referencia transporte]) numeroexpediciones, COUNT([No_ albarán]) numeroalbaranes FROM dbo.[MEDIAPOST SPAIN$Línea expedición] with (nolock) "&amp;
"             GROUP BY [No_ referencia transporte]) LE ON C.[No_ referencia transporte] = LE.[No_ referencia transporte] "&amp;
"  LEFT JOIN dbo.[MEDIAPOST SPAIN$Cab_ expedición] E with (nolock) ON C.[No_ referencia transporte] = E.[No_ referencia transporte] "&amp;
"  LEFT JOIN dbo.[MEDIAPOST SPAIN$Operativas] O with (nolock) ON C.[No_ cliente SGA] = O.[No_ cliente SGA]  AND C.[Cód_ operativa] = O.[Código] "&amp;
"  JOIN (SELECT R.[Id_ Prefactura],ISNULL(LE.[No_ albarán],R.[Nº documento]) ""Nº documento"",C.[Familia servicio],SUM(R.[Importe a facturar]) importe "&amp;
"  FROM dbo.[MEDIAPOST SPAIN$Registro activ_ log_ detallado] R with (nolock) "&amp;
"  JOIN dbo.[MEDIAPOST SPAIN$Conceptos de facturación] C with (nolock) ON R.[Cód_ Concepto de facturación] = C.[Código] "&amp;
"  LEFT JOIN (SELECT DISTINCT [No_ albarán], CE.[No_ referencia transporte] FROM dbo.[MEDIAPOST SPAIN$Línea expedición] LE with (nolock) JOIN "&amp;
" [MEDIAPOST SPAIN$Cab_ Expedición] CE with (nolock) ON CE.[No_ referencia transporte]=LE.[No_ referencia transporte]"&amp;
" WHERE CE.[No_ cliente]='"&amp;CodCliente&amp;"' ) LE  "&amp;
"             ON R.[Nº documento] = LE.[No_ referencia transporte]  "&amp;
"  WHERE R.[Id_ Prefactura] = '"&amp;IdPrefactura&amp;"' "&amp;
"  AND R.[Tipo de documento] IN ('Pedido','Bulto opaco') "&amp;
"  GROUP BY R.[Id_ Prefactura],ISNULL(LE.[No_ albarán],R.[Nº documento]),C.[Familia servicio]) RE ON R.[Id_ Prefactura] = RE.[Id_ Prefactura] "&amp;
" AND (C.[No_] = RE.[Nº documento] OR C.[No_ documento origen] = RE.[Nº documento] OR C.[No_ referencia transporte] = RE.[Nº documento]) "&amp;
" WHERE C.[No_ referencia transporte] &lt;&gt; '' "&amp;
" GROUP BY R.[Id_ Prefactura],C.[Tipo documento],C.[No_],C.[No_ referencia transporte],C.[Familia pedido],C.[Fecha confirmación SGA],C.[Nombre punto entrega], "&amp;
"       C.[Contacto punto entrega],C.[Dirección punto entrega],C.[C_P_ punto entrega],C.[Población punto entrega],C.[Provincia punto entrega],C.[País punto entrega],C.[Nº bultos], "&amp;
"       C.[No_ documento cliente],E.[Cód_ Servicio solicitado Fact_],E.[Nº bultos],E.[Peso facturable], "&amp;
"       C.[Cód_ operativa],O.[Descripción], L.[No_ línea],L.[No_ producto cliente],L.[Descripción ampliada],L.[Cantidad confirmada], LE.numeroexpediciones,LE.numeroalbaranes "&amp;
" ORDER BY C.[No_], L.[No_ línea]";
{"Id_ Prefactura";"Tipo documento";"No_";"No_ referencia transporte";"Familia pedido";"Fecha confirmación SGA";"Nombre punto entrega";"Contacto punto entrega";"Dirección punto entrega";"C_P_ punto entrega";"Población punto entrega";"Provincia punto entrega";"País punto entrega";"bultosP";"No_ documento cliente";"Cód_ Servicio solicitado Fact_";"bultosE";"Peso facturable";"Cód_ operativa";"Descripción";"No_ línea";"No_ producto cliente";"Descripción ampliada";"Cantidad confirmada";"numeroexpediciones";"numeroalbaranes";"manipulacion";"embalaje";"transporte";"prima";"reembolso";"impuestos";"gestion";"franqueo";"despacho"};"Datasource=";"SQL-Navision";"TablasCache=";"Falso")</t>
  </si>
  <si>
    <t>=NL("Filas","Registro activ. log. detallado","","Id. Prefactura",IdPrefactura,"+Nº documento","EX*","Familia concepto","TRANSPORTE|PRIMA","Enlace=","Servicio transporte","No. Referencia","=Nº documento","Datasource=","Navision","TablasCache=","Falso")</t>
  </si>
  <si>
    <t>Auto+Ocultar+Valores+Formulas=Hoja30,Hoja31+FormulasOnly</t>
  </si>
  <si>
    <t>=NL("Filas";"Registro activ. log. detallado";"";"Id. Prefactura";IdPrefactura;"+Nº documento";"EX*";"Familia concepto";"TRANSPORTE|PRIMA";"Enlace=";"Servicio transporte";"No. Referencia";"=Nº documento";"Datasource=";"Navision";"TablasCache=";"Falso")</t>
  </si>
  <si>
    <t>Auto+Ocultar+Valores+Formulas=Hoja32,Hoja33+FormulasOnly</t>
  </si>
  <si>
    <t>Auto+Ocultar+Valores+Formulas=Hoja34,Hoja35+FormulasOnly</t>
  </si>
  <si>
    <t>=NF($B4,"Descripción")</t>
  </si>
  <si>
    <t>=NF($B5,"Descripción")</t>
  </si>
  <si>
    <t>=NF($B6,"Descripción")</t>
  </si>
  <si>
    <t>=NF($B7,"Descripción")</t>
  </si>
  <si>
    <t>=NF($B8,"Descripción")</t>
  </si>
  <si>
    <t>=NF($B9,"Descripción")</t>
  </si>
  <si>
    <t>=NF($B10,"Descripción")</t>
  </si>
  <si>
    <t>=NF($B11,"Descripción")</t>
  </si>
  <si>
    <t>=NF($B12,"Descripción")</t>
  </si>
  <si>
    <t>=NF($B13,"Descripción")</t>
  </si>
  <si>
    <t>=NF($B14,"Descripción")</t>
  </si>
  <si>
    <t>=NF($B15,"Descripción")</t>
  </si>
  <si>
    <t>=NF($B16,"Descripción")</t>
  </si>
  <si>
    <t>=NF($B5,"Importe a facturar")</t>
  </si>
  <si>
    <t>=NF($B6,"Importe a facturar")</t>
  </si>
  <si>
    <t>=NF($B7,"Importe a facturar")</t>
  </si>
  <si>
    <t>=NF($B8,"Importe a facturar")</t>
  </si>
  <si>
    <t>=NF($B9,"Importe a facturar")</t>
  </si>
  <si>
    <t>=NF($B10,"Importe a facturar")</t>
  </si>
  <si>
    <t>=NF($B11,"Importe a facturar")</t>
  </si>
  <si>
    <t>=NF($B12,"Importe a facturar")</t>
  </si>
  <si>
    <t>=NF($B13,"Importe a facturar")</t>
  </si>
  <si>
    <t>=NF($B14,"Importe a facturar")</t>
  </si>
  <si>
    <t>=NF($B15,"Importe a facturar")</t>
  </si>
  <si>
    <t>=NF($B16,"Importe a facturar")</t>
  </si>
  <si>
    <t>=NF($B4,"Cod. operativa")</t>
  </si>
  <si>
    <t>=NF($B5,"Cod. operativa")</t>
  </si>
  <si>
    <t>=NF($B6,"Cod. operativa")</t>
  </si>
  <si>
    <t>=NF($B7,"Cod. operativa")</t>
  </si>
  <si>
    <t>=NF($B8,"Cod. operativa")</t>
  </si>
  <si>
    <t>=NF($B9,"Cod. operativa")</t>
  </si>
  <si>
    <t>=NF($B10,"Cod. operativa")</t>
  </si>
  <si>
    <t>=NF($B11,"Cod. operativa")</t>
  </si>
  <si>
    <t>=NF($B12,"Cod. operativa")</t>
  </si>
  <si>
    <t>=NF($B13,"Cod. operativa")</t>
  </si>
  <si>
    <t>=NF($B14,"Cod. operativa")</t>
  </si>
  <si>
    <t>=NF($B15,"Cod. operativa")</t>
  </si>
  <si>
    <t>=NF($B16,"Cod. operativa")</t>
  </si>
  <si>
    <t>=IF($C5=$C4,"",IF($C5="","",NF($B5,"Id_ Prefactura")))</t>
  </si>
  <si>
    <t>=IF($C5=$C4,"",IF($C5="","",CONCATENATE(NF($B5,"Operativa")," ",NF($B5,"Descripción"))))</t>
  </si>
  <si>
    <t>=IF($C5=$C4,"",IF($C5="","",IF(NF($B5,"Tipo Documento")=0,"Recepción",IF(NF($B5,"Tipo Documento")=1,"Devolución",IF(NF($B5,"Tipo Documento")=2,"Rechazo",IF(NF($B5,"Tipo Documento")=3,"RMA","Recogida"))))))</t>
  </si>
  <si>
    <t>=IF($C5=$C4,"",IF($C5="","",NF($B5,"Nº documento cliente")))</t>
  </si>
  <si>
    <t>=IF($C5=$C4,"",IF($C5="","",NF($B5,"No_ referencia transporte")))</t>
  </si>
  <si>
    <t>=IF($C5=$C4,"",IF($C5="","",NF($B5,"Familia pedido")))</t>
  </si>
  <si>
    <t>=IF($C5=$C4,"",IF($C5="","",NF($B5,"Nº documento")))</t>
  </si>
  <si>
    <t>=IF($C5=$C4,"",IF($C5="","",NF($B5,"Fecha confirmación SGA")))</t>
  </si>
  <si>
    <t>=IF($C5=$C4,"",IF($C5="","",NF($B5,"Nombre proveedor")))</t>
  </si>
  <si>
    <t>=IF($C5=$C4,"",IF($C5="","",NF($B5,"Contacto proveedor")))</t>
  </si>
  <si>
    <t>=IF($C5=$C4,"",IF($C5="","",NF($B5,"Dirección proveedor")))</t>
  </si>
  <si>
    <t>=IF($C5=$C4,"",IF($C5="","",NF($B5,"CP proveedor")))</t>
  </si>
  <si>
    <t>=IF($C5=$C4,"",IF($C5="","",NF($B5,"Población proveedor")))</t>
  </si>
  <si>
    <t>=IF($C5=$C4,"",IF($C5="","",NF($B5,"Provincia proveedor")))</t>
  </si>
  <si>
    <t>=IF($C5=$C4,"",IF($C5="","",NF($B5,"País proveedor")))</t>
  </si>
  <si>
    <t>=IF($C5=$C4,"",IF($C5="","",NF($B5,"Cód_ Servicio solicitado Fact_")))</t>
  </si>
  <si>
    <t>=IF($C5=$C4,"",IF($C5="","",NF($B5,"bultosP")))</t>
  </si>
  <si>
    <t>=IF($C5=$C4,"",IF($C5="","",NF($B5,"palesP")))</t>
  </si>
  <si>
    <t>=IF($C5=$C4,"",IF($C5="","",NF($B5,"Peso facturable")))</t>
  </si>
  <si>
    <t>=IF($C5="","",NF($B5,"Cód_ producto cliente"))</t>
  </si>
  <si>
    <t>=IF($C5="","",NF($B5,"Descripción ampliada"))</t>
  </si>
  <si>
    <t>=IF($C5="","",NF($B5,"Cantidad confirmada por SGA"))</t>
  </si>
  <si>
    <t>=IF(OR($C5="",$C5=$C4),"",NF($B5,"recepcion")/NF($B5,"numeroexpediciones"))</t>
  </si>
  <si>
    <t>=IF(OR($C5="",$C5=$C4),"",NF($B5,"devolucion")/NF($B5,"numeroexpediciones"))</t>
  </si>
  <si>
    <t>=IF(AG5="","",VALUE(AG5))</t>
  </si>
  <si>
    <t>=IF(OR($C5="",$C5=$C4),"",NF($B5,"franqueo")/NF($B5,"numeroexpediciones"))</t>
  </si>
  <si>
    <t>=IF(OR($C5="",$C5=$C4),"",IF(F5="Recogida",IF(OR($C5="",$C5=$C4),"",NF($B5,"prima")/NF($B5,"numeroexpediciones")),NF($B5,"prima")/NP("Codeunit","Miscelanea","NumeroAlbaranesEnExpedicion",NF($B5,"Nº documento"),,,,,,,,,,"MEDIAPOST SPAIN","Navision")))</t>
  </si>
  <si>
    <t>=IF(OR($C5="",$C5=$C4),"",IF(F5="Recogida",IF(OR($C5="",$C5=$C4),"",NF($B5,"transporte")/NF($B5,"numeroexpediciones")),NF($B5,"transporte")/NP("Codeunit","Miscelanea","NumeroAlbaranesEnExpedicion",NF($B5,"Nº documento"),,,,,,,,,,"MEDIAPOST SPAIN","Navision")))</t>
  </si>
  <si>
    <t>=IF($G5="","",IFERROR(IF(ISBLANK(Z5),0,Z5)+IF(ISBLANK(AA5),0,AA5)+IF(ISBLANK(AB5),0,AB5)+IF(ISBLANK(AC5),0,AC5)+IF(ISBLANK(AD5),0,AD5)+IF(ISBLANK(AE5),0,AE5),0))</t>
  </si>
  <si>
    <t>=IF($J5="","",NL("Suma","Registro activ. Log. detallado","Importe a facturar","Id. Prefactura",IdPrefactura,"Familia concepto","GESTION","No. documento cliente",NF($B5,"Nº documento cliente"),"Tipo de documento","Recepción|Devolución|RMA|Recogida|Rechazo","Datasource=","Navision"))</t>
  </si>
  <si>
    <t>=IF($C6=$C5,"",IF($C6="","",NF($B6,"Id_ Prefactura")))</t>
  </si>
  <si>
    <t>=IF($C6=$C5,"",IF($C6="","",CONCATENATE(NF($B6,"Operativa")," ",NF($B6,"Descripción"))))</t>
  </si>
  <si>
    <t>=IF($C6=$C5,"",IF($C6="","",IF(NF($B6,"Tipo Documento")=0,"Recepción",IF(NF($B6,"Tipo Documento")=1,"Devolución",IF(NF($B6,"Tipo Documento")=2,"Rechazo",IF(NF($B6,"Tipo Documento")=3,"RMA","Recogida"))))))</t>
  </si>
  <si>
    <t>=IF($C6=$C5,"",IF($C6="","",NF($B6,"Nº documento cliente")))</t>
  </si>
  <si>
    <t>=IF($C6=$C5,"",IF($C6="","",NF($B6,"No_ referencia transporte")))</t>
  </si>
  <si>
    <t>=IF($C6=$C5,"",IF($C6="","",NF($B6,"Familia pedido")))</t>
  </si>
  <si>
    <t>=IF($C6=$C5,"",IF($C6="","",NF($B6,"Nº documento")))</t>
  </si>
  <si>
    <t>=IF($C6=$C5,"",IF($C6="","",NF($B6,"Fecha confirmación SGA")))</t>
  </si>
  <si>
    <t>=IF($C6=$C5,"",IF($C6="","",NF($B6,"Nombre proveedor")))</t>
  </si>
  <si>
    <t>=IF($C6=$C5,"",IF($C6="","",NF($B6,"Contacto proveedor")))</t>
  </si>
  <si>
    <t>=IF($C6=$C5,"",IF($C6="","",NF($B6,"Dirección proveedor")))</t>
  </si>
  <si>
    <t>=IF($C6=$C5,"",IF($C6="","",NF($B6,"CP proveedor")))</t>
  </si>
  <si>
    <t>=IF($C6=$C5,"",IF($C6="","",NF($B6,"Población proveedor")))</t>
  </si>
  <si>
    <t>=IF($C6=$C5,"",IF($C6="","",NF($B6,"Provincia proveedor")))</t>
  </si>
  <si>
    <t>=IF($C6=$C5,"",IF($C6="","",NF($B6,"País proveedor")))</t>
  </si>
  <si>
    <t>=IF($C6=$C5,"",IF($C6="","",NF($B6,"Cód_ Servicio solicitado Fact_")))</t>
  </si>
  <si>
    <t>=IF($C6=$C5,"",IF($C6="","",NF($B6,"bultosP")))</t>
  </si>
  <si>
    <t>=IF($C6=$C5,"",IF($C6="","",NF($B6,"palesP")))</t>
  </si>
  <si>
    <t>=IF($C6=$C5,"",IF($C6="","",NF($B6,"Peso facturable")))</t>
  </si>
  <si>
    <t>=IF($C6="","",NF($B6,"Cód_ producto cliente"))</t>
  </si>
  <si>
    <t>=IF($C6="","",NF($B6,"Descripción ampliada"))</t>
  </si>
  <si>
    <t>=IF($C6="","",NF($B6,"Cantidad confirmada por SGA"))</t>
  </si>
  <si>
    <t>=IF(OR($C6="",$C6=$C5),"",NF($B6,"recepcion")/NF($B6,"numeroexpediciones"))</t>
  </si>
  <si>
    <t>=IF(OR($C6="",$C6=$C5),"",NF($B6,"devolucion")/NF($B6,"numeroexpediciones"))</t>
  </si>
  <si>
    <t>=IF(AG6="","",VALUE(AG6))</t>
  </si>
  <si>
    <t>=IF(OR($C6="",$C6=$C5),"",NF($B6,"franqueo")/NF($B6,"numeroexpediciones"))</t>
  </si>
  <si>
    <t>=IF(OR($C6="",$C6=$C5),"",IF(F6="Recogida",IF(OR($C6="",$C6=$C5),"",NF($B6,"prima")/NF($B6,"numeroexpediciones")),NF($B6,"prima")/NP("Codeunit","Miscelanea","NumeroAlbaranesEnExpedicion",NF($B6,"Nº documento"),,,,,,,,,,"MEDIAPOST SPAIN","Navision")))</t>
  </si>
  <si>
    <t>=IF(OR($C6="",$C6=$C5),"",IF(F6="Recogida",IF(OR($C6="",$C6=$C5),"",NF($B6,"transporte")/NF($B6,"numeroexpediciones")),NF($B6,"transporte")/NP("Codeunit","Miscelanea","NumeroAlbaranesEnExpedicion",NF($B6,"Nº documento"),,,,,,,,,,"MEDIAPOST SPAIN","Navision")))</t>
  </si>
  <si>
    <t>=IF($G6="","",IFERROR(IF(ISBLANK(Z6),0,Z6)+IF(ISBLANK(AA6),0,AA6)+IF(ISBLANK(AB6),0,AB6)+IF(ISBLANK(AC6),0,AC6)+IF(ISBLANK(AD6),0,AD6)+IF(ISBLANK(AE6),0,AE6),0))</t>
  </si>
  <si>
    <t>=IF($J6="","",NL("Suma","Registro activ. Log. detallado","Importe a facturar","Id. Prefactura",IdPrefactura,"Familia concepto","GESTION","No. documento cliente",NF($B6,"Nº documento cliente"),"Tipo de documento","Recepción|Devolución|RMA|Recogida|Rechazo","Datasource=","Navision"))</t>
  </si>
  <si>
    <t>=IF($C7=$C6,"",IF($C7="","",NF($B7,"Id_ Prefactura")))</t>
  </si>
  <si>
    <t>=IF($C7=$C6,"",IF($C7="","",CONCATENATE(NF($B7,"Operativa")," ",NF($B7,"Descripción"))))</t>
  </si>
  <si>
    <t>=IF($C7=$C6,"",IF($C7="","",IF(NF($B7,"Tipo Documento")=0,"Recepción",IF(NF($B7,"Tipo Documento")=1,"Devolución",IF(NF($B7,"Tipo Documento")=2,"Rechazo",IF(NF($B7,"Tipo Documento")=3,"RMA","Recogida"))))))</t>
  </si>
  <si>
    <t>=IF($C7=$C6,"",IF($C7="","",NF($B7,"Nº documento cliente")))</t>
  </si>
  <si>
    <t>=IF($C7=$C6,"",IF($C7="","",NF($B7,"No_ referencia transporte")))</t>
  </si>
  <si>
    <t>=IF($C7=$C6,"",IF($C7="","",NF($B7,"Familia pedido")))</t>
  </si>
  <si>
    <t>=IF($C7=$C6,"",IF($C7="","",NF($B7,"Nº documento")))</t>
  </si>
  <si>
    <t>=IF($C7=$C6,"",IF($C7="","",NF($B7,"Fecha confirmación SGA")))</t>
  </si>
  <si>
    <t>=IF($C7=$C6,"",IF($C7="","",NF($B7,"Nombre proveedor")))</t>
  </si>
  <si>
    <t>=IF($C7=$C6,"",IF($C7="","",NF($B7,"Contacto proveedor")))</t>
  </si>
  <si>
    <t>=IF($C7=$C6,"",IF($C7="","",NF($B7,"Dirección proveedor")))</t>
  </si>
  <si>
    <t>=IF($C7=$C6,"",IF($C7="","",NF($B7,"CP proveedor")))</t>
  </si>
  <si>
    <t>=IF($C7=$C6,"",IF($C7="","",NF($B7,"Población proveedor")))</t>
  </si>
  <si>
    <t>=IF($C7=$C6,"",IF($C7="","",NF($B7,"Provincia proveedor")))</t>
  </si>
  <si>
    <t>=IF($C7=$C6,"",IF($C7="","",NF($B7,"País proveedor")))</t>
  </si>
  <si>
    <t>=IF($C7=$C6,"",IF($C7="","",NF($B7,"Cód_ Servicio solicitado Fact_")))</t>
  </si>
  <si>
    <t>=IF($C7=$C6,"",IF($C7="","",NF($B7,"bultosP")))</t>
  </si>
  <si>
    <t>=IF($C7=$C6,"",IF($C7="","",NF($B7,"palesP")))</t>
  </si>
  <si>
    <t>=IF($C7=$C6,"",IF($C7="","",NF($B7,"Peso facturable")))</t>
  </si>
  <si>
    <t>=IF($C7="","",NF($B7,"Cód_ producto cliente"))</t>
  </si>
  <si>
    <t>=IF($C7="","",NF($B7,"Descripción ampliada"))</t>
  </si>
  <si>
    <t>=IF($C7="","",NF($B7,"Cantidad confirmada por SGA"))</t>
  </si>
  <si>
    <t>=IF(OR($C7="",$C7=$C6),"",NF($B7,"recepcion")/NF($B7,"numeroexpediciones"))</t>
  </si>
  <si>
    <t>=IF(OR($C7="",$C7=$C6),"",NF($B7,"devolucion")/NF($B7,"numeroexpediciones"))</t>
  </si>
  <si>
    <t>=IF(AG7="","",VALUE(AG7))</t>
  </si>
  <si>
    <t>=IF(OR($C7="",$C7=$C6),"",NF($B7,"franqueo")/NF($B7,"numeroexpediciones"))</t>
  </si>
  <si>
    <t>=IF(OR($C7="",$C7=$C6),"",IF(F7="Recogida",IF(OR($C7="",$C7=$C6),"",NF($B7,"prima")/NF($B7,"numeroexpediciones")),NF($B7,"prima")/NP("Codeunit","Miscelanea","NumeroAlbaranesEnExpedicion",NF($B7,"Nº documento"),,,,,,,,,,"MEDIAPOST SPAIN","Navision")))</t>
  </si>
  <si>
    <t>=IF(OR($C7="",$C7=$C6),"",IF(F7="Recogida",IF(OR($C7="",$C7=$C6),"",NF($B7,"transporte")/NF($B7,"numeroexpediciones")),NF($B7,"transporte")/NP("Codeunit","Miscelanea","NumeroAlbaranesEnExpedicion",NF($B7,"Nº documento"),,,,,,,,,,"MEDIAPOST SPAIN","Navision")))</t>
  </si>
  <si>
    <t>=IF($G7="","",IFERROR(IF(ISBLANK(Z7),0,Z7)+IF(ISBLANK(AA7),0,AA7)+IF(ISBLANK(AB7),0,AB7)+IF(ISBLANK(AC7),0,AC7)+IF(ISBLANK(AD7),0,AD7)+IF(ISBLANK(AE7),0,AE7),0))</t>
  </si>
  <si>
    <t>=IF($J7="","",NL("Suma","Registro activ. Log. detallado","Importe a facturar","Id. Prefactura",IdPrefactura,"Familia concepto","GESTION","No. documento cliente",NF($B7,"Nº documento cliente"),"Tipo de documento","Recepción|Devolución|RMA|Recogida|Rechazo","Datasource=","Navision"))</t>
  </si>
  <si>
    <t>=IF($C8=$C7,"",IF($C8="","",NF($B8,"Id_ Prefactura")))</t>
  </si>
  <si>
    <t>=IF($C8=$C7,"",IF($C8="","",CONCATENATE(NF($B8,"Operativa")," ",NF($B8,"Descripción"))))</t>
  </si>
  <si>
    <t>=IF($C8=$C7,"",IF($C8="","",IF(NF($B8,"Tipo Documento")=0,"Recepción",IF(NF($B8,"Tipo Documento")=1,"Devolución",IF(NF($B8,"Tipo Documento")=2,"Rechazo",IF(NF($B8,"Tipo Documento")=3,"RMA","Recogida"))))))</t>
  </si>
  <si>
    <t>=IF($C8=$C7,"",IF($C8="","",NF($B8,"Nº documento cliente")))</t>
  </si>
  <si>
    <t>=IF($C8=$C7,"",IF($C8="","",NF($B8,"No_ referencia transporte")))</t>
  </si>
  <si>
    <t>=IF($C8=$C7,"",IF($C8="","",NF($B8,"Familia pedido")))</t>
  </si>
  <si>
    <t>=IF($C8=$C7,"",IF($C8="","",NF($B8,"Nº documento")))</t>
  </si>
  <si>
    <t>=IF($C8=$C7,"",IF($C8="","",NF($B8,"Fecha confirmación SGA")))</t>
  </si>
  <si>
    <t>=IF($C8=$C7,"",IF($C8="","",NF($B8,"Nombre proveedor")))</t>
  </si>
  <si>
    <t>=IF($C8=$C7,"",IF($C8="","",NF($B8,"Contacto proveedor")))</t>
  </si>
  <si>
    <t>=IF($C8=$C7,"",IF($C8="","",NF($B8,"Dirección proveedor")))</t>
  </si>
  <si>
    <t>=IF($C8=$C7,"",IF($C8="","",NF($B8,"CP proveedor")))</t>
  </si>
  <si>
    <t>=IF($C8=$C7,"",IF($C8="","",NF($B8,"Población proveedor")))</t>
  </si>
  <si>
    <t>=IF($C8=$C7,"",IF($C8="","",NF($B8,"Provincia proveedor")))</t>
  </si>
  <si>
    <t>=IF($C8=$C7,"",IF($C8="","",NF($B8,"País proveedor")))</t>
  </si>
  <si>
    <t>=IF($C8=$C7,"",IF($C8="","",NF($B8,"Cód_ Servicio solicitado Fact_")))</t>
  </si>
  <si>
    <t>=IF($C8=$C7,"",IF($C8="","",NF($B8,"bultosP")))</t>
  </si>
  <si>
    <t>=IF($C8=$C7,"",IF($C8="","",NF($B8,"palesP")))</t>
  </si>
  <si>
    <t>=IF($C8=$C7,"",IF($C8="","",NF($B8,"Peso facturable")))</t>
  </si>
  <si>
    <t>=IF($C8="","",NF($B8,"Cód_ producto cliente"))</t>
  </si>
  <si>
    <t>=IF($C8="","",NF($B8,"Descripción ampliada"))</t>
  </si>
  <si>
    <t>=IF($C8="","",NF($B8,"Cantidad confirmada por SGA"))</t>
  </si>
  <si>
    <t>=IF(OR($C8="",$C8=$C7),"",NF($B8,"recepcion")/NF($B8,"numeroexpediciones"))</t>
  </si>
  <si>
    <t>=IF(OR($C8="",$C8=$C7),"",NF($B8,"devolucion")/NF($B8,"numeroexpediciones"))</t>
  </si>
  <si>
    <t>=IF(AG8="","",VALUE(AG8))</t>
  </si>
  <si>
    <t>=IF(OR($C8="",$C8=$C7),"",NF($B8,"franqueo")/NF($B8,"numeroexpediciones"))</t>
  </si>
  <si>
    <t>=IF(OR($C8="",$C8=$C7),"",IF(F8="Recogida",IF(OR($C8="",$C8=$C7),"",NF($B8,"prima")/NF($B8,"numeroexpediciones")),NF($B8,"prima")/NP("Codeunit","Miscelanea","NumeroAlbaranesEnExpedicion",NF($B8,"Nº documento"),,,,,,,,,,"MEDIAPOST SPAIN","Navision")))</t>
  </si>
  <si>
    <t>=IF(OR($C8="",$C8=$C7),"",IF(F8="Recogida",IF(OR($C8="",$C8=$C7),"",NF($B8,"transporte")/NF($B8,"numeroexpediciones")),NF($B8,"transporte")/NP("Codeunit","Miscelanea","NumeroAlbaranesEnExpedicion",NF($B8,"Nº documento"),,,,,,,,,,"MEDIAPOST SPAIN","Navision")))</t>
  </si>
  <si>
    <t>=IF($G8="","",IFERROR(IF(ISBLANK(Z8),0,Z8)+IF(ISBLANK(AA8),0,AA8)+IF(ISBLANK(AB8),0,AB8)+IF(ISBLANK(AC8),0,AC8)+IF(ISBLANK(AD8),0,AD8)+IF(ISBLANK(AE8),0,AE8),0))</t>
  </si>
  <si>
    <t>=IF($J8="","",NL("Suma","Registro activ. Log. detallado","Importe a facturar","Id. Prefactura",IdPrefactura,"Familia concepto","GESTION","No. documento cliente",NF($B8,"Nº documento cliente"),"Tipo de documento","Recepción|Devolución|RMA|Recogida|Rechazo","Datasource=","Navision"))</t>
  </si>
  <si>
    <t>=IF($C9=$C8,"",IF($C9="","",NF($B9,"Id_ Prefactura")))</t>
  </si>
  <si>
    <t>=IF($C9=$C8,"",IF($C9="","",CONCATENATE(NF($B9,"Operativa")," ",NF($B9,"Descripción"))))</t>
  </si>
  <si>
    <t>=IF($C9=$C8,"",IF($C9="","",IF(NF($B9,"Tipo Documento")=0,"Recepción",IF(NF($B9,"Tipo Documento")=1,"Devolución",IF(NF($B9,"Tipo Documento")=2,"Rechazo",IF(NF($B9,"Tipo Documento")=3,"RMA","Recogida"))))))</t>
  </si>
  <si>
    <t>=IF($C9=$C8,"",IF($C9="","",NF($B9,"Nº documento cliente")))</t>
  </si>
  <si>
    <t>=IF($C9=$C8,"",IF($C9="","",NF($B9,"No_ referencia transporte")))</t>
  </si>
  <si>
    <t>=IF($C9=$C8,"",IF($C9="","",NF($B9,"Familia pedido")))</t>
  </si>
  <si>
    <t>=IF($C9=$C8,"",IF($C9="","",NF($B9,"Nº documento")))</t>
  </si>
  <si>
    <t>=IF($C9=$C8,"",IF($C9="","",NF($B9,"Fecha confirmación SGA")))</t>
  </si>
  <si>
    <t>=IF($C9=$C8,"",IF($C9="","",NF($B9,"Nombre proveedor")))</t>
  </si>
  <si>
    <t>=IF($C9=$C8,"",IF($C9="","",NF($B9,"Contacto proveedor")))</t>
  </si>
  <si>
    <t>=IF($C9=$C8,"",IF($C9="","",NF($B9,"Dirección proveedor")))</t>
  </si>
  <si>
    <t>=IF($C9=$C8,"",IF($C9="","",NF($B9,"CP proveedor")))</t>
  </si>
  <si>
    <t>=IF($C9=$C8,"",IF($C9="","",NF($B9,"Población proveedor")))</t>
  </si>
  <si>
    <t>=IF($C9=$C8,"",IF($C9="","",NF($B9,"Provincia proveedor")))</t>
  </si>
  <si>
    <t>=IF($C9=$C8,"",IF($C9="","",NF($B9,"País proveedor")))</t>
  </si>
  <si>
    <t>=IF($C9=$C8,"",IF($C9="","",NF($B9,"Cód_ Servicio solicitado Fact_")))</t>
  </si>
  <si>
    <t>=IF($C9=$C8,"",IF($C9="","",NF($B9,"bultosP")))</t>
  </si>
  <si>
    <t>=IF($C9=$C8,"",IF($C9="","",NF($B9,"palesP")))</t>
  </si>
  <si>
    <t>=IF($C9=$C8,"",IF($C9="","",NF($B9,"Peso facturable")))</t>
  </si>
  <si>
    <t>=IF($C9="","",NF($B9,"Cód_ producto cliente"))</t>
  </si>
  <si>
    <t>=IF($C9="","",NF($B9,"Descripción ampliada"))</t>
  </si>
  <si>
    <t>=IF($C9="","",NF($B9,"Cantidad confirmada por SGA"))</t>
  </si>
  <si>
    <t>=IF(OR($C9="",$C9=$C8),"",NF($B9,"recepcion")/NF($B9,"numeroexpediciones"))</t>
  </si>
  <si>
    <t>=IF(OR($C9="",$C9=$C8),"",NF($B9,"devolucion")/NF($B9,"numeroexpediciones"))</t>
  </si>
  <si>
    <t>=IF(AG9="","",VALUE(AG9))</t>
  </si>
  <si>
    <t>=IF(OR($C9="",$C9=$C8),"",NF($B9,"franqueo")/NF($B9,"numeroexpediciones"))</t>
  </si>
  <si>
    <t>=IF(OR($C9="",$C9=$C8),"",IF(F9="Recogida",IF(OR($C9="",$C9=$C8),"",NF($B9,"prima")/NF($B9,"numeroexpediciones")),NF($B9,"prima")/NP("Codeunit","Miscelanea","NumeroAlbaranesEnExpedicion",NF($B9,"Nº documento"),,,,,,,,,,"MEDIAPOST SPAIN","Navision")))</t>
  </si>
  <si>
    <t>=IF(OR($C9="",$C9=$C8),"",IF(F9="Recogida",IF(OR($C9="",$C9=$C8),"",NF($B9,"transporte")/NF($B9,"numeroexpediciones")),NF($B9,"transporte")/NP("Codeunit","Miscelanea","NumeroAlbaranesEnExpedicion",NF($B9,"Nº documento"),,,,,,,,,,"MEDIAPOST SPAIN","Navision")))</t>
  </si>
  <si>
    <t>=IF($G9="","",IFERROR(IF(ISBLANK(Z9),0,Z9)+IF(ISBLANK(AA9),0,AA9)+IF(ISBLANK(AB9),0,AB9)+IF(ISBLANK(AC9),0,AC9)+IF(ISBLANK(AD9),0,AD9)+IF(ISBLANK(AE9),0,AE9),0))</t>
  </si>
  <si>
    <t>=IF($J9="","",NL("Suma","Registro activ. Log. detallado","Importe a facturar","Id. Prefactura",IdPrefactura,"Familia concepto","GESTION","No. documento cliente",NF($B9,"Nº documento cliente"),"Tipo de documento","Recepción|Devolución|RMA|Recogida|Rechazo","Datasource=","Navision"))</t>
  </si>
  <si>
    <t>=IF($C10=$C9,"",IF($C10="","",NF($B10,"Id_ Prefactura")))</t>
  </si>
  <si>
    <t>=IF($C10=$C9,"",IF($C10="","",CONCATENATE(NF($B10,"Operativa")," ",NF($B10,"Descripción"))))</t>
  </si>
  <si>
    <t>=IF($C10=$C9,"",IF($C10="","",IF(NF($B10,"Tipo Documento")=0,"Recepción",IF(NF($B10,"Tipo Documento")=1,"Devolución",IF(NF($B10,"Tipo Documento")=2,"Rechazo",IF(NF($B10,"Tipo Documento")=3,"RMA","Recogida"))))))</t>
  </si>
  <si>
    <t>=IF($C10=$C9,"",IF($C10="","",NF($B10,"Nº documento cliente")))</t>
  </si>
  <si>
    <t>=IF($C10=$C9,"",IF($C10="","",NF($B10,"No_ referencia transporte")))</t>
  </si>
  <si>
    <t>=IF($C10=$C9,"",IF($C10="","",NF($B10,"Familia pedido")))</t>
  </si>
  <si>
    <t>=IF($C10=$C9,"",IF($C10="","",NF($B10,"Nº documento")))</t>
  </si>
  <si>
    <t>=IF($C10=$C9,"",IF($C10="","",NF($B10,"Fecha confirmación SGA")))</t>
  </si>
  <si>
    <t>=IF($C10=$C9,"",IF($C10="","",NF($B10,"Nombre proveedor")))</t>
  </si>
  <si>
    <t>=IF($C10=$C9,"",IF($C10="","",NF($B10,"Contacto proveedor")))</t>
  </si>
  <si>
    <t>=IF($C10=$C9,"",IF($C10="","",NF($B10,"Dirección proveedor")))</t>
  </si>
  <si>
    <t>=IF($C10=$C9,"",IF($C10="","",NF($B10,"CP proveedor")))</t>
  </si>
  <si>
    <t>=IF($C10=$C9,"",IF($C10="","",NF($B10,"Población proveedor")))</t>
  </si>
  <si>
    <t>=IF($C10=$C9,"",IF($C10="","",NF($B10,"Provincia proveedor")))</t>
  </si>
  <si>
    <t>=IF($C10=$C9,"",IF($C10="","",NF($B10,"País proveedor")))</t>
  </si>
  <si>
    <t>=IF($C10=$C9,"",IF($C10="","",NF($B10,"Cód_ Servicio solicitado Fact_")))</t>
  </si>
  <si>
    <t>=IF($C10=$C9,"",IF($C10="","",NF($B10,"bultosP")))</t>
  </si>
  <si>
    <t>=IF($C10=$C9,"",IF($C10="","",NF($B10,"palesP")))</t>
  </si>
  <si>
    <t>=IF($C10=$C9,"",IF($C10="","",NF($B10,"Peso facturable")))</t>
  </si>
  <si>
    <t>=IF($C10="","",NF($B10,"Cód_ producto cliente"))</t>
  </si>
  <si>
    <t>=IF($C10="","",NF($B10,"Descripción ampliada"))</t>
  </si>
  <si>
    <t>=IF($C10="","",NF($B10,"Cantidad confirmada por SGA"))</t>
  </si>
  <si>
    <t>=IF(OR($C10="",$C10=$C9),"",NF($B10,"recepcion")/NF($B10,"numeroexpediciones"))</t>
  </si>
  <si>
    <t>=IF(OR($C10="",$C10=$C9),"",NF($B10,"devolucion")/NF($B10,"numeroexpediciones"))</t>
  </si>
  <si>
    <t>=IF(AG10="","",VALUE(AG10))</t>
  </si>
  <si>
    <t>=IF(OR($C10="",$C10=$C9),"",NF($B10,"franqueo")/NF($B10,"numeroexpediciones"))</t>
  </si>
  <si>
    <t>=IF(OR($C10="",$C10=$C9),"",IF(F10="Recogida",IF(OR($C10="",$C10=$C9),"",NF($B10,"prima")/NF($B10,"numeroexpediciones")),NF($B10,"prima")/NP("Codeunit","Miscelanea","NumeroAlbaranesEnExpedicion",NF($B10,"Nº documento"),,,,,,,,,,"MEDIAPOST SPAIN","Navision")))</t>
  </si>
  <si>
    <t>=IF(OR($C10="",$C10=$C9),"",IF(F10="Recogida",IF(OR($C10="",$C10=$C9),"",NF($B10,"transporte")/NF($B10,"numeroexpediciones")),NF($B10,"transporte")/NP("Codeunit","Miscelanea","NumeroAlbaranesEnExpedicion",NF($B10,"Nº documento"),,,,,,,,,,"MEDIAPOST SPAIN","Navision")))</t>
  </si>
  <si>
    <t>=IF($G10="","",IFERROR(IF(ISBLANK(Z10),0,Z10)+IF(ISBLANK(AA10),0,AA10)+IF(ISBLANK(AB10),0,AB10)+IF(ISBLANK(AC10),0,AC10)+IF(ISBLANK(AD10),0,AD10)+IF(ISBLANK(AE10),0,AE10),0))</t>
  </si>
  <si>
    <t>=IF($J10="","",NL("Suma","Registro activ. Log. detallado","Importe a facturar","Id. Prefactura",IdPrefactura,"Familia concepto","GESTION","No. documento cliente",NF($B10,"Nº documento cliente"),"Tipo de documento","Recepción|Devolución|RMA|Recogida|Rechazo","Datasource=","Navision"))</t>
  </si>
  <si>
    <t>=IF($C11=$C10,"",IF($C11="","",NF($B11,"Id_ Prefactura")))</t>
  </si>
  <si>
    <t>=IF($C11=$C10,"",IF($C11="","",CONCATENATE(NF($B11,"Operativa")," ",NF($B11,"Descripción"))))</t>
  </si>
  <si>
    <t>=IF($C11=$C10,"",IF($C11="","",IF(NF($B11,"Tipo Documento")=0,"Recepción",IF(NF($B11,"Tipo Documento")=1,"Devolución",IF(NF($B11,"Tipo Documento")=2,"Rechazo",IF(NF($B11,"Tipo Documento")=3,"RMA","Recogida"))))))</t>
  </si>
  <si>
    <t>=IF($C11=$C10,"",IF($C11="","",NF($B11,"Nº documento cliente")))</t>
  </si>
  <si>
    <t>=IF($C11=$C10,"",IF($C11="","",NF($B11,"No_ referencia transporte")))</t>
  </si>
  <si>
    <t>=IF($C11=$C10,"",IF($C11="","",NF($B11,"Familia pedido")))</t>
  </si>
  <si>
    <t>=IF($C11=$C10,"",IF($C11="","",NF($B11,"Nº documento")))</t>
  </si>
  <si>
    <t>=IF($C11=$C10,"",IF($C11="","",NF($B11,"Fecha confirmación SGA")))</t>
  </si>
  <si>
    <t>=IF($C11=$C10,"",IF($C11="","",NF($B11,"Nombre proveedor")))</t>
  </si>
  <si>
    <t>=IF($C11=$C10,"",IF($C11="","",NF($B11,"Contacto proveedor")))</t>
  </si>
  <si>
    <t>=IF($C11=$C10,"",IF($C11="","",NF($B11,"Dirección proveedor")))</t>
  </si>
  <si>
    <t>=IF($C11=$C10,"",IF($C11="","",NF($B11,"CP proveedor")))</t>
  </si>
  <si>
    <t>=IF($C11=$C10,"",IF($C11="","",NF($B11,"Población proveedor")))</t>
  </si>
  <si>
    <t>=IF($C11=$C10,"",IF($C11="","",NF($B11,"Provincia proveedor")))</t>
  </si>
  <si>
    <t>=IF($C11=$C10,"",IF($C11="","",NF($B11,"País proveedor")))</t>
  </si>
  <si>
    <t>=IF($C11=$C10,"",IF($C11="","",NF($B11,"Cód_ Servicio solicitado Fact_")))</t>
  </si>
  <si>
    <t>=IF($C11=$C10,"",IF($C11="","",NF($B11,"bultosP")))</t>
  </si>
  <si>
    <t>=IF($C11=$C10,"",IF($C11="","",NF($B11,"palesP")))</t>
  </si>
  <si>
    <t>=IF($C11=$C10,"",IF($C11="","",NF($B11,"Peso facturable")))</t>
  </si>
  <si>
    <t>=IF($C11="","",NF($B11,"Cód_ producto cliente"))</t>
  </si>
  <si>
    <t>=IF($C11="","",NF($B11,"Descripción ampliada"))</t>
  </si>
  <si>
    <t>=IF($C11="","",NF($B11,"Cantidad confirmada por SGA"))</t>
  </si>
  <si>
    <t>=IF(OR($C11="",$C11=$C10),"",NF($B11,"recepcion")/NF($B11,"numeroexpediciones"))</t>
  </si>
  <si>
    <t>=IF(OR($C11="",$C11=$C10),"",NF($B11,"devolucion")/NF($B11,"numeroexpediciones"))</t>
  </si>
  <si>
    <t>=IF(AG11="","",VALUE(AG11))</t>
  </si>
  <si>
    <t>=IF(OR($C11="",$C11=$C10),"",NF($B11,"franqueo")/NF($B11,"numeroexpediciones"))</t>
  </si>
  <si>
    <t>=IF(OR($C11="",$C11=$C10),"",IF(F11="Recogida",IF(OR($C11="",$C11=$C10),"",NF($B11,"prima")/NF($B11,"numeroexpediciones")),NF($B11,"prima")/NP("Codeunit","Miscelanea","NumeroAlbaranesEnExpedicion",NF($B11,"Nº documento"),,,,,,,,,,"MEDIAPOST SPAIN","Navision")))</t>
  </si>
  <si>
    <t>=IF(OR($C11="",$C11=$C10),"",IF(F11="Recogida",IF(OR($C11="",$C11=$C10),"",NF($B11,"transporte")/NF($B11,"numeroexpediciones")),NF($B11,"transporte")/NP("Codeunit","Miscelanea","NumeroAlbaranesEnExpedicion",NF($B11,"Nº documento"),,,,,,,,,,"MEDIAPOST SPAIN","Navision")))</t>
  </si>
  <si>
    <t>=IF($G11="","",IFERROR(IF(ISBLANK(Z11),0,Z11)+IF(ISBLANK(AA11),0,AA11)+IF(ISBLANK(AB11),0,AB11)+IF(ISBLANK(AC11),0,AC11)+IF(ISBLANK(AD11),0,AD11)+IF(ISBLANK(AE11),0,AE11),0))</t>
  </si>
  <si>
    <t>=IF($J11="","",NL("Suma","Registro activ. Log. detallado","Importe a facturar","Id. Prefactura",IdPrefactura,"Familia concepto","GESTION","No. documento cliente",NF($B11,"Nº documento cliente"),"Tipo de documento","Recepción|Devolución|RMA|Recogida|Rechazo","Datasource=","Navision"))</t>
  </si>
  <si>
    <t>=IF($C12=$C11,"",IF($C12="","",NF($B12,"Id_ Prefactura")))</t>
  </si>
  <si>
    <t>=IF($C12=$C11,"",IF($C12="","",CONCATENATE(NF($B12,"Operativa")," ",NF($B12,"Descripción"))))</t>
  </si>
  <si>
    <t>=IF($C12=$C11,"",IF($C12="","",IF(NF($B12,"Tipo Documento")=0,"Recepción",IF(NF($B12,"Tipo Documento")=1,"Devolución",IF(NF($B12,"Tipo Documento")=2,"Rechazo",IF(NF($B12,"Tipo Documento")=3,"RMA","Recogida"))))))</t>
  </si>
  <si>
    <t>=IF($C12=$C11,"",IF($C12="","",NF($B12,"Nº documento cliente")))</t>
  </si>
  <si>
    <t>=IF($C12=$C11,"",IF($C12="","",NF($B12,"No_ referencia transporte")))</t>
  </si>
  <si>
    <t>=IF($C12=$C11,"",IF($C12="","",NF($B12,"Familia pedido")))</t>
  </si>
  <si>
    <t>=IF($C12=$C11,"",IF($C12="","",NF($B12,"Nº documento")))</t>
  </si>
  <si>
    <t>=IF($C12=$C11,"",IF($C12="","",NF($B12,"Fecha confirmación SGA")))</t>
  </si>
  <si>
    <t>=IF($C12=$C11,"",IF($C12="","",NF($B12,"Nombre proveedor")))</t>
  </si>
  <si>
    <t>=IF($C12=$C11,"",IF($C12="","",NF($B12,"Contacto proveedor")))</t>
  </si>
  <si>
    <t>=IF($C12=$C11,"",IF($C12="","",NF($B12,"Dirección proveedor")))</t>
  </si>
  <si>
    <t>=IF($C12=$C11,"",IF($C12="","",NF($B12,"CP proveedor")))</t>
  </si>
  <si>
    <t>=IF($C12=$C11,"",IF($C12="","",NF($B12,"Población proveedor")))</t>
  </si>
  <si>
    <t>=IF($C12=$C11,"",IF($C12="","",NF($B12,"Provincia proveedor")))</t>
  </si>
  <si>
    <t>=IF($C12=$C11,"",IF($C12="","",NF($B12,"País proveedor")))</t>
  </si>
  <si>
    <t>=IF($C12=$C11,"",IF($C12="","",NF($B12,"Cód_ Servicio solicitado Fact_")))</t>
  </si>
  <si>
    <t>=IF($C12=$C11,"",IF($C12="","",NF($B12,"bultosP")))</t>
  </si>
  <si>
    <t>=IF($C12=$C11,"",IF($C12="","",NF($B12,"palesP")))</t>
  </si>
  <si>
    <t>=IF($C12=$C11,"",IF($C12="","",NF($B12,"Peso facturable")))</t>
  </si>
  <si>
    <t>=IF($C12="","",NF($B12,"Cód_ producto cliente"))</t>
  </si>
  <si>
    <t>=IF($C12="","",NF($B12,"Descripción ampliada"))</t>
  </si>
  <si>
    <t>=IF($C12="","",NF($B12,"Cantidad confirmada por SGA"))</t>
  </si>
  <si>
    <t>=IF(OR($C12="",$C12=$C11),"",NF($B12,"recepcion")/NF($B12,"numeroexpediciones"))</t>
  </si>
  <si>
    <t>=IF(OR($C12="",$C12=$C11),"",NF($B12,"devolucion")/NF($B12,"numeroexpediciones"))</t>
  </si>
  <si>
    <t>=IF(AG12="","",VALUE(AG12))</t>
  </si>
  <si>
    <t>=IF(OR($C12="",$C12=$C11),"",NF($B12,"franqueo")/NF($B12,"numeroexpediciones"))</t>
  </si>
  <si>
    <t>=IF(OR($C12="",$C12=$C11),"",IF(F12="Recogida",IF(OR($C12="",$C12=$C11),"",NF($B12,"prima")/NF($B12,"numeroexpediciones")),NF($B12,"prima")/NP("Codeunit","Miscelanea","NumeroAlbaranesEnExpedicion",NF($B12,"Nº documento"),,,,,,,,,,"MEDIAPOST SPAIN","Navision")))</t>
  </si>
  <si>
    <t>=IF(OR($C12="",$C12=$C11),"",IF(F12="Recogida",IF(OR($C12="",$C12=$C11),"",NF($B12,"transporte")/NF($B12,"numeroexpediciones")),NF($B12,"transporte")/NP("Codeunit","Miscelanea","NumeroAlbaranesEnExpedicion",NF($B12,"Nº documento"),,,,,,,,,,"MEDIAPOST SPAIN","Navision")))</t>
  </si>
  <si>
    <t>=IF($G12="","",IFERROR(IF(ISBLANK(Z12),0,Z12)+IF(ISBLANK(AA12),0,AA12)+IF(ISBLANK(AB12),0,AB12)+IF(ISBLANK(AC12),0,AC12)+IF(ISBLANK(AD12),0,AD12)+IF(ISBLANK(AE12),0,AE12),0))</t>
  </si>
  <si>
    <t>=IF($J12="","",NL("Suma","Registro activ. Log. detallado","Importe a facturar","Id. Prefactura",IdPrefactura,"Familia concepto","GESTION","No. documento cliente",NF($B12,"Nº documento cliente"),"Tipo de documento","Recepción|Devolución|RMA|Recogida|Rechazo","Datasource=","Navision"))</t>
  </si>
  <si>
    <t>=IF($C13=$C12,"",IF($C13="","",NF($B13,"Id_ Prefactura")))</t>
  </si>
  <si>
    <t>=IF($C13=$C12,"",IF($C13="","",CONCATENATE(NF($B13,"Operativa")," ",NF($B13,"Descripción"))))</t>
  </si>
  <si>
    <t>=IF($C13=$C12,"",IF($C13="","",IF(NF($B13,"Tipo Documento")=0,"Recepción",IF(NF($B13,"Tipo Documento")=1,"Devolución",IF(NF($B13,"Tipo Documento")=2,"Rechazo",IF(NF($B13,"Tipo Documento")=3,"RMA","Recogida"))))))</t>
  </si>
  <si>
    <t>=IF($C13=$C12,"",IF($C13="","",NF($B13,"Nº documento cliente")))</t>
  </si>
  <si>
    <t>=IF($C13=$C12,"",IF($C13="","",NF($B13,"No_ referencia transporte")))</t>
  </si>
  <si>
    <t>=IF($C13=$C12,"",IF($C13="","",NF($B13,"Familia pedido")))</t>
  </si>
  <si>
    <t>=IF($C13=$C12,"",IF($C13="","",NF($B13,"Nº documento")))</t>
  </si>
  <si>
    <t>=IF($C13=$C12,"",IF($C13="","",NF($B13,"Fecha confirmación SGA")))</t>
  </si>
  <si>
    <t>=IF($C13=$C12,"",IF($C13="","",NF($B13,"Nombre proveedor")))</t>
  </si>
  <si>
    <t>=IF($C13=$C12,"",IF($C13="","",NF($B13,"Contacto proveedor")))</t>
  </si>
  <si>
    <t>=IF($C13=$C12,"",IF($C13="","",NF($B13,"Dirección proveedor")))</t>
  </si>
  <si>
    <t>=IF($C13=$C12,"",IF($C13="","",NF($B13,"CP proveedor")))</t>
  </si>
  <si>
    <t>=IF($C13=$C12,"",IF($C13="","",NF($B13,"Población proveedor")))</t>
  </si>
  <si>
    <t>=IF($C13=$C12,"",IF($C13="","",NF($B13,"Provincia proveedor")))</t>
  </si>
  <si>
    <t>=IF($C13=$C12,"",IF($C13="","",NF($B13,"País proveedor")))</t>
  </si>
  <si>
    <t>=IF($C13=$C12,"",IF($C13="","",NF($B13,"Cód_ Servicio solicitado Fact_")))</t>
  </si>
  <si>
    <t>=IF($C13=$C12,"",IF($C13="","",NF($B13,"bultosP")))</t>
  </si>
  <si>
    <t>=IF($C13=$C12,"",IF($C13="","",NF($B13,"palesP")))</t>
  </si>
  <si>
    <t>=IF($C13=$C12,"",IF($C13="","",NF($B13,"Peso facturable")))</t>
  </si>
  <si>
    <t>=IF($C13="","",NF($B13,"Cód_ producto cliente"))</t>
  </si>
  <si>
    <t>=IF($C13="","",NF($B13,"Descripción ampliada"))</t>
  </si>
  <si>
    <t>=IF($C13="","",NF($B13,"Cantidad confirmada por SGA"))</t>
  </si>
  <si>
    <t>=IF(OR($C13="",$C13=$C12),"",NF($B13,"recepcion")/NF($B13,"numeroexpediciones"))</t>
  </si>
  <si>
    <t>=IF(OR($C13="",$C13=$C12),"",NF($B13,"devolucion")/NF($B13,"numeroexpediciones"))</t>
  </si>
  <si>
    <t>=IF(AG13="","",VALUE(AG13))</t>
  </si>
  <si>
    <t>=IF(OR($C13="",$C13=$C12),"",NF($B13,"franqueo")/NF($B13,"numeroexpediciones"))</t>
  </si>
  <si>
    <t>=IF(OR($C13="",$C13=$C12),"",IF(F13="Recogida",IF(OR($C13="",$C13=$C12),"",NF($B13,"prima")/NF($B13,"numeroexpediciones")),NF($B13,"prima")/NP("Codeunit","Miscelanea","NumeroAlbaranesEnExpedicion",NF($B13,"Nº documento"),,,,,,,,,,"MEDIAPOST SPAIN","Navision")))</t>
  </si>
  <si>
    <t>=IF(OR($C13="",$C13=$C12),"",IF(F13="Recogida",IF(OR($C13="",$C13=$C12),"",NF($B13,"transporte")/NF($B13,"numeroexpediciones")),NF($B13,"transporte")/NP("Codeunit","Miscelanea","NumeroAlbaranesEnExpedicion",NF($B13,"Nº documento"),,,,,,,,,,"MEDIAPOST SPAIN","Navision")))</t>
  </si>
  <si>
    <t>=IF($G13="","",IFERROR(IF(ISBLANK(Z13),0,Z13)+IF(ISBLANK(AA13),0,AA13)+IF(ISBLANK(AB13),0,AB13)+IF(ISBLANK(AC13),0,AC13)+IF(ISBLANK(AD13),0,AD13)+IF(ISBLANK(AE13),0,AE13),0))</t>
  </si>
  <si>
    <t>=IF($J13="","",NL("Suma","Registro activ. Log. detallado","Importe a facturar","Id. Prefactura",IdPrefactura,"Familia concepto","GESTION","No. documento cliente",NF($B13,"Nº documento cliente"),"Tipo de documento","Recepción|Devolución|RMA|Recogida|Rechazo","Datasource=","Navision"))</t>
  </si>
  <si>
    <t>=IF($C14=$C13,"",IF($C14="","",NF($B14,"Id_ Prefactura")))</t>
  </si>
  <si>
    <t>=IF($C14=$C13,"",IF($C14="","",CONCATENATE(NF($B14,"Operativa")," ",NF($B14,"Descripción"))))</t>
  </si>
  <si>
    <t>=IF($C14=$C13,"",IF($C14="","",IF(NF($B14,"Tipo Documento")=0,"Recepción",IF(NF($B14,"Tipo Documento")=1,"Devolución",IF(NF($B14,"Tipo Documento")=2,"Rechazo",IF(NF($B14,"Tipo Documento")=3,"RMA","Recogida"))))))</t>
  </si>
  <si>
    <t>=IF($C14=$C13,"",IF($C14="","",NF($B14,"Nº documento cliente")))</t>
  </si>
  <si>
    <t>=IF($C14=$C13,"",IF($C14="","",NF($B14,"No_ referencia transporte")))</t>
  </si>
  <si>
    <t>=IF($C14=$C13,"",IF($C14="","",NF($B14,"Familia pedido")))</t>
  </si>
  <si>
    <t>=IF($C14=$C13,"",IF($C14="","",NF($B14,"Nº documento")))</t>
  </si>
  <si>
    <t>=IF($C14=$C13,"",IF($C14="","",NF($B14,"Fecha confirmación SGA")))</t>
  </si>
  <si>
    <t>=IF($C14=$C13,"",IF($C14="","",NF($B14,"Nombre proveedor")))</t>
  </si>
  <si>
    <t>=IF($C14=$C13,"",IF($C14="","",NF($B14,"Contacto proveedor")))</t>
  </si>
  <si>
    <t>=IF($C14=$C13,"",IF($C14="","",NF($B14,"Dirección proveedor")))</t>
  </si>
  <si>
    <t>=IF($C14=$C13,"",IF($C14="","",NF($B14,"CP proveedor")))</t>
  </si>
  <si>
    <t>=IF($C14=$C13,"",IF($C14="","",NF($B14,"Población proveedor")))</t>
  </si>
  <si>
    <t>=IF($C14=$C13,"",IF($C14="","",NF($B14,"Provincia proveedor")))</t>
  </si>
  <si>
    <t>=IF($C14=$C13,"",IF($C14="","",NF($B14,"País proveedor")))</t>
  </si>
  <si>
    <t>=IF($C14=$C13,"",IF($C14="","",NF($B14,"Cód_ Servicio solicitado Fact_")))</t>
  </si>
  <si>
    <t>=IF($C14=$C13,"",IF($C14="","",NF($B14,"bultosP")))</t>
  </si>
  <si>
    <t>=IF($C14=$C13,"",IF($C14="","",NF($B14,"palesP")))</t>
  </si>
  <si>
    <t>=IF($C14=$C13,"",IF($C14="","",NF($B14,"Peso facturable")))</t>
  </si>
  <si>
    <t>=IF($C14="","",NF($B14,"Cód_ producto cliente"))</t>
  </si>
  <si>
    <t>=IF($C14="","",NF($B14,"Descripción ampliada"))</t>
  </si>
  <si>
    <t>=IF($C14="","",NF($B14,"Cantidad confirmada por SGA"))</t>
  </si>
  <si>
    <t>=IF(OR($C14="",$C14=$C13),"",NF($B14,"recepcion")/NF($B14,"numeroexpediciones"))</t>
  </si>
  <si>
    <t>=IF(OR($C14="",$C14=$C13),"",NF($B14,"devolucion")/NF($B14,"numeroexpediciones"))</t>
  </si>
  <si>
    <t>=IF(AG14="","",VALUE(AG14))</t>
  </si>
  <si>
    <t>=IF(OR($C14="",$C14=$C13),"",NF($B14,"franqueo")/NF($B14,"numeroexpediciones"))</t>
  </si>
  <si>
    <t>=IF(OR($C14="",$C14=$C13),"",IF(F14="Recogida",IF(OR($C14="",$C14=$C13),"",NF($B14,"prima")/NF($B14,"numeroexpediciones")),NF($B14,"prima")/NP("Codeunit","Miscelanea","NumeroAlbaranesEnExpedicion",NF($B14,"Nº documento"),,,,,,,,,,"MEDIAPOST SPAIN","Navision")))</t>
  </si>
  <si>
    <t>=IF(OR($C14="",$C14=$C13),"",IF(F14="Recogida",IF(OR($C14="",$C14=$C13),"",NF($B14,"transporte")/NF($B14,"numeroexpediciones")),NF($B14,"transporte")/NP("Codeunit","Miscelanea","NumeroAlbaranesEnExpedicion",NF($B14,"Nº documento"),,,,,,,,,,"MEDIAPOST SPAIN","Navision")))</t>
  </si>
  <si>
    <t>=IF($G14="","",IFERROR(IF(ISBLANK(Z14),0,Z14)+IF(ISBLANK(AA14),0,AA14)+IF(ISBLANK(AB14),0,AB14)+IF(ISBLANK(AC14),0,AC14)+IF(ISBLANK(AD14),0,AD14)+IF(ISBLANK(AE14),0,AE14),0))</t>
  </si>
  <si>
    <t>=IF($J14="","",NL("Suma","Registro activ. Log. detallado","Importe a facturar","Id. Prefactura",IdPrefactura,"Familia concepto","GESTION","No. documento cliente",NF($B14,"Nº documento cliente"),"Tipo de documento","Recepción|Devolución|RMA|Recogida|Rechazo","Datasource=","Navision"))</t>
  </si>
  <si>
    <t>=IF($C15=$C14,"",IF($C15="","",NF($B15,"Id_ Prefactura")))</t>
  </si>
  <si>
    <t>=IF($C15=$C14,"",IF($C15="","",CONCATENATE(NF($B15,"Operativa")," ",NF($B15,"Descripción"))))</t>
  </si>
  <si>
    <t>=IF($C15=$C14,"",IF($C15="","",IF(NF($B15,"Tipo Documento")=0,"Recepción",IF(NF($B15,"Tipo Documento")=1,"Devolución",IF(NF($B15,"Tipo Documento")=2,"Rechazo",IF(NF($B15,"Tipo Documento")=3,"RMA","Recogida"))))))</t>
  </si>
  <si>
    <t>=IF($C15=$C14,"",IF($C15="","",NF($B15,"Nº documento cliente")))</t>
  </si>
  <si>
    <t>=IF($C15=$C14,"",IF($C15="","",NF($B15,"No_ referencia transporte")))</t>
  </si>
  <si>
    <t>=IF($C15=$C14,"",IF($C15="","",NF($B15,"Familia pedido")))</t>
  </si>
  <si>
    <t>=IF($C15=$C14,"",IF($C15="","",NF($B15,"Nº documento")))</t>
  </si>
  <si>
    <t>=IF($C15=$C14,"",IF($C15="","",NF($B15,"Fecha confirmación SGA")))</t>
  </si>
  <si>
    <t>=IF($C15=$C14,"",IF($C15="","",NF($B15,"Nombre proveedor")))</t>
  </si>
  <si>
    <t>=IF($C15=$C14,"",IF($C15="","",NF($B15,"Contacto proveedor")))</t>
  </si>
  <si>
    <t>=IF($C15=$C14,"",IF($C15="","",NF($B15,"Dirección proveedor")))</t>
  </si>
  <si>
    <t>=IF($C15=$C14,"",IF($C15="","",NF($B15,"CP proveedor")))</t>
  </si>
  <si>
    <t>=IF($C15=$C14,"",IF($C15="","",NF($B15,"Población proveedor")))</t>
  </si>
  <si>
    <t>=IF($C15=$C14,"",IF($C15="","",NF($B15,"Provincia proveedor")))</t>
  </si>
  <si>
    <t>=IF($C15=$C14,"",IF($C15="","",NF($B15,"País proveedor")))</t>
  </si>
  <si>
    <t>=IF($C15=$C14,"",IF($C15="","",NF($B15,"Cód_ Servicio solicitado Fact_")))</t>
  </si>
  <si>
    <t>=IF($C15=$C14,"",IF($C15="","",NF($B15,"bultosP")))</t>
  </si>
  <si>
    <t>=IF($C15=$C14,"",IF($C15="","",NF($B15,"palesP")))</t>
  </si>
  <si>
    <t>=IF($C15=$C14,"",IF($C15="","",NF($B15,"Peso facturable")))</t>
  </si>
  <si>
    <t>=IF($C15="","",NF($B15,"Cód_ producto cliente"))</t>
  </si>
  <si>
    <t>=IF($C15="","",NF($B15,"Descripción ampliada"))</t>
  </si>
  <si>
    <t>=IF($C15="","",NF($B15,"Cantidad confirmada por SGA"))</t>
  </si>
  <si>
    <t>=IF(OR($C15="",$C15=$C14),"",NF($B15,"recepcion")/NF($B15,"numeroexpediciones"))</t>
  </si>
  <si>
    <t>=IF(OR($C15="",$C15=$C14),"",NF($B15,"devolucion")/NF($B15,"numeroexpediciones"))</t>
  </si>
  <si>
    <t>=IF(AG15="","",VALUE(AG15))</t>
  </si>
  <si>
    <t>=IF(OR($C15="",$C15=$C14),"",NF($B15,"franqueo")/NF($B15,"numeroexpediciones"))</t>
  </si>
  <si>
    <t>=IF(OR($C15="",$C15=$C14),"",IF(F15="Recogida",IF(OR($C15="",$C15=$C14),"",NF($B15,"prima")/NF($B15,"numeroexpediciones")),NF($B15,"prima")/NP("Codeunit","Miscelanea","NumeroAlbaranesEnExpedicion",NF($B15,"Nº documento"),,,,,,,,,,"MEDIAPOST SPAIN","Navision")))</t>
  </si>
  <si>
    <t>=IF(OR($C15="",$C15=$C14),"",IF(F15="Recogida",IF(OR($C15="",$C15=$C14),"",NF($B15,"transporte")/NF($B15,"numeroexpediciones")),NF($B15,"transporte")/NP("Codeunit","Miscelanea","NumeroAlbaranesEnExpedicion",NF($B15,"Nº documento"),,,,,,,,,,"MEDIAPOST SPAIN","Navision")))</t>
  </si>
  <si>
    <t>=IF($G15="","",IFERROR(IF(ISBLANK(Z15),0,Z15)+IF(ISBLANK(AA15),0,AA15)+IF(ISBLANK(AB15),0,AB15)+IF(ISBLANK(AC15),0,AC15)+IF(ISBLANK(AD15),0,AD15)+IF(ISBLANK(AE15),0,AE15),0))</t>
  </si>
  <si>
    <t>=IF($J15="","",NL("Suma","Registro activ. Log. detallado","Importe a facturar","Id. Prefactura",IdPrefactura,"Familia concepto","GESTION","No. documento cliente",NF($B15,"Nº documento cliente"),"Tipo de documento","Recepción|Devolución|RMA|Recogida|Rechazo","Datasource=","Navision"))</t>
  </si>
  <si>
    <t>=IF($C16=$C15,"",IF($C16="","",NF($B16,"Id_ Prefactura")))</t>
  </si>
  <si>
    <t>=IF($C16=$C15,"",IF($C16="","",CONCATENATE(NF($B16,"Operativa")," ",NF($B16,"Descripción"))))</t>
  </si>
  <si>
    <t>=IF($C16=$C15,"",IF($C16="","",IF(NF($B16,"Tipo Documento")=0,"Recepción",IF(NF($B16,"Tipo Documento")=1,"Devolución",IF(NF($B16,"Tipo Documento")=2,"Rechazo",IF(NF($B16,"Tipo Documento")=3,"RMA","Recogida"))))))</t>
  </si>
  <si>
    <t>=IF($C16=$C15,"",IF($C16="","",NF($B16,"Nº documento cliente")))</t>
  </si>
  <si>
    <t>=IF($C16=$C15,"",IF($C16="","",NF($B16,"No_ referencia transporte")))</t>
  </si>
  <si>
    <t>=IF($C16=$C15,"",IF($C16="","",NF($B16,"Familia pedido")))</t>
  </si>
  <si>
    <t>=IF($C16=$C15,"",IF($C16="","",NF($B16,"Nº documento")))</t>
  </si>
  <si>
    <t>=IF($C16=$C15,"",IF($C16="","",NF($B16,"Fecha confirmación SGA")))</t>
  </si>
  <si>
    <t>=IF($C16=$C15,"",IF($C16="","",NF($B16,"Nombre proveedor")))</t>
  </si>
  <si>
    <t>=IF($C16=$C15,"",IF($C16="","",NF($B16,"Contacto proveedor")))</t>
  </si>
  <si>
    <t>=IF($C16=$C15,"",IF($C16="","",NF($B16,"Dirección proveedor")))</t>
  </si>
  <si>
    <t>=IF($C16=$C15,"",IF($C16="","",NF($B16,"CP proveedor")))</t>
  </si>
  <si>
    <t>=IF($C16=$C15,"",IF($C16="","",NF($B16,"Población proveedor")))</t>
  </si>
  <si>
    <t>=IF($C16=$C15,"",IF($C16="","",NF($B16,"Provincia proveedor")))</t>
  </si>
  <si>
    <t>=IF($C16=$C15,"",IF($C16="","",NF($B16,"País proveedor")))</t>
  </si>
  <si>
    <t>=IF($C16=$C15,"",IF($C16="","",NF($B16,"Cód_ Servicio solicitado Fact_")))</t>
  </si>
  <si>
    <t>=IF($C16=$C15,"",IF($C16="","",NF($B16,"bultosP")))</t>
  </si>
  <si>
    <t>=IF($C16=$C15,"",IF($C16="","",NF($B16,"palesP")))</t>
  </si>
  <si>
    <t>=IF($C16=$C15,"",IF($C16="","",NF($B16,"Peso facturable")))</t>
  </si>
  <si>
    <t>=IF($C16="","",NF($B16,"Cód_ producto cliente"))</t>
  </si>
  <si>
    <t>=IF($C16="","",NF($B16,"Descripción ampliada"))</t>
  </si>
  <si>
    <t>=IF($C16="","",NF($B16,"Cantidad confirmada por SGA"))</t>
  </si>
  <si>
    <t>=IF(OR($C16="",$C16=$C15),"",NF($B16,"recepcion")/NF($B16,"numeroexpediciones"))</t>
  </si>
  <si>
    <t>=IF(OR($C16="",$C16=$C15),"",NF($B16,"devolucion")/NF($B16,"numeroexpediciones"))</t>
  </si>
  <si>
    <t>=IF(AG16="","",VALUE(AG16))</t>
  </si>
  <si>
    <t>=IF(OR($C16="",$C16=$C15),"",NF($B16,"franqueo")/NF($B16,"numeroexpediciones"))</t>
  </si>
  <si>
    <t>=IF(OR($C16="",$C16=$C15),"",IF(F16="Recogida",IF(OR($C16="",$C16=$C15),"",NF($B16,"prima")/NF($B16,"numeroexpediciones")),NF($B16,"prima")/NP("Codeunit","Miscelanea","NumeroAlbaranesEnExpedicion",NF($B16,"Nº documento"),,,,,,,,,,"MEDIAPOST SPAIN","Navision")))</t>
  </si>
  <si>
    <t>=IF(OR($C16="",$C16=$C15),"",IF(F16="Recogida",IF(OR($C16="",$C16=$C15),"",NF($B16,"transporte")/NF($B16,"numeroexpediciones")),NF($B16,"transporte")/NP("Codeunit","Miscelanea","NumeroAlbaranesEnExpedicion",NF($B16,"Nº documento"),,,,,,,,,,"MEDIAPOST SPAIN","Navision")))</t>
  </si>
  <si>
    <t>=IF($G16="","",IFERROR(IF(ISBLANK(Z16),0,Z16)+IF(ISBLANK(AA16),0,AA16)+IF(ISBLANK(AB16),0,AB16)+IF(ISBLANK(AC16),0,AC16)+IF(ISBLANK(AD16),0,AD16)+IF(ISBLANK(AE16),0,AE16),0))</t>
  </si>
  <si>
    <t>=IF($J16="","",NL("Suma","Registro activ. Log. detallado","Importe a facturar","Id. Prefactura",IdPrefactura,"Familia concepto","GESTION","No. documento cliente",NF($B16,"Nº documento cliente"),"Tipo de documento","Recepción|Devolución|RMA|Recogida|Rechazo","Datasource=","Navision"))</t>
  </si>
  <si>
    <t>=IF($C17=$C16,"",IF($C17="","",NF($B17,"Id_ Prefactura")))</t>
  </si>
  <si>
    <t>=IF($C17=$C16,"",IF($C17="","",CONCATENATE(NF($B17,"Operativa")," ",NF($B17,"Descripción"))))</t>
  </si>
  <si>
    <t>=IF($C17=$C16,"",IF($C17="","",IF(NF($B17,"Tipo Documento")=0,"Recepción",IF(NF($B17,"Tipo Documento")=1,"Devolución",IF(NF($B17,"Tipo Documento")=2,"Rechazo",IF(NF($B17,"Tipo Documento")=3,"RMA","Recogida"))))))</t>
  </si>
  <si>
    <t>=IF($C17=$C16,"",IF($C17="","",NF($B17,"Nº documento cliente")))</t>
  </si>
  <si>
    <t>=IF($C17=$C16,"",IF($C17="","",NF($B17,"No_ referencia transporte")))</t>
  </si>
  <si>
    <t>=IF($C17=$C16,"",IF($C17="","",NF($B17,"Familia pedido")))</t>
  </si>
  <si>
    <t>=IF($C17=$C16,"",IF($C17="","",NF($B17,"Nº documento")))</t>
  </si>
  <si>
    <t>=IF($C17=$C16,"",IF($C17="","",NF($B17,"Fecha confirmación SGA")))</t>
  </si>
  <si>
    <t>=IF($C17=$C16,"",IF($C17="","",NF($B17,"Nombre proveedor")))</t>
  </si>
  <si>
    <t>=IF($C17=$C16,"",IF($C17="","",NF($B17,"Contacto proveedor")))</t>
  </si>
  <si>
    <t>=IF($C17=$C16,"",IF($C17="","",NF($B17,"Dirección proveedor")))</t>
  </si>
  <si>
    <t>=IF($C17=$C16,"",IF($C17="","",NF($B17,"CP proveedor")))</t>
  </si>
  <si>
    <t>=IF($C17=$C16,"",IF($C17="","",NF($B17,"Población proveedor")))</t>
  </si>
  <si>
    <t>=IF($C17=$C16,"",IF($C17="","",NF($B17,"Provincia proveedor")))</t>
  </si>
  <si>
    <t>=IF($C17=$C16,"",IF($C17="","",NF($B17,"País proveedor")))</t>
  </si>
  <si>
    <t>=IF($C17=$C16,"",IF($C17="","",NF($B17,"Cód_ Servicio solicitado Fact_")))</t>
  </si>
  <si>
    <t>=IF($C17=$C16,"",IF($C17="","",NF($B17,"bultosP")))</t>
  </si>
  <si>
    <t>=IF($C17=$C16,"",IF($C17="","",NF($B17,"palesP")))</t>
  </si>
  <si>
    <t>=IF($C17=$C16,"",IF($C17="","",NF($B17,"Peso facturable")))</t>
  </si>
  <si>
    <t>=IF($C17="","",NF($B17,"Cód_ producto cliente"))</t>
  </si>
  <si>
    <t>=IF($C17="","",NF($B17,"Descripción ampliada"))</t>
  </si>
  <si>
    <t>=IF($C17="","",NF($B17,"Cantidad confirmada por SGA"))</t>
  </si>
  <si>
    <t>=IF(OR($C17="",$C17=$C16),"",NF($B17,"recepcion")/NF($B17,"numeroexpediciones"))</t>
  </si>
  <si>
    <t>=IF(OR($C17="",$C17=$C16),"",NF($B17,"devolucion")/NF($B17,"numeroexpediciones"))</t>
  </si>
  <si>
    <t>=IF(AG17="","",VALUE(AG17))</t>
  </si>
  <si>
    <t>=IF(OR($C17="",$C17=$C16),"",NF($B17,"franqueo")/NF($B17,"numeroexpediciones"))</t>
  </si>
  <si>
    <t>=IF(OR($C17="",$C17=$C16),"",IF(F17="Recogida",IF(OR($C17="",$C17=$C16),"",NF($B17,"prima")/NF($B17,"numeroexpediciones")),NF($B17,"prima")/NP("Codeunit","Miscelanea","NumeroAlbaranesEnExpedicion",NF($B17,"Nº documento"),,,,,,,,,,"MEDIAPOST SPAIN","Navision")))</t>
  </si>
  <si>
    <t>=IF(OR($C17="",$C17=$C16),"",IF(F17="Recogida",IF(OR($C17="",$C17=$C16),"",NF($B17,"transporte")/NF($B17,"numeroexpediciones")),NF($B17,"transporte")/NP("Codeunit","Miscelanea","NumeroAlbaranesEnExpedicion",NF($B17,"Nº documento"),,,,,,,,,,"MEDIAPOST SPAIN","Navision")))</t>
  </si>
  <si>
    <t>=IF($G17="","",IFERROR(IF(ISBLANK(Z17),0,Z17)+IF(ISBLANK(AA17),0,AA17)+IF(ISBLANK(AB17),0,AB17)+IF(ISBLANK(AC17),0,AC17)+IF(ISBLANK(AD17),0,AD17)+IF(ISBLANK(AE17),0,AE17),0))</t>
  </si>
  <si>
    <t>=IF($J17="","",NL("Suma","Registro activ. Log. detallado","Importe a facturar","Id. Prefactura",IdPrefactura,"Familia concepto","GESTION","No. documento cliente",NF($B17,"Nº documento cliente"),"Tipo de documento","Recepción|Devolución|RMA|Recogida|Rechazo","Datasource=","Navision"))</t>
  </si>
  <si>
    <t>=IF($C18=$C17,"",IF($C18="","",NF($B18,"Id_ Prefactura")))</t>
  </si>
  <si>
    <t>=IF($C18=$C17,"",IF($C18="","",CONCATENATE(NF($B18,"Operativa")," ",NF($B18,"Descripción"))))</t>
  </si>
  <si>
    <t>=IF($C18=$C17,"",IF($C18="","",IF(NF($B18,"Tipo Documento")=0,"Recepción",IF(NF($B18,"Tipo Documento")=1,"Devolución",IF(NF($B18,"Tipo Documento")=2,"Rechazo",IF(NF($B18,"Tipo Documento")=3,"RMA","Recogida"))))))</t>
  </si>
  <si>
    <t>=IF($C18=$C17,"",IF($C18="","",NF($B18,"Nº documento cliente")))</t>
  </si>
  <si>
    <t>=IF($C18=$C17,"",IF($C18="","",NF($B18,"No_ referencia transporte")))</t>
  </si>
  <si>
    <t>=IF($C18=$C17,"",IF($C18="","",NF($B18,"Familia pedido")))</t>
  </si>
  <si>
    <t>=IF($C18=$C17,"",IF($C18="","",NF($B18,"Nº documento")))</t>
  </si>
  <si>
    <t>=IF($C18=$C17,"",IF($C18="","",NF($B18,"Fecha confirmación SGA")))</t>
  </si>
  <si>
    <t>=IF($C18=$C17,"",IF($C18="","",NF($B18,"Nombre proveedor")))</t>
  </si>
  <si>
    <t>=IF($C18=$C17,"",IF($C18="","",NF($B18,"Contacto proveedor")))</t>
  </si>
  <si>
    <t>=IF($C18=$C17,"",IF($C18="","",NF($B18,"Dirección proveedor")))</t>
  </si>
  <si>
    <t>=IF($C18=$C17,"",IF($C18="","",NF($B18,"CP proveedor")))</t>
  </si>
  <si>
    <t>=IF($C18=$C17,"",IF($C18="","",NF($B18,"Población proveedor")))</t>
  </si>
  <si>
    <t>=IF($C18=$C17,"",IF($C18="","",NF($B18,"Provincia proveedor")))</t>
  </si>
  <si>
    <t>=IF($C18=$C17,"",IF($C18="","",NF($B18,"País proveedor")))</t>
  </si>
  <si>
    <t>=IF($C18=$C17,"",IF($C18="","",NF($B18,"Cód_ Servicio solicitado Fact_")))</t>
  </si>
  <si>
    <t>=IF($C18=$C17,"",IF($C18="","",NF($B18,"bultosP")))</t>
  </si>
  <si>
    <t>=IF($C18=$C17,"",IF($C18="","",NF($B18,"palesP")))</t>
  </si>
  <si>
    <t>=IF($C18=$C17,"",IF($C18="","",NF($B18,"Peso facturable")))</t>
  </si>
  <si>
    <t>=IF($C18="","",NF($B18,"Cód_ producto cliente"))</t>
  </si>
  <si>
    <t>=IF($C18="","",NF($B18,"Descripción ampliada"))</t>
  </si>
  <si>
    <t>=IF($C18="","",NF($B18,"Cantidad confirmada por SGA"))</t>
  </si>
  <si>
    <t>=IF(OR($C18="",$C18=$C17),"",NF($B18,"recepcion")/NF($B18,"numeroexpediciones"))</t>
  </si>
  <si>
    <t>=IF(OR($C18="",$C18=$C17),"",NF($B18,"devolucion")/NF($B18,"numeroexpediciones"))</t>
  </si>
  <si>
    <t>=IF(AG18="","",VALUE(AG18))</t>
  </si>
  <si>
    <t>=IF(OR($C18="",$C18=$C17),"",NF($B18,"franqueo")/NF($B18,"numeroexpediciones"))</t>
  </si>
  <si>
    <t>=IF(OR($C18="",$C18=$C17),"",IF(F18="Recogida",IF(OR($C18="",$C18=$C17),"",NF($B18,"prima")/NF($B18,"numeroexpediciones")),NF($B18,"prima")/NP("Codeunit","Miscelanea","NumeroAlbaranesEnExpedicion",NF($B18,"Nº documento"),,,,,,,,,,"MEDIAPOST SPAIN","Navision")))</t>
  </si>
  <si>
    <t>=IF(OR($C18="",$C18=$C17),"",IF(F18="Recogida",IF(OR($C18="",$C18=$C17),"",NF($B18,"transporte")/NF($B18,"numeroexpediciones")),NF($B18,"transporte")/NP("Codeunit","Miscelanea","NumeroAlbaranesEnExpedicion",NF($B18,"Nº documento"),,,,,,,,,,"MEDIAPOST SPAIN","Navision")))</t>
  </si>
  <si>
    <t>=IF($G18="","",IFERROR(IF(ISBLANK(Z18),0,Z18)+IF(ISBLANK(AA18),0,AA18)+IF(ISBLANK(AB18),0,AB18)+IF(ISBLANK(AC18),0,AC18)+IF(ISBLANK(AD18),0,AD18)+IF(ISBLANK(AE18),0,AE18),0))</t>
  </si>
  <si>
    <t>=IF($J18="","",NL("Suma","Registro activ. Log. detallado","Importe a facturar","Id. Prefactura",IdPrefactura,"Familia concepto","GESTION","No. documento cliente",NF($B18,"Nº documento cliente"),"Tipo de documento","Recepción|Devolución|RMA|Recogida|Rechazo","Datasource=","Navision"))</t>
  </si>
  <si>
    <t>=IF($C19=$C18,"",IF($C19="","",NF($B19,"Id_ Prefactura")))</t>
  </si>
  <si>
    <t>=IF($C19=$C18,"",IF($C19="","",CONCATENATE(NF($B19,"Operativa")," ",NF($B19,"Descripción"))))</t>
  </si>
  <si>
    <t>=IF($C19=$C18,"",IF($C19="","",IF(NF($B19,"Tipo Documento")=0,"Recepción",IF(NF($B19,"Tipo Documento")=1,"Devolución",IF(NF($B19,"Tipo Documento")=2,"Rechazo",IF(NF($B19,"Tipo Documento")=3,"RMA","Recogida"))))))</t>
  </si>
  <si>
    <t>=IF($C19=$C18,"",IF($C19="","",NF($B19,"Nº documento cliente")))</t>
  </si>
  <si>
    <t>=IF($C19=$C18,"",IF($C19="","",NF($B19,"No_ referencia transporte")))</t>
  </si>
  <si>
    <t>=IF($C19=$C18,"",IF($C19="","",NF($B19,"Familia pedido")))</t>
  </si>
  <si>
    <t>=IF($C19=$C18,"",IF($C19="","",NF($B19,"Nº documento")))</t>
  </si>
  <si>
    <t>=IF($C19=$C18,"",IF($C19="","",NF($B19,"Fecha confirmación SGA")))</t>
  </si>
  <si>
    <t>=IF($C19=$C18,"",IF($C19="","",NF($B19,"Nombre proveedor")))</t>
  </si>
  <si>
    <t>=IF($C19=$C18,"",IF($C19="","",NF($B19,"Contacto proveedor")))</t>
  </si>
  <si>
    <t>=IF($C19=$C18,"",IF($C19="","",NF($B19,"Dirección proveedor")))</t>
  </si>
  <si>
    <t>=IF($C19=$C18,"",IF($C19="","",NF($B19,"CP proveedor")))</t>
  </si>
  <si>
    <t>=IF($C19=$C18,"",IF($C19="","",NF($B19,"Población proveedor")))</t>
  </si>
  <si>
    <t>=IF($C19=$C18,"",IF($C19="","",NF($B19,"Provincia proveedor")))</t>
  </si>
  <si>
    <t>=IF($C19=$C18,"",IF($C19="","",NF($B19,"País proveedor")))</t>
  </si>
  <si>
    <t>=IF($C19=$C18,"",IF($C19="","",NF($B19,"Cód_ Servicio solicitado Fact_")))</t>
  </si>
  <si>
    <t>=IF($C19=$C18,"",IF($C19="","",NF($B19,"bultosP")))</t>
  </si>
  <si>
    <t>=IF($C19=$C18,"",IF($C19="","",NF($B19,"palesP")))</t>
  </si>
  <si>
    <t>=IF($C19=$C18,"",IF($C19="","",NF($B19,"Peso facturable")))</t>
  </si>
  <si>
    <t>=IF($C19="","",NF($B19,"Cód_ producto cliente"))</t>
  </si>
  <si>
    <t>=IF($C19="","",NF($B19,"Descripción ampliada"))</t>
  </si>
  <si>
    <t>=IF($C19="","",NF($B19,"Cantidad confirmada por SGA"))</t>
  </si>
  <si>
    <t>=IF(OR($C19="",$C19=$C18),"",NF($B19,"recepcion")/NF($B19,"numeroexpediciones"))</t>
  </si>
  <si>
    <t>=IF(OR($C19="",$C19=$C18),"",NF($B19,"devolucion")/NF($B19,"numeroexpediciones"))</t>
  </si>
  <si>
    <t>=IF(AG19="","",VALUE(AG19))</t>
  </si>
  <si>
    <t>=IF(OR($C19="",$C19=$C18),"",NF($B19,"franqueo")/NF($B19,"numeroexpediciones"))</t>
  </si>
  <si>
    <t>=IF(OR($C19="",$C19=$C18),"",IF(F19="Recogida",IF(OR($C19="",$C19=$C18),"",NF($B19,"prima")/NF($B19,"numeroexpediciones")),NF($B19,"prima")/NP("Codeunit","Miscelanea","NumeroAlbaranesEnExpedicion",NF($B19,"Nº documento"),,,,,,,,,,"MEDIAPOST SPAIN","Navision")))</t>
  </si>
  <si>
    <t>=IF(OR($C19="",$C19=$C18),"",IF(F19="Recogida",IF(OR($C19="",$C19=$C18),"",NF($B19,"transporte")/NF($B19,"numeroexpediciones")),NF($B19,"transporte")/NP("Codeunit","Miscelanea","NumeroAlbaranesEnExpedicion",NF($B19,"Nº documento"),,,,,,,,,,"MEDIAPOST SPAIN","Navision")))</t>
  </si>
  <si>
    <t>=IF($G19="","",IFERROR(IF(ISBLANK(Z19),0,Z19)+IF(ISBLANK(AA19),0,AA19)+IF(ISBLANK(AB19),0,AB19)+IF(ISBLANK(AC19),0,AC19)+IF(ISBLANK(AD19),0,AD19)+IF(ISBLANK(AE19),0,AE19),0))</t>
  </si>
  <si>
    <t>=IF($J19="","",NL("Suma","Registro activ. Log. detallado","Importe a facturar","Id. Prefactura",IdPrefactura,"Familia concepto","GESTION","No. documento cliente",NF($B19,"Nº documento cliente"),"Tipo de documento","Recepción|Devolución|RMA|Recogida|Rechazo","Datasource=","Navision"))</t>
  </si>
  <si>
    <t>=IF($C20=$C19,"",IF($C20="","",NF($B20,"Id_ Prefactura")))</t>
  </si>
  <si>
    <t>=IF($C20=$C19,"",IF($C20="","",CONCATENATE(NF($B20,"Operativa")," ",NF($B20,"Descripción"))))</t>
  </si>
  <si>
    <t>=IF($C20=$C19,"",IF($C20="","",IF(NF($B20,"Tipo Documento")=0,"Recepción",IF(NF($B20,"Tipo Documento")=1,"Devolución",IF(NF($B20,"Tipo Documento")=2,"Rechazo",IF(NF($B20,"Tipo Documento")=3,"RMA","Recogida"))))))</t>
  </si>
  <si>
    <t>=IF($C20=$C19,"",IF($C20="","",NF($B20,"Nº documento cliente")))</t>
  </si>
  <si>
    <t>=IF($C20=$C19,"",IF($C20="","",NF($B20,"No_ referencia transporte")))</t>
  </si>
  <si>
    <t>=IF($C20=$C19,"",IF($C20="","",NF($B20,"Familia pedido")))</t>
  </si>
  <si>
    <t>=IF($C20=$C19,"",IF($C20="","",NF($B20,"Nº documento")))</t>
  </si>
  <si>
    <t>=IF($C20=$C19,"",IF($C20="","",NF($B20,"Fecha confirmación SGA")))</t>
  </si>
  <si>
    <t>=IF($C20=$C19,"",IF($C20="","",NF($B20,"Nombre proveedor")))</t>
  </si>
  <si>
    <t>=IF($C20=$C19,"",IF($C20="","",NF($B20,"Contacto proveedor")))</t>
  </si>
  <si>
    <t>=IF($C20=$C19,"",IF($C20="","",NF($B20,"Dirección proveedor")))</t>
  </si>
  <si>
    <t>=IF($C20=$C19,"",IF($C20="","",NF($B20,"CP proveedor")))</t>
  </si>
  <si>
    <t>=IF($C20=$C19,"",IF($C20="","",NF($B20,"Población proveedor")))</t>
  </si>
  <si>
    <t>=IF($C20=$C19,"",IF($C20="","",NF($B20,"Provincia proveedor")))</t>
  </si>
  <si>
    <t>=IF($C20=$C19,"",IF($C20="","",NF($B20,"País proveedor")))</t>
  </si>
  <si>
    <t>=IF($C20=$C19,"",IF($C20="","",NF($B20,"Cód_ Servicio solicitado Fact_")))</t>
  </si>
  <si>
    <t>=IF($C20=$C19,"",IF($C20="","",NF($B20,"bultosP")))</t>
  </si>
  <si>
    <t>=IF($C20=$C19,"",IF($C20="","",NF($B20,"palesP")))</t>
  </si>
  <si>
    <t>=IF($C20=$C19,"",IF($C20="","",NF($B20,"Peso facturable")))</t>
  </si>
  <si>
    <t>=IF($C20="","",NF($B20,"Cód_ producto cliente"))</t>
  </si>
  <si>
    <t>=IF($C20="","",NF($B20,"Descripción ampliada"))</t>
  </si>
  <si>
    <t>=IF($C20="","",NF($B20,"Cantidad confirmada por SGA"))</t>
  </si>
  <si>
    <t>=IF(OR($C20="",$C20=$C19),"",NF($B20,"recepcion")/NF($B20,"numeroexpediciones"))</t>
  </si>
  <si>
    <t>=IF(OR($C20="",$C20=$C19),"",NF($B20,"devolucion")/NF($B20,"numeroexpediciones"))</t>
  </si>
  <si>
    <t>=IF(AG20="","",VALUE(AG20))</t>
  </si>
  <si>
    <t>=IF(OR($C20="",$C20=$C19),"",NF($B20,"franqueo")/NF($B20,"numeroexpediciones"))</t>
  </si>
  <si>
    <t>=IF(OR($C20="",$C20=$C19),"",IF(F20="Recogida",IF(OR($C20="",$C20=$C19),"",NF($B20,"prima")/NF($B20,"numeroexpediciones")),NF($B20,"prima")/NP("Codeunit","Miscelanea","NumeroAlbaranesEnExpedicion",NF($B20,"Nº documento"),,,,,,,,,,"MEDIAPOST SPAIN","Navision")))</t>
  </si>
  <si>
    <t>=IF(OR($C20="",$C20=$C19),"",IF(F20="Recogida",IF(OR($C20="",$C20=$C19),"",NF($B20,"transporte")/NF($B20,"numeroexpediciones")),NF($B20,"transporte")/NP("Codeunit","Miscelanea","NumeroAlbaranesEnExpedicion",NF($B20,"Nº documento"),,,,,,,,,,"MEDIAPOST SPAIN","Navision")))</t>
  </si>
  <si>
    <t>=IF($G20="","",IFERROR(IF(ISBLANK(Z20),0,Z20)+IF(ISBLANK(AA20),0,AA20)+IF(ISBLANK(AB20),0,AB20)+IF(ISBLANK(AC20),0,AC20)+IF(ISBLANK(AD20),0,AD20)+IF(ISBLANK(AE20),0,AE20),0))</t>
  </si>
  <si>
    <t>=IF($J20="","",NL("Suma","Registro activ. Log. detallado","Importe a facturar","Id. Prefactura",IdPrefactura,"Familia concepto","GESTION","No. documento cliente",NF($B20,"Nº documento cliente"),"Tipo de documento","Recepción|Devolución|RMA|Recogida|Rechazo","Datasource=","Navision"))</t>
  </si>
  <si>
    <t>=IF($C21=$C20,"",IF($C21="","",NF($B21,"Id_ Prefactura")))</t>
  </si>
  <si>
    <t>=IF($C21=$C20,"",IF($C21="","",NF($B21,"No_ referencia transporte")))</t>
  </si>
  <si>
    <t>=IF($C21=$C20,"",IF($C21="","",NF($B21,"Familia pedido")))</t>
  </si>
  <si>
    <t>=IF($C21=$C20,"",IF($C21="","",NF($B21,"Fecha confirmación SGA")))</t>
  </si>
  <si>
    <t>=IF($C21=$C20,"",IF($C21="","",NF($B21,"Cód_ Servicio solicitado Fact_")))</t>
  </si>
  <si>
    <t>=IF($C21=$C20,"",IF($C21="","",NF($B21,"bultosP")))</t>
  </si>
  <si>
    <t>=IF($C22=$C21,"",IF($C22="","",NF($B22,"Id_ Prefactura")))</t>
  </si>
  <si>
    <t>=IF($C22=$C21,"",IF($C22="","",NF($B22,"No_ referencia transporte")))</t>
  </si>
  <si>
    <t>=IF($C22=$C21,"",IF($C22="","",NF($B22,"Familia pedido")))</t>
  </si>
  <si>
    <t>=IF($C22=$C21,"",IF($C22="","",NF($B22,"Fecha confirmación SGA")))</t>
  </si>
  <si>
    <t>=IF($C22=$C21,"",IF($C22="","",NF($B22,"Cód_ Servicio solicitado Fact_")))</t>
  </si>
  <si>
    <t>=IF($C22=$C21,"",IF($C22="","",NF($B22,"bultosP")))</t>
  </si>
  <si>
    <t>=IF($C23=$C22,"",IF($C23="","",NF($B23,"Id_ Prefactura")))</t>
  </si>
  <si>
    <t>=IF($C23=$C22,"",IF($C23="","",NF($B23,"No_ referencia transporte")))</t>
  </si>
  <si>
    <t>=IF($C23=$C22,"",IF($C23="","",NF($B23,"Familia pedido")))</t>
  </si>
  <si>
    <t>=IF($C23=$C22,"",IF($C23="","",NF($B23,"Fecha confirmación SGA")))</t>
  </si>
  <si>
    <t>=IF($C23=$C22,"",IF($C23="","",NF($B23,"Cód_ Servicio solicitado Fact_")))</t>
  </si>
  <si>
    <t>=IF($C23=$C22,"",IF($C23="","",NF($B23,"bultosP")))</t>
  </si>
  <si>
    <t>=IF($C24=$C23,"",IF($C24="","",NF($B24,"Id_ Prefactura")))</t>
  </si>
  <si>
    <t>=IF($C24=$C23,"",IF($C24="","",NF($B24,"No_ referencia transporte")))</t>
  </si>
  <si>
    <t>=IF($C24=$C23,"",IF($C24="","",NF($B24,"Familia pedido")))</t>
  </si>
  <si>
    <t>=IF($C24=$C23,"",IF($C24="","",NF($B24,"Fecha confirmación SGA")))</t>
  </si>
  <si>
    <t>=IF($C24=$C23,"",IF($C24="","",NF($B24,"Cód_ Servicio solicitado Fact_")))</t>
  </si>
  <si>
    <t>=IF($C24=$C23,"",IF($C24="","",NF($B24,"bultosP")))</t>
  </si>
  <si>
    <t>=IF($C25=$C24,"",IF($C25="","",NF($B25,"Id_ Prefactura")))</t>
  </si>
  <si>
    <t>=IF($C25=$C24,"",IF($C25="","",NF($B25,"No_ referencia transporte")))</t>
  </si>
  <si>
    <t>=IF($C25=$C24,"",IF($C25="","",NF($B25,"Familia pedido")))</t>
  </si>
  <si>
    <t>=IF($C25=$C24,"",IF($C25="","",NF($B25,"Fecha confirmación SGA")))</t>
  </si>
  <si>
    <t>=IF($C25=$C24,"",IF($C25="","",NF($B25,"Cód_ Servicio solicitado Fact_")))</t>
  </si>
  <si>
    <t>=IF($C25=$C24,"",IF($C25="","",NF($B25,"bultosP")))</t>
  </si>
  <si>
    <t>=IF($C26=$C25,"",IF($C26="","",NF($B26,"Id_ Prefactura")))</t>
  </si>
  <si>
    <t>=IF($C26=$C25,"",IF($C26="","",NF($B26,"No_ referencia transporte")))</t>
  </si>
  <si>
    <t>=IF($C26=$C25,"",IF($C26="","",NF($B26,"Familia pedido")))</t>
  </si>
  <si>
    <t>=IF($C26=$C25,"",IF($C26="","",NF($B26,"Fecha confirmación SGA")))</t>
  </si>
  <si>
    <t>=IF($C26=$C25,"",IF($C26="","",NF($B26,"Cód_ Servicio solicitado Fact_")))</t>
  </si>
  <si>
    <t>=IF($C26=$C25,"",IF($C26="","",NF($B26,"bultosP")))</t>
  </si>
  <si>
    <t>=IF($C27=$C26,"",IF($C27="","",NF($B27,"Id_ Prefactura")))</t>
  </si>
  <si>
    <t>=IF($C27=$C26,"",IF($C27="","",NF($B27,"No_ referencia transporte")))</t>
  </si>
  <si>
    <t>=IF($C27=$C26,"",IF($C27="","",NF($B27,"Familia pedido")))</t>
  </si>
  <si>
    <t>=IF($C27=$C26,"",IF($C27="","",NF($B27,"Fecha confirmación SGA")))</t>
  </si>
  <si>
    <t>=IF($C27=$C26,"",IF($C27="","",NF($B27,"Cód_ Servicio solicitado Fact_")))</t>
  </si>
  <si>
    <t>=IF($C27=$C26,"",IF($C27="","",NF($B27,"bultosP")))</t>
  </si>
  <si>
    <t>=IF($C28=$C27,"",IF($C28="","",NF($B28,"Id_ Prefactura")))</t>
  </si>
  <si>
    <t>=IF($C28=$C27,"",IF($C28="","",NF($B28,"No_ referencia transporte")))</t>
  </si>
  <si>
    <t>=IF($C28=$C27,"",IF($C28="","",NF($B28,"Familia pedido")))</t>
  </si>
  <si>
    <t>=IF($C28=$C27,"",IF($C28="","",NF($B28,"Fecha confirmación SGA")))</t>
  </si>
  <si>
    <t>=IF($C28=$C27,"",IF($C28="","",NF($B28,"Cód_ Servicio solicitado Fact_")))</t>
  </si>
  <si>
    <t>=IF($C28=$C27,"",IF($C28="","",NF($B28,"bultosP")))</t>
  </si>
  <si>
    <t>=IF($C29=$C28,"",IF($C29="","",NF($B29,"Id_ Prefactura")))</t>
  </si>
  <si>
    <t>=IF($C29=$C28,"",IF($C29="","",NF($B29,"No_ referencia transporte")))</t>
  </si>
  <si>
    <t>=IF($C29=$C28,"",IF($C29="","",NF($B29,"Familia pedido")))</t>
  </si>
  <si>
    <t>=IF($C29=$C28,"",IF($C29="","",NF($B29,"Fecha confirmación SGA")))</t>
  </si>
  <si>
    <t>=IF($C29=$C28,"",IF($C29="","",NF($B29,"Cód_ Servicio solicitado Fact_")))</t>
  </si>
  <si>
    <t>=IF($C29=$C28,"",IF($C29="","",NF($B29,"bultosP")))</t>
  </si>
  <si>
    <t>=IF($C30=$C29,"",IF($C30="","",NF($B30,"Id_ Prefactura")))</t>
  </si>
  <si>
    <t>=IF($C30=$C29,"",IF($C30="","",NF($B30,"No_ referencia transporte")))</t>
  </si>
  <si>
    <t>=IF($C30=$C29,"",IF($C30="","",NF($B30,"Familia pedido")))</t>
  </si>
  <si>
    <t>=IF($C30=$C29,"",IF($C30="","",NF($B30,"Fecha confirmación SGA")))</t>
  </si>
  <si>
    <t>=IF($C30=$C29,"",IF($C30="","",NF($B30,"Cód_ Servicio solicitado Fact_")))</t>
  </si>
  <si>
    <t>=IF($C30=$C29,"",IF($C30="","",NF($B30,"bultosP")))</t>
  </si>
  <si>
    <t>=IF($C31=$C30,"",IF($C31="","",NF($B31,"Id_ Prefactura")))</t>
  </si>
  <si>
    <t>=IF($C31=$C30,"",IF($C31="","",NF($B31,"No_ referencia transporte")))</t>
  </si>
  <si>
    <t>=IF($C31=$C30,"",IF($C31="","",NF($B31,"Familia pedido")))</t>
  </si>
  <si>
    <t>=IF($C31=$C30,"",IF($C31="","",NF($B31,"Fecha confirmación SGA")))</t>
  </si>
  <si>
    <t>=IF($C31=$C30,"",IF($C31="","",NF($B31,"Cód_ Servicio solicitado Fact_")))</t>
  </si>
  <si>
    <t>=IF($C31=$C30,"",IF($C31="","",NF($B31,"bultosP")))</t>
  </si>
  <si>
    <t>=IF($C32=$C31,"",IF($C32="","",NF($B32,"Id_ Prefactura")))</t>
  </si>
  <si>
    <t>=IF($C32=$C31,"",IF($C32="","",NF($B32,"No_ referencia transporte")))</t>
  </si>
  <si>
    <t>=IF($C32=$C31,"",IF($C32="","",NF($B32,"Familia pedido")))</t>
  </si>
  <si>
    <t>=IF($C32=$C31,"",IF($C32="","",NF($B32,"Fecha confirmación SGA")))</t>
  </si>
  <si>
    <t>=IF($C32=$C31,"",IF($C32="","",NF($B32,"Cód_ Servicio solicitado Fact_")))</t>
  </si>
  <si>
    <t>=IF($C32=$C31,"",IF($C32="","",NF($B32,"bultosP")))</t>
  </si>
  <si>
    <t>=IF($C33=$C32,"",IF($C33="","",NF($B33,"Id_ Prefactura")))</t>
  </si>
  <si>
    <t>=IF($C33=$C32,"",IF($C33="","",NF($B33,"No_ referencia transporte")))</t>
  </si>
  <si>
    <t>=IF($C33=$C32,"",IF($C33="","",NF($B33,"Familia pedido")))</t>
  </si>
  <si>
    <t>=IF($C33=$C32,"",IF($C33="","",NF($B33,"Fecha confirmación SGA")))</t>
  </si>
  <si>
    <t>=IF($C33=$C32,"",IF($C33="","",NF($B33,"Cód_ Servicio solicitado Fact_")))</t>
  </si>
  <si>
    <t>=IF($C33=$C32,"",IF($C33="","",NF($B33,"bultosP")))</t>
  </si>
  <si>
    <t>=IF($C34=$C33,"",IF($C34="","",NF($B34,"Id_ Prefactura")))</t>
  </si>
  <si>
    <t>=IF($C34=$C33,"",IF($C34="","",NF($B34,"No_ referencia transporte")))</t>
  </si>
  <si>
    <t>=IF($C34=$C33,"",IF($C34="","",NF($B34,"Familia pedido")))</t>
  </si>
  <si>
    <t>=IF($C34=$C33,"",IF($C34="","",NF($B34,"Fecha confirmación SGA")))</t>
  </si>
  <si>
    <t>=IF($C34=$C33,"",IF($C34="","",NF($B34,"Cód_ Servicio solicitado Fact_")))</t>
  </si>
  <si>
    <t>=IF($C34=$C33,"",IF($C34="","",NF($B34,"bultosP")))</t>
  </si>
  <si>
    <t>=IF($C35=$C34,"",IF($C35="","",NF($B35,"Id_ Prefactura")))</t>
  </si>
  <si>
    <t>=IF($C35=$C34,"",IF($C35="","",NF($B35,"No_ referencia transporte")))</t>
  </si>
  <si>
    <t>=IF($C35=$C34,"",IF($C35="","",NF($B35,"Familia pedido")))</t>
  </si>
  <si>
    <t>=IF($C35=$C34,"",IF($C35="","",NF($B35,"Fecha confirmación SGA")))</t>
  </si>
  <si>
    <t>=IF($C35=$C34,"",IF($C35="","",NF($B35,"Cód_ Servicio solicitado Fact_")))</t>
  </si>
  <si>
    <t>=IF($C35=$C34,"",IF($C35="","",NF($B35,"bultosP")))</t>
  </si>
  <si>
    <t>=IF($C36=$C35,"",IF($C36="","",NF($B36,"Id_ Prefactura")))</t>
  </si>
  <si>
    <t>=IF($C36=$C35,"",IF($C36="","",NF($B36,"No_ referencia transporte")))</t>
  </si>
  <si>
    <t>=IF($C36=$C35,"",IF($C36="","",NF($B36,"Familia pedido")))</t>
  </si>
  <si>
    <t>=IF($C36=$C35,"",IF($C36="","",NF($B36,"Fecha confirmación SGA")))</t>
  </si>
  <si>
    <t>=IF($C36=$C35,"",IF($C36="","",NF($B36,"Cód_ Servicio solicitado Fact_")))</t>
  </si>
  <si>
    <t>=IF($C36=$C35,"",IF($C36="","",NF($B36,"bultosP")))</t>
  </si>
  <si>
    <t>=IF($C37=$C36,"",IF($C37="","",NF($B37,"Id_ Prefactura")))</t>
  </si>
  <si>
    <t>=IF($C37=$C36,"",IF($C37="","",NF($B37,"No_ referencia transporte")))</t>
  </si>
  <si>
    <t>=IF($C37=$C36,"",IF($C37="","",NF($B37,"Familia pedido")))</t>
  </si>
  <si>
    <t>=IF($C37=$C36,"",IF($C37="","",NF($B37,"Fecha confirmación SGA")))</t>
  </si>
  <si>
    <t>=IF($C37=$C36,"",IF($C37="","",NF($B37,"Cód_ Servicio solicitado Fact_")))</t>
  </si>
  <si>
    <t>=IF($C37=$C36,"",IF($C37="","",NF($B37,"bultosP")))</t>
  </si>
  <si>
    <t>=IF($C38=$C37,"",IF($C38="","",NF($B38,"Id_ Prefactura")))</t>
  </si>
  <si>
    <t>=IF($C38=$C37,"",IF($C38="","",NF($B38,"No_ referencia transporte")))</t>
  </si>
  <si>
    <t>=IF($C38=$C37,"",IF($C38="","",NF($B38,"Familia pedido")))</t>
  </si>
  <si>
    <t>=IF($C38=$C37,"",IF($C38="","",NF($B38,"Fecha confirmación SGA")))</t>
  </si>
  <si>
    <t>=IF($C38=$C37,"",IF($C38="","",NF($B38,"Cód_ Servicio solicitado Fact_")))</t>
  </si>
  <si>
    <t>=IF($C38=$C37,"",IF($C38="","",NF($B38,"bultosP")))</t>
  </si>
  <si>
    <t>=IF($C39=$C38,"",IF($C39="","",NF($B39,"Id_ Prefactura")))</t>
  </si>
  <si>
    <t>=IF($C39=$C38,"",IF($C39="","",NF($B39,"No_ referencia transporte")))</t>
  </si>
  <si>
    <t>=IF($C39=$C38,"",IF($C39="","",NF($B39,"Familia pedido")))</t>
  </si>
  <si>
    <t>=IF($C39=$C38,"",IF($C39="","",NF($B39,"Fecha confirmación SGA")))</t>
  </si>
  <si>
    <t>=IF($C39=$C38,"",IF($C39="","",NF($B39,"Cód_ Servicio solicitado Fact_")))</t>
  </si>
  <si>
    <t>=IF($C39=$C38,"",IF($C39="","",NF($B39,"bultosP")))</t>
  </si>
  <si>
    <t>=IF($C40=$C39,"",IF($C40="","",NF($B40,"Id_ Prefactura")))</t>
  </si>
  <si>
    <t>=IF($C40=$C39,"",IF($C40="","",NF($B40,"No_ referencia transporte")))</t>
  </si>
  <si>
    <t>=IF($C40=$C39,"",IF($C40="","",NF($B40,"Familia pedido")))</t>
  </si>
  <si>
    <t>=IF($C40=$C39,"",IF($C40="","",NF($B40,"Fecha confirmación SGA")))</t>
  </si>
  <si>
    <t>=IF($C40=$C39,"",IF($C40="","",NF($B40,"Cód_ Servicio solicitado Fact_")))</t>
  </si>
  <si>
    <t>=IF($C40=$C39,"",IF($C40="","",NF($B40,"bultosP")))</t>
  </si>
  <si>
    <t>=IF($C41=$C40,"",IF($C41="","",NF($B41,"Id_ Prefactura")))</t>
  </si>
  <si>
    <t>=IF($C41=$C40,"",IF($C41="","",NF($B41,"No_ referencia transporte")))</t>
  </si>
  <si>
    <t>=IF($C41=$C40,"",IF($C41="","",NF($B41,"Familia pedido")))</t>
  </si>
  <si>
    <t>=IF($C41=$C40,"",IF($C41="","",NF($B41,"Fecha confirmación SGA")))</t>
  </si>
  <si>
    <t>=IF($C41=$C40,"",IF($C41="","",NF($B41,"Cód_ Servicio solicitado Fact_")))</t>
  </si>
  <si>
    <t>=IF($C41=$C40,"",IF($C41="","",NF($B41,"bultosP")))</t>
  </si>
  <si>
    <t>=IF($C42=$C41,"",IF($C42="","",NF($B42,"Id_ Prefactura")))</t>
  </si>
  <si>
    <t>=IF($C42=$C41,"",IF($C42="","",NF($B42,"No_ referencia transporte")))</t>
  </si>
  <si>
    <t>=IF($C42=$C41,"",IF($C42="","",NF($B42,"Familia pedido")))</t>
  </si>
  <si>
    <t>=IF($C42=$C41,"",IF($C42="","",NF($B42,"Fecha confirmación SGA")))</t>
  </si>
  <si>
    <t>=IF($C42=$C41,"",IF($C42="","",NF($B42,"Cód_ Servicio solicitado Fact_")))</t>
  </si>
  <si>
    <t>=IF($C42=$C41,"",IF($C42="","",NF($B42,"bultosP")))</t>
  </si>
  <si>
    <t>=IF($C43=$C42,"",IF($C43="","",NF($B43,"Id_ Prefactura")))</t>
  </si>
  <si>
    <t>=IF($C43=$C42,"",IF($C43="","",NF($B43,"No_ referencia transporte")))</t>
  </si>
  <si>
    <t>=IF($C43=$C42,"",IF($C43="","",NF($B43,"Familia pedido")))</t>
  </si>
  <si>
    <t>=IF($C43=$C42,"",IF($C43="","",NF($B43,"Fecha confirmación SGA")))</t>
  </si>
  <si>
    <t>=IF($C43=$C42,"",IF($C43="","",NF($B43,"Cód_ Servicio solicitado Fact_")))</t>
  </si>
  <si>
    <t>=IF($C43=$C42,"",IF($C43="","",NF($B43,"bultosP")))</t>
  </si>
  <si>
    <t>=IF($C44=$C43,"",IF($C44="","",NF($B44,"Id_ Prefactura")))</t>
  </si>
  <si>
    <t>=IF($C44=$C43,"",IF($C44="","",NF($B44,"No_ referencia transporte")))</t>
  </si>
  <si>
    <t>=IF($C44=$C43,"",IF($C44="","",NF($B44,"Familia pedido")))</t>
  </si>
  <si>
    <t>=IF($C44=$C43,"",IF($C44="","",NF($B44,"Fecha confirmación SGA")))</t>
  </si>
  <si>
    <t>=IF($C44=$C43,"",IF($C44="","",NF($B44,"Cód_ Servicio solicitado Fact_")))</t>
  </si>
  <si>
    <t>=IF($C44=$C43,"",IF($C44="","",NF($B44,"bultosP")))</t>
  </si>
  <si>
    <t>=IF($C45=$C44,"",IF($C45="","",NF($B45,"Id_ Prefactura")))</t>
  </si>
  <si>
    <t>=IF($C45=$C44,"",IF($C45="","",NF($B45,"No_ referencia transporte")))</t>
  </si>
  <si>
    <t>=IF($C45=$C44,"",IF($C45="","",NF($B45,"Familia pedido")))</t>
  </si>
  <si>
    <t>=IF($C45=$C44,"",IF($C45="","",NF($B45,"Fecha confirmación SGA")))</t>
  </si>
  <si>
    <t>=IF($C45=$C44,"",IF($C45="","",NF($B45,"Cód_ Servicio solicitado Fact_")))</t>
  </si>
  <si>
    <t>=IF($C45=$C44,"",IF($C45="","",NF($B45,"bultosP")))</t>
  </si>
  <si>
    <t>=IF($C46=$C45,"",IF($C46="","",NF($B46,"Id_ Prefactura")))</t>
  </si>
  <si>
    <t>=IF($C46=$C45,"",IF($C46="","",NF($B46,"No_ referencia transporte")))</t>
  </si>
  <si>
    <t>=IF($C46=$C45,"",IF($C46="","",NF($B46,"Familia pedido")))</t>
  </si>
  <si>
    <t>=IF($C46=$C45,"",IF($C46="","",NF($B46,"Fecha confirmación SGA")))</t>
  </si>
  <si>
    <t>=IF($C46=$C45,"",IF($C46="","",NF($B46,"Cód_ Servicio solicitado Fact_")))</t>
  </si>
  <si>
    <t>=IF($C46=$C45,"",IF($C46="","",NF($B46,"bultosP")))</t>
  </si>
  <si>
    <t>=IF($C47=$C46,"",IF($C47="","",NF($B47,"Id_ Prefactura")))</t>
  </si>
  <si>
    <t>=IF($C47=$C46,"",IF($C47="","",NF($B47,"No_ referencia transporte")))</t>
  </si>
  <si>
    <t>=IF($C47=$C46,"",IF($C47="","",NF($B47,"Familia pedido")))</t>
  </si>
  <si>
    <t>=IF($C47=$C46,"",IF($C47="","",NF($B47,"Fecha confirmación SGA")))</t>
  </si>
  <si>
    <t>=IF($C47=$C46,"",IF($C47="","",NF($B47,"Cód_ Servicio solicitado Fact_")))</t>
  </si>
  <si>
    <t>=IF($C47=$C46,"",IF($C47="","",NF($B47,"bultosP")))</t>
  </si>
  <si>
    <t>=IF($C48=$C47,"",IF($C48="","",NF($B48,"Id_ Prefactura")))</t>
  </si>
  <si>
    <t>=IF($C48=$C47,"",IF($C48="","",NF($B48,"No_ referencia transporte")))</t>
  </si>
  <si>
    <t>=IF($C48=$C47,"",IF($C48="","",NF($B48,"Familia pedido")))</t>
  </si>
  <si>
    <t>=IF($C48=$C47,"",IF($C48="","",NF($B48,"Fecha confirmación SGA")))</t>
  </si>
  <si>
    <t>=IF($C48=$C47,"",IF($C48="","",NF($B48,"Cód_ Servicio solicitado Fact_")))</t>
  </si>
  <si>
    <t>=IF($C48=$C47,"",IF($C48="","",NF($B48,"bultosP")))</t>
  </si>
  <si>
    <t>=IF($C49=$C48,"",IF($C49="","",NF($B49,"Id_ Prefactura")))</t>
  </si>
  <si>
    <t>=IF($C49=$C48,"",IF($C49="","",NF($B49,"No_ referencia transporte")))</t>
  </si>
  <si>
    <t>=IF($C49=$C48,"",IF($C49="","",NF($B49,"Familia pedido")))</t>
  </si>
  <si>
    <t>=IF($C49=$C48,"",IF($C49="","",NF($B49,"Fecha confirmación SGA")))</t>
  </si>
  <si>
    <t>=IF($C49=$C48,"",IF($C49="","",NF($B49,"Cód_ Servicio solicitado Fact_")))</t>
  </si>
  <si>
    <t>=IF($C49=$C48,"",IF($C49="","",NF($B49,"bultosP")))</t>
  </si>
  <si>
    <t>=IF($C50=$C49,"",IF($C50="","",NF($B50,"Id_ Prefactura")))</t>
  </si>
  <si>
    <t>=IF($C50=$C49,"",IF($C50="","",NF($B50,"No_ referencia transporte")))</t>
  </si>
  <si>
    <t>=IF($C50=$C49,"",IF($C50="","",NF($B50,"Familia pedido")))</t>
  </si>
  <si>
    <t>=IF($C50=$C49,"",IF($C50="","",NF($B50,"Fecha confirmación SGA")))</t>
  </si>
  <si>
    <t>=IF($C50=$C49,"",IF($C50="","",NF($B50,"Cód_ Servicio solicitado Fact_")))</t>
  </si>
  <si>
    <t>=IF($C50=$C49,"",IF($C50="","",NF($B50,"bultosP")))</t>
  </si>
  <si>
    <t>=IF($C51=$C50,"",IF($C51="","",NF($B51,"Id_ Prefactura")))</t>
  </si>
  <si>
    <t>=IF($C51=$C50,"",IF($C51="","",NF($B51,"No_ referencia transporte")))</t>
  </si>
  <si>
    <t>=IF($C51=$C50,"",IF($C51="","",NF($B51,"Familia pedido")))</t>
  </si>
  <si>
    <t>=IF($C51=$C50,"",IF($C51="","",NF($B51,"Fecha confirmación SGA")))</t>
  </si>
  <si>
    <t>=IF($C51=$C50,"",IF($C51="","",NF($B51,"Cód_ Servicio solicitado Fact_")))</t>
  </si>
  <si>
    <t>=IF($C51=$C50,"",IF($C51="","",NF($B51,"bultosP")))</t>
  </si>
  <si>
    <t>=IF($C52=$C51,"",IF($C52="","",NF($B52,"Id_ Prefactura")))</t>
  </si>
  <si>
    <t>=IF($C52=$C51,"",IF($C52="","",NF($B52,"No_ referencia transporte")))</t>
  </si>
  <si>
    <t>=IF($C52=$C51,"",IF($C52="","",NF($B52,"Familia pedido")))</t>
  </si>
  <si>
    <t>=IF($C52=$C51,"",IF($C52="","",NF($B52,"Fecha confirmación SGA")))</t>
  </si>
  <si>
    <t>=IF($C52=$C51,"",IF($C52="","",NF($B52,"Cód_ Servicio solicitado Fact_")))</t>
  </si>
  <si>
    <t>=IF($C52=$C51,"",IF($C52="","",NF($B52,"bultosP")))</t>
  </si>
  <si>
    <t>=IF($C53=$C52,"",IF($C53="","",NF($B53,"Id_ Prefactura")))</t>
  </si>
  <si>
    <t>=IF($C53=$C52,"",IF($C53="","",NF($B53,"No_ referencia transporte")))</t>
  </si>
  <si>
    <t>=IF($C53=$C52,"",IF($C53="","",NF($B53,"Familia pedido")))</t>
  </si>
  <si>
    <t>=IF($C53=$C52,"",IF($C53="","",NF($B53,"Fecha confirmación SGA")))</t>
  </si>
  <si>
    <t>=IF($C53=$C52,"",IF($C53="","",NF($B53,"Cód_ Servicio solicitado Fact_")))</t>
  </si>
  <si>
    <t>=IF($C53=$C52,"",IF($C53="","",NF($B53,"bultosP")))</t>
  </si>
  <si>
    <t>=IF($C54=$C53,"",IF($C54="","",NF($B54,"Id_ Prefactura")))</t>
  </si>
  <si>
    <t>=IF($C54=$C53,"",IF($C54="","",NF($B54,"No_ referencia transporte")))</t>
  </si>
  <si>
    <t>=IF($C54=$C53,"",IF($C54="","",NF($B54,"Familia pedido")))</t>
  </si>
  <si>
    <t>=IF($C54=$C53,"",IF($C54="","",NF($B54,"Fecha confirmación SGA")))</t>
  </si>
  <si>
    <t>=IF($C54=$C53,"",IF($C54="","",NF($B54,"Cód_ Servicio solicitado Fact_")))</t>
  </si>
  <si>
    <t>=IF($C54=$C53,"",IF($C54="","",NF($B54,"bultosP")))</t>
  </si>
  <si>
    <t>=IF($C55=$C54,"",IF($C55="","",NF($B55,"Id_ Prefactura")))</t>
  </si>
  <si>
    <t>=IF($C55=$C54,"",IF($C55="","",NF($B55,"No_ referencia transporte")))</t>
  </si>
  <si>
    <t>=IF($C55=$C54,"",IF($C55="","",NF($B55,"Familia pedido")))</t>
  </si>
  <si>
    <t>=IF($C55=$C54,"",IF($C55="","",NF($B55,"Fecha confirmación SGA")))</t>
  </si>
  <si>
    <t>=IF($C55=$C54,"",IF($C55="","",NF($B55,"Cód_ Servicio solicitado Fact_")))</t>
  </si>
  <si>
    <t>=IF($C55=$C54,"",IF($C55="","",NF($B55,"bultosP")))</t>
  </si>
  <si>
    <t>=IF($C56=$C55,"",IF($C56="","",NF($B56,"Id_ Prefactura")))</t>
  </si>
  <si>
    <t>=IF($C56=$C55,"",IF($C56="","",NF($B56,"No_ referencia transporte")))</t>
  </si>
  <si>
    <t>=IF($C56=$C55,"",IF($C56="","",NF($B56,"Familia pedido")))</t>
  </si>
  <si>
    <t>=IF($C56=$C55,"",IF($C56="","",NF($B56,"Fecha confirmación SGA")))</t>
  </si>
  <si>
    <t>=IF($C56=$C55,"",IF($C56="","",NF($B56,"Cód_ Servicio solicitado Fact_")))</t>
  </si>
  <si>
    <t>=IF($C56=$C55,"",IF($C56="","",NF($B56,"bultosP")))</t>
  </si>
  <si>
    <t>=IF($C57=$C56,"",IF($C57="","",NF($B57,"Id_ Prefactura")))</t>
  </si>
  <si>
    <t>=IF($C57=$C56,"",IF($C57="","",NF($B57,"No_ referencia transporte")))</t>
  </si>
  <si>
    <t>=IF($C57=$C56,"",IF($C57="","",NF($B57,"Familia pedido")))</t>
  </si>
  <si>
    <t>=IF($C57=$C56,"",IF($C57="","",NF($B57,"Fecha confirmación SGA")))</t>
  </si>
  <si>
    <t>=IF($C57=$C56,"",IF($C57="","",NF($B57,"Cód_ Servicio solicitado Fact_")))</t>
  </si>
  <si>
    <t>=IF($C57=$C56,"",IF($C57="","",NF($B57,"bultosP")))</t>
  </si>
  <si>
    <t>=IF($C58=$C57,"",IF($C58="","",NF($B58,"Id_ Prefactura")))</t>
  </si>
  <si>
    <t>=IF($C58=$C57,"",IF($C58="","",NF($B58,"No_ referencia transporte")))</t>
  </si>
  <si>
    <t>=IF($C58=$C57,"",IF($C58="","",NF($B58,"Familia pedido")))</t>
  </si>
  <si>
    <t>=IF($C58=$C57,"",IF($C58="","",NF($B58,"Fecha confirmación SGA")))</t>
  </si>
  <si>
    <t>=IF($C58=$C57,"",IF($C58="","",NF($B58,"Cód_ Servicio solicitado Fact_")))</t>
  </si>
  <si>
    <t>=IF($C58=$C57,"",IF($C58="","",NF($B58,"bultosP")))</t>
  </si>
  <si>
    <t>=IF($C59=$C58,"",IF($C59="","",NF($B59,"Id_ Prefactura")))</t>
  </si>
  <si>
    <t>=IF($C59=$C58,"",IF($C59="","",NF($B59,"No_ referencia transporte")))</t>
  </si>
  <si>
    <t>=IF($C59=$C58,"",IF($C59="","",NF($B59,"Familia pedido")))</t>
  </si>
  <si>
    <t>=IF($C59=$C58,"",IF($C59="","",NF($B59,"Fecha confirmación SGA")))</t>
  </si>
  <si>
    <t>=IF($C59=$C58,"",IF($C59="","",NF($B59,"Cód_ Servicio solicitado Fact_")))</t>
  </si>
  <si>
    <t>=IF($C59=$C58,"",IF($C59="","",NF($B59,"bultosP")))</t>
  </si>
  <si>
    <t>=IF($C60=$C59,"",IF($C60="","",NF($B60,"Id_ Prefactura")))</t>
  </si>
  <si>
    <t>=IF($C60=$C59,"",IF($C60="","",NF($B60,"No_ referencia transporte")))</t>
  </si>
  <si>
    <t>=IF($C60=$C59,"",IF($C60="","",NF($B60,"Familia pedido")))</t>
  </si>
  <si>
    <t>=IF($C60=$C59,"",IF($C60="","",NF($B60,"Fecha confirmación SGA")))</t>
  </si>
  <si>
    <t>=IF($C60=$C59,"",IF($C60="","",NF($B60,"Cód_ Servicio solicitado Fact_")))</t>
  </si>
  <si>
    <t>=IF($C60=$C59,"",IF($C60="","",NF($B60,"bultosP")))</t>
  </si>
  <si>
    <t>=IF($C61=$C60,"",IF($C61="","",NF($B61,"Id_ Prefactura")))</t>
  </si>
  <si>
    <t>=IF($C61=$C60,"",IF($C61="","",NF($B61,"No_ referencia transporte")))</t>
  </si>
  <si>
    <t>=IF($C61=$C60,"",IF($C61="","",NF($B61,"Familia pedido")))</t>
  </si>
  <si>
    <t>=IF($C61=$C60,"",IF($C61="","",NF($B61,"Fecha confirmación SGA")))</t>
  </si>
  <si>
    <t>=IF($C61=$C60,"",IF($C61="","",NF($B61,"Cód_ Servicio solicitado Fact_")))</t>
  </si>
  <si>
    <t>=IF($C61=$C60,"",IF($C61="","",NF($B61,"bultosP")))</t>
  </si>
  <si>
    <t>=IF($C62=$C61,"",IF($C62="","",NF($B62,"Id_ Prefactura")))</t>
  </si>
  <si>
    <t>=IF($C62=$C61,"",IF($C62="","",NF($B62,"No_ referencia transporte")))</t>
  </si>
  <si>
    <t>=IF($C62=$C61,"",IF($C62="","",NF($B62,"Familia pedido")))</t>
  </si>
  <si>
    <t>=IF($C62=$C61,"",IF($C62="","",NF($B62,"Fecha confirmación SGA")))</t>
  </si>
  <si>
    <t>=IF($C62=$C61,"",IF($C62="","",NF($B62,"Cód_ Servicio solicitado Fact_")))</t>
  </si>
  <si>
    <t>=IF($C62=$C61,"",IF($C62="","",NF($B62,"bultosP")))</t>
  </si>
  <si>
    <t>=IF($C63=$C62,"",IF($C63="","",NF($B63,"Id_ Prefactura")))</t>
  </si>
  <si>
    <t>=IF($C63=$C62,"",IF($C63="","",NF($B63,"No_ referencia transporte")))</t>
  </si>
  <si>
    <t>=IF($C63=$C62,"",IF($C63="","",NF($B63,"Familia pedido")))</t>
  </si>
  <si>
    <t>=IF($C63=$C62,"",IF($C63="","",NF($B63,"Fecha confirmación SGA")))</t>
  </si>
  <si>
    <t>=IF($C63=$C62,"",IF($C63="","",NF($B63,"Cód_ Servicio solicitado Fact_")))</t>
  </si>
  <si>
    <t>=IF($C63=$C62,"",IF($C63="","",NF($B63,"bultosP")))</t>
  </si>
  <si>
    <t>=IF($C64=$C63,"",IF($C64="","",NF($B64,"Id_ Prefactura")))</t>
  </si>
  <si>
    <t>=IF($C64=$C63,"",IF($C64="","",NF($B64,"No_ referencia transporte")))</t>
  </si>
  <si>
    <t>=IF($C64=$C63,"",IF($C64="","",NF($B64,"Familia pedido")))</t>
  </si>
  <si>
    <t>=IF($C64=$C63,"",IF($C64="","",NF($B64,"Fecha confirmación SGA")))</t>
  </si>
  <si>
    <t>=IF($C64=$C63,"",IF($C64="","",NF($B64,"Cód_ Servicio solicitado Fact_")))</t>
  </si>
  <si>
    <t>=IF($C64=$C63,"",IF($C64="","",NF($B64,"bultosP")))</t>
  </si>
  <si>
    <t>=IF($C65=$C64,"",IF($C65="","",NF($B65,"Id_ Prefactura")))</t>
  </si>
  <si>
    <t>=IF($C65=$C64,"",IF($C65="","",NF($B65,"No_ referencia transporte")))</t>
  </si>
  <si>
    <t>=IF($C65=$C64,"",IF($C65="","",NF($B65,"Familia pedido")))</t>
  </si>
  <si>
    <t>=IF($C65=$C64,"",IF($C65="","",NF($B65,"Fecha confirmación SGA")))</t>
  </si>
  <si>
    <t>=IF($C65=$C64,"",IF($C65="","",NF($B65,"Cód_ Servicio solicitado Fact_")))</t>
  </si>
  <si>
    <t>=IF($C65=$C64,"",IF($C65="","",NF($B65,"bultosP")))</t>
  </si>
  <si>
    <t>=IF($C66=$C65,"",IF($C66="","",NF($B66,"Id_ Prefactura")))</t>
  </si>
  <si>
    <t>=IF($C66=$C65,"",IF($C66="","",NF($B66,"No_ referencia transporte")))</t>
  </si>
  <si>
    <t>=IF($C66=$C65,"",IF($C66="","",NF($B66,"Familia pedido")))</t>
  </si>
  <si>
    <t>=IF($C66=$C65,"",IF($C66="","",NF($B66,"Fecha confirmación SGA")))</t>
  </si>
  <si>
    <t>=IF($C66=$C65,"",IF($C66="","",NF($B66,"Cód_ Servicio solicitado Fact_")))</t>
  </si>
  <si>
    <t>=IF($C66=$C65,"",IF($C66="","",NF($B66,"bultosP")))</t>
  </si>
  <si>
    <t>=IF($C67=$C66,"",IF($C67="","",NF($B67,"Id_ Prefactura")))</t>
  </si>
  <si>
    <t>=IF($C67=$C66,"",IF($C67="","",NF($B67,"No_ referencia transporte")))</t>
  </si>
  <si>
    <t>=IF($C67=$C66,"",IF($C67="","",NF($B67,"Familia pedido")))</t>
  </si>
  <si>
    <t>=IF($C67=$C66,"",IF($C67="","",NF($B67,"Fecha confirmación SGA")))</t>
  </si>
  <si>
    <t>=IF($C67=$C66,"",IF($C67="","",NF($B67,"Cód_ Servicio solicitado Fact_")))</t>
  </si>
  <si>
    <t>=IF($C67=$C66,"",IF($C67="","",NF($B67,"bultosP")))</t>
  </si>
  <si>
    <t>=IF($C68=$C67,"",IF($C68="","",NF($B68,"Id_ Prefactura")))</t>
  </si>
  <si>
    <t>=IF($C68=$C67,"",IF($C68="","",NF($B68,"No_ referencia transporte")))</t>
  </si>
  <si>
    <t>=IF($C68=$C67,"",IF($C68="","",NF($B68,"Familia pedido")))</t>
  </si>
  <si>
    <t>=IF($C68=$C67,"",IF($C68="","",NF($B68,"Fecha confirmación SGA")))</t>
  </si>
  <si>
    <t>=IF($C68=$C67,"",IF($C68="","",NF($B68,"Cód_ Servicio solicitado Fact_")))</t>
  </si>
  <si>
    <t>=IF($C68=$C67,"",IF($C68="","",NF($B68,"bultosP")))</t>
  </si>
  <si>
    <t>=IF($C69=$C68,"",IF($C69="","",NF($B69,"Id_ Prefactura")))</t>
  </si>
  <si>
    <t>=IF($C69=$C68,"",IF($C69="","",NF($B69,"No_ referencia transporte")))</t>
  </si>
  <si>
    <t>=IF($C69=$C68,"",IF($C69="","",NF($B69,"Familia pedido")))</t>
  </si>
  <si>
    <t>=IF($C69=$C68,"",IF($C69="","",NF($B69,"Fecha confirmación SGA")))</t>
  </si>
  <si>
    <t>=IF($C69=$C68,"",IF($C69="","",NF($B69,"Cód_ Servicio solicitado Fact_")))</t>
  </si>
  <si>
    <t>=IF($C69=$C68,"",IF($C69="","",NF($B69,"bultosP")))</t>
  </si>
  <si>
    <t>=IF($C70=$C69,"",IF($C70="","",NF($B70,"Id_ Prefactura")))</t>
  </si>
  <si>
    <t>=IF($C70=$C69,"",IF($C70="","",NF($B70,"No_ referencia transporte")))</t>
  </si>
  <si>
    <t>=IF($C70=$C69,"",IF($C70="","",NF($B70,"Familia pedido")))</t>
  </si>
  <si>
    <t>=IF($C70=$C69,"",IF($C70="","",NF($B70,"Fecha confirmación SGA")))</t>
  </si>
  <si>
    <t>=IF($C70=$C69,"",IF($C70="","",NF($B70,"Cód_ Servicio solicitado Fact_")))</t>
  </si>
  <si>
    <t>=IF($C70=$C69,"",IF($C70="","",NF($B70,"bultosP")))</t>
  </si>
  <si>
    <t>=IF($C71=$C70,"",IF($C71="","",NF($B71,"Id_ Prefactura")))</t>
  </si>
  <si>
    <t>=IF($C71=$C70,"",IF($C71="","",NF($B71,"No_ referencia transporte")))</t>
  </si>
  <si>
    <t>=IF($C71=$C70,"",IF($C71="","",NF($B71,"Familia pedido")))</t>
  </si>
  <si>
    <t>=IF($C71=$C70,"",IF($C71="","",NF($B71,"Fecha confirmación SGA")))</t>
  </si>
  <si>
    <t>=IF($C71=$C70,"",IF($C71="","",NF($B71,"Cód_ Servicio solicitado Fact_")))</t>
  </si>
  <si>
    <t>=IF($C71=$C70,"",IF($C71="","",NF($B71,"bultosP")))</t>
  </si>
  <si>
    <t>=IF($C72=$C71,"",IF($C72="","",NF($B72,"Id_ Prefactura")))</t>
  </si>
  <si>
    <t>=IF($C72=$C71,"",IF($C72="","",NF($B72,"No_ referencia transporte")))</t>
  </si>
  <si>
    <t>=IF($C72=$C71,"",IF($C72="","",NF($B72,"Familia pedido")))</t>
  </si>
  <si>
    <t>=IF($C72=$C71,"",IF($C72="","",NF($B72,"Fecha confirmación SGA")))</t>
  </si>
  <si>
    <t>=IF($C72=$C71,"",IF($C72="","",NF($B72,"Cód_ Servicio solicitado Fact_")))</t>
  </si>
  <si>
    <t>=IF($C72=$C71,"",IF($C72="","",NF($B72,"bultosP")))</t>
  </si>
  <si>
    <t>=IF($C73=$C72,"",IF($C73="","",NF($B73,"Id_ Prefactura")))</t>
  </si>
  <si>
    <t>=IF($C73=$C72,"",IF($C73="","",NF($B73,"No_ referencia transporte")))</t>
  </si>
  <si>
    <t>=IF($C73=$C72,"",IF($C73="","",NF($B73,"Familia pedido")))</t>
  </si>
  <si>
    <t>=IF($C73=$C72,"",IF($C73="","",NF($B73,"Fecha confirmación SGA")))</t>
  </si>
  <si>
    <t>=IF($C73=$C72,"",IF($C73="","",NF($B73,"Cód_ Servicio solicitado Fact_")))</t>
  </si>
  <si>
    <t>=IF($C73=$C72,"",IF($C73="","",NF($B73,"bultosP")))</t>
  </si>
  <si>
    <t>=IF($C74=$C73,"",IF($C74="","",NF($B74,"Id_ Prefactura")))</t>
  </si>
  <si>
    <t>=IF($C74=$C73,"",IF($C74="","",NF($B74,"No_ referencia transporte")))</t>
  </si>
  <si>
    <t>=IF($C74=$C73,"",IF($C74="","",NF($B74,"Familia pedido")))</t>
  </si>
  <si>
    <t>=IF($C74=$C73,"",IF($C74="","",NF($B74,"Fecha confirmación SGA")))</t>
  </si>
  <si>
    <t>=IF($C74=$C73,"",IF($C74="","",NF($B74,"Cód_ Servicio solicitado Fact_")))</t>
  </si>
  <si>
    <t>=IF($C74=$C73,"",IF($C74="","",NF($B74,"bultosP")))</t>
  </si>
  <si>
    <t>=IF($C75=$C74,"",IF($C75="","",NF($B75,"Id_ Prefactura")))</t>
  </si>
  <si>
    <t>=IF($C75=$C74,"",IF($C75="","",NF($B75,"No_ referencia transporte")))</t>
  </si>
  <si>
    <t>=IF($C75=$C74,"",IF($C75="","",NF($B75,"Familia pedido")))</t>
  </si>
  <si>
    <t>=IF($C75=$C74,"",IF($C75="","",NF($B75,"Fecha confirmación SGA")))</t>
  </si>
  <si>
    <t>=IF($C75=$C74,"",IF($C75="","",NF($B75,"Cód_ Servicio solicitado Fact_")))</t>
  </si>
  <si>
    <t>=IF($C75=$C74,"",IF($C75="","",NF($B75,"bultosP")))</t>
  </si>
  <si>
    <t>=IF($C76=$C75,"",IF($C76="","",NF($B76,"Id_ Prefactura")))</t>
  </si>
  <si>
    <t>=IF($C76=$C75,"",IF($C76="","",NF($B76,"No_ referencia transporte")))</t>
  </si>
  <si>
    <t>=IF($C76=$C75,"",IF($C76="","",NF($B76,"Familia pedido")))</t>
  </si>
  <si>
    <t>=IF($C76=$C75,"",IF($C76="","",NF($B76,"Fecha confirmación SGA")))</t>
  </si>
  <si>
    <t>=IF($C76=$C75,"",IF($C76="","",NF($B76,"Cód_ Servicio solicitado Fact_")))</t>
  </si>
  <si>
    <t>=IF($C76=$C75,"",IF($C76="","",NF($B76,"bultosP")))</t>
  </si>
  <si>
    <t>=IF($C77=$C76,"",IF($C77="","",NF($B77,"Id_ Prefactura")))</t>
  </si>
  <si>
    <t>=IF($C77=$C76,"",IF($C77="","",NF($B77,"No_ referencia transporte")))</t>
  </si>
  <si>
    <t>=IF($C77=$C76,"",IF($C77="","",NF($B77,"Familia pedido")))</t>
  </si>
  <si>
    <t>=IF($C77=$C76,"",IF($C77="","",NF($B77,"Fecha confirmación SGA")))</t>
  </si>
  <si>
    <t>=IF($C77=$C76,"",IF($C77="","",NF($B77,"Cód_ Servicio solicitado Fact_")))</t>
  </si>
  <si>
    <t>=IF($C77=$C76,"",IF($C77="","",NF($B77,"bultosP")))</t>
  </si>
  <si>
    <t>=IF($C78=$C77,"",IF($C78="","",NF($B78,"Id_ Prefactura")))</t>
  </si>
  <si>
    <t>=IF($C78=$C77,"",IF($C78="","",NF($B78,"No_ referencia transporte")))</t>
  </si>
  <si>
    <t>=IF($C78=$C77,"",IF($C78="","",NF($B78,"Familia pedido")))</t>
  </si>
  <si>
    <t>=IF($C78=$C77,"",IF($C78="","",NF($B78,"Fecha confirmación SGA")))</t>
  </si>
  <si>
    <t>=IF($C78=$C77,"",IF($C78="","",NF($B78,"Cód_ Servicio solicitado Fact_")))</t>
  </si>
  <si>
    <t>=IF($C78=$C77,"",IF($C78="","",NF($B78,"bultosP")))</t>
  </si>
  <si>
    <t>=IF($C79=$C78,"",IF($C79="","",NF($B79,"Id_ Prefactura")))</t>
  </si>
  <si>
    <t>=IF($C79=$C78,"",IF($C79="","",NF($B79,"No_ referencia transporte")))</t>
  </si>
  <si>
    <t>=IF($C79=$C78,"",IF($C79="","",NF($B79,"Familia pedido")))</t>
  </si>
  <si>
    <t>=IF($C79=$C78,"",IF($C79="","",NF($B79,"Fecha confirmación SGA")))</t>
  </si>
  <si>
    <t>=IF($C79=$C78,"",IF($C79="","",NF($B79,"Cód_ Servicio solicitado Fact_")))</t>
  </si>
  <si>
    <t>=IF($C79=$C78,"",IF($C79="","",NF($B79,"bultosP")))</t>
  </si>
  <si>
    <t>=IF($C80=$C79,"",IF($C80="","",NF($B80,"Id_ Prefactura")))</t>
  </si>
  <si>
    <t>=IF($C80=$C79,"",IF($C80="","",NF($B80,"No_ referencia transporte")))</t>
  </si>
  <si>
    <t>=IF($C80=$C79,"",IF($C80="","",NF($B80,"Familia pedido")))</t>
  </si>
  <si>
    <t>=IF($C80=$C79,"",IF($C80="","",NF($B80,"Fecha confirmación SGA")))</t>
  </si>
  <si>
    <t>=IF($C80=$C79,"",IF($C80="","",NF($B80,"Cód_ Servicio solicitado Fact_")))</t>
  </si>
  <si>
    <t>=IF($C80=$C79,"",IF($C80="","",NF($B80,"bultosP")))</t>
  </si>
  <si>
    <t>=IF($C81=$C80,"",IF($C81="","",NF($B81,"Id_ Prefactura")))</t>
  </si>
  <si>
    <t>=IF($C81=$C80,"",IF($C81="","",NF($B81,"No_ referencia transporte")))</t>
  </si>
  <si>
    <t>=IF($C81=$C80,"",IF($C81="","",NF($B81,"Familia pedido")))</t>
  </si>
  <si>
    <t>=IF($C81=$C80,"",IF($C81="","",NF($B81,"Fecha confirmación SGA")))</t>
  </si>
  <si>
    <t>=IF($C81=$C80,"",IF($C81="","",NF($B81,"Cód_ Servicio solicitado Fact_")))</t>
  </si>
  <si>
    <t>=IF($C81=$C80,"",IF($C81="","",NF($B81,"bultosP")))</t>
  </si>
  <si>
    <t>=IF($C82=$C81,"",IF($C82="","",NF($B82,"Id_ Prefactura")))</t>
  </si>
  <si>
    <t>=IF($C82=$C81,"",IF($C82="","",NF($B82,"No_ referencia transporte")))</t>
  </si>
  <si>
    <t>=IF($C82=$C81,"",IF($C82="","",NF($B82,"Familia pedido")))</t>
  </si>
  <si>
    <t>=IF($C82=$C81,"",IF($C82="","",NF($B82,"Fecha confirmación SGA")))</t>
  </si>
  <si>
    <t>=IF($C82=$C81,"",IF($C82="","",NF($B82,"Cód_ Servicio solicitado Fact_")))</t>
  </si>
  <si>
    <t>=IF($C82=$C81,"",IF($C82="","",NF($B82,"bultosP")))</t>
  </si>
  <si>
    <t>=IF($C83=$C82,"",IF($C83="","",NF($B83,"Id_ Prefactura")))</t>
  </si>
  <si>
    <t>=IF($C83=$C82,"",IF($C83="","",NF($B83,"No_ referencia transporte")))</t>
  </si>
  <si>
    <t>=IF($C83=$C82,"",IF($C83="","",NF($B83,"Familia pedido")))</t>
  </si>
  <si>
    <t>=IF($C83=$C82,"",IF($C83="","",NF($B83,"Fecha confirmación SGA")))</t>
  </si>
  <si>
    <t>=IF($C83=$C82,"",IF($C83="","",NF($B83,"Cód_ Servicio solicitado Fact_")))</t>
  </si>
  <si>
    <t>=IF($C83=$C82,"",IF($C83="","",NF($B83,"bultosP")))</t>
  </si>
  <si>
    <t>=IF($C84=$C83,"",IF($C84="","",NF($B84,"Id_ Prefactura")))</t>
  </si>
  <si>
    <t>=IF($C84=$C83,"",IF($C84="","",NF($B84,"No_ referencia transporte")))</t>
  </si>
  <si>
    <t>=IF($C84=$C83,"",IF($C84="","",NF($B84,"Familia pedido")))</t>
  </si>
  <si>
    <t>=IF($C84=$C83,"",IF($C84="","",NF($B84,"Fecha confirmación SGA")))</t>
  </si>
  <si>
    <t>=IF($C84=$C83,"",IF($C84="","",NF($B84,"Cód_ Servicio solicitado Fact_")))</t>
  </si>
  <si>
    <t>=IF($C84=$C83,"",IF($C84="","",NF($B84,"bultosP")))</t>
  </si>
  <si>
    <t>=IF($C85=$C84,"",IF($C85="","",NF($B85,"Id_ Prefactura")))</t>
  </si>
  <si>
    <t>=IF($C85=$C84,"",IF($C85="","",NF($B85,"No_ referencia transporte")))</t>
  </si>
  <si>
    <t>=IF($C85=$C84,"",IF($C85="","",NF($B85,"Familia pedido")))</t>
  </si>
  <si>
    <t>=IF($C85=$C84,"",IF($C85="","",NF($B85,"Fecha confirmación SGA")))</t>
  </si>
  <si>
    <t>=IF($C85=$C84,"",IF($C85="","",NF($B85,"Cód_ Servicio solicitado Fact_")))</t>
  </si>
  <si>
    <t>=IF($C85=$C84,"",IF($C85="","",NF($B85,"bultosP")))</t>
  </si>
  <si>
    <t>=IF($C86=$C85,"",IF($C86="","",NF($B86,"Id_ Prefactura")))</t>
  </si>
  <si>
    <t>=IF($C86=$C85,"",IF($C86="","",NF($B86,"No_ referencia transporte")))</t>
  </si>
  <si>
    <t>=IF($C86=$C85,"",IF($C86="","",NF($B86,"Familia pedido")))</t>
  </si>
  <si>
    <t>=IF($C86=$C85,"",IF($C86="","",NF($B86,"Fecha confirmación SGA")))</t>
  </si>
  <si>
    <t>=IF($C86=$C85,"",IF($C86="","",NF($B86,"Cód_ Servicio solicitado Fact_")))</t>
  </si>
  <si>
    <t>=IF($C86=$C85,"",IF($C86="","",NF($B86,"bultosP")))</t>
  </si>
  <si>
    <t>=IF($C87=$C86,"",IF($C87="","",NF($B87,"Id_ Prefactura")))</t>
  </si>
  <si>
    <t>=IF($C87=$C86,"",IF($C87="","",NF($B87,"No_ referencia transporte")))</t>
  </si>
  <si>
    <t>=IF($C87=$C86,"",IF($C87="","",NF($B87,"Familia pedido")))</t>
  </si>
  <si>
    <t>=IF($C87=$C86,"",IF($C87="","",NF($B87,"Fecha confirmación SGA")))</t>
  </si>
  <si>
    <t>=IF($C87=$C86,"",IF($C87="","",NF($B87,"Cód_ Servicio solicitado Fact_")))</t>
  </si>
  <si>
    <t>=IF($C87=$C86,"",IF($C87="","",NF($B87,"bultosP")))</t>
  </si>
  <si>
    <t>=IF($C88=$C87,"",IF($C88="","",NF($B88,"Id_ Prefactura")))</t>
  </si>
  <si>
    <t>=IF($C88=$C87,"",IF($C88="","",NF($B88,"No_ referencia transporte")))</t>
  </si>
  <si>
    <t>=IF($C88=$C87,"",IF($C88="","",NF($B88,"Familia pedido")))</t>
  </si>
  <si>
    <t>=IF($C88=$C87,"",IF($C88="","",NF($B88,"Fecha confirmación SGA")))</t>
  </si>
  <si>
    <t>=IF($C88=$C87,"",IF($C88="","",NF($B88,"Cód_ Servicio solicitado Fact_")))</t>
  </si>
  <si>
    <t>=IF($C88=$C87,"",IF($C88="","",NF($B88,"bultosP")))</t>
  </si>
  <si>
    <t>=IF($C89=$C88,"",IF($C89="","",NF($B89,"Id_ Prefactura")))</t>
  </si>
  <si>
    <t>=IF($C89=$C88,"",IF($C89="","",NF($B89,"No_ referencia transporte")))</t>
  </si>
  <si>
    <t>=IF($C89=$C88,"",IF($C89="","",NF($B89,"Familia pedido")))</t>
  </si>
  <si>
    <t>=IF($C89=$C88,"",IF($C89="","",NF($B89,"Fecha confirmación SGA")))</t>
  </si>
  <si>
    <t>=IF($C89=$C88,"",IF($C89="","",NF($B89,"Cód_ Servicio solicitado Fact_")))</t>
  </si>
  <si>
    <t>=IF($C89=$C88,"",IF($C89="","",NF($B89,"bultosP")))</t>
  </si>
  <si>
    <t>=IF($C90=$C89,"",IF($C90="","",NF($B90,"Id_ Prefactura")))</t>
  </si>
  <si>
    <t>=IF($C90=$C89,"",IF($C90="","",NF($B90,"No_ referencia transporte")))</t>
  </si>
  <si>
    <t>=IF($C90=$C89,"",IF($C90="","",NF($B90,"Familia pedido")))</t>
  </si>
  <si>
    <t>=IF($C90=$C89,"",IF($C90="","",NF($B90,"Fecha confirmación SGA")))</t>
  </si>
  <si>
    <t>=IF($C90=$C89,"",IF($C90="","",NF($B90,"Cód_ Servicio solicitado Fact_")))</t>
  </si>
  <si>
    <t>=IF($C90=$C89,"",IF($C90="","",NF($B90,"bultosP")))</t>
  </si>
  <si>
    <t>=IF($C91=$C90,"",IF($C91="","",NF($B91,"Id_ Prefactura")))</t>
  </si>
  <si>
    <t>=IF($C91=$C90,"",IF($C91="","",NF($B91,"No_ referencia transporte")))</t>
  </si>
  <si>
    <t>=IF($C91=$C90,"",IF($C91="","",NF($B91,"Familia pedido")))</t>
  </si>
  <si>
    <t>=IF($C91=$C90,"",IF($C91="","",NF($B91,"Fecha confirmación SGA")))</t>
  </si>
  <si>
    <t>=IF($C91=$C90,"",IF($C91="","",NF($B91,"Cód_ Servicio solicitado Fact_")))</t>
  </si>
  <si>
    <t>=IF($C91=$C90,"",IF($C91="","",NF($B91,"bultosP")))</t>
  </si>
  <si>
    <t>=IF($C92=$C91,"",IF($C92="","",NF($B92,"Id_ Prefactura")))</t>
  </si>
  <si>
    <t>=IF($C92=$C91,"",IF($C92="","",NF($B92,"No_ referencia transporte")))</t>
  </si>
  <si>
    <t>=IF($C92=$C91,"",IF($C92="","",NF($B92,"Familia pedido")))</t>
  </si>
  <si>
    <t>=IF($C92=$C91,"",IF($C92="","",NF($B92,"Fecha confirmación SGA")))</t>
  </si>
  <si>
    <t>=IF($C92=$C91,"",IF($C92="","",NF($B92,"Cód_ Servicio solicitado Fact_")))</t>
  </si>
  <si>
    <t>=IF($C92=$C91,"",IF($C92="","",NF($B92,"bultosP")))</t>
  </si>
  <si>
    <t>=IF($C93=$C92,"",IF($C93="","",NF($B93,"Id_ Prefactura")))</t>
  </si>
  <si>
    <t>=IF($C93=$C92,"",IF($C93="","",NF($B93,"No_ referencia transporte")))</t>
  </si>
  <si>
    <t>=IF($C93=$C92,"",IF($C93="","",NF($B93,"Familia pedido")))</t>
  </si>
  <si>
    <t>=IF($C93=$C92,"",IF($C93="","",NF($B93,"Fecha confirmación SGA")))</t>
  </si>
  <si>
    <t>=IF($C93=$C92,"",IF($C93="","",NF($B93,"Cód_ Servicio solicitado Fact_")))</t>
  </si>
  <si>
    <t>=IF($C93=$C92,"",IF($C93="","",NF($B93,"bultosP")))</t>
  </si>
  <si>
    <t>=IF($C94=$C93,"",IF($C94="","",NF($B94,"Id_ Prefactura")))</t>
  </si>
  <si>
    <t>=IF($C94=$C93,"",IF($C94="","",NF($B94,"No_ referencia transporte")))</t>
  </si>
  <si>
    <t>=IF($C94=$C93,"",IF($C94="","",NF($B94,"Familia pedido")))</t>
  </si>
  <si>
    <t>=IF($C94=$C93,"",IF($C94="","",NF($B94,"Fecha confirmación SGA")))</t>
  </si>
  <si>
    <t>=IF($C94=$C93,"",IF($C94="","",NF($B94,"Cód_ Servicio solicitado Fact_")))</t>
  </si>
  <si>
    <t>=IF($C94=$C93,"",IF($C94="","",NF($B94,"bultosP")))</t>
  </si>
  <si>
    <t>=IF($C95=$C94,"",IF($C95="","",NF($B95,"Id_ Prefactura")))</t>
  </si>
  <si>
    <t>=IF($C95=$C94,"",IF($C95="","",NF($B95,"No_ referencia transporte")))</t>
  </si>
  <si>
    <t>=IF($C95=$C94,"",IF($C95="","",NF($B95,"Familia pedido")))</t>
  </si>
  <si>
    <t>=IF($C95=$C94,"",IF($C95="","",NF($B95,"Fecha confirmación SGA")))</t>
  </si>
  <si>
    <t>=IF($C95=$C94,"",IF($C95="","",NF($B95,"Cód_ Servicio solicitado Fact_")))</t>
  </si>
  <si>
    <t>=IF($C95=$C94,"",IF($C95="","",NF($B95,"bultosP")))</t>
  </si>
  <si>
    <t>=IF($C96=$C95,"",IF($C96="","",NF($B96,"Id_ Prefactura")))</t>
  </si>
  <si>
    <t>=IF($C96=$C95,"",IF($C96="","",NF($B96,"No_ referencia transporte")))</t>
  </si>
  <si>
    <t>=IF($C96=$C95,"",IF($C96="","",NF($B96,"Familia pedido")))</t>
  </si>
  <si>
    <t>=IF($C96=$C95,"",IF($C96="","",NF($B96,"Fecha confirmación SGA")))</t>
  </si>
  <si>
    <t>=IF($C96=$C95,"",IF($C96="","",NF($B96,"Cód_ Servicio solicitado Fact_")))</t>
  </si>
  <si>
    <t>=IF($C96=$C95,"",IF($C96="","",NF($B96,"bultosP")))</t>
  </si>
  <si>
    <t>=IF($C97=$C96,"",IF($C97="","",NF($B97,"Id_ Prefactura")))</t>
  </si>
  <si>
    <t>=IF($C97=$C96,"",IF($C97="","",NF($B97,"No_ referencia transporte")))</t>
  </si>
  <si>
    <t>=IF($C97=$C96,"",IF($C97="","",NF($B97,"Familia pedido")))</t>
  </si>
  <si>
    <t>=IF($C97=$C96,"",IF($C97="","",NF($B97,"Fecha confirmación SGA")))</t>
  </si>
  <si>
    <t>=IF($C97=$C96,"",IF($C97="","",NF($B97,"Cód_ Servicio solicitado Fact_")))</t>
  </si>
  <si>
    <t>=IF($C97=$C96,"",IF($C97="","",NF($B97,"bultosP")))</t>
  </si>
  <si>
    <t>=IF($C98=$C97,"",IF($C98="","",NF($B98,"Id_ Prefactura")))</t>
  </si>
  <si>
    <t>=IF($C98=$C97,"",IF($C98="","",NF($B98,"No_ referencia transporte")))</t>
  </si>
  <si>
    <t>=IF($C98=$C97,"",IF($C98="","",NF($B98,"Familia pedido")))</t>
  </si>
  <si>
    <t>=IF($C98=$C97,"",IF($C98="","",NF($B98,"Fecha confirmación SGA")))</t>
  </si>
  <si>
    <t>=IF($C98=$C97,"",IF($C98="","",NF($B98,"Cód_ Servicio solicitado Fact_")))</t>
  </si>
  <si>
    <t>=IF($C98=$C97,"",IF($C98="","",NF($B98,"bultosP")))</t>
  </si>
  <si>
    <t>=IF($C99=$C98,"",IF($C99="","",NF($B99,"Id_ Prefactura")))</t>
  </si>
  <si>
    <t>=IF($C99=$C98,"",IF($C99="","",NF($B99,"No_ referencia transporte")))</t>
  </si>
  <si>
    <t>=IF($C99=$C98,"",IF($C99="","",NF($B99,"Familia pedido")))</t>
  </si>
  <si>
    <t>=IF($C99=$C98,"",IF($C99="","",NF($B99,"Fecha confirmación SGA")))</t>
  </si>
  <si>
    <t>=IF($C99=$C98,"",IF($C99="","",NF($B99,"Cód_ Servicio solicitado Fact_")))</t>
  </si>
  <si>
    <t>=IF($C99=$C98,"",IF($C99="","",NF($B99,"bultosP")))</t>
  </si>
  <si>
    <t>=IF($C100=$C99,"",IF($C100="","",NF($B100,"Id_ Prefactura")))</t>
  </si>
  <si>
    <t>=IF($C100=$C99,"",IF($C100="","",NF($B100,"No_ referencia transporte")))</t>
  </si>
  <si>
    <t>=IF($C100=$C99,"",IF($C100="","",NF($B100,"Familia pedido")))</t>
  </si>
  <si>
    <t>=IF($C100=$C99,"",IF($C100="","",NF($B100,"Fecha confirmación SGA")))</t>
  </si>
  <si>
    <t>=IF($C100=$C99,"",IF($C100="","",NF($B100,"Cód_ Servicio solicitado Fact_")))</t>
  </si>
  <si>
    <t>=IF($C100=$C99,"",IF($C100="","",NF($B100,"bultosP")))</t>
  </si>
  <si>
    <t>=IF($C101=$C100,"",IF($C101="","",NF($B101,"Id_ Prefactura")))</t>
  </si>
  <si>
    <t>=IF($C101=$C100,"",IF($C101="","",NF($B101,"No_ referencia transporte")))</t>
  </si>
  <si>
    <t>=IF($C101=$C100,"",IF($C101="","",NF($B101,"Familia pedido")))</t>
  </si>
  <si>
    <t>=IF($C101=$C100,"",IF($C101="","",NF($B101,"Fecha confirmación SGA")))</t>
  </si>
  <si>
    <t>=IF($C101=$C100,"",IF($C101="","",NF($B101,"Cód_ Servicio solicitado Fact_")))</t>
  </si>
  <si>
    <t>=IF($C101=$C100,"",IF($C101="","",NF($B101,"bultosP")))</t>
  </si>
  <si>
    <t>=IF($C102=$C101,"",IF($C102="","",NF($B102,"Id_ Prefactura")))</t>
  </si>
  <si>
    <t>=IF($C102=$C101,"",IF($C102="","",NF($B102,"No_ referencia transporte")))</t>
  </si>
  <si>
    <t>=IF($C102=$C101,"",IF($C102="","",NF($B102,"Familia pedido")))</t>
  </si>
  <si>
    <t>=IF($C102=$C101,"",IF($C102="","",NF($B102,"Fecha confirmación SGA")))</t>
  </si>
  <si>
    <t>=IF($C102=$C101,"",IF($C102="","",NF($B102,"Cód_ Servicio solicitado Fact_")))</t>
  </si>
  <si>
    <t>=IF($C102=$C101,"",IF($C102="","",NF($B102,"bultosP")))</t>
  </si>
  <si>
    <t>=IF($C103=$C102,"",IF($C103="","",NF($B103,"Id_ Prefactura")))</t>
  </si>
  <si>
    <t>=IF($C103=$C102,"",IF($C103="","",NF($B103,"No_ referencia transporte")))</t>
  </si>
  <si>
    <t>=IF($C103=$C102,"",IF($C103="","",NF($B103,"Familia pedido")))</t>
  </si>
  <si>
    <t>=IF($C103=$C102,"",IF($C103="","",NF($B103,"Fecha confirmación SGA")))</t>
  </si>
  <si>
    <t>=IF($C103=$C102,"",IF($C103="","",NF($B103,"Cód_ Servicio solicitado Fact_")))</t>
  </si>
  <si>
    <t>=IF($C103=$C102,"",IF($C103="","",NF($B103,"bultosP")))</t>
  </si>
  <si>
    <t>=IF($C104=$C103,"",IF($C104="","",NF($B104,"Id_ Prefactura")))</t>
  </si>
  <si>
    <t>=IF($C104=$C103,"",IF($C104="","",NF($B104,"No_ referencia transporte")))</t>
  </si>
  <si>
    <t>=IF($C104=$C103,"",IF($C104="","",NF($B104,"Familia pedido")))</t>
  </si>
  <si>
    <t>=IF($C104=$C103,"",IF($C104="","",NF($B104,"Fecha confirmación SGA")))</t>
  </si>
  <si>
    <t>=IF($C104=$C103,"",IF($C104="","",NF($B104,"Cód_ Servicio solicitado Fact_")))</t>
  </si>
  <si>
    <t>=IF($C104=$C103,"",IF($C104="","",NF($B104,"bultosP")))</t>
  </si>
  <si>
    <t>=IF($C105=$C104,"",IF($C105="","",NF($B105,"Id_ Prefactura")))</t>
  </si>
  <si>
    <t>=IF($C105=$C104,"",IF($C105="","",NF($B105,"No_ referencia transporte")))</t>
  </si>
  <si>
    <t>=IF($C105=$C104,"",IF($C105="","",NF($B105,"Familia pedido")))</t>
  </si>
  <si>
    <t>=IF($C105=$C104,"",IF($C105="","",NF($B105,"Fecha confirmación SGA")))</t>
  </si>
  <si>
    <t>=IF($C105=$C104,"",IF($C105="","",NF($B105,"Cód_ Servicio solicitado Fact_")))</t>
  </si>
  <si>
    <t>=IF($C105=$C104,"",IF($C105="","",NF($B105,"bultosP")))</t>
  </si>
  <si>
    <t>=IF($C106=$C105,"",IF($C106="","",NF($B106,"Id_ Prefactura")))</t>
  </si>
  <si>
    <t>=IF($C106=$C105,"",IF($C106="","",NF($B106,"No_ referencia transporte")))</t>
  </si>
  <si>
    <t>=IF($C106=$C105,"",IF($C106="","",NF($B106,"Familia pedido")))</t>
  </si>
  <si>
    <t>=IF($C106=$C105,"",IF($C106="","",NF($B106,"Fecha confirmación SGA")))</t>
  </si>
  <si>
    <t>=IF($C106=$C105,"",IF($C106="","",NF($B106,"Cód_ Servicio solicitado Fact_")))</t>
  </si>
  <si>
    <t>=IF($C106=$C105,"",IF($C106="","",NF($B106,"bultosP")))</t>
  </si>
  <si>
    <t>=IF($C107=$C106,"",IF($C107="","",NF($B107,"Id_ Prefactura")))</t>
  </si>
  <si>
    <t>=IF($C107=$C106,"",IF($C107="","",NF($B107,"No_ referencia transporte")))</t>
  </si>
  <si>
    <t>=IF($C107=$C106,"",IF($C107="","",NF($B107,"Familia pedido")))</t>
  </si>
  <si>
    <t>=IF($C107=$C106,"",IF($C107="","",NF($B107,"Fecha confirmación SGA")))</t>
  </si>
  <si>
    <t>=IF($C107=$C106,"",IF($C107="","",NF($B107,"Cód_ Servicio solicitado Fact_")))</t>
  </si>
  <si>
    <t>=IF($C107=$C106,"",IF($C107="","",NF($B107,"bultosP")))</t>
  </si>
  <si>
    <t>=IF($C108=$C107,"",IF($C108="","",NF($B108,"Id_ Prefactura")))</t>
  </si>
  <si>
    <t>=IF($C108=$C107,"",IF($C108="","",NF($B108,"No_ referencia transporte")))</t>
  </si>
  <si>
    <t>=IF($C108=$C107,"",IF($C108="","",NF($B108,"Familia pedido")))</t>
  </si>
  <si>
    <t>=IF($C108=$C107,"",IF($C108="","",NF($B108,"Fecha confirmación SGA")))</t>
  </si>
  <si>
    <t>=IF($C108=$C107,"",IF($C108="","",NF($B108,"Cód_ Servicio solicitado Fact_")))</t>
  </si>
  <si>
    <t>=IF($C108=$C107,"",IF($C108="","",NF($B108,"bultosP")))</t>
  </si>
  <si>
    <t>=NF($B5,"Nº documento")</t>
  </si>
  <si>
    <t>=NF($B6,"Nº documento")</t>
  </si>
  <si>
    <t>=NF($B7,"Nº documento")</t>
  </si>
  <si>
    <t>=NF($B8,"Nº documento")</t>
  </si>
  <si>
    <t>=NF($B9,"Nº documento")</t>
  </si>
  <si>
    <t>=NF($B10,"Nº documento")</t>
  </si>
  <si>
    <t>=NF($B11,"Nº documento")</t>
  </si>
  <si>
    <t>=NF($B12,"Nº documento")</t>
  </si>
  <si>
    <t>=NF($B13,"Nº documento")</t>
  </si>
  <si>
    <t>=NF($B14,"Nº documento")</t>
  </si>
  <si>
    <t>=NF($B15,"Nº documento")</t>
  </si>
  <si>
    <t>=NF($B16,"Nº documento")</t>
  </si>
  <si>
    <t>=NF($B17,"Nº documento")</t>
  </si>
  <si>
    <t>=NF($B18,"Nº documento")</t>
  </si>
  <si>
    <t>=NF($B19,"Nº documento")</t>
  </si>
  <si>
    <t>=NF($B20,"Nº documento")</t>
  </si>
  <si>
    <t>=IF($C5=$C4,"",IF($C5="","",CONCATENATE(NF($B5,"Cód_ operativa")," ",NF($B5,"Descripción"))))</t>
  </si>
  <si>
    <t>=IF($C5=$C4,"",IF($C5="","",IF(NF($B5,"Tipo Documento")=0,"Pedido","Bulto Opaco")))</t>
  </si>
  <si>
    <t>=IF($C5=$C4,"",IF($C5="","",NF($B5,"No_")))</t>
  </si>
  <si>
    <t>=IF($C5=$C4,"",IF($C5="","",NF($B5,"No_ documento cliente")))</t>
  </si>
  <si>
    <t>=IF($C5=$C4,"",IF($C5="","",NF($B5,"Nombre punto entrega")))</t>
  </si>
  <si>
    <t>=IF($C5=$C4,"",IF($C5="","",NF($B5,"Contacto punto entrega")))</t>
  </si>
  <si>
    <t>=IF($C5=$C4,"",IF($C5="","",NF($B5,"Dirección punto entrega")))</t>
  </si>
  <si>
    <t>=IF($C5=$C4,"",IF($C5="","",NF($B5,"C_P_ punto entrega")))</t>
  </si>
  <si>
    <t>=IF($C5=$C4,"",IF($C5="","",NF($B5,"Población punto entrega")))</t>
  </si>
  <si>
    <t>=IF($C5=$C4,"",IF($C5="","",NF($B5,"Provincia punto entrega")))</t>
  </si>
  <si>
    <t>=IF($C5=$C4,"",IF($C5="","",NF($B5,"País punto entrega")))</t>
  </si>
  <si>
    <t>=IF($C5=$C4,"",IF($C5="","",NF($B5,"bultosE")))</t>
  </si>
  <si>
    <t>=IF(B5="","",IF($B5=$B4,"",ROUNDUP(NF($B5,"Peso facturable"),0)))</t>
  </si>
  <si>
    <t>=IF(OR($G5="",$G5=$G4),"",NF($B5,"manipulacion"))</t>
  </si>
  <si>
    <t>=NP("codeunit","Miscelanea","CalculaEmbalajeAlbaranPedido",G5,I5,D5,"",,,,,,,"MEDIAPOST SPAIN","Navision")</t>
  </si>
  <si>
    <t>=IF(OR($G5="",$G5=$G4),"",NF($B5,"transporte")/NF($B5,"numeroexpediciones"))</t>
  </si>
  <si>
    <t>=IF(OR($G5="",$G5=$G4),"",NF($B5,"prima")/NF($B5,"numeroexpediciones"))</t>
  </si>
  <si>
    <t>=IF(OR($G5="",$G5=$G4),"",NF($B5,"reembolso")/NF($B5,"numeroexpediciones"))</t>
  </si>
  <si>
    <t>=IF(OR($G5="",$G5=$G4),"",NF($B5,"impuestos")/NF($B5,"numeroexpediciones"))</t>
  </si>
  <si>
    <t>=IF(AJ5="","",VALUE(AJ5))</t>
  </si>
  <si>
    <t>=IF(OR($G5="",$G5=$G4),"",NF($B5,"franqueo")/NF($B5,"numeroexpediciones"))</t>
  </si>
  <si>
    <t>=IF(OR($G5="",$G5=$G4),"",NF($B5,"despacho")/NF($B5,"numeroexpediciones"))</t>
  </si>
  <si>
    <t>=IF($G5="","",IFERROR(IF(ISBLANK(Z5),0,Z5)+IF(ISBLANK(AA5),0,AA5)+IF(ISBLANK(AB5),0,AB5)+IF(ISBLANK(AC5),0,AC5)+IF(ISBLANK(AD5),0,AD5)+IF(ISBLANK(AE5),0,AE5)+IF(ISBLANK(AF5),0,AF5)+IF(ISBLANK(AG5),0,AG5)+IF(ISBLANK(AH5),0,AH5),0))</t>
  </si>
  <si>
    <t>=IF($G5="","",NL("Suma","Registro activ. Log. detallado","Importe a facturar","Id. Prefactura",IdPrefactura,"Familia concepto","GESTION","Nº documento",NF($B5,"No_"),"Tipo de documento","Pedido|Bulto opaco","Datasource=","Navision"))</t>
  </si>
  <si>
    <t>=IF($C6=$C5,"",IF($C6="","",CONCATENATE(NF($B6,"Cód_ operativa")," ",NF($B6,"Descripción"))))</t>
  </si>
  <si>
    <t>=IF($C6=$C5,"",IF($C6="","",IF(NF($B6,"Tipo Documento")=0,"Pedido","Bulto Opaco")))</t>
  </si>
  <si>
    <t>=IF($C6=$C5,"",IF($C6="","",NF($B6,"No_")))</t>
  </si>
  <si>
    <t>=IF($C6=$C5,"",IF($C6="","",NF($B6,"No_ documento cliente")))</t>
  </si>
  <si>
    <t>=IF($C6=$C5,"",IF($C6="","",NF($B6,"Nombre punto entrega")))</t>
  </si>
  <si>
    <t>=IF($C6=$C5,"",IF($C6="","",NF($B6,"Contacto punto entrega")))</t>
  </si>
  <si>
    <t>=IF($C6=$C5,"",IF($C6="","",NF($B6,"Dirección punto entrega")))</t>
  </si>
  <si>
    <t>=IF($C6=$C5,"",IF($C6="","",NF($B6,"C_P_ punto entrega")))</t>
  </si>
  <si>
    <t>=IF($C6=$C5,"",IF($C6="","",NF($B6,"Población punto entrega")))</t>
  </si>
  <si>
    <t>=IF($C6=$C5,"",IF($C6="","",NF($B6,"Provincia punto entrega")))</t>
  </si>
  <si>
    <t>=IF($C6=$C5,"",IF($C6="","",NF($B6,"País punto entrega")))</t>
  </si>
  <si>
    <t>=IF($C6=$C5,"",IF($C6="","",NF($B6,"bultosE")))</t>
  </si>
  <si>
    <t>=IF(B6="","",IF($B6=$B5,"",ROUNDUP(NF($B6,"Peso facturable"),0)))</t>
  </si>
  <si>
    <t>=IF(OR($G6="",$G6=$G5),"",NF($B6,"manipulacion"))</t>
  </si>
  <si>
    <t>=NP("codeunit","Miscelanea","CalculaEmbalajeAlbaranPedido",G6,I6,D6,"",,,,,,,"MEDIAPOST SPAIN","Navision")</t>
  </si>
  <si>
    <t>=IF(OR($G6="",$G6=$G5),"",NF($B6,"transporte")/NF($B6,"numeroexpediciones"))</t>
  </si>
  <si>
    <t>=IF(OR($G6="",$G6=$G5),"",NF($B6,"prima")/NF($B6,"numeroexpediciones"))</t>
  </si>
  <si>
    <t>=IF(OR($G6="",$G6=$G5),"",NF($B6,"reembolso")/NF($B6,"numeroexpediciones"))</t>
  </si>
  <si>
    <t>=IF(OR($G6="",$G6=$G5),"",NF($B6,"impuestos")/NF($B6,"numeroexpediciones"))</t>
  </si>
  <si>
    <t>=IF(AJ6="","",VALUE(AJ6))</t>
  </si>
  <si>
    <t>=IF(OR($G6="",$G6=$G5),"",NF($B6,"franqueo")/NF($B6,"numeroexpediciones"))</t>
  </si>
  <si>
    <t>=IF(OR($G6="",$G6=$G5),"",NF($B6,"despacho")/NF($B6,"numeroexpediciones"))</t>
  </si>
  <si>
    <t>=IF($G6="","",IFERROR(IF(ISBLANK(Z6),0,Z6)+IF(ISBLANK(AA6),0,AA6)+IF(ISBLANK(AB6),0,AB6)+IF(ISBLANK(AC6),0,AC6)+IF(ISBLANK(AD6),0,AD6)+IF(ISBLANK(AE6),0,AE6)+IF(ISBLANK(AF6),0,AF6)+IF(ISBLANK(AG6),0,AG6)+IF(ISBLANK(AH6),0,AH6),0))</t>
  </si>
  <si>
    <t>=IF($G6="","",NL("Suma","Registro activ. Log. detallado","Importe a facturar","Id. Prefactura",IdPrefactura,"Familia concepto","GESTION","Nº documento",NF($B6,"No_"),"Tipo de documento","Pedido|Bulto opaco","Datasource=","Navision"))</t>
  </si>
  <si>
    <t>=IF($C7=$C6,"",IF($C7="","",CONCATENATE(NF($B7,"Cód_ operativa")," ",NF($B7,"Descripción"))))</t>
  </si>
  <si>
    <t>=IF($C7=$C6,"",IF($C7="","",IF(NF($B7,"Tipo Documento")=0,"Pedido","Bulto Opaco")))</t>
  </si>
  <si>
    <t>=IF($C7=$C6,"",IF($C7="","",NF($B7,"No_")))</t>
  </si>
  <si>
    <t>=IF($C7=$C6,"",IF($C7="","",NF($B7,"No_ documento cliente")))</t>
  </si>
  <si>
    <t>=IF($C7=$C6,"",IF($C7="","",NF($B7,"Nombre punto entrega")))</t>
  </si>
  <si>
    <t>=IF($C7=$C6,"",IF($C7="","",NF($B7,"Contacto punto entrega")))</t>
  </si>
  <si>
    <t>=IF($C7=$C6,"",IF($C7="","",NF($B7,"Dirección punto entrega")))</t>
  </si>
  <si>
    <t>=IF($C7=$C6,"",IF($C7="","",NF($B7,"C_P_ punto entrega")))</t>
  </si>
  <si>
    <t>=IF($C7=$C6,"",IF($C7="","",NF($B7,"Población punto entrega")))</t>
  </si>
  <si>
    <t>=IF($C7=$C6,"",IF($C7="","",NF($B7,"Provincia punto entrega")))</t>
  </si>
  <si>
    <t>=IF($C7=$C6,"",IF($C7="","",NF($B7,"País punto entrega")))</t>
  </si>
  <si>
    <t>=IF($C7=$C6,"",IF($C7="","",NF($B7,"bultosE")))</t>
  </si>
  <si>
    <t>=IF(B7="","",IF($B7=$B6,"",ROUNDUP(NF($B7,"Peso facturable"),0)))</t>
  </si>
  <si>
    <t>=IF(OR($G7="",$G7=$G6),"",NF($B7,"manipulacion"))</t>
  </si>
  <si>
    <t>=NP("codeunit","Miscelanea","CalculaEmbalajeAlbaranPedido",G7,I7,D7,"",,,,,,,"MEDIAPOST SPAIN","Navision")</t>
  </si>
  <si>
    <t>=IF(OR($G7="",$G7=$G6),"",NF($B7,"transporte")/NF($B7,"numeroexpediciones"))</t>
  </si>
  <si>
    <t>=IF(OR($G7="",$G7=$G6),"",NF($B7,"prima")/NF($B7,"numeroexpediciones"))</t>
  </si>
  <si>
    <t>=IF(OR($G7="",$G7=$G6),"",NF($B7,"reembolso")/NF($B7,"numeroexpediciones"))</t>
  </si>
  <si>
    <t>=IF(OR($G7="",$G7=$G6),"",NF($B7,"impuestos")/NF($B7,"numeroexpediciones"))</t>
  </si>
  <si>
    <t>=IF(AJ7="","",VALUE(AJ7))</t>
  </si>
  <si>
    <t>=IF(OR($G7="",$G7=$G6),"",NF($B7,"franqueo")/NF($B7,"numeroexpediciones"))</t>
  </si>
  <si>
    <t>=IF(OR($G7="",$G7=$G6),"",NF($B7,"despacho")/NF($B7,"numeroexpediciones"))</t>
  </si>
  <si>
    <t>=IF($G7="","",IFERROR(IF(ISBLANK(Z7),0,Z7)+IF(ISBLANK(AA7),0,AA7)+IF(ISBLANK(AB7),0,AB7)+IF(ISBLANK(AC7),0,AC7)+IF(ISBLANK(AD7),0,AD7)+IF(ISBLANK(AE7),0,AE7)+IF(ISBLANK(AF7),0,AF7)+IF(ISBLANK(AG7),0,AG7)+IF(ISBLANK(AH7),0,AH7),0))</t>
  </si>
  <si>
    <t>=IF($G7="","",NL("Suma","Registro activ. Log. detallado","Importe a facturar","Id. Prefactura",IdPrefactura,"Familia concepto","GESTION","Nº documento",NF($B7,"No_"),"Tipo de documento","Pedido|Bulto opaco","Datasource=","Navision"))</t>
  </si>
  <si>
    <t>=IF($C8=$C7,"",IF($C8="","",CONCATENATE(NF($B8,"Cód_ operativa")," ",NF($B8,"Descripción"))))</t>
  </si>
  <si>
    <t>=IF($C8=$C7,"",IF($C8="","",IF(NF($B8,"Tipo Documento")=0,"Pedido","Bulto Opaco")))</t>
  </si>
  <si>
    <t>=IF($C8=$C7,"",IF($C8="","",NF($B8,"No_")))</t>
  </si>
  <si>
    <t>=IF($C8=$C7,"",IF($C8="","",NF($B8,"No_ documento cliente")))</t>
  </si>
  <si>
    <t>=IF($C8=$C7,"",IF($C8="","",NF($B8,"Nombre punto entrega")))</t>
  </si>
  <si>
    <t>=IF($C8=$C7,"",IF($C8="","",NF($B8,"Contacto punto entrega")))</t>
  </si>
  <si>
    <t>=IF($C8=$C7,"",IF($C8="","",NF($B8,"Dirección punto entrega")))</t>
  </si>
  <si>
    <t>=IF($C8=$C7,"",IF($C8="","",NF($B8,"C_P_ punto entrega")))</t>
  </si>
  <si>
    <t>=IF($C8=$C7,"",IF($C8="","",NF($B8,"Población punto entrega")))</t>
  </si>
  <si>
    <t>=IF($C8=$C7,"",IF($C8="","",NF($B8,"Provincia punto entrega")))</t>
  </si>
  <si>
    <t>=IF($C8=$C7,"",IF($C8="","",NF($B8,"País punto entrega")))</t>
  </si>
  <si>
    <t>=IF($C8=$C7,"",IF($C8="","",NF($B8,"bultosE")))</t>
  </si>
  <si>
    <t>=IF(B8="","",IF($B8=$B7,"",ROUNDUP(NF($B8,"Peso facturable"),0)))</t>
  </si>
  <si>
    <t>=IF(OR($G8="",$G8=$G7),"",NF($B8,"manipulacion"))</t>
  </si>
  <si>
    <t>=NP("codeunit","Miscelanea","CalculaEmbalajeAlbaranPedido",G8,I8,D8,"",,,,,,,"MEDIAPOST SPAIN","Navision")</t>
  </si>
  <si>
    <t>=IF(OR($G8="",$G8=$G7),"",NF($B8,"transporte")/NF($B8,"numeroexpediciones"))</t>
  </si>
  <si>
    <t>=IF(OR($G8="",$G8=$G7),"",NF($B8,"prima")/NF($B8,"numeroexpediciones"))</t>
  </si>
  <si>
    <t>=IF(OR($G8="",$G8=$G7),"",NF($B8,"reembolso")/NF($B8,"numeroexpediciones"))</t>
  </si>
  <si>
    <t>=IF(OR($G8="",$G8=$G7),"",NF($B8,"impuestos")/NF($B8,"numeroexpediciones"))</t>
  </si>
  <si>
    <t>=IF(AJ8="","",VALUE(AJ8))</t>
  </si>
  <si>
    <t>=IF(OR($G8="",$G8=$G7),"",NF($B8,"franqueo")/NF($B8,"numeroexpediciones"))</t>
  </si>
  <si>
    <t>=IF(OR($G8="",$G8=$G7),"",NF($B8,"despacho")/NF($B8,"numeroexpediciones"))</t>
  </si>
  <si>
    <t>=IF($G8="","",IFERROR(IF(ISBLANK(Z8),0,Z8)+IF(ISBLANK(AA8),0,AA8)+IF(ISBLANK(AB8),0,AB8)+IF(ISBLANK(AC8),0,AC8)+IF(ISBLANK(AD8),0,AD8)+IF(ISBLANK(AE8),0,AE8)+IF(ISBLANK(AF8),0,AF8)+IF(ISBLANK(AG8),0,AG8)+IF(ISBLANK(AH8),0,AH8),0))</t>
  </si>
  <si>
    <t>=IF($G8="","",NL("Suma","Registro activ. Log. detallado","Importe a facturar","Id. Prefactura",IdPrefactura,"Familia concepto","GESTION","Nº documento",NF($B8,"No_"),"Tipo de documento","Pedido|Bulto opaco","Datasource=","Navision"))</t>
  </si>
  <si>
    <t>=IF($C9=$C8,"",IF($C9="","",CONCATENATE(NF($B9,"Cód_ operativa")," ",NF($B9,"Descripción"))))</t>
  </si>
  <si>
    <t>=IF($C9=$C8,"",IF($C9="","",IF(NF($B9,"Tipo Documento")=0,"Pedido","Bulto Opaco")))</t>
  </si>
  <si>
    <t>=IF($C9=$C8,"",IF($C9="","",NF($B9,"No_")))</t>
  </si>
  <si>
    <t>=IF($C9=$C8,"",IF($C9="","",NF($B9,"No_ documento cliente")))</t>
  </si>
  <si>
    <t>=IF($C9=$C8,"",IF($C9="","",NF($B9,"Nombre punto entrega")))</t>
  </si>
  <si>
    <t>=IF($C9=$C8,"",IF($C9="","",NF($B9,"Contacto punto entrega")))</t>
  </si>
  <si>
    <t>=IF($C9=$C8,"",IF($C9="","",NF($B9,"Dirección punto entrega")))</t>
  </si>
  <si>
    <t>=IF($C9=$C8,"",IF($C9="","",NF($B9,"C_P_ punto entrega")))</t>
  </si>
  <si>
    <t>=IF($C9=$C8,"",IF($C9="","",NF($B9,"Población punto entrega")))</t>
  </si>
  <si>
    <t>=IF($C9=$C8,"",IF($C9="","",NF($B9,"Provincia punto entrega")))</t>
  </si>
  <si>
    <t>=IF($C9=$C8,"",IF($C9="","",NF($B9,"País punto entrega")))</t>
  </si>
  <si>
    <t>=IF($C9=$C8,"",IF($C9="","",NF($B9,"bultosE")))</t>
  </si>
  <si>
    <t>=IF(B9="","",IF($B9=$B8,"",ROUNDUP(NF($B9,"Peso facturable"),0)))</t>
  </si>
  <si>
    <t>=IF(OR($G9="",$G9=$G8),"",NF($B9,"manipulacion"))</t>
  </si>
  <si>
    <t>=NP("codeunit","Miscelanea","CalculaEmbalajeAlbaranPedido",G9,I9,D9,"",,,,,,,"MEDIAPOST SPAIN","Navision")</t>
  </si>
  <si>
    <t>=IF(OR($G9="",$G9=$G8),"",NF($B9,"transporte")/NF($B9,"numeroexpediciones"))</t>
  </si>
  <si>
    <t>=IF(OR($G9="",$G9=$G8),"",NF($B9,"prima")/NF($B9,"numeroexpediciones"))</t>
  </si>
  <si>
    <t>=IF(OR($G9="",$G9=$G8),"",NF($B9,"reembolso")/NF($B9,"numeroexpediciones"))</t>
  </si>
  <si>
    <t>=IF(OR($G9="",$G9=$G8),"",NF($B9,"impuestos")/NF($B9,"numeroexpediciones"))</t>
  </si>
  <si>
    <t>=IF(AJ9="","",VALUE(AJ9))</t>
  </si>
  <si>
    <t>=IF(OR($G9="",$G9=$G8),"",NF($B9,"franqueo")/NF($B9,"numeroexpediciones"))</t>
  </si>
  <si>
    <t>=IF(OR($G9="",$G9=$G8),"",NF($B9,"despacho")/NF($B9,"numeroexpediciones"))</t>
  </si>
  <si>
    <t>=IF($G9="","",IFERROR(IF(ISBLANK(Z9),0,Z9)+IF(ISBLANK(AA9),0,AA9)+IF(ISBLANK(AB9),0,AB9)+IF(ISBLANK(AC9),0,AC9)+IF(ISBLANK(AD9),0,AD9)+IF(ISBLANK(AE9),0,AE9)+IF(ISBLANK(AF9),0,AF9)+IF(ISBLANK(AG9),0,AG9)+IF(ISBLANK(AH9),0,AH9),0))</t>
  </si>
  <si>
    <t>=IF($G9="","",NL("Suma","Registro activ. Log. detallado","Importe a facturar","Id. Prefactura",IdPrefactura,"Familia concepto","GESTION","Nº documento",NF($B9,"No_"),"Tipo de documento","Pedido|Bulto opaco","Datasource=","Navision"))</t>
  </si>
  <si>
    <t>=IF($C10=$C9,"",IF($C10="","",CONCATENATE(NF($B10,"Cód_ operativa")," ",NF($B10,"Descripción"))))</t>
  </si>
  <si>
    <t>=IF($C10=$C9,"",IF($C10="","",IF(NF($B10,"Tipo Documento")=0,"Pedido","Bulto Opaco")))</t>
  </si>
  <si>
    <t>=IF($C10=$C9,"",IF($C10="","",NF($B10,"No_")))</t>
  </si>
  <si>
    <t>=IF($C10=$C9,"",IF($C10="","",NF($B10,"No_ documento cliente")))</t>
  </si>
  <si>
    <t>=IF($C10=$C9,"",IF($C10="","",NF($B10,"Nombre punto entrega")))</t>
  </si>
  <si>
    <t>=IF($C10=$C9,"",IF($C10="","",NF($B10,"Contacto punto entrega")))</t>
  </si>
  <si>
    <t>=IF($C10=$C9,"",IF($C10="","",NF($B10,"Dirección punto entrega")))</t>
  </si>
  <si>
    <t>=IF($C10=$C9,"",IF($C10="","",NF($B10,"C_P_ punto entrega")))</t>
  </si>
  <si>
    <t>=IF($C10=$C9,"",IF($C10="","",NF($B10,"Población punto entrega")))</t>
  </si>
  <si>
    <t>=IF($C10=$C9,"",IF($C10="","",NF($B10,"Provincia punto entrega")))</t>
  </si>
  <si>
    <t>=IF($C10=$C9,"",IF($C10="","",NF($B10,"País punto entrega")))</t>
  </si>
  <si>
    <t>=IF($C10=$C9,"",IF($C10="","",NF($B10,"bultosE")))</t>
  </si>
  <si>
    <t>=IF(B10="","",IF($B10=$B9,"",ROUNDUP(NF($B10,"Peso facturable"),0)))</t>
  </si>
  <si>
    <t>=IF(OR($G10="",$G10=$G9),"",NF($B10,"manipulacion"))</t>
  </si>
  <si>
    <t>=NP("codeunit","Miscelanea","CalculaEmbalajeAlbaranPedido",G10,I10,D10,"",,,,,,,"MEDIAPOST SPAIN","Navision")</t>
  </si>
  <si>
    <t>=IF(OR($G10="",$G10=$G9),"",NF($B10,"transporte")/NF($B10,"numeroexpediciones"))</t>
  </si>
  <si>
    <t>=IF(OR($G10="",$G10=$G9),"",NF($B10,"prima")/NF($B10,"numeroexpediciones"))</t>
  </si>
  <si>
    <t>=IF(OR($G10="",$G10=$G9),"",NF($B10,"reembolso")/NF($B10,"numeroexpediciones"))</t>
  </si>
  <si>
    <t>=IF(OR($G10="",$G10=$G9),"",NF($B10,"impuestos")/NF($B10,"numeroexpediciones"))</t>
  </si>
  <si>
    <t>=IF(AJ10="","",VALUE(AJ10))</t>
  </si>
  <si>
    <t>=IF(OR($G10="",$G10=$G9),"",NF($B10,"franqueo")/NF($B10,"numeroexpediciones"))</t>
  </si>
  <si>
    <t>=IF(OR($G10="",$G10=$G9),"",NF($B10,"despacho")/NF($B10,"numeroexpediciones"))</t>
  </si>
  <si>
    <t>=IF($G10="","",IFERROR(IF(ISBLANK(Z10),0,Z10)+IF(ISBLANK(AA10),0,AA10)+IF(ISBLANK(AB10),0,AB10)+IF(ISBLANK(AC10),0,AC10)+IF(ISBLANK(AD10),0,AD10)+IF(ISBLANK(AE10),0,AE10)+IF(ISBLANK(AF10),0,AF10)+IF(ISBLANK(AG10),0,AG10)+IF(ISBLANK(AH10),0,AH10),0))</t>
  </si>
  <si>
    <t>=IF($G10="","",NL("Suma","Registro activ. Log. detallado","Importe a facturar","Id. Prefactura",IdPrefactura,"Familia concepto","GESTION","Nº documento",NF($B10,"No_"),"Tipo de documento","Pedido|Bulto opaco","Datasource=","Navision"))</t>
  </si>
  <si>
    <t>=IF($C11=$C10,"",IF($C11="","",CONCATENATE(NF($B11,"Cód_ operativa")," ",NF($B11,"Descripción"))))</t>
  </si>
  <si>
    <t>=IF($C11=$C10,"",IF($C11="","",IF(NF($B11,"Tipo Documento")=0,"Pedido","Bulto Opaco")))</t>
  </si>
  <si>
    <t>=IF($C11=$C10,"",IF($C11="","",NF($B11,"No_")))</t>
  </si>
  <si>
    <t>=IF($C11=$C10,"",IF($C11="","",NF($B11,"No_ documento cliente")))</t>
  </si>
  <si>
    <t>=IF($C11=$C10,"",IF($C11="","",NF($B11,"Nombre punto entrega")))</t>
  </si>
  <si>
    <t>=IF($C11=$C10,"",IF($C11="","",NF($B11,"Contacto punto entrega")))</t>
  </si>
  <si>
    <t>=IF($C11=$C10,"",IF($C11="","",NF($B11,"Dirección punto entrega")))</t>
  </si>
  <si>
    <t>=IF($C11=$C10,"",IF($C11="","",NF($B11,"C_P_ punto entrega")))</t>
  </si>
  <si>
    <t>=IF($C11=$C10,"",IF($C11="","",NF($B11,"Población punto entrega")))</t>
  </si>
  <si>
    <t>=IF($C11=$C10,"",IF($C11="","",NF($B11,"Provincia punto entrega")))</t>
  </si>
  <si>
    <t>=IF($C11=$C10,"",IF($C11="","",NF($B11,"País punto entrega")))</t>
  </si>
  <si>
    <t>=IF($C11=$C10,"",IF($C11="","",NF($B11,"bultosE")))</t>
  </si>
  <si>
    <t>=IF(B11="","",IF($B11=$B10,"",ROUNDUP(NF($B11,"Peso facturable"),0)))</t>
  </si>
  <si>
    <t>=IF(OR($G11="",$G11=$G10),"",NF($B11,"manipulacion"))</t>
  </si>
  <si>
    <t>=NP("codeunit","Miscelanea","CalculaEmbalajeAlbaranPedido",G11,I11,D11,"",,,,,,,"MEDIAPOST SPAIN","Navision")</t>
  </si>
  <si>
    <t>=IF(OR($G11="",$G11=$G10),"",NF($B11,"transporte")/NF($B11,"numeroexpediciones"))</t>
  </si>
  <si>
    <t>=IF(OR($G11="",$G11=$G10),"",NF($B11,"prima")/NF($B11,"numeroexpediciones"))</t>
  </si>
  <si>
    <t>=IF(OR($G11="",$G11=$G10),"",NF($B11,"reembolso")/NF($B11,"numeroexpediciones"))</t>
  </si>
  <si>
    <t>=IF(OR($G11="",$G11=$G10),"",NF($B11,"impuestos")/NF($B11,"numeroexpediciones"))</t>
  </si>
  <si>
    <t>=IF(AJ11="","",VALUE(AJ11))</t>
  </si>
  <si>
    <t>=IF(OR($G11="",$G11=$G10),"",NF($B11,"franqueo")/NF($B11,"numeroexpediciones"))</t>
  </si>
  <si>
    <t>=IF(OR($G11="",$G11=$G10),"",NF($B11,"despacho")/NF($B11,"numeroexpediciones"))</t>
  </si>
  <si>
    <t>=IF($G11="","",IFERROR(IF(ISBLANK(Z11),0,Z11)+IF(ISBLANK(AA11),0,AA11)+IF(ISBLANK(AB11),0,AB11)+IF(ISBLANK(AC11),0,AC11)+IF(ISBLANK(AD11),0,AD11)+IF(ISBLANK(AE11),0,AE11)+IF(ISBLANK(AF11),0,AF11)+IF(ISBLANK(AG11),0,AG11)+IF(ISBLANK(AH11),0,AH11),0))</t>
  </si>
  <si>
    <t>=IF($G11="","",NL("Suma","Registro activ. Log. detallado","Importe a facturar","Id. Prefactura",IdPrefactura,"Familia concepto","GESTION","Nº documento",NF($B11,"No_"),"Tipo de documento","Pedido|Bulto opaco","Datasource=","Navision"))</t>
  </si>
  <si>
    <t>=IF($C12=$C11,"",IF($C12="","",CONCATENATE(NF($B12,"Cód_ operativa")," ",NF($B12,"Descripción"))))</t>
  </si>
  <si>
    <t>=IF($C12=$C11,"",IF($C12="","",IF(NF($B12,"Tipo Documento")=0,"Pedido","Bulto Opaco")))</t>
  </si>
  <si>
    <t>=IF($C12=$C11,"",IF($C12="","",NF($B12,"No_")))</t>
  </si>
  <si>
    <t>=IF($C12=$C11,"",IF($C12="","",NF($B12,"No_ documento cliente")))</t>
  </si>
  <si>
    <t>=IF($C12=$C11,"",IF($C12="","",NF($B12,"Nombre punto entrega")))</t>
  </si>
  <si>
    <t>=IF($C12=$C11,"",IF($C12="","",NF($B12,"Contacto punto entrega")))</t>
  </si>
  <si>
    <t>=IF($C12=$C11,"",IF($C12="","",NF($B12,"Dirección punto entrega")))</t>
  </si>
  <si>
    <t>=IF($C12=$C11,"",IF($C12="","",NF($B12,"C_P_ punto entrega")))</t>
  </si>
  <si>
    <t>=IF($C12=$C11,"",IF($C12="","",NF($B12,"Población punto entrega")))</t>
  </si>
  <si>
    <t>=IF($C12=$C11,"",IF($C12="","",NF($B12,"Provincia punto entrega")))</t>
  </si>
  <si>
    <t>=IF($C12=$C11,"",IF($C12="","",NF($B12,"País punto entrega")))</t>
  </si>
  <si>
    <t>=IF($C12=$C11,"",IF($C12="","",NF($B12,"bultosE")))</t>
  </si>
  <si>
    <t>=IF(B12="","",IF($B12=$B11,"",ROUNDUP(NF($B12,"Peso facturable"),0)))</t>
  </si>
  <si>
    <t>=IF(OR($G12="",$G12=$G11),"",NF($B12,"manipulacion"))</t>
  </si>
  <si>
    <t>=NP("codeunit","Miscelanea","CalculaEmbalajeAlbaranPedido",G12,I12,D12,"",,,,,,,"MEDIAPOST SPAIN","Navision")</t>
  </si>
  <si>
    <t>=IF(OR($G12="",$G12=$G11),"",NF($B12,"transporte")/NF($B12,"numeroexpediciones"))</t>
  </si>
  <si>
    <t>=IF(OR($G12="",$G12=$G11),"",NF($B12,"prima")/NF($B12,"numeroexpediciones"))</t>
  </si>
  <si>
    <t>=IF(OR($G12="",$G12=$G11),"",NF($B12,"reembolso")/NF($B12,"numeroexpediciones"))</t>
  </si>
  <si>
    <t>=IF(OR($G12="",$G12=$G11),"",NF($B12,"impuestos")/NF($B12,"numeroexpediciones"))</t>
  </si>
  <si>
    <t>=IF(AJ12="","",VALUE(AJ12))</t>
  </si>
  <si>
    <t>=IF(OR($G12="",$G12=$G11),"",NF($B12,"franqueo")/NF($B12,"numeroexpediciones"))</t>
  </si>
  <si>
    <t>=IF(OR($G12="",$G12=$G11),"",NF($B12,"despacho")/NF($B12,"numeroexpediciones"))</t>
  </si>
  <si>
    <t>=IF($G12="","",IFERROR(IF(ISBLANK(Z12),0,Z12)+IF(ISBLANK(AA12),0,AA12)+IF(ISBLANK(AB12),0,AB12)+IF(ISBLANK(AC12),0,AC12)+IF(ISBLANK(AD12),0,AD12)+IF(ISBLANK(AE12),0,AE12)+IF(ISBLANK(AF12),0,AF12)+IF(ISBLANK(AG12),0,AG12)+IF(ISBLANK(AH12),0,AH12),0))</t>
  </si>
  <si>
    <t>=IF($G12="","",NL("Suma","Registro activ. Log. detallado","Importe a facturar","Id. Prefactura",IdPrefactura,"Familia concepto","GESTION","Nº documento",NF($B12,"No_"),"Tipo de documento","Pedido|Bulto opaco","Datasource=","Navision"))</t>
  </si>
  <si>
    <t>=IF($C13=$C12,"",IF($C13="","",CONCATENATE(NF($B13,"Cód_ operativa")," ",NF($B13,"Descripción"))))</t>
  </si>
  <si>
    <t>=IF($C13=$C12,"",IF($C13="","",IF(NF($B13,"Tipo Documento")=0,"Pedido","Bulto Opaco")))</t>
  </si>
  <si>
    <t>=IF($C13=$C12,"",IF($C13="","",NF($B13,"No_")))</t>
  </si>
  <si>
    <t>=IF($C13=$C12,"",IF($C13="","",NF($B13,"No_ documento cliente")))</t>
  </si>
  <si>
    <t>=IF($C13=$C12,"",IF($C13="","",NF($B13,"Nombre punto entrega")))</t>
  </si>
  <si>
    <t>=IF($C13=$C12,"",IF($C13="","",NF($B13,"Contacto punto entrega")))</t>
  </si>
  <si>
    <t>=IF($C13=$C12,"",IF($C13="","",NF($B13,"Dirección punto entrega")))</t>
  </si>
  <si>
    <t>=IF($C13=$C12,"",IF($C13="","",NF($B13,"C_P_ punto entrega")))</t>
  </si>
  <si>
    <t>=IF($C13=$C12,"",IF($C13="","",NF($B13,"Población punto entrega")))</t>
  </si>
  <si>
    <t>=IF($C13=$C12,"",IF($C13="","",NF($B13,"Provincia punto entrega")))</t>
  </si>
  <si>
    <t>=IF($C13=$C12,"",IF($C13="","",NF($B13,"País punto entrega")))</t>
  </si>
  <si>
    <t>=IF($C13=$C12,"",IF($C13="","",NF($B13,"bultosE")))</t>
  </si>
  <si>
    <t>=IF(B13="","",IF($B13=$B12,"",ROUNDUP(NF($B13,"Peso facturable"),0)))</t>
  </si>
  <si>
    <t>=IF(OR($G13="",$G13=$G12),"",NF($B13,"manipulacion"))</t>
  </si>
  <si>
    <t>=NP("codeunit","Miscelanea","CalculaEmbalajeAlbaranPedido",G13,I13,D13,"",,,,,,,"MEDIAPOST SPAIN","Navision")</t>
  </si>
  <si>
    <t>=IF(OR($G13="",$G13=$G12),"",NF($B13,"transporte")/NF($B13,"numeroexpediciones"))</t>
  </si>
  <si>
    <t>=IF(OR($G13="",$G13=$G12),"",NF($B13,"prima")/NF($B13,"numeroexpediciones"))</t>
  </si>
  <si>
    <t>=IF(OR($G13="",$G13=$G12),"",NF($B13,"reembolso")/NF($B13,"numeroexpediciones"))</t>
  </si>
  <si>
    <t>=IF(OR($G13="",$G13=$G12),"",NF($B13,"impuestos")/NF($B13,"numeroexpediciones"))</t>
  </si>
  <si>
    <t>=IF(AJ13="","",VALUE(AJ13))</t>
  </si>
  <si>
    <t>=IF(OR($G13="",$G13=$G12),"",NF($B13,"franqueo")/NF($B13,"numeroexpediciones"))</t>
  </si>
  <si>
    <t>=IF(OR($G13="",$G13=$G12),"",NF($B13,"despacho")/NF($B13,"numeroexpediciones"))</t>
  </si>
  <si>
    <t>=IF($G13="","",IFERROR(IF(ISBLANK(Z13),0,Z13)+IF(ISBLANK(AA13),0,AA13)+IF(ISBLANK(AB13),0,AB13)+IF(ISBLANK(AC13),0,AC13)+IF(ISBLANK(AD13),0,AD13)+IF(ISBLANK(AE13),0,AE13)+IF(ISBLANK(AF13),0,AF13)+IF(ISBLANK(AG13),0,AG13)+IF(ISBLANK(AH13),0,AH13),0))</t>
  </si>
  <si>
    <t>=IF($G13="","",NL("Suma","Registro activ. Log. detallado","Importe a facturar","Id. Prefactura",IdPrefactura,"Familia concepto","GESTION","Nº documento",NF($B13,"No_"),"Tipo de documento","Pedido|Bulto opaco","Datasource=","Navision"))</t>
  </si>
  <si>
    <t>=IF($C14=$C13,"",IF($C14="","",CONCATENATE(NF($B14,"Cód_ operativa")," ",NF($B14,"Descripción"))))</t>
  </si>
  <si>
    <t>=IF($C14=$C13,"",IF($C14="","",IF(NF($B14,"Tipo Documento")=0,"Pedido","Bulto Opaco")))</t>
  </si>
  <si>
    <t>=IF($C14=$C13,"",IF($C14="","",NF($B14,"No_")))</t>
  </si>
  <si>
    <t>=IF($C14=$C13,"",IF($C14="","",NF($B14,"No_ documento cliente")))</t>
  </si>
  <si>
    <t>=IF($C14=$C13,"",IF($C14="","",NF($B14,"Nombre punto entrega")))</t>
  </si>
  <si>
    <t>=IF($C14=$C13,"",IF($C14="","",NF($B14,"Contacto punto entrega")))</t>
  </si>
  <si>
    <t>=IF($C14=$C13,"",IF($C14="","",NF($B14,"Dirección punto entrega")))</t>
  </si>
  <si>
    <t>=IF($C14=$C13,"",IF($C14="","",NF($B14,"C_P_ punto entrega")))</t>
  </si>
  <si>
    <t>=IF($C14=$C13,"",IF($C14="","",NF($B14,"Población punto entrega")))</t>
  </si>
  <si>
    <t>=IF($C14=$C13,"",IF($C14="","",NF($B14,"Provincia punto entrega")))</t>
  </si>
  <si>
    <t>=IF($C14=$C13,"",IF($C14="","",NF($B14,"País punto entrega")))</t>
  </si>
  <si>
    <t>=IF($C14=$C13,"",IF($C14="","",NF($B14,"bultosE")))</t>
  </si>
  <si>
    <t>=IF(B14="","",IF($B14=$B13,"",ROUNDUP(NF($B14,"Peso facturable"),0)))</t>
  </si>
  <si>
    <t>=IF(OR($G14="",$G14=$G13),"",NF($B14,"manipulacion"))</t>
  </si>
  <si>
    <t>=NP("codeunit","Miscelanea","CalculaEmbalajeAlbaranPedido",G14,I14,D14,"",,,,,,,"MEDIAPOST SPAIN","Navision")</t>
  </si>
  <si>
    <t>=IF(OR($G14="",$G14=$G13),"",NF($B14,"transporte")/NF($B14,"numeroexpediciones"))</t>
  </si>
  <si>
    <t>=IF(OR($G14="",$G14=$G13),"",NF($B14,"prima")/NF($B14,"numeroexpediciones"))</t>
  </si>
  <si>
    <t>=IF(OR($G14="",$G14=$G13),"",NF($B14,"reembolso")/NF($B14,"numeroexpediciones"))</t>
  </si>
  <si>
    <t>=IF(OR($G14="",$G14=$G13),"",NF($B14,"impuestos")/NF($B14,"numeroexpediciones"))</t>
  </si>
  <si>
    <t>=IF(AJ14="","",VALUE(AJ14))</t>
  </si>
  <si>
    <t>=IF(OR($G14="",$G14=$G13),"",NF($B14,"franqueo")/NF($B14,"numeroexpediciones"))</t>
  </si>
  <si>
    <t>=IF(OR($G14="",$G14=$G13),"",NF($B14,"despacho")/NF($B14,"numeroexpediciones"))</t>
  </si>
  <si>
    <t>=IF($G14="","",IFERROR(IF(ISBLANK(Z14),0,Z14)+IF(ISBLANK(AA14),0,AA14)+IF(ISBLANK(AB14),0,AB14)+IF(ISBLANK(AC14),0,AC14)+IF(ISBLANK(AD14),0,AD14)+IF(ISBLANK(AE14),0,AE14)+IF(ISBLANK(AF14),0,AF14)+IF(ISBLANK(AG14),0,AG14)+IF(ISBLANK(AH14),0,AH14),0))</t>
  </si>
  <si>
    <t>=IF($G14="","",NL("Suma","Registro activ. Log. detallado","Importe a facturar","Id. Prefactura",IdPrefactura,"Familia concepto","GESTION","Nº documento",NF($B14,"No_"),"Tipo de documento","Pedido|Bulto opaco","Datasource=","Navision"))</t>
  </si>
  <si>
    <t>=IF($C15=$C14,"",IF($C15="","",CONCATENATE(NF($B15,"Cód_ operativa")," ",NF($B15,"Descripción"))))</t>
  </si>
  <si>
    <t>=IF($C15=$C14,"",IF($C15="","",IF(NF($B15,"Tipo Documento")=0,"Pedido","Bulto Opaco")))</t>
  </si>
  <si>
    <t>=IF($C15=$C14,"",IF($C15="","",NF($B15,"No_")))</t>
  </si>
  <si>
    <t>=IF($C15=$C14,"",IF($C15="","",NF($B15,"No_ documento cliente")))</t>
  </si>
  <si>
    <t>=IF($C15=$C14,"",IF($C15="","",NF($B15,"Nombre punto entrega")))</t>
  </si>
  <si>
    <t>=IF($C15=$C14,"",IF($C15="","",NF($B15,"Contacto punto entrega")))</t>
  </si>
  <si>
    <t>=IF($C15=$C14,"",IF($C15="","",NF($B15,"Dirección punto entrega")))</t>
  </si>
  <si>
    <t>=IF($C15=$C14,"",IF($C15="","",NF($B15,"C_P_ punto entrega")))</t>
  </si>
  <si>
    <t>=IF($C15=$C14,"",IF($C15="","",NF($B15,"Población punto entrega")))</t>
  </si>
  <si>
    <t>=IF($C15=$C14,"",IF($C15="","",NF($B15,"Provincia punto entrega")))</t>
  </si>
  <si>
    <t>=IF($C15=$C14,"",IF($C15="","",NF($B15,"País punto entrega")))</t>
  </si>
  <si>
    <t>=IF($C15=$C14,"",IF($C15="","",NF($B15,"bultosE")))</t>
  </si>
  <si>
    <t>=IF(B15="","",IF($B15=$B14,"",ROUNDUP(NF($B15,"Peso facturable"),0)))</t>
  </si>
  <si>
    <t>=IF(OR($G15="",$G15=$G14),"",NF($B15,"manipulacion"))</t>
  </si>
  <si>
    <t>=NP("codeunit","Miscelanea","CalculaEmbalajeAlbaranPedido",G15,I15,D15,"",,,,,,,"MEDIAPOST SPAIN","Navision")</t>
  </si>
  <si>
    <t>=IF(OR($G15="",$G15=$G14),"",NF($B15,"transporte")/NF($B15,"numeroexpediciones"))</t>
  </si>
  <si>
    <t>=IF(OR($G15="",$G15=$G14),"",NF($B15,"prima")/NF($B15,"numeroexpediciones"))</t>
  </si>
  <si>
    <t>=IF(OR($G15="",$G15=$G14),"",NF($B15,"reembolso")/NF($B15,"numeroexpediciones"))</t>
  </si>
  <si>
    <t>=IF(OR($G15="",$G15=$G14),"",NF($B15,"impuestos")/NF($B15,"numeroexpediciones"))</t>
  </si>
  <si>
    <t>=IF(AJ15="","",VALUE(AJ15))</t>
  </si>
  <si>
    <t>=IF(OR($G15="",$G15=$G14),"",NF($B15,"franqueo")/NF($B15,"numeroexpediciones"))</t>
  </si>
  <si>
    <t>=IF(OR($G15="",$G15=$G14),"",NF($B15,"despacho")/NF($B15,"numeroexpediciones"))</t>
  </si>
  <si>
    <t>=IF($G15="","",IFERROR(IF(ISBLANK(Z15),0,Z15)+IF(ISBLANK(AA15),0,AA15)+IF(ISBLANK(AB15),0,AB15)+IF(ISBLANK(AC15),0,AC15)+IF(ISBLANK(AD15),0,AD15)+IF(ISBLANK(AE15),0,AE15)+IF(ISBLANK(AF15),0,AF15)+IF(ISBLANK(AG15),0,AG15)+IF(ISBLANK(AH15),0,AH15),0))</t>
  </si>
  <si>
    <t>=IF($G15="","",NL("Suma","Registro activ. Log. detallado","Importe a facturar","Id. Prefactura",IdPrefactura,"Familia concepto","GESTION","Nº documento",NF($B15,"No_"),"Tipo de documento","Pedido|Bulto opaco","Datasource=","Navision"))</t>
  </si>
  <si>
    <t>=IF($C16=$C15,"",IF($C16="","",CONCATENATE(NF($B16,"Cód_ operativa")," ",NF($B16,"Descripción"))))</t>
  </si>
  <si>
    <t>=IF($C16=$C15,"",IF($C16="","",IF(NF($B16,"Tipo Documento")=0,"Pedido","Bulto Opaco")))</t>
  </si>
  <si>
    <t>=IF($C16=$C15,"",IF($C16="","",NF($B16,"No_")))</t>
  </si>
  <si>
    <t>=IF($C16=$C15,"",IF($C16="","",NF($B16,"No_ documento cliente")))</t>
  </si>
  <si>
    <t>=IF($C16=$C15,"",IF($C16="","",NF($B16,"Nombre punto entrega")))</t>
  </si>
  <si>
    <t>=IF($C16=$C15,"",IF($C16="","",NF($B16,"Contacto punto entrega")))</t>
  </si>
  <si>
    <t>=IF($C16=$C15,"",IF($C16="","",NF($B16,"Dirección punto entrega")))</t>
  </si>
  <si>
    <t>=IF($C16=$C15,"",IF($C16="","",NF($B16,"C_P_ punto entrega")))</t>
  </si>
  <si>
    <t>=IF($C16=$C15,"",IF($C16="","",NF($B16,"Población punto entrega")))</t>
  </si>
  <si>
    <t>=IF($C16=$C15,"",IF($C16="","",NF($B16,"Provincia punto entrega")))</t>
  </si>
  <si>
    <t>=IF($C16=$C15,"",IF($C16="","",NF($B16,"País punto entrega")))</t>
  </si>
  <si>
    <t>=IF($C16=$C15,"",IF($C16="","",NF($B16,"bultosE")))</t>
  </si>
  <si>
    <t>=IF(B16="","",IF($B16=$B15,"",ROUNDUP(NF($B16,"Peso facturable"),0)))</t>
  </si>
  <si>
    <t>=IF(OR($G16="",$G16=$G15),"",NF($B16,"manipulacion"))</t>
  </si>
  <si>
    <t>=NP("codeunit","Miscelanea","CalculaEmbalajeAlbaranPedido",G16,I16,D16,"",,,,,,,"MEDIAPOST SPAIN","Navision")</t>
  </si>
  <si>
    <t>=IF(OR($G16="",$G16=$G15),"",NF($B16,"transporte")/NF($B16,"numeroexpediciones"))</t>
  </si>
  <si>
    <t>=IF(OR($G16="",$G16=$G15),"",NF($B16,"prima")/NF($B16,"numeroexpediciones"))</t>
  </si>
  <si>
    <t>=IF(OR($G16="",$G16=$G15),"",NF($B16,"reembolso")/NF($B16,"numeroexpediciones"))</t>
  </si>
  <si>
    <t>=IF(OR($G16="",$G16=$G15),"",NF($B16,"impuestos")/NF($B16,"numeroexpediciones"))</t>
  </si>
  <si>
    <t>=IF(AJ16="","",VALUE(AJ16))</t>
  </si>
  <si>
    <t>=IF(OR($G16="",$G16=$G15),"",NF($B16,"franqueo")/NF($B16,"numeroexpediciones"))</t>
  </si>
  <si>
    <t>=IF(OR($G16="",$G16=$G15),"",NF($B16,"despacho")/NF($B16,"numeroexpediciones"))</t>
  </si>
  <si>
    <t>=IF($G16="","",IFERROR(IF(ISBLANK(Z16),0,Z16)+IF(ISBLANK(AA16),0,AA16)+IF(ISBLANK(AB16),0,AB16)+IF(ISBLANK(AC16),0,AC16)+IF(ISBLANK(AD16),0,AD16)+IF(ISBLANK(AE16),0,AE16)+IF(ISBLANK(AF16),0,AF16)+IF(ISBLANK(AG16),0,AG16)+IF(ISBLANK(AH16),0,AH16),0))</t>
  </si>
  <si>
    <t>=IF($G16="","",NL("Suma","Registro activ. Log. detallado","Importe a facturar","Id. Prefactura",IdPrefactura,"Familia concepto","GESTION","Nº documento",NF($B16,"No_"),"Tipo de documento","Pedido|Bulto opaco","Datasource=","Navision"))</t>
  </si>
  <si>
    <t>=IF($C17=$C16,"",IF($C17="","",CONCATENATE(NF($B17,"Cód_ operativa")," ",NF($B17,"Descripción"))))</t>
  </si>
  <si>
    <t>=IF($C17=$C16,"",IF($C17="","",IF(NF($B17,"Tipo Documento")=0,"Pedido","Bulto Opaco")))</t>
  </si>
  <si>
    <t>=IF($C17=$C16,"",IF($C17="","",NF($B17,"No_")))</t>
  </si>
  <si>
    <t>=IF($C17=$C16,"",IF($C17="","",NF($B17,"No_ documento cliente")))</t>
  </si>
  <si>
    <t>=IF($C17=$C16,"",IF($C17="","",NF($B17,"Nombre punto entrega")))</t>
  </si>
  <si>
    <t>=IF($C17=$C16,"",IF($C17="","",NF($B17,"Contacto punto entrega")))</t>
  </si>
  <si>
    <t>=IF($C17=$C16,"",IF($C17="","",NF($B17,"Dirección punto entrega")))</t>
  </si>
  <si>
    <t>=IF($C17=$C16,"",IF($C17="","",NF($B17,"C_P_ punto entrega")))</t>
  </si>
  <si>
    <t>=IF($C17=$C16,"",IF($C17="","",NF($B17,"Población punto entrega")))</t>
  </si>
  <si>
    <t>=IF($C17=$C16,"",IF($C17="","",NF($B17,"Provincia punto entrega")))</t>
  </si>
  <si>
    <t>=IF($C17=$C16,"",IF($C17="","",NF($B17,"País punto entrega")))</t>
  </si>
  <si>
    <t>=IF($C17=$C16,"",IF($C17="","",NF($B17,"bultosE")))</t>
  </si>
  <si>
    <t>=IF(B17="","",IF($B17=$B16,"",ROUNDUP(NF($B17,"Peso facturable"),0)))</t>
  </si>
  <si>
    <t>=IF(OR($G17="",$G17=$G16),"",NF($B17,"manipulacion"))</t>
  </si>
  <si>
    <t>=NP("codeunit","Miscelanea","CalculaEmbalajeAlbaranPedido",G17,I17,D17,"",,,,,,,"MEDIAPOST SPAIN","Navision")</t>
  </si>
  <si>
    <t>=IF(OR($G17="",$G17=$G16),"",NF($B17,"transporte")/NF($B17,"numeroexpediciones"))</t>
  </si>
  <si>
    <t>=IF(OR($G17="",$G17=$G16),"",NF($B17,"prima")/NF($B17,"numeroexpediciones"))</t>
  </si>
  <si>
    <t>=IF(OR($G17="",$G17=$G16),"",NF($B17,"reembolso")/NF($B17,"numeroexpediciones"))</t>
  </si>
  <si>
    <t>=IF(OR($G17="",$G17=$G16),"",NF($B17,"impuestos")/NF($B17,"numeroexpediciones"))</t>
  </si>
  <si>
    <t>=IF(AJ17="","",VALUE(AJ17))</t>
  </si>
  <si>
    <t>=IF(OR($G17="",$G17=$G16),"",NF($B17,"franqueo")/NF($B17,"numeroexpediciones"))</t>
  </si>
  <si>
    <t>=IF(OR($G17="",$G17=$G16),"",NF($B17,"despacho")/NF($B17,"numeroexpediciones"))</t>
  </si>
  <si>
    <t>=IF($G17="","",IFERROR(IF(ISBLANK(Z17),0,Z17)+IF(ISBLANK(AA17),0,AA17)+IF(ISBLANK(AB17),0,AB17)+IF(ISBLANK(AC17),0,AC17)+IF(ISBLANK(AD17),0,AD17)+IF(ISBLANK(AE17),0,AE17)+IF(ISBLANK(AF17),0,AF17)+IF(ISBLANK(AG17),0,AG17)+IF(ISBLANK(AH17),0,AH17),0))</t>
  </si>
  <si>
    <t>=IF($G17="","",NL("Suma","Registro activ. Log. detallado","Importe a facturar","Id. Prefactura",IdPrefactura,"Familia concepto","GESTION","Nº documento",NF($B17,"No_"),"Tipo de documento","Pedido|Bulto opaco","Datasource=","Navision"))</t>
  </si>
  <si>
    <t>=IF($C18=$C17,"",IF($C18="","",CONCATENATE(NF($B18,"Cód_ operativa")," ",NF($B18,"Descripción"))))</t>
  </si>
  <si>
    <t>=IF($C18=$C17,"",IF($C18="","",IF(NF($B18,"Tipo Documento")=0,"Pedido","Bulto Opaco")))</t>
  </si>
  <si>
    <t>=IF($C18=$C17,"",IF($C18="","",NF($B18,"No_")))</t>
  </si>
  <si>
    <t>=IF($C18=$C17,"",IF($C18="","",NF($B18,"No_ documento cliente")))</t>
  </si>
  <si>
    <t>=IF($C18=$C17,"",IF($C18="","",NF($B18,"Nombre punto entrega")))</t>
  </si>
  <si>
    <t>=IF($C18=$C17,"",IF($C18="","",NF($B18,"Contacto punto entrega")))</t>
  </si>
  <si>
    <t>=IF($C18=$C17,"",IF($C18="","",NF($B18,"Dirección punto entrega")))</t>
  </si>
  <si>
    <t>=IF($C18=$C17,"",IF($C18="","",NF($B18,"C_P_ punto entrega")))</t>
  </si>
  <si>
    <t>=IF($C18=$C17,"",IF($C18="","",NF($B18,"Población punto entrega")))</t>
  </si>
  <si>
    <t>=IF($C18=$C17,"",IF($C18="","",NF($B18,"Provincia punto entrega")))</t>
  </si>
  <si>
    <t>=IF($C18=$C17,"",IF($C18="","",NF($B18,"País punto entrega")))</t>
  </si>
  <si>
    <t>=IF($C18=$C17,"",IF($C18="","",NF($B18,"bultosE")))</t>
  </si>
  <si>
    <t>=IF(B18="","",IF($B18=$B17,"",ROUNDUP(NF($B18,"Peso facturable"),0)))</t>
  </si>
  <si>
    <t>=IF(OR($G18="",$G18=$G17),"",NF($B18,"manipulacion"))</t>
  </si>
  <si>
    <t>=NP("codeunit","Miscelanea","CalculaEmbalajeAlbaranPedido",G18,I18,D18,"",,,,,,,"MEDIAPOST SPAIN","Navision")</t>
  </si>
  <si>
    <t>=IF(OR($G18="",$G18=$G17),"",NF($B18,"transporte")/NF($B18,"numeroexpediciones"))</t>
  </si>
  <si>
    <t>=IF(OR($G18="",$G18=$G17),"",NF($B18,"prima")/NF($B18,"numeroexpediciones"))</t>
  </si>
  <si>
    <t>=IF(OR($G18="",$G18=$G17),"",NF($B18,"reembolso")/NF($B18,"numeroexpediciones"))</t>
  </si>
  <si>
    <t>=IF(OR($G18="",$G18=$G17),"",NF($B18,"impuestos")/NF($B18,"numeroexpediciones"))</t>
  </si>
  <si>
    <t>=IF(AJ18="","",VALUE(AJ18))</t>
  </si>
  <si>
    <t>=IF(OR($G18="",$G18=$G17),"",NF($B18,"franqueo")/NF($B18,"numeroexpediciones"))</t>
  </si>
  <si>
    <t>=IF(OR($G18="",$G18=$G17),"",NF($B18,"despacho")/NF($B18,"numeroexpediciones"))</t>
  </si>
  <si>
    <t>=IF($G18="","",IFERROR(IF(ISBLANK(Z18),0,Z18)+IF(ISBLANK(AA18),0,AA18)+IF(ISBLANK(AB18),0,AB18)+IF(ISBLANK(AC18),0,AC18)+IF(ISBLANK(AD18),0,AD18)+IF(ISBLANK(AE18),0,AE18)+IF(ISBLANK(AF18),0,AF18)+IF(ISBLANK(AG18),0,AG18)+IF(ISBLANK(AH18),0,AH18),0))</t>
  </si>
  <si>
    <t>=IF($G18="","",NL("Suma","Registro activ. Log. detallado","Importe a facturar","Id. Prefactura",IdPrefactura,"Familia concepto","GESTION","Nº documento",NF($B18,"No_"),"Tipo de documento","Pedido|Bulto opaco","Datasource=","Navision"))</t>
  </si>
  <si>
    <t>=IF($C19=$C18,"",IF($C19="","",CONCATENATE(NF($B19,"Cód_ operativa")," ",NF($B19,"Descripción"))))</t>
  </si>
  <si>
    <t>=IF($C19=$C18,"",IF($C19="","",IF(NF($B19,"Tipo Documento")=0,"Pedido","Bulto Opaco")))</t>
  </si>
  <si>
    <t>=IF($C19=$C18,"",IF($C19="","",NF($B19,"No_")))</t>
  </si>
  <si>
    <t>=IF($C19=$C18,"",IF($C19="","",NF($B19,"No_ documento cliente")))</t>
  </si>
  <si>
    <t>=IF($C19=$C18,"",IF($C19="","",NF($B19,"Nombre punto entrega")))</t>
  </si>
  <si>
    <t>=IF($C19=$C18,"",IF($C19="","",NF($B19,"Contacto punto entrega")))</t>
  </si>
  <si>
    <t>=IF($C19=$C18,"",IF($C19="","",NF($B19,"Dirección punto entrega")))</t>
  </si>
  <si>
    <t>=IF($C19=$C18,"",IF($C19="","",NF($B19,"C_P_ punto entrega")))</t>
  </si>
  <si>
    <t>=IF($C19=$C18,"",IF($C19="","",NF($B19,"Población punto entrega")))</t>
  </si>
  <si>
    <t>=IF($C19=$C18,"",IF($C19="","",NF($B19,"Provincia punto entrega")))</t>
  </si>
  <si>
    <t>=IF($C19=$C18,"",IF($C19="","",NF($B19,"País punto entrega")))</t>
  </si>
  <si>
    <t>=IF($C19=$C18,"",IF($C19="","",NF($B19,"bultosE")))</t>
  </si>
  <si>
    <t>=IF(B19="","",IF($B19=$B18,"",ROUNDUP(NF($B19,"Peso facturable"),0)))</t>
  </si>
  <si>
    <t>=IF(OR($G19="",$G19=$G18),"",NF($B19,"manipulacion"))</t>
  </si>
  <si>
    <t>=NP("codeunit","Miscelanea","CalculaEmbalajeAlbaranPedido",G19,I19,D19,"",,,,,,,"MEDIAPOST SPAIN","Navision")</t>
  </si>
  <si>
    <t>=IF(OR($G19="",$G19=$G18),"",NF($B19,"transporte")/NF($B19,"numeroexpediciones"))</t>
  </si>
  <si>
    <t>=IF(OR($G19="",$G19=$G18),"",NF($B19,"prima")/NF($B19,"numeroexpediciones"))</t>
  </si>
  <si>
    <t>=IF(OR($G19="",$G19=$G18),"",NF($B19,"reembolso")/NF($B19,"numeroexpediciones"))</t>
  </si>
  <si>
    <t>=IF(OR($G19="",$G19=$G18),"",NF($B19,"impuestos")/NF($B19,"numeroexpediciones"))</t>
  </si>
  <si>
    <t>=IF(AJ19="","",VALUE(AJ19))</t>
  </si>
  <si>
    <t>=IF(OR($G19="",$G19=$G18),"",NF($B19,"franqueo")/NF($B19,"numeroexpediciones"))</t>
  </si>
  <si>
    <t>=IF(OR($G19="",$G19=$G18),"",NF($B19,"despacho")/NF($B19,"numeroexpediciones"))</t>
  </si>
  <si>
    <t>=IF($G19="","",IFERROR(IF(ISBLANK(Z19),0,Z19)+IF(ISBLANK(AA19),0,AA19)+IF(ISBLANK(AB19),0,AB19)+IF(ISBLANK(AC19),0,AC19)+IF(ISBLANK(AD19),0,AD19)+IF(ISBLANK(AE19),0,AE19)+IF(ISBLANK(AF19),0,AF19)+IF(ISBLANK(AG19),0,AG19)+IF(ISBLANK(AH19),0,AH19),0))</t>
  </si>
  <si>
    <t>=IF($G19="","",NL("Suma","Registro activ. Log. detallado","Importe a facturar","Id. Prefactura",IdPrefactura,"Familia concepto","GESTION","Nº documento",NF($B19,"No_"),"Tipo de documento","Pedido|Bulto opaco","Datasource=","Navision"))</t>
  </si>
  <si>
    <t>=IF($C20=$C19,"",IF($C20="","",CONCATENATE(NF($B20,"Cód_ operativa")," ",NF($B20,"Descripción"))))</t>
  </si>
  <si>
    <t>=IF($C20=$C19,"",IF($C20="","",IF(NF($B20,"Tipo Documento")=0,"Pedido","Bulto Opaco")))</t>
  </si>
  <si>
    <t>=IF($C20=$C19,"",IF($C20="","",NF($B20,"No_")))</t>
  </si>
  <si>
    <t>=IF($C20=$C19,"",IF($C20="","",NF($B20,"No_ documento cliente")))</t>
  </si>
  <si>
    <t>=IF($C20=$C19,"",IF($C20="","",NF($B20,"Nombre punto entrega")))</t>
  </si>
  <si>
    <t>=IF($C20=$C19,"",IF($C20="","",NF($B20,"Contacto punto entrega")))</t>
  </si>
  <si>
    <t>=IF($C20=$C19,"",IF($C20="","",NF($B20,"Dirección punto entrega")))</t>
  </si>
  <si>
    <t>=IF($C20=$C19,"",IF($C20="","",NF($B20,"C_P_ punto entrega")))</t>
  </si>
  <si>
    <t>=IF($C20=$C19,"",IF($C20="","",NF($B20,"Población punto entrega")))</t>
  </si>
  <si>
    <t>=IF($C20=$C19,"",IF($C20="","",NF($B20,"Provincia punto entrega")))</t>
  </si>
  <si>
    <t>=IF($C20=$C19,"",IF($C20="","",NF($B20,"País punto entrega")))</t>
  </si>
  <si>
    <t>=IF($C20=$C19,"",IF($C20="","",NF($B20,"bultosE")))</t>
  </si>
  <si>
    <t>=IF(B20="","",IF($B20=$B19,"",ROUNDUP(NF($B20,"Peso facturable"),0)))</t>
  </si>
  <si>
    <t>=IF(OR($G20="",$G20=$G19),"",NF($B20,"manipulacion"))</t>
  </si>
  <si>
    <t>=NP("codeunit","Miscelanea","CalculaEmbalajeAlbaranPedido",G20,I20,D20,"",,,,,,,"MEDIAPOST SPAIN","Navision")</t>
  </si>
  <si>
    <t>=IF(OR($G20="",$G20=$G19),"",NF($B20,"transporte")/NF($B20,"numeroexpediciones"))</t>
  </si>
  <si>
    <t>=IF(OR($G20="",$G20=$G19),"",NF($B20,"prima")/NF($B20,"numeroexpediciones"))</t>
  </si>
  <si>
    <t>=IF(OR($G20="",$G20=$G19),"",NF($B20,"reembolso")/NF($B20,"numeroexpediciones"))</t>
  </si>
  <si>
    <t>=IF(OR($G20="",$G20=$G19),"",NF($B20,"impuestos")/NF($B20,"numeroexpediciones"))</t>
  </si>
  <si>
    <t>=IF(AJ20="","",VALUE(AJ20))</t>
  </si>
  <si>
    <t>=IF(OR($G20="",$G20=$G19),"",NF($B20,"franqueo")/NF($B20,"numeroexpediciones"))</t>
  </si>
  <si>
    <t>=IF(OR($G20="",$G20=$G19),"",NF($B20,"despacho")/NF($B20,"numeroexpediciones"))</t>
  </si>
  <si>
    <t>=IF($G20="","",IFERROR(IF(ISBLANK(Z20),0,Z20)+IF(ISBLANK(AA20),0,AA20)+IF(ISBLANK(AB20),0,AB20)+IF(ISBLANK(AC20),0,AC20)+IF(ISBLANK(AD20),0,AD20)+IF(ISBLANK(AE20),0,AE20)+IF(ISBLANK(AF20),0,AF20)+IF(ISBLANK(AG20),0,AG20)+IF(ISBLANK(AH20),0,AH20),0))</t>
  </si>
  <si>
    <t>=IF($G20="","",NL("Suma","Registro activ. Log. detallado","Importe a facturar","Id. Prefactura",IdPrefactura,"Familia concepto","GESTION","Nº documento",NF($B20,"No_"),"Tipo de documento","Pedido|Bulto opaco","Datasource=","Navision"))</t>
  </si>
  <si>
    <t>=IF($C21=$C20,"",IF($C21="","",CONCATENATE(NF($B21,"Cód_ operativa")," ",NF($B21,"Descripción"))))</t>
  </si>
  <si>
    <t>=IF($C21=$C20,"",IF($C21="","",IF(NF($B21,"Tipo Documento")=0,"Pedido","Bulto Opaco")))</t>
  </si>
  <si>
    <t>=IF($C21=$C20,"",IF($C21="","",NF($B21,"No_")))</t>
  </si>
  <si>
    <t>=IF($C21=$C20,"",IF($C21="","",NF($B21,"No_ documento cliente")))</t>
  </si>
  <si>
    <t>=IF($C21=$C20,"",IF($C21="","",NF($B21,"Nombre punto entrega")))</t>
  </si>
  <si>
    <t>=IF($C21=$C20,"",IF($C21="","",NF($B21,"Contacto punto entrega")))</t>
  </si>
  <si>
    <t>=IF($C21=$C20,"",IF($C21="","",NF($B21,"Dirección punto entrega")))</t>
  </si>
  <si>
    <t>=IF($C21=$C20,"",IF($C21="","",NF($B21,"C_P_ punto entrega")))</t>
  </si>
  <si>
    <t>=IF($C21=$C20,"",IF($C21="","",NF($B21,"Población punto entrega")))</t>
  </si>
  <si>
    <t>=IF($C21=$C20,"",IF($C21="","",NF($B21,"Provincia punto entrega")))</t>
  </si>
  <si>
    <t>=IF($C21=$C20,"",IF($C21="","",NF($B21,"País punto entrega")))</t>
  </si>
  <si>
    <t>=IF($C21=$C20,"",IF($C21="","",NF($B21,"bultosE")))</t>
  </si>
  <si>
    <t>=IF(B21="","",IF($B21=$B20,"",ROUNDUP(NF($B21,"Peso facturable"),0)))</t>
  </si>
  <si>
    <t>=IF(OR($G21="",$G21=$G20),"",NF($B21,"manipulacion"))</t>
  </si>
  <si>
    <t>=NP("codeunit","Miscelanea","CalculaEmbalajeAlbaranPedido",G21,I21,D21,"",,,,,,,"MEDIAPOST SPAIN","Navision")</t>
  </si>
  <si>
    <t>=IF(OR($G21="",$G21=$G20),"",NF($B21,"transporte")/NF($B21,"numeroexpediciones"))</t>
  </si>
  <si>
    <t>=IF(OR($G21="",$G21=$G20),"",NF($B21,"prima")/NF($B21,"numeroexpediciones"))</t>
  </si>
  <si>
    <t>=IF(OR($G21="",$G21=$G20),"",NF($B21,"reembolso")/NF($B21,"numeroexpediciones"))</t>
  </si>
  <si>
    <t>=IF(OR($G21="",$G21=$G20),"",NF($B21,"impuestos")/NF($B21,"numeroexpediciones"))</t>
  </si>
  <si>
    <t>=IF(AJ21="","",VALUE(AJ21))</t>
  </si>
  <si>
    <t>=IF(OR($G21="",$G21=$G20),"",NF($B21,"franqueo")/NF($B21,"numeroexpediciones"))</t>
  </si>
  <si>
    <t>=IF(OR($G21="",$G21=$G20),"",NF($B21,"despacho")/NF($B21,"numeroexpediciones"))</t>
  </si>
  <si>
    <t>=IF($G21="","",IFERROR(IF(ISBLANK(Z21),0,Z21)+IF(ISBLANK(AA21),0,AA21)+IF(ISBLANK(AB21),0,AB21)+IF(ISBLANK(AC21),0,AC21)+IF(ISBLANK(AD21),0,AD21)+IF(ISBLANK(AE21),0,AE21)+IF(ISBLANK(AF21),0,AF21)+IF(ISBLANK(AG21),0,AG21)+IF(ISBLANK(AH21),0,AH21),0))</t>
  </si>
  <si>
    <t>=IF($G21="","",NL("Suma","Registro activ. Log. detallado","Importe a facturar","Id. Prefactura",IdPrefactura,"Familia concepto","GESTION","Nº documento",NF($B21,"No_"),"Tipo de documento","Pedido|Bulto opaco","Datasource=","Navision"))</t>
  </si>
  <si>
    <t>=IF($C22=$C21,"",IF($C22="","",CONCATENATE(NF($B22,"Cód_ operativa")," ",NF($B22,"Descripción"))))</t>
  </si>
  <si>
    <t>=IF($C22=$C21,"",IF($C22="","",IF(NF($B22,"Tipo Documento")=0,"Pedido","Bulto Opaco")))</t>
  </si>
  <si>
    <t>=IF($C22=$C21,"",IF($C22="","",NF($B22,"No_")))</t>
  </si>
  <si>
    <t>=IF($C22=$C21,"",IF($C22="","",NF($B22,"No_ documento cliente")))</t>
  </si>
  <si>
    <t>=IF($C22=$C21,"",IF($C22="","",NF($B22,"Nombre punto entrega")))</t>
  </si>
  <si>
    <t>=IF($C22=$C21,"",IF($C22="","",NF($B22,"Contacto punto entrega")))</t>
  </si>
  <si>
    <t>=IF($C22=$C21,"",IF($C22="","",NF($B22,"Dirección punto entrega")))</t>
  </si>
  <si>
    <t>=IF($C22=$C21,"",IF($C22="","",NF($B22,"C_P_ punto entrega")))</t>
  </si>
  <si>
    <t>=IF($C22=$C21,"",IF($C22="","",NF($B22,"Población punto entrega")))</t>
  </si>
  <si>
    <t>=IF($C22=$C21,"",IF($C22="","",NF($B22,"Provincia punto entrega")))</t>
  </si>
  <si>
    <t>=IF($C22=$C21,"",IF($C22="","",NF($B22,"País punto entrega")))</t>
  </si>
  <si>
    <t>=IF($C22=$C21,"",IF($C22="","",NF($B22,"bultosE")))</t>
  </si>
  <si>
    <t>=IF(B22="","",IF($B22=$B21,"",ROUNDUP(NF($B22,"Peso facturable"),0)))</t>
  </si>
  <si>
    <t>=IF(OR($G22="",$G22=$G21),"",NF($B22,"manipulacion"))</t>
  </si>
  <si>
    <t>=NP("codeunit","Miscelanea","CalculaEmbalajeAlbaranPedido",G22,I22,D22,"",,,,,,,"MEDIAPOST SPAIN","Navision")</t>
  </si>
  <si>
    <t>=IF(OR($G22="",$G22=$G21),"",NF($B22,"transporte")/NF($B22,"numeroexpediciones"))</t>
  </si>
  <si>
    <t>=IF(OR($G22="",$G22=$G21),"",NF($B22,"prima")/NF($B22,"numeroexpediciones"))</t>
  </si>
  <si>
    <t>=IF(OR($G22="",$G22=$G21),"",NF($B22,"reembolso")/NF($B22,"numeroexpediciones"))</t>
  </si>
  <si>
    <t>=IF(OR($G22="",$G22=$G21),"",NF($B22,"impuestos")/NF($B22,"numeroexpediciones"))</t>
  </si>
  <si>
    <t>=IF(AJ22="","",VALUE(AJ22))</t>
  </si>
  <si>
    <t>=IF(OR($G22="",$G22=$G21),"",NF($B22,"franqueo")/NF($B22,"numeroexpediciones"))</t>
  </si>
  <si>
    <t>=IF(OR($G22="",$G22=$G21),"",NF($B22,"despacho")/NF($B22,"numeroexpediciones"))</t>
  </si>
  <si>
    <t>=IF($G22="","",IFERROR(IF(ISBLANK(Z22),0,Z22)+IF(ISBLANK(AA22),0,AA22)+IF(ISBLANK(AB22),0,AB22)+IF(ISBLANK(AC22),0,AC22)+IF(ISBLANK(AD22),0,AD22)+IF(ISBLANK(AE22),0,AE22)+IF(ISBLANK(AF22),0,AF22)+IF(ISBLANK(AG22),0,AG22)+IF(ISBLANK(AH22),0,AH22),0))</t>
  </si>
  <si>
    <t>=IF($G22="","",NL("Suma","Registro activ. Log. detallado","Importe a facturar","Id. Prefactura",IdPrefactura,"Familia concepto","GESTION","Nº documento",NF($B22,"No_"),"Tipo de documento","Pedido|Bulto opaco","Datasource=","Navision"))</t>
  </si>
  <si>
    <t>=IF($C23=$C22,"",IF($C23="","",CONCATENATE(NF($B23,"Cód_ operativa")," ",NF($B23,"Descripción"))))</t>
  </si>
  <si>
    <t>=IF($C23=$C22,"",IF($C23="","",IF(NF($B23,"Tipo Documento")=0,"Pedido","Bulto Opaco")))</t>
  </si>
  <si>
    <t>=IF($C23=$C22,"",IF($C23="","",NF($B23,"No_")))</t>
  </si>
  <si>
    <t>=IF($C23=$C22,"",IF($C23="","",NF($B23,"No_ documento cliente")))</t>
  </si>
  <si>
    <t>=IF($C23=$C22,"",IF($C23="","",NF($B23,"Nombre punto entrega")))</t>
  </si>
  <si>
    <t>=IF($C23=$C22,"",IF($C23="","",NF($B23,"Contacto punto entrega")))</t>
  </si>
  <si>
    <t>=IF($C23=$C22,"",IF($C23="","",NF($B23,"Dirección punto entrega")))</t>
  </si>
  <si>
    <t>=IF($C23=$C22,"",IF($C23="","",NF($B23,"C_P_ punto entrega")))</t>
  </si>
  <si>
    <t>=IF($C23=$C22,"",IF($C23="","",NF($B23,"Población punto entrega")))</t>
  </si>
  <si>
    <t>=IF($C23=$C22,"",IF($C23="","",NF($B23,"Provincia punto entrega")))</t>
  </si>
  <si>
    <t>=IF($C23=$C22,"",IF($C23="","",NF($B23,"País punto entrega")))</t>
  </si>
  <si>
    <t>=IF($C23=$C22,"",IF($C23="","",NF($B23,"bultosE")))</t>
  </si>
  <si>
    <t>=IF(B23="","",IF($B23=$B22,"",ROUNDUP(NF($B23,"Peso facturable"),0)))</t>
  </si>
  <si>
    <t>=IF(OR($G23="",$G23=$G22),"",NF($B23,"manipulacion"))</t>
  </si>
  <si>
    <t>=NP("codeunit","Miscelanea","CalculaEmbalajeAlbaranPedido",G23,I23,D23,"",,,,,,,"MEDIAPOST SPAIN","Navision")</t>
  </si>
  <si>
    <t>=IF(OR($G23="",$G23=$G22),"",NF($B23,"transporte")/NF($B23,"numeroexpediciones"))</t>
  </si>
  <si>
    <t>=IF(OR($G23="",$G23=$G22),"",NF($B23,"prima")/NF($B23,"numeroexpediciones"))</t>
  </si>
  <si>
    <t>=IF(OR($G23="",$G23=$G22),"",NF($B23,"reembolso")/NF($B23,"numeroexpediciones"))</t>
  </si>
  <si>
    <t>=IF(OR($G23="",$G23=$G22),"",NF($B23,"impuestos")/NF($B23,"numeroexpediciones"))</t>
  </si>
  <si>
    <t>=IF(AJ23="","",VALUE(AJ23))</t>
  </si>
  <si>
    <t>=IF(OR($G23="",$G23=$G22),"",NF($B23,"franqueo")/NF($B23,"numeroexpediciones"))</t>
  </si>
  <si>
    <t>=IF(OR($G23="",$G23=$G22),"",NF($B23,"despacho")/NF($B23,"numeroexpediciones"))</t>
  </si>
  <si>
    <t>=IF($G23="","",IFERROR(IF(ISBLANK(Z23),0,Z23)+IF(ISBLANK(AA23),0,AA23)+IF(ISBLANK(AB23),0,AB23)+IF(ISBLANK(AC23),0,AC23)+IF(ISBLANK(AD23),0,AD23)+IF(ISBLANK(AE23),0,AE23)+IF(ISBLANK(AF23),0,AF23)+IF(ISBLANK(AG23),0,AG23)+IF(ISBLANK(AH23),0,AH23),0))</t>
  </si>
  <si>
    <t>=IF($G23="","",NL("Suma","Registro activ. Log. detallado","Importe a facturar","Id. Prefactura",IdPrefactura,"Familia concepto","GESTION","Nº documento",NF($B23,"No_"),"Tipo de documento","Pedido|Bulto opaco","Datasource=","Navision"))</t>
  </si>
  <si>
    <t>=IF($C24=$C23,"",IF($C24="","",CONCATENATE(NF($B24,"Cód_ operativa")," ",NF($B24,"Descripción"))))</t>
  </si>
  <si>
    <t>=IF($C24=$C23,"",IF($C24="","",IF(NF($B24,"Tipo Documento")=0,"Pedido","Bulto Opaco")))</t>
  </si>
  <si>
    <t>=IF($C24=$C23,"",IF($C24="","",NF($B24,"No_")))</t>
  </si>
  <si>
    <t>=IF($C24=$C23,"",IF($C24="","",NF($B24,"No_ documento cliente")))</t>
  </si>
  <si>
    <t>=IF($C24=$C23,"",IF($C24="","",NF($B24,"Nombre punto entrega")))</t>
  </si>
  <si>
    <t>=IF($C24=$C23,"",IF($C24="","",NF($B24,"Contacto punto entrega")))</t>
  </si>
  <si>
    <t>=IF($C24=$C23,"",IF($C24="","",NF($B24,"Dirección punto entrega")))</t>
  </si>
  <si>
    <t>=IF($C24=$C23,"",IF($C24="","",NF($B24,"C_P_ punto entrega")))</t>
  </si>
  <si>
    <t>=IF($C24=$C23,"",IF($C24="","",NF($B24,"Población punto entrega")))</t>
  </si>
  <si>
    <t>=IF($C24=$C23,"",IF($C24="","",NF($B24,"Provincia punto entrega")))</t>
  </si>
  <si>
    <t>=IF($C24=$C23,"",IF($C24="","",NF($B24,"País punto entrega")))</t>
  </si>
  <si>
    <t>=IF($C24=$C23,"",IF($C24="","",NF($B24,"bultosE")))</t>
  </si>
  <si>
    <t>=IF(B24="","",IF($B24=$B23,"",ROUNDUP(NF($B24,"Peso facturable"),0)))</t>
  </si>
  <si>
    <t>=IF(OR($G24="",$G24=$G23),"",NF($B24,"manipulacion"))</t>
  </si>
  <si>
    <t>=NP("codeunit","Miscelanea","CalculaEmbalajeAlbaranPedido",G24,I24,D24,"",,,,,,,"MEDIAPOST SPAIN","Navision")</t>
  </si>
  <si>
    <t>=IF(OR($G24="",$G24=$G23),"",NF($B24,"transporte")/NF($B24,"numeroexpediciones"))</t>
  </si>
  <si>
    <t>=IF(OR($G24="",$G24=$G23),"",NF($B24,"prima")/NF($B24,"numeroexpediciones"))</t>
  </si>
  <si>
    <t>=IF(OR($G24="",$G24=$G23),"",NF($B24,"reembolso")/NF($B24,"numeroexpediciones"))</t>
  </si>
  <si>
    <t>=IF(OR($G24="",$G24=$G23),"",NF($B24,"impuestos")/NF($B24,"numeroexpediciones"))</t>
  </si>
  <si>
    <t>=IF(AJ24="","",VALUE(AJ24))</t>
  </si>
  <si>
    <t>=IF(OR($G24="",$G24=$G23),"",NF($B24,"franqueo")/NF($B24,"numeroexpediciones"))</t>
  </si>
  <si>
    <t>=IF(OR($G24="",$G24=$G23),"",NF($B24,"despacho")/NF($B24,"numeroexpediciones"))</t>
  </si>
  <si>
    <t>=IF($G24="","",IFERROR(IF(ISBLANK(Z24),0,Z24)+IF(ISBLANK(AA24),0,AA24)+IF(ISBLANK(AB24),0,AB24)+IF(ISBLANK(AC24),0,AC24)+IF(ISBLANK(AD24),0,AD24)+IF(ISBLANK(AE24),0,AE24)+IF(ISBLANK(AF24),0,AF24)+IF(ISBLANK(AG24),0,AG24)+IF(ISBLANK(AH24),0,AH24),0))</t>
  </si>
  <si>
    <t>=IF($G24="","",NL("Suma","Registro activ. Log. detallado","Importe a facturar","Id. Prefactura",IdPrefactura,"Familia concepto","GESTION","Nº documento",NF($B24,"No_"),"Tipo de documento","Pedido|Bulto opaco","Datasource=","Navision"))</t>
  </si>
  <si>
    <t>=IF($C25=$C24,"",IF($C25="","",CONCATENATE(NF($B25,"Cód_ operativa")," ",NF($B25,"Descripción"))))</t>
  </si>
  <si>
    <t>=IF($C25=$C24,"",IF($C25="","",IF(NF($B25,"Tipo Documento")=0,"Pedido","Bulto Opaco")))</t>
  </si>
  <si>
    <t>=IF($C25=$C24,"",IF($C25="","",NF($B25,"No_")))</t>
  </si>
  <si>
    <t>=IF($C25=$C24,"",IF($C25="","",NF($B25,"No_ documento cliente")))</t>
  </si>
  <si>
    <t>=IF($C25=$C24,"",IF($C25="","",NF($B25,"Nombre punto entrega")))</t>
  </si>
  <si>
    <t>=IF($C25=$C24,"",IF($C25="","",NF($B25,"Contacto punto entrega")))</t>
  </si>
  <si>
    <t>=IF($C25=$C24,"",IF($C25="","",NF($B25,"Dirección punto entrega")))</t>
  </si>
  <si>
    <t>=IF($C25=$C24,"",IF($C25="","",NF($B25,"C_P_ punto entrega")))</t>
  </si>
  <si>
    <t>=IF($C25=$C24,"",IF($C25="","",NF($B25,"Población punto entrega")))</t>
  </si>
  <si>
    <t>=IF($C25=$C24,"",IF($C25="","",NF($B25,"Provincia punto entrega")))</t>
  </si>
  <si>
    <t>=IF($C25=$C24,"",IF($C25="","",NF($B25,"País punto entrega")))</t>
  </si>
  <si>
    <t>=IF($C25=$C24,"",IF($C25="","",NF($B25,"bultosE")))</t>
  </si>
  <si>
    <t>=IF(B25="","",IF($B25=$B24,"",ROUNDUP(NF($B25,"Peso facturable"),0)))</t>
  </si>
  <si>
    <t>=IF(OR($G25="",$G25=$G24),"",NF($B25,"manipulacion"))</t>
  </si>
  <si>
    <t>=NP("codeunit","Miscelanea","CalculaEmbalajeAlbaranPedido",G25,I25,D25,"",,,,,,,"MEDIAPOST SPAIN","Navision")</t>
  </si>
  <si>
    <t>=IF(OR($G25="",$G25=$G24),"",NF($B25,"transporte")/NF($B25,"numeroexpediciones"))</t>
  </si>
  <si>
    <t>=IF(OR($G25="",$G25=$G24),"",NF($B25,"prima")/NF($B25,"numeroexpediciones"))</t>
  </si>
  <si>
    <t>=IF(OR($G25="",$G25=$G24),"",NF($B25,"reembolso")/NF($B25,"numeroexpediciones"))</t>
  </si>
  <si>
    <t>=IF(OR($G25="",$G25=$G24),"",NF($B25,"impuestos")/NF($B25,"numeroexpediciones"))</t>
  </si>
  <si>
    <t>=IF(AJ25="","",VALUE(AJ25))</t>
  </si>
  <si>
    <t>=IF(OR($G25="",$G25=$G24),"",NF($B25,"franqueo")/NF($B25,"numeroexpediciones"))</t>
  </si>
  <si>
    <t>=IF(OR($G25="",$G25=$G24),"",NF($B25,"despacho")/NF($B25,"numeroexpediciones"))</t>
  </si>
  <si>
    <t>=IF($G25="","",IFERROR(IF(ISBLANK(Z25),0,Z25)+IF(ISBLANK(AA25),0,AA25)+IF(ISBLANK(AB25),0,AB25)+IF(ISBLANK(AC25),0,AC25)+IF(ISBLANK(AD25),0,AD25)+IF(ISBLANK(AE25),0,AE25)+IF(ISBLANK(AF25),0,AF25)+IF(ISBLANK(AG25),0,AG25)+IF(ISBLANK(AH25),0,AH25),0))</t>
  </si>
  <si>
    <t>=IF($G25="","",NL("Suma","Registro activ. Log. detallado","Importe a facturar","Id. Prefactura",IdPrefactura,"Familia concepto","GESTION","Nº documento",NF($B25,"No_"),"Tipo de documento","Pedido|Bulto opaco","Datasource=","Navision"))</t>
  </si>
  <si>
    <t>=IF($C26=$C25,"",IF($C26="","",CONCATENATE(NF($B26,"Cód_ operativa")," ",NF($B26,"Descripción"))))</t>
  </si>
  <si>
    <t>=IF($C26=$C25,"",IF($C26="","",IF(NF($B26,"Tipo Documento")=0,"Pedido","Bulto Opaco")))</t>
  </si>
  <si>
    <t>=IF($C26=$C25,"",IF($C26="","",NF($B26,"No_")))</t>
  </si>
  <si>
    <t>=IF($C26=$C25,"",IF($C26="","",NF($B26,"No_ documento cliente")))</t>
  </si>
  <si>
    <t>=IF($C26=$C25,"",IF($C26="","",NF($B26,"Nombre punto entrega")))</t>
  </si>
  <si>
    <t>=IF($C26=$C25,"",IF($C26="","",NF($B26,"Contacto punto entrega")))</t>
  </si>
  <si>
    <t>=IF($C26=$C25,"",IF($C26="","",NF($B26,"Dirección punto entrega")))</t>
  </si>
  <si>
    <t>=IF($C26=$C25,"",IF($C26="","",NF($B26,"C_P_ punto entrega")))</t>
  </si>
  <si>
    <t>=IF($C26=$C25,"",IF($C26="","",NF($B26,"Población punto entrega")))</t>
  </si>
  <si>
    <t>=IF($C26=$C25,"",IF($C26="","",NF($B26,"Provincia punto entrega")))</t>
  </si>
  <si>
    <t>=IF($C26=$C25,"",IF($C26="","",NF($B26,"País punto entrega")))</t>
  </si>
  <si>
    <t>=IF($C26=$C25,"",IF($C26="","",NF($B26,"bultosE")))</t>
  </si>
  <si>
    <t>=IF(B26="","",IF($B26=$B25,"",ROUNDUP(NF($B26,"Peso facturable"),0)))</t>
  </si>
  <si>
    <t>=IF(OR($G26="",$G26=$G25),"",NF($B26,"manipulacion"))</t>
  </si>
  <si>
    <t>=NP("codeunit","Miscelanea","CalculaEmbalajeAlbaranPedido",G26,I26,D26,"",,,,,,,"MEDIAPOST SPAIN","Navision")</t>
  </si>
  <si>
    <t>=IF(OR($G26="",$G26=$G25),"",NF($B26,"transporte")/NF($B26,"numeroexpediciones"))</t>
  </si>
  <si>
    <t>=IF(OR($G26="",$G26=$G25),"",NF($B26,"prima")/NF($B26,"numeroexpediciones"))</t>
  </si>
  <si>
    <t>=IF(OR($G26="",$G26=$G25),"",NF($B26,"reembolso")/NF($B26,"numeroexpediciones"))</t>
  </si>
  <si>
    <t>=IF(OR($G26="",$G26=$G25),"",NF($B26,"impuestos")/NF($B26,"numeroexpediciones"))</t>
  </si>
  <si>
    <t>=IF(AJ26="","",VALUE(AJ26))</t>
  </si>
  <si>
    <t>=IF(OR($G26="",$G26=$G25),"",NF($B26,"franqueo")/NF($B26,"numeroexpediciones"))</t>
  </si>
  <si>
    <t>=IF(OR($G26="",$G26=$G25),"",NF($B26,"despacho")/NF($B26,"numeroexpediciones"))</t>
  </si>
  <si>
    <t>=IF($G26="","",IFERROR(IF(ISBLANK(Z26),0,Z26)+IF(ISBLANK(AA26),0,AA26)+IF(ISBLANK(AB26),0,AB26)+IF(ISBLANK(AC26),0,AC26)+IF(ISBLANK(AD26),0,AD26)+IF(ISBLANK(AE26),0,AE26)+IF(ISBLANK(AF26),0,AF26)+IF(ISBLANK(AG26),0,AG26)+IF(ISBLANK(AH26),0,AH26),0))</t>
  </si>
  <si>
    <t>=IF($G26="","",NL("Suma","Registro activ. Log. detallado","Importe a facturar","Id. Prefactura",IdPrefactura,"Familia concepto","GESTION","Nº documento",NF($B26,"No_"),"Tipo de documento","Pedido|Bulto opaco","Datasource=","Navision"))</t>
  </si>
  <si>
    <t>=IF($C27=$C26,"",IF($C27="","",CONCATENATE(NF($B27,"Cód_ operativa")," ",NF($B27,"Descripción"))))</t>
  </si>
  <si>
    <t>=IF($C27=$C26,"",IF($C27="","",IF(NF($B27,"Tipo Documento")=0,"Pedido","Bulto Opaco")))</t>
  </si>
  <si>
    <t>=IF($C27=$C26,"",IF($C27="","",NF($B27,"No_")))</t>
  </si>
  <si>
    <t>=IF($C27=$C26,"",IF($C27="","",NF($B27,"No_ documento cliente")))</t>
  </si>
  <si>
    <t>=IF($C27=$C26,"",IF($C27="","",NF($B27,"Nombre punto entrega")))</t>
  </si>
  <si>
    <t>=IF($C27=$C26,"",IF($C27="","",NF($B27,"Contacto punto entrega")))</t>
  </si>
  <si>
    <t>=IF($C27=$C26,"",IF($C27="","",NF($B27,"Dirección punto entrega")))</t>
  </si>
  <si>
    <t>=IF($C27=$C26,"",IF($C27="","",NF($B27,"C_P_ punto entrega")))</t>
  </si>
  <si>
    <t>=IF($C27=$C26,"",IF($C27="","",NF($B27,"Población punto entrega")))</t>
  </si>
  <si>
    <t>=IF($C27=$C26,"",IF($C27="","",NF($B27,"Provincia punto entrega")))</t>
  </si>
  <si>
    <t>=IF($C27=$C26,"",IF($C27="","",NF($B27,"País punto entrega")))</t>
  </si>
  <si>
    <t>=IF($C27=$C26,"",IF($C27="","",NF($B27,"bultosE")))</t>
  </si>
  <si>
    <t>=IF(B27="","",IF($B27=$B26,"",ROUNDUP(NF($B27,"Peso facturable"),0)))</t>
  </si>
  <si>
    <t>=IF(OR($G27="",$G27=$G26),"",NF($B27,"manipulacion"))</t>
  </si>
  <si>
    <t>=NP("codeunit","Miscelanea","CalculaEmbalajeAlbaranPedido",G27,I27,D27,"",,,,,,,"MEDIAPOST SPAIN","Navision")</t>
  </si>
  <si>
    <t>=IF(OR($G27="",$G27=$G26),"",NF($B27,"transporte")/NF($B27,"numeroexpediciones"))</t>
  </si>
  <si>
    <t>=IF(OR($G27="",$G27=$G26),"",NF($B27,"prima")/NF($B27,"numeroexpediciones"))</t>
  </si>
  <si>
    <t>=IF(OR($G27="",$G27=$G26),"",NF($B27,"reembolso")/NF($B27,"numeroexpediciones"))</t>
  </si>
  <si>
    <t>=IF(OR($G27="",$G27=$G26),"",NF($B27,"impuestos")/NF($B27,"numeroexpediciones"))</t>
  </si>
  <si>
    <t>=IF(AJ27="","",VALUE(AJ27))</t>
  </si>
  <si>
    <t>=IF(OR($G27="",$G27=$G26),"",NF($B27,"franqueo")/NF($B27,"numeroexpediciones"))</t>
  </si>
  <si>
    <t>=IF(OR($G27="",$G27=$G26),"",NF($B27,"despacho")/NF($B27,"numeroexpediciones"))</t>
  </si>
  <si>
    <t>=IF($G27="","",IFERROR(IF(ISBLANK(Z27),0,Z27)+IF(ISBLANK(AA27),0,AA27)+IF(ISBLANK(AB27),0,AB27)+IF(ISBLANK(AC27),0,AC27)+IF(ISBLANK(AD27),0,AD27)+IF(ISBLANK(AE27),0,AE27)+IF(ISBLANK(AF27),0,AF27)+IF(ISBLANK(AG27),0,AG27)+IF(ISBLANK(AH27),0,AH27),0))</t>
  </si>
  <si>
    <t>=IF($G27="","",NL("Suma","Registro activ. Log. detallado","Importe a facturar","Id. Prefactura",IdPrefactura,"Familia concepto","GESTION","Nº documento",NF($B27,"No_"),"Tipo de documento","Pedido|Bulto opaco","Datasource=","Navision"))</t>
  </si>
  <si>
    <t>=IF($C28=$C27,"",IF($C28="","",CONCATENATE(NF($B28,"Cód_ operativa")," ",NF($B28,"Descripción"))))</t>
  </si>
  <si>
    <t>=IF($C28=$C27,"",IF($C28="","",IF(NF($B28,"Tipo Documento")=0,"Pedido","Bulto Opaco")))</t>
  </si>
  <si>
    <t>=IF($C28=$C27,"",IF($C28="","",NF($B28,"No_")))</t>
  </si>
  <si>
    <t>=IF($C28=$C27,"",IF($C28="","",NF($B28,"No_ documento cliente")))</t>
  </si>
  <si>
    <t>=IF($C28=$C27,"",IF($C28="","",NF($B28,"Nombre punto entrega")))</t>
  </si>
  <si>
    <t>=IF($C28=$C27,"",IF($C28="","",NF($B28,"Contacto punto entrega")))</t>
  </si>
  <si>
    <t>=IF($C28=$C27,"",IF($C28="","",NF($B28,"Dirección punto entrega")))</t>
  </si>
  <si>
    <t>=IF($C28=$C27,"",IF($C28="","",NF($B28,"C_P_ punto entrega")))</t>
  </si>
  <si>
    <t>=IF($C28=$C27,"",IF($C28="","",NF($B28,"Población punto entrega")))</t>
  </si>
  <si>
    <t>=IF($C28=$C27,"",IF($C28="","",NF($B28,"Provincia punto entrega")))</t>
  </si>
  <si>
    <t>=IF($C28=$C27,"",IF($C28="","",NF($B28,"País punto entrega")))</t>
  </si>
  <si>
    <t>=IF($C28=$C27,"",IF($C28="","",NF($B28,"bultosE")))</t>
  </si>
  <si>
    <t>=IF(B28="","",IF($B28=$B27,"",ROUNDUP(NF($B28,"Peso facturable"),0)))</t>
  </si>
  <si>
    <t>=IF(OR($G28="",$G28=$G27),"",NF($B28,"manipulacion"))</t>
  </si>
  <si>
    <t>=NP("codeunit","Miscelanea","CalculaEmbalajeAlbaranPedido",G28,I28,D28,"",,,,,,,"MEDIAPOST SPAIN","Navision")</t>
  </si>
  <si>
    <t>=IF(OR($G28="",$G28=$G27),"",NF($B28,"transporte")/NF($B28,"numeroexpediciones"))</t>
  </si>
  <si>
    <t>=IF(OR($G28="",$G28=$G27),"",NF($B28,"prima")/NF($B28,"numeroexpediciones"))</t>
  </si>
  <si>
    <t>=IF(OR($G28="",$G28=$G27),"",NF($B28,"reembolso")/NF($B28,"numeroexpediciones"))</t>
  </si>
  <si>
    <t>=IF(OR($G28="",$G28=$G27),"",NF($B28,"impuestos")/NF($B28,"numeroexpediciones"))</t>
  </si>
  <si>
    <t>=IF(AJ28="","",VALUE(AJ28))</t>
  </si>
  <si>
    <t>=IF(OR($G28="",$G28=$G27),"",NF($B28,"franqueo")/NF($B28,"numeroexpediciones"))</t>
  </si>
  <si>
    <t>=IF(OR($G28="",$G28=$G27),"",NF($B28,"despacho")/NF($B28,"numeroexpediciones"))</t>
  </si>
  <si>
    <t>=IF($G28="","",IFERROR(IF(ISBLANK(Z28),0,Z28)+IF(ISBLANK(AA28),0,AA28)+IF(ISBLANK(AB28),0,AB28)+IF(ISBLANK(AC28),0,AC28)+IF(ISBLANK(AD28),0,AD28)+IF(ISBLANK(AE28),0,AE28)+IF(ISBLANK(AF28),0,AF28)+IF(ISBLANK(AG28),0,AG28)+IF(ISBLANK(AH28),0,AH28),0))</t>
  </si>
  <si>
    <t>=IF($G28="","",NL("Suma","Registro activ. Log. detallado","Importe a facturar","Id. Prefactura",IdPrefactura,"Familia concepto","GESTION","Nº documento",NF($B28,"No_"),"Tipo de documento","Pedido|Bulto opaco","Datasource=","Navision"))</t>
  </si>
  <si>
    <t>=IF($C29=$C28,"",IF($C29="","",CONCATENATE(NF($B29,"Cód_ operativa")," ",NF($B29,"Descripción"))))</t>
  </si>
  <si>
    <t>=IF($C29=$C28,"",IF($C29="","",IF(NF($B29,"Tipo Documento")=0,"Pedido","Bulto Opaco")))</t>
  </si>
  <si>
    <t>=IF($C29=$C28,"",IF($C29="","",NF($B29,"No_")))</t>
  </si>
  <si>
    <t>=IF($C29=$C28,"",IF($C29="","",NF($B29,"No_ documento cliente")))</t>
  </si>
  <si>
    <t>=IF($C29=$C28,"",IF($C29="","",NF($B29,"Nombre punto entrega")))</t>
  </si>
  <si>
    <t>=IF($C29=$C28,"",IF($C29="","",NF($B29,"Contacto punto entrega")))</t>
  </si>
  <si>
    <t>=IF($C29=$C28,"",IF($C29="","",NF($B29,"Dirección punto entrega")))</t>
  </si>
  <si>
    <t>=IF($C29=$C28,"",IF($C29="","",NF($B29,"C_P_ punto entrega")))</t>
  </si>
  <si>
    <t>=IF($C29=$C28,"",IF($C29="","",NF($B29,"Población punto entrega")))</t>
  </si>
  <si>
    <t>=IF($C29=$C28,"",IF($C29="","",NF($B29,"Provincia punto entrega")))</t>
  </si>
  <si>
    <t>=IF($C29=$C28,"",IF($C29="","",NF($B29,"País punto entrega")))</t>
  </si>
  <si>
    <t>=IF($C29=$C28,"",IF($C29="","",NF($B29,"bultosE")))</t>
  </si>
  <si>
    <t>=IF(B29="","",IF($B29=$B28,"",ROUNDUP(NF($B29,"Peso facturable"),0)))</t>
  </si>
  <si>
    <t>=IF(OR($G29="",$G29=$G28),"",NF($B29,"manipulacion"))</t>
  </si>
  <si>
    <t>=NP("codeunit","Miscelanea","CalculaEmbalajeAlbaranPedido",G29,I29,D29,"",,,,,,,"MEDIAPOST SPAIN","Navision")</t>
  </si>
  <si>
    <t>=IF(OR($G29="",$G29=$G28),"",NF($B29,"transporte")/NF($B29,"numeroexpediciones"))</t>
  </si>
  <si>
    <t>=IF(OR($G29="",$G29=$G28),"",NF($B29,"prima")/NF($B29,"numeroexpediciones"))</t>
  </si>
  <si>
    <t>=IF(OR($G29="",$G29=$G28),"",NF($B29,"reembolso")/NF($B29,"numeroexpediciones"))</t>
  </si>
  <si>
    <t>=IF(OR($G29="",$G29=$G28),"",NF($B29,"impuestos")/NF($B29,"numeroexpediciones"))</t>
  </si>
  <si>
    <t>=IF(AJ29="","",VALUE(AJ29))</t>
  </si>
  <si>
    <t>=IF(OR($G29="",$G29=$G28),"",NF($B29,"franqueo")/NF($B29,"numeroexpediciones"))</t>
  </si>
  <si>
    <t>=IF(OR($G29="",$G29=$G28),"",NF($B29,"despacho")/NF($B29,"numeroexpediciones"))</t>
  </si>
  <si>
    <t>=IF($G29="","",IFERROR(IF(ISBLANK(Z29),0,Z29)+IF(ISBLANK(AA29),0,AA29)+IF(ISBLANK(AB29),0,AB29)+IF(ISBLANK(AC29),0,AC29)+IF(ISBLANK(AD29),0,AD29)+IF(ISBLANK(AE29),0,AE29)+IF(ISBLANK(AF29),0,AF29)+IF(ISBLANK(AG29),0,AG29)+IF(ISBLANK(AH29),0,AH29),0))</t>
  </si>
  <si>
    <t>=IF($G29="","",NL("Suma","Registro activ. Log. detallado","Importe a facturar","Id. Prefactura",IdPrefactura,"Familia concepto","GESTION","Nº documento",NF($B29,"No_"),"Tipo de documento","Pedido|Bulto opaco","Datasource=","Navision"))</t>
  </si>
  <si>
    <t>=IF($C30=$C29,"",IF($C30="","",CONCATENATE(NF($B30,"Cód_ operativa")," ",NF($B30,"Descripción"))))</t>
  </si>
  <si>
    <t>=IF($C30=$C29,"",IF($C30="","",IF(NF($B30,"Tipo Documento")=0,"Pedido","Bulto Opaco")))</t>
  </si>
  <si>
    <t>=IF($C30=$C29,"",IF($C30="","",NF($B30,"No_")))</t>
  </si>
  <si>
    <t>=IF($C30=$C29,"",IF($C30="","",NF($B30,"No_ documento cliente")))</t>
  </si>
  <si>
    <t>=IF($C30=$C29,"",IF($C30="","",NF($B30,"Nombre punto entrega")))</t>
  </si>
  <si>
    <t>=IF($C30=$C29,"",IF($C30="","",NF($B30,"Contacto punto entrega")))</t>
  </si>
  <si>
    <t>=IF($C30=$C29,"",IF($C30="","",NF($B30,"Dirección punto entrega")))</t>
  </si>
  <si>
    <t>=IF($C30=$C29,"",IF($C30="","",NF($B30,"C_P_ punto entrega")))</t>
  </si>
  <si>
    <t>=IF($C30=$C29,"",IF($C30="","",NF($B30,"Población punto entrega")))</t>
  </si>
  <si>
    <t>=IF($C30=$C29,"",IF($C30="","",NF($B30,"Provincia punto entrega")))</t>
  </si>
  <si>
    <t>=IF($C30=$C29,"",IF($C30="","",NF($B30,"País punto entrega")))</t>
  </si>
  <si>
    <t>=IF($C30=$C29,"",IF($C30="","",NF($B30,"bultosE")))</t>
  </si>
  <si>
    <t>=IF(B30="","",IF($B30=$B29,"",ROUNDUP(NF($B30,"Peso facturable"),0)))</t>
  </si>
  <si>
    <t>=IF(OR($G30="",$G30=$G29),"",NF($B30,"manipulacion"))</t>
  </si>
  <si>
    <t>=NP("codeunit","Miscelanea","CalculaEmbalajeAlbaranPedido",G30,I30,D30,"",,,,,,,"MEDIAPOST SPAIN","Navision")</t>
  </si>
  <si>
    <t>=IF(OR($G30="",$G30=$G29),"",NF($B30,"transporte")/NF($B30,"numeroexpediciones"))</t>
  </si>
  <si>
    <t>=IF(OR($G30="",$G30=$G29),"",NF($B30,"prima")/NF($B30,"numeroexpediciones"))</t>
  </si>
  <si>
    <t>=IF(OR($G30="",$G30=$G29),"",NF($B30,"reembolso")/NF($B30,"numeroexpediciones"))</t>
  </si>
  <si>
    <t>=IF(OR($G30="",$G30=$G29),"",NF($B30,"impuestos")/NF($B30,"numeroexpediciones"))</t>
  </si>
  <si>
    <t>=IF(AJ30="","",VALUE(AJ30))</t>
  </si>
  <si>
    <t>=IF(OR($G30="",$G30=$G29),"",NF($B30,"franqueo")/NF($B30,"numeroexpediciones"))</t>
  </si>
  <si>
    <t>=IF(OR($G30="",$G30=$G29),"",NF($B30,"despacho")/NF($B30,"numeroexpediciones"))</t>
  </si>
  <si>
    <t>=IF($G30="","",IFERROR(IF(ISBLANK(Z30),0,Z30)+IF(ISBLANK(AA30),0,AA30)+IF(ISBLANK(AB30),0,AB30)+IF(ISBLANK(AC30),0,AC30)+IF(ISBLANK(AD30),0,AD30)+IF(ISBLANK(AE30),0,AE30)+IF(ISBLANK(AF30),0,AF30)+IF(ISBLANK(AG30),0,AG30)+IF(ISBLANK(AH30),0,AH30),0))</t>
  </si>
  <si>
    <t>=IF($G30="","",NL("Suma","Registro activ. Log. detallado","Importe a facturar","Id. Prefactura",IdPrefactura,"Familia concepto","GESTION","Nº documento",NF($B30,"No_"),"Tipo de documento","Pedido|Bulto opaco","Datasource=","Navision"))</t>
  </si>
  <si>
    <t>=IF($C31=$C30,"",IF($C31="","",CONCATENATE(NF($B31,"Cód_ operativa")," ",NF($B31,"Descripción"))))</t>
  </si>
  <si>
    <t>=IF($C31=$C30,"",IF($C31="","",IF(NF($B31,"Tipo Documento")=0,"Pedido","Bulto Opaco")))</t>
  </si>
  <si>
    <t>=IF($C31=$C30,"",IF($C31="","",NF($B31,"No_")))</t>
  </si>
  <si>
    <t>=IF($C31=$C30,"",IF($C31="","",NF($B31,"No_ documento cliente")))</t>
  </si>
  <si>
    <t>=IF($C31=$C30,"",IF($C31="","",NF($B31,"Nombre punto entrega")))</t>
  </si>
  <si>
    <t>=IF($C31=$C30,"",IF($C31="","",NF($B31,"Contacto punto entrega")))</t>
  </si>
  <si>
    <t>=IF($C31=$C30,"",IF($C31="","",NF($B31,"Dirección punto entrega")))</t>
  </si>
  <si>
    <t>=IF($C31=$C30,"",IF($C31="","",NF($B31,"C_P_ punto entrega")))</t>
  </si>
  <si>
    <t>=IF($C31=$C30,"",IF($C31="","",NF($B31,"Población punto entrega")))</t>
  </si>
  <si>
    <t>=IF($C31=$C30,"",IF($C31="","",NF($B31,"Provincia punto entrega")))</t>
  </si>
  <si>
    <t>=IF($C31=$C30,"",IF($C31="","",NF($B31,"País punto entrega")))</t>
  </si>
  <si>
    <t>=IF($C31=$C30,"",IF($C31="","",NF($B31,"bultosE")))</t>
  </si>
  <si>
    <t>=IF(B31="","",IF($B31=$B30,"",ROUNDUP(NF($B31,"Peso facturable"),0)))</t>
  </si>
  <si>
    <t>=IF(OR($G31="",$G31=$G30),"",NF($B31,"manipulacion"))</t>
  </si>
  <si>
    <t>=NP("codeunit","Miscelanea","CalculaEmbalajeAlbaranPedido",G31,I31,D31,"",,,,,,,"MEDIAPOST SPAIN","Navision")</t>
  </si>
  <si>
    <t>=IF(OR($G31="",$G31=$G30),"",NF($B31,"transporte")/NF($B31,"numeroexpediciones"))</t>
  </si>
  <si>
    <t>=IF(OR($G31="",$G31=$G30),"",NF($B31,"prima")/NF($B31,"numeroexpediciones"))</t>
  </si>
  <si>
    <t>=IF(OR($G31="",$G31=$G30),"",NF($B31,"reembolso")/NF($B31,"numeroexpediciones"))</t>
  </si>
  <si>
    <t>=IF(OR($G31="",$G31=$G30),"",NF($B31,"impuestos")/NF($B31,"numeroexpediciones"))</t>
  </si>
  <si>
    <t>=IF(AJ31="","",VALUE(AJ31))</t>
  </si>
  <si>
    <t>=IF(OR($G31="",$G31=$G30),"",NF($B31,"franqueo")/NF($B31,"numeroexpediciones"))</t>
  </si>
  <si>
    <t>=IF(OR($G31="",$G31=$G30),"",NF($B31,"despacho")/NF($B31,"numeroexpediciones"))</t>
  </si>
  <si>
    <t>=IF($G31="","",IFERROR(IF(ISBLANK(Z31),0,Z31)+IF(ISBLANK(AA31),0,AA31)+IF(ISBLANK(AB31),0,AB31)+IF(ISBLANK(AC31),0,AC31)+IF(ISBLANK(AD31),0,AD31)+IF(ISBLANK(AE31),0,AE31)+IF(ISBLANK(AF31),0,AF31)+IF(ISBLANK(AG31),0,AG31)+IF(ISBLANK(AH31),0,AH31),0))</t>
  </si>
  <si>
    <t>=IF($G31="","",NL("Suma","Registro activ. Log. detallado","Importe a facturar","Id. Prefactura",IdPrefactura,"Familia concepto","GESTION","Nº documento",NF($B31,"No_"),"Tipo de documento","Pedido|Bulto opaco","Datasource=","Navision"))</t>
  </si>
  <si>
    <t>=IF($C32=$C31,"",IF($C32="","",CONCATENATE(NF($B32,"Cód_ operativa")," ",NF($B32,"Descripción"))))</t>
  </si>
  <si>
    <t>=IF($C32=$C31,"",IF($C32="","",IF(NF($B32,"Tipo Documento")=0,"Pedido","Bulto Opaco")))</t>
  </si>
  <si>
    <t>=IF($C32=$C31,"",IF($C32="","",NF($B32,"No_")))</t>
  </si>
  <si>
    <t>=IF($C32=$C31,"",IF($C32="","",NF($B32,"No_ documento cliente")))</t>
  </si>
  <si>
    <t>=IF($C32=$C31,"",IF($C32="","",NF($B32,"Nombre punto entrega")))</t>
  </si>
  <si>
    <t>=IF($C32=$C31,"",IF($C32="","",NF($B32,"Contacto punto entrega")))</t>
  </si>
  <si>
    <t>=IF($C32=$C31,"",IF($C32="","",NF($B32,"Dirección punto entrega")))</t>
  </si>
  <si>
    <t>=IF($C32=$C31,"",IF($C32="","",NF($B32,"C_P_ punto entrega")))</t>
  </si>
  <si>
    <t>=IF($C32=$C31,"",IF($C32="","",NF($B32,"Población punto entrega")))</t>
  </si>
  <si>
    <t>=IF($C32=$C31,"",IF($C32="","",NF($B32,"Provincia punto entrega")))</t>
  </si>
  <si>
    <t>=IF($C32=$C31,"",IF($C32="","",NF($B32,"País punto entrega")))</t>
  </si>
  <si>
    <t>=IF($C32=$C31,"",IF($C32="","",NF($B32,"bultosE")))</t>
  </si>
  <si>
    <t>=IF(B32="","",IF($B32=$B31,"",ROUNDUP(NF($B32,"Peso facturable"),0)))</t>
  </si>
  <si>
    <t>=IF(OR($G32="",$G32=$G31),"",NF($B32,"manipulacion"))</t>
  </si>
  <si>
    <t>=NP("codeunit","Miscelanea","CalculaEmbalajeAlbaranPedido",G32,I32,D32,"",,,,,,,"MEDIAPOST SPAIN","Navision")</t>
  </si>
  <si>
    <t>=IF(OR($G32="",$G32=$G31),"",NF($B32,"transporte")/NF($B32,"numeroexpediciones"))</t>
  </si>
  <si>
    <t>=IF(OR($G32="",$G32=$G31),"",NF($B32,"prima")/NF($B32,"numeroexpediciones"))</t>
  </si>
  <si>
    <t>=IF(OR($G32="",$G32=$G31),"",NF($B32,"reembolso")/NF($B32,"numeroexpediciones"))</t>
  </si>
  <si>
    <t>=IF(OR($G32="",$G32=$G31),"",NF($B32,"impuestos")/NF($B32,"numeroexpediciones"))</t>
  </si>
  <si>
    <t>=IF(AJ32="","",VALUE(AJ32))</t>
  </si>
  <si>
    <t>=IF(OR($G32="",$G32=$G31),"",NF($B32,"franqueo")/NF($B32,"numeroexpediciones"))</t>
  </si>
  <si>
    <t>=IF(OR($G32="",$G32=$G31),"",NF($B32,"despacho")/NF($B32,"numeroexpediciones"))</t>
  </si>
  <si>
    <t>=IF($G32="","",IFERROR(IF(ISBLANK(Z32),0,Z32)+IF(ISBLANK(AA32),0,AA32)+IF(ISBLANK(AB32),0,AB32)+IF(ISBLANK(AC32),0,AC32)+IF(ISBLANK(AD32),0,AD32)+IF(ISBLANK(AE32),0,AE32)+IF(ISBLANK(AF32),0,AF32)+IF(ISBLANK(AG32),0,AG32)+IF(ISBLANK(AH32),0,AH32),0))</t>
  </si>
  <si>
    <t>=IF($G32="","",NL("Suma","Registro activ. Log. detallado","Importe a facturar","Id. Prefactura",IdPrefactura,"Familia concepto","GESTION","Nº documento",NF($B32,"No_"),"Tipo de documento","Pedido|Bulto opaco","Datasource=","Navision"))</t>
  </si>
  <si>
    <t>=IF($C33=$C32,"",IF($C33="","",CONCATENATE(NF($B33,"Cód_ operativa")," ",NF($B33,"Descripción"))))</t>
  </si>
  <si>
    <t>=IF($C33=$C32,"",IF($C33="","",IF(NF($B33,"Tipo Documento")=0,"Pedido","Bulto Opaco")))</t>
  </si>
  <si>
    <t>=IF($C33=$C32,"",IF($C33="","",NF($B33,"No_")))</t>
  </si>
  <si>
    <t>=IF($C33=$C32,"",IF($C33="","",NF($B33,"No_ documento cliente")))</t>
  </si>
  <si>
    <t>=IF($C33=$C32,"",IF($C33="","",NF($B33,"Nombre punto entrega")))</t>
  </si>
  <si>
    <t>=IF($C33=$C32,"",IF($C33="","",NF($B33,"Contacto punto entrega")))</t>
  </si>
  <si>
    <t>=IF($C33=$C32,"",IF($C33="","",NF($B33,"Dirección punto entrega")))</t>
  </si>
  <si>
    <t>=IF($C33=$C32,"",IF($C33="","",NF($B33,"C_P_ punto entrega")))</t>
  </si>
  <si>
    <t>=IF($C33=$C32,"",IF($C33="","",NF($B33,"Población punto entrega")))</t>
  </si>
  <si>
    <t>=IF($C33=$C32,"",IF($C33="","",NF($B33,"Provincia punto entrega")))</t>
  </si>
  <si>
    <t>=IF($C33=$C32,"",IF($C33="","",NF($B33,"País punto entrega")))</t>
  </si>
  <si>
    <t>=IF($C33=$C32,"",IF($C33="","",NF($B33,"bultosE")))</t>
  </si>
  <si>
    <t>=IF(B33="","",IF($B33=$B32,"",ROUNDUP(NF($B33,"Peso facturable"),0)))</t>
  </si>
  <si>
    <t>=IF(OR($G33="",$G33=$G32),"",NF($B33,"manipulacion"))</t>
  </si>
  <si>
    <t>=NP("codeunit","Miscelanea","CalculaEmbalajeAlbaranPedido",G33,I33,D33,"",,,,,,,"MEDIAPOST SPAIN","Navision")</t>
  </si>
  <si>
    <t>=IF(OR($G33="",$G33=$G32),"",NF($B33,"transporte")/NF($B33,"numeroexpediciones"))</t>
  </si>
  <si>
    <t>=IF(OR($G33="",$G33=$G32),"",NF($B33,"prima")/NF($B33,"numeroexpediciones"))</t>
  </si>
  <si>
    <t>=IF(OR($G33="",$G33=$G32),"",NF($B33,"reembolso")/NF($B33,"numeroexpediciones"))</t>
  </si>
  <si>
    <t>=IF(OR($G33="",$G33=$G32),"",NF($B33,"impuestos")/NF($B33,"numeroexpediciones"))</t>
  </si>
  <si>
    <t>=IF(AJ33="","",VALUE(AJ33))</t>
  </si>
  <si>
    <t>=IF(OR($G33="",$G33=$G32),"",NF($B33,"franqueo")/NF($B33,"numeroexpediciones"))</t>
  </si>
  <si>
    <t>=IF(OR($G33="",$G33=$G32),"",NF($B33,"despacho")/NF($B33,"numeroexpediciones"))</t>
  </si>
  <si>
    <t>=IF($G33="","",IFERROR(IF(ISBLANK(Z33),0,Z33)+IF(ISBLANK(AA33),0,AA33)+IF(ISBLANK(AB33),0,AB33)+IF(ISBLANK(AC33),0,AC33)+IF(ISBLANK(AD33),0,AD33)+IF(ISBLANK(AE33),0,AE33)+IF(ISBLANK(AF33),0,AF33)+IF(ISBLANK(AG33),0,AG33)+IF(ISBLANK(AH33),0,AH33),0))</t>
  </si>
  <si>
    <t>=IF($G33="","",NL("Suma","Registro activ. Log. detallado","Importe a facturar","Id. Prefactura",IdPrefactura,"Familia concepto","GESTION","Nº documento",NF($B33,"No_"),"Tipo de documento","Pedido|Bulto opaco","Datasource=","Navision"))</t>
  </si>
  <si>
    <t>=IF($C34=$C33,"",IF($C34="","",CONCATENATE(NF($B34,"Cód_ operativa")," ",NF($B34,"Descripción"))))</t>
  </si>
  <si>
    <t>=IF($C34=$C33,"",IF($C34="","",IF(NF($B34,"Tipo Documento")=0,"Pedido","Bulto Opaco")))</t>
  </si>
  <si>
    <t>=IF($C34=$C33,"",IF($C34="","",NF($B34,"No_")))</t>
  </si>
  <si>
    <t>=IF($C34=$C33,"",IF($C34="","",NF($B34,"No_ documento cliente")))</t>
  </si>
  <si>
    <t>=IF($C34=$C33,"",IF($C34="","",NF($B34,"Nombre punto entrega")))</t>
  </si>
  <si>
    <t>=IF($C34=$C33,"",IF($C34="","",NF($B34,"Contacto punto entrega")))</t>
  </si>
  <si>
    <t>=IF($C34=$C33,"",IF($C34="","",NF($B34,"Dirección punto entrega")))</t>
  </si>
  <si>
    <t>=IF($C34=$C33,"",IF($C34="","",NF($B34,"C_P_ punto entrega")))</t>
  </si>
  <si>
    <t>=IF($C34=$C33,"",IF($C34="","",NF($B34,"Población punto entrega")))</t>
  </si>
  <si>
    <t>=IF($C34=$C33,"",IF($C34="","",NF($B34,"Provincia punto entrega")))</t>
  </si>
  <si>
    <t>=IF($C34=$C33,"",IF($C34="","",NF($B34,"País punto entrega")))</t>
  </si>
  <si>
    <t>=IF($C34=$C33,"",IF($C34="","",NF($B34,"bultosE")))</t>
  </si>
  <si>
    <t>=IF(B34="","",IF($B34=$B33,"",ROUNDUP(NF($B34,"Peso facturable"),0)))</t>
  </si>
  <si>
    <t>=IF(OR($G34="",$G34=$G33),"",NF($B34,"manipulacion"))</t>
  </si>
  <si>
    <t>=NP("codeunit","Miscelanea","CalculaEmbalajeAlbaranPedido",G34,I34,D34,"",,,,,,,"MEDIAPOST SPAIN","Navision")</t>
  </si>
  <si>
    <t>=IF(OR($G34="",$G34=$G33),"",NF($B34,"transporte")/NF($B34,"numeroexpediciones"))</t>
  </si>
  <si>
    <t>=IF(OR($G34="",$G34=$G33),"",NF($B34,"prima")/NF($B34,"numeroexpediciones"))</t>
  </si>
  <si>
    <t>=IF(OR($G34="",$G34=$G33),"",NF($B34,"reembolso")/NF($B34,"numeroexpediciones"))</t>
  </si>
  <si>
    <t>=IF(OR($G34="",$G34=$G33),"",NF($B34,"impuestos")/NF($B34,"numeroexpediciones"))</t>
  </si>
  <si>
    <t>=IF(AJ34="","",VALUE(AJ34))</t>
  </si>
  <si>
    <t>=IF(OR($G34="",$G34=$G33),"",NF($B34,"franqueo")/NF($B34,"numeroexpediciones"))</t>
  </si>
  <si>
    <t>=IF(OR($G34="",$G34=$G33),"",NF($B34,"despacho")/NF($B34,"numeroexpediciones"))</t>
  </si>
  <si>
    <t>=IF($G34="","",IFERROR(IF(ISBLANK(Z34),0,Z34)+IF(ISBLANK(AA34),0,AA34)+IF(ISBLANK(AB34),0,AB34)+IF(ISBLANK(AC34),0,AC34)+IF(ISBLANK(AD34),0,AD34)+IF(ISBLANK(AE34),0,AE34)+IF(ISBLANK(AF34),0,AF34)+IF(ISBLANK(AG34),0,AG34)+IF(ISBLANK(AH34),0,AH34),0))</t>
  </si>
  <si>
    <t>=IF($G34="","",NL("Suma","Registro activ. Log. detallado","Importe a facturar","Id. Prefactura",IdPrefactura,"Familia concepto","GESTION","Nº documento",NF($B34,"No_"),"Tipo de documento","Pedido|Bulto opaco","Datasource=","Navision"))</t>
  </si>
  <si>
    <t>=IF($C35=$C34,"",IF($C35="","",CONCATENATE(NF($B35,"Cód_ operativa")," ",NF($B35,"Descripción"))))</t>
  </si>
  <si>
    <t>=IF($C35=$C34,"",IF($C35="","",IF(NF($B35,"Tipo Documento")=0,"Pedido","Bulto Opaco")))</t>
  </si>
  <si>
    <t>=IF($C35=$C34,"",IF($C35="","",NF($B35,"No_")))</t>
  </si>
  <si>
    <t>=IF($C35=$C34,"",IF($C35="","",NF($B35,"No_ documento cliente")))</t>
  </si>
  <si>
    <t>=IF($C35=$C34,"",IF($C35="","",NF($B35,"Nombre punto entrega")))</t>
  </si>
  <si>
    <t>=IF($C35=$C34,"",IF($C35="","",NF($B35,"Contacto punto entrega")))</t>
  </si>
  <si>
    <t>=IF($C35=$C34,"",IF($C35="","",NF($B35,"Dirección punto entrega")))</t>
  </si>
  <si>
    <t>=IF($C35=$C34,"",IF($C35="","",NF($B35,"C_P_ punto entrega")))</t>
  </si>
  <si>
    <t>=IF($C35=$C34,"",IF($C35="","",NF($B35,"Población punto entrega")))</t>
  </si>
  <si>
    <t>=IF($C35=$C34,"",IF($C35="","",NF($B35,"Provincia punto entrega")))</t>
  </si>
  <si>
    <t>=IF($C35=$C34,"",IF($C35="","",NF($B35,"País punto entrega")))</t>
  </si>
  <si>
    <t>=IF($C35=$C34,"",IF($C35="","",NF($B35,"bultosE")))</t>
  </si>
  <si>
    <t>=IF(B35="","",IF($B35=$B34,"",ROUNDUP(NF($B35,"Peso facturable"),0)))</t>
  </si>
  <si>
    <t>=IF(OR($G35="",$G35=$G34),"",NF($B35,"manipulacion"))</t>
  </si>
  <si>
    <t>=NP("codeunit","Miscelanea","CalculaEmbalajeAlbaranPedido",G35,I35,D35,"",,,,,,,"MEDIAPOST SPAIN","Navision")</t>
  </si>
  <si>
    <t>=IF(OR($G35="",$G35=$G34),"",NF($B35,"transporte")/NF($B35,"numeroexpediciones"))</t>
  </si>
  <si>
    <t>=IF(OR($G35="",$G35=$G34),"",NF($B35,"prima")/NF($B35,"numeroexpediciones"))</t>
  </si>
  <si>
    <t>=IF(OR($G35="",$G35=$G34),"",NF($B35,"reembolso")/NF($B35,"numeroexpediciones"))</t>
  </si>
  <si>
    <t>=IF(OR($G35="",$G35=$G34),"",NF($B35,"impuestos")/NF($B35,"numeroexpediciones"))</t>
  </si>
  <si>
    <t>=IF(AJ35="","",VALUE(AJ35))</t>
  </si>
  <si>
    <t>=IF(OR($G35="",$G35=$G34),"",NF($B35,"franqueo")/NF($B35,"numeroexpediciones"))</t>
  </si>
  <si>
    <t>=IF(OR($G35="",$G35=$G34),"",NF($B35,"despacho")/NF($B35,"numeroexpediciones"))</t>
  </si>
  <si>
    <t>=IF($G35="","",IFERROR(IF(ISBLANK(Z35),0,Z35)+IF(ISBLANK(AA35),0,AA35)+IF(ISBLANK(AB35),0,AB35)+IF(ISBLANK(AC35),0,AC35)+IF(ISBLANK(AD35),0,AD35)+IF(ISBLANK(AE35),0,AE35)+IF(ISBLANK(AF35),0,AF35)+IF(ISBLANK(AG35),0,AG35)+IF(ISBLANK(AH35),0,AH35),0))</t>
  </si>
  <si>
    <t>=IF($G35="","",NL("Suma","Registro activ. Log. detallado","Importe a facturar","Id. Prefactura",IdPrefactura,"Familia concepto","GESTION","Nº documento",NF($B35,"No_"),"Tipo de documento","Pedido|Bulto opaco","Datasource=","Navision"))</t>
  </si>
  <si>
    <t>=IF($C36=$C35,"",IF($C36="","",CONCATENATE(NF($B36,"Cód_ operativa")," ",NF($B36,"Descripción"))))</t>
  </si>
  <si>
    <t>=IF($C36=$C35,"",IF($C36="","",IF(NF($B36,"Tipo Documento")=0,"Pedido","Bulto Opaco")))</t>
  </si>
  <si>
    <t>=IF($C36=$C35,"",IF($C36="","",NF($B36,"No_")))</t>
  </si>
  <si>
    <t>=IF($C36=$C35,"",IF($C36="","",NF($B36,"No_ documento cliente")))</t>
  </si>
  <si>
    <t>=IF($C36=$C35,"",IF($C36="","",NF($B36,"Nombre punto entrega")))</t>
  </si>
  <si>
    <t>=IF($C36=$C35,"",IF($C36="","",NF($B36,"Contacto punto entrega")))</t>
  </si>
  <si>
    <t>=IF($C36=$C35,"",IF($C36="","",NF($B36,"Dirección punto entrega")))</t>
  </si>
  <si>
    <t>=IF($C36=$C35,"",IF($C36="","",NF($B36,"C_P_ punto entrega")))</t>
  </si>
  <si>
    <t>=IF($C36=$C35,"",IF($C36="","",NF($B36,"Población punto entrega")))</t>
  </si>
  <si>
    <t>=IF($C36=$C35,"",IF($C36="","",NF($B36,"Provincia punto entrega")))</t>
  </si>
  <si>
    <t>=IF($C36=$C35,"",IF($C36="","",NF($B36,"País punto entrega")))</t>
  </si>
  <si>
    <t>=IF($C36=$C35,"",IF($C36="","",NF($B36,"bultosE")))</t>
  </si>
  <si>
    <t>=IF(B36="","",IF($B36=$B35,"",ROUNDUP(NF($B36,"Peso facturable"),0)))</t>
  </si>
  <si>
    <t>=IF(OR($G36="",$G36=$G35),"",NF($B36,"manipulacion"))</t>
  </si>
  <si>
    <t>=NP("codeunit","Miscelanea","CalculaEmbalajeAlbaranPedido",G36,I36,D36,"",,,,,,,"MEDIAPOST SPAIN","Navision")</t>
  </si>
  <si>
    <t>=IF(OR($G36="",$G36=$G35),"",NF($B36,"transporte")/NF($B36,"numeroexpediciones"))</t>
  </si>
  <si>
    <t>=IF(OR($G36="",$G36=$G35),"",NF($B36,"prima")/NF($B36,"numeroexpediciones"))</t>
  </si>
  <si>
    <t>=IF(OR($G36="",$G36=$G35),"",NF($B36,"reembolso")/NF($B36,"numeroexpediciones"))</t>
  </si>
  <si>
    <t>=IF(OR($G36="",$G36=$G35),"",NF($B36,"impuestos")/NF($B36,"numeroexpediciones"))</t>
  </si>
  <si>
    <t>=IF(AJ36="","",VALUE(AJ36))</t>
  </si>
  <si>
    <t>=IF(OR($G36="",$G36=$G35),"",NF($B36,"franqueo")/NF($B36,"numeroexpediciones"))</t>
  </si>
  <si>
    <t>=IF(OR($G36="",$G36=$G35),"",NF($B36,"despacho")/NF($B36,"numeroexpediciones"))</t>
  </si>
  <si>
    <t>=IF($G36="","",IFERROR(IF(ISBLANK(Z36),0,Z36)+IF(ISBLANK(AA36),0,AA36)+IF(ISBLANK(AB36),0,AB36)+IF(ISBLANK(AC36),0,AC36)+IF(ISBLANK(AD36),0,AD36)+IF(ISBLANK(AE36),0,AE36)+IF(ISBLANK(AF36),0,AF36)+IF(ISBLANK(AG36),0,AG36)+IF(ISBLANK(AH36),0,AH36),0))</t>
  </si>
  <si>
    <t>=IF($G36="","",NL("Suma","Registro activ. Log. detallado","Importe a facturar","Id. Prefactura",IdPrefactura,"Familia concepto","GESTION","Nº documento",NF($B36,"No_"),"Tipo de documento","Pedido|Bulto opaco","Datasource=","Navision"))</t>
  </si>
  <si>
    <t>=IF($C37=$C36,"",IF($C37="","",CONCATENATE(NF($B37,"Cód_ operativa")," ",NF($B37,"Descripción"))))</t>
  </si>
  <si>
    <t>=IF($C37=$C36,"",IF($C37="","",IF(NF($B37,"Tipo Documento")=0,"Pedido","Bulto Opaco")))</t>
  </si>
  <si>
    <t>=IF($C37=$C36,"",IF($C37="","",NF($B37,"No_")))</t>
  </si>
  <si>
    <t>=IF($C37=$C36,"",IF($C37="","",NF($B37,"No_ documento cliente")))</t>
  </si>
  <si>
    <t>=IF($C37=$C36,"",IF($C37="","",NF($B37,"Nombre punto entrega")))</t>
  </si>
  <si>
    <t>=IF($C37=$C36,"",IF($C37="","",NF($B37,"Contacto punto entrega")))</t>
  </si>
  <si>
    <t>=IF($C37=$C36,"",IF($C37="","",NF($B37,"Dirección punto entrega")))</t>
  </si>
  <si>
    <t>=IF($C37=$C36,"",IF($C37="","",NF($B37,"C_P_ punto entrega")))</t>
  </si>
  <si>
    <t>=IF($C37=$C36,"",IF($C37="","",NF($B37,"Población punto entrega")))</t>
  </si>
  <si>
    <t>=IF($C37=$C36,"",IF($C37="","",NF($B37,"Provincia punto entrega")))</t>
  </si>
  <si>
    <t>=IF($C37=$C36,"",IF($C37="","",NF($B37,"País punto entrega")))</t>
  </si>
  <si>
    <t>=IF($C37=$C36,"",IF($C37="","",NF($B37,"bultosE")))</t>
  </si>
  <si>
    <t>=IF(B37="","",IF($B37=$B36,"",ROUNDUP(NF($B37,"Peso facturable"),0)))</t>
  </si>
  <si>
    <t>=IF(OR($G37="",$G37=$G36),"",NF($B37,"manipulacion"))</t>
  </si>
  <si>
    <t>=NP("codeunit","Miscelanea","CalculaEmbalajeAlbaranPedido",G37,I37,D37,"",,,,,,,"MEDIAPOST SPAIN","Navision")</t>
  </si>
  <si>
    <t>=IF(OR($G37="",$G37=$G36),"",NF($B37,"transporte")/NF($B37,"numeroexpediciones"))</t>
  </si>
  <si>
    <t>=IF(OR($G37="",$G37=$G36),"",NF($B37,"prima")/NF($B37,"numeroexpediciones"))</t>
  </si>
  <si>
    <t>=IF(OR($G37="",$G37=$G36),"",NF($B37,"reembolso")/NF($B37,"numeroexpediciones"))</t>
  </si>
  <si>
    <t>=IF(OR($G37="",$G37=$G36),"",NF($B37,"impuestos")/NF($B37,"numeroexpediciones"))</t>
  </si>
  <si>
    <t>=IF(AJ37="","",VALUE(AJ37))</t>
  </si>
  <si>
    <t>=IF(OR($G37="",$G37=$G36),"",NF($B37,"franqueo")/NF($B37,"numeroexpediciones"))</t>
  </si>
  <si>
    <t>=IF(OR($G37="",$G37=$G36),"",NF($B37,"despacho")/NF($B37,"numeroexpediciones"))</t>
  </si>
  <si>
    <t>=IF($G37="","",IFERROR(IF(ISBLANK(Z37),0,Z37)+IF(ISBLANK(AA37),0,AA37)+IF(ISBLANK(AB37),0,AB37)+IF(ISBLANK(AC37),0,AC37)+IF(ISBLANK(AD37),0,AD37)+IF(ISBLANK(AE37),0,AE37)+IF(ISBLANK(AF37),0,AF37)+IF(ISBLANK(AG37),0,AG37)+IF(ISBLANK(AH37),0,AH37),0))</t>
  </si>
  <si>
    <t>=IF($G37="","",NL("Suma","Registro activ. Log. detallado","Importe a facturar","Id. Prefactura",IdPrefactura,"Familia concepto","GESTION","Nº documento",NF($B37,"No_"),"Tipo de documento","Pedido|Bulto opaco","Datasource=","Navision"))</t>
  </si>
  <si>
    <t>=IF($C38=$C37,"",IF($C38="","",CONCATENATE(NF($B38,"Cód_ operativa")," ",NF($B38,"Descripción"))))</t>
  </si>
  <si>
    <t>=IF($C38=$C37,"",IF($C38="","",IF(NF($B38,"Tipo Documento")=0,"Pedido","Bulto Opaco")))</t>
  </si>
  <si>
    <t>=IF($C38=$C37,"",IF($C38="","",NF($B38,"No_")))</t>
  </si>
  <si>
    <t>=IF($C38=$C37,"",IF($C38="","",NF($B38,"No_ documento cliente")))</t>
  </si>
  <si>
    <t>=IF($C38=$C37,"",IF($C38="","",NF($B38,"Nombre punto entrega")))</t>
  </si>
  <si>
    <t>=IF($C38=$C37,"",IF($C38="","",NF($B38,"Contacto punto entrega")))</t>
  </si>
  <si>
    <t>=IF($C38=$C37,"",IF($C38="","",NF($B38,"Dirección punto entrega")))</t>
  </si>
  <si>
    <t>=IF($C38=$C37,"",IF($C38="","",NF($B38,"C_P_ punto entrega")))</t>
  </si>
  <si>
    <t>=IF($C38=$C37,"",IF($C38="","",NF($B38,"Población punto entrega")))</t>
  </si>
  <si>
    <t>=IF($C38=$C37,"",IF($C38="","",NF($B38,"Provincia punto entrega")))</t>
  </si>
  <si>
    <t>=IF($C38=$C37,"",IF($C38="","",NF($B38,"País punto entrega")))</t>
  </si>
  <si>
    <t>=IF($C38=$C37,"",IF($C38="","",NF($B38,"bultosE")))</t>
  </si>
  <si>
    <t>=IF(B38="","",IF($B38=$B37,"",ROUNDUP(NF($B38,"Peso facturable"),0)))</t>
  </si>
  <si>
    <t>=IF(OR($G38="",$G38=$G37),"",NF($B38,"manipulacion"))</t>
  </si>
  <si>
    <t>=NP("codeunit","Miscelanea","CalculaEmbalajeAlbaranPedido",G38,I38,D38,"",,,,,,,"MEDIAPOST SPAIN","Navision")</t>
  </si>
  <si>
    <t>=IF(OR($G38="",$G38=$G37),"",NF($B38,"transporte")/NF($B38,"numeroexpediciones"))</t>
  </si>
  <si>
    <t>=IF(OR($G38="",$G38=$G37),"",NF($B38,"prima")/NF($B38,"numeroexpediciones"))</t>
  </si>
  <si>
    <t>=IF(OR($G38="",$G38=$G37),"",NF($B38,"reembolso")/NF($B38,"numeroexpediciones"))</t>
  </si>
  <si>
    <t>=IF(OR($G38="",$G38=$G37),"",NF($B38,"impuestos")/NF($B38,"numeroexpediciones"))</t>
  </si>
  <si>
    <t>=IF(AJ38="","",VALUE(AJ38))</t>
  </si>
  <si>
    <t>=IF(OR($G38="",$G38=$G37),"",NF($B38,"franqueo")/NF($B38,"numeroexpediciones"))</t>
  </si>
  <si>
    <t>=IF(OR($G38="",$G38=$G37),"",NF($B38,"despacho")/NF($B38,"numeroexpediciones"))</t>
  </si>
  <si>
    <t>=IF($G38="","",IFERROR(IF(ISBLANK(Z38),0,Z38)+IF(ISBLANK(AA38),0,AA38)+IF(ISBLANK(AB38),0,AB38)+IF(ISBLANK(AC38),0,AC38)+IF(ISBLANK(AD38),0,AD38)+IF(ISBLANK(AE38),0,AE38)+IF(ISBLANK(AF38),0,AF38)+IF(ISBLANK(AG38),0,AG38)+IF(ISBLANK(AH38),0,AH38),0))</t>
  </si>
  <si>
    <t>=IF($G38="","",NL("Suma","Registro activ. Log. detallado","Importe a facturar","Id. Prefactura",IdPrefactura,"Familia concepto","GESTION","Nº documento",NF($B38,"No_"),"Tipo de documento","Pedido|Bulto opaco","Datasource=","Navision"))</t>
  </si>
  <si>
    <t>=IF($C39=$C38,"",IF($C39="","",CONCATENATE(NF($B39,"Cód_ operativa")," ",NF($B39,"Descripción"))))</t>
  </si>
  <si>
    <t>=IF($C39=$C38,"",IF($C39="","",IF(NF($B39,"Tipo Documento")=0,"Pedido","Bulto Opaco")))</t>
  </si>
  <si>
    <t>=IF($C39=$C38,"",IF($C39="","",NF($B39,"No_")))</t>
  </si>
  <si>
    <t>=IF($C39=$C38,"",IF($C39="","",NF($B39,"No_ documento cliente")))</t>
  </si>
  <si>
    <t>=IF($C39=$C38,"",IF($C39="","",NF($B39,"Nombre punto entrega")))</t>
  </si>
  <si>
    <t>=IF($C39=$C38,"",IF($C39="","",NF($B39,"Contacto punto entrega")))</t>
  </si>
  <si>
    <t>=IF($C39=$C38,"",IF($C39="","",NF($B39,"Dirección punto entrega")))</t>
  </si>
  <si>
    <t>=IF($C39=$C38,"",IF($C39="","",NF($B39,"C_P_ punto entrega")))</t>
  </si>
  <si>
    <t>=IF($C39=$C38,"",IF($C39="","",NF($B39,"Población punto entrega")))</t>
  </si>
  <si>
    <t>=IF($C39=$C38,"",IF($C39="","",NF($B39,"Provincia punto entrega")))</t>
  </si>
  <si>
    <t>=IF($C39=$C38,"",IF($C39="","",NF($B39,"País punto entrega")))</t>
  </si>
  <si>
    <t>=IF($C39=$C38,"",IF($C39="","",NF($B39,"bultosE")))</t>
  </si>
  <si>
    <t>=IF(B39="","",IF($B39=$B38,"",ROUNDUP(NF($B39,"Peso facturable"),0)))</t>
  </si>
  <si>
    <t>=IF(OR($G39="",$G39=$G38),"",NF($B39,"manipulacion"))</t>
  </si>
  <si>
    <t>=NP("codeunit","Miscelanea","CalculaEmbalajeAlbaranPedido",G39,I39,D39,"",,,,,,,"MEDIAPOST SPAIN","Navision")</t>
  </si>
  <si>
    <t>=IF(OR($G39="",$G39=$G38),"",NF($B39,"transporte")/NF($B39,"numeroexpediciones"))</t>
  </si>
  <si>
    <t>=IF(OR($G39="",$G39=$G38),"",NF($B39,"prima")/NF($B39,"numeroexpediciones"))</t>
  </si>
  <si>
    <t>=IF(OR($G39="",$G39=$G38),"",NF($B39,"reembolso")/NF($B39,"numeroexpediciones"))</t>
  </si>
  <si>
    <t>=IF(OR($G39="",$G39=$G38),"",NF($B39,"impuestos")/NF($B39,"numeroexpediciones"))</t>
  </si>
  <si>
    <t>=IF(AJ39="","",VALUE(AJ39))</t>
  </si>
  <si>
    <t>=IF(OR($G39="",$G39=$G38),"",NF($B39,"franqueo")/NF($B39,"numeroexpediciones"))</t>
  </si>
  <si>
    <t>=IF(OR($G39="",$G39=$G38),"",NF($B39,"despacho")/NF($B39,"numeroexpediciones"))</t>
  </si>
  <si>
    <t>=IF($G39="","",IFERROR(IF(ISBLANK(Z39),0,Z39)+IF(ISBLANK(AA39),0,AA39)+IF(ISBLANK(AB39),0,AB39)+IF(ISBLANK(AC39),0,AC39)+IF(ISBLANK(AD39),0,AD39)+IF(ISBLANK(AE39),0,AE39)+IF(ISBLANK(AF39),0,AF39)+IF(ISBLANK(AG39),0,AG39)+IF(ISBLANK(AH39),0,AH39),0))</t>
  </si>
  <si>
    <t>=IF($G39="","",NL("Suma","Registro activ. Log. detallado","Importe a facturar","Id. Prefactura",IdPrefactura,"Familia concepto","GESTION","Nº documento",NF($B39,"No_"),"Tipo de documento","Pedido|Bulto opaco","Datasource=","Navision"))</t>
  </si>
  <si>
    <t>=IF($C40=$C39,"",IF($C40="","",CONCATENATE(NF($B40,"Cód_ operativa")," ",NF($B40,"Descripción"))))</t>
  </si>
  <si>
    <t>=IF($C40=$C39,"",IF($C40="","",IF(NF($B40,"Tipo Documento")=0,"Pedido","Bulto Opaco")))</t>
  </si>
  <si>
    <t>=IF($C40=$C39,"",IF($C40="","",NF($B40,"No_")))</t>
  </si>
  <si>
    <t>=IF($C40=$C39,"",IF($C40="","",NF($B40,"No_ documento cliente")))</t>
  </si>
  <si>
    <t>=IF($C40=$C39,"",IF($C40="","",NF($B40,"Nombre punto entrega")))</t>
  </si>
  <si>
    <t>=IF($C40=$C39,"",IF($C40="","",NF($B40,"Contacto punto entrega")))</t>
  </si>
  <si>
    <t>=IF($C40=$C39,"",IF($C40="","",NF($B40,"Dirección punto entrega")))</t>
  </si>
  <si>
    <t>=IF($C40=$C39,"",IF($C40="","",NF($B40,"C_P_ punto entrega")))</t>
  </si>
  <si>
    <t>=IF($C40=$C39,"",IF($C40="","",NF($B40,"Población punto entrega")))</t>
  </si>
  <si>
    <t>=IF($C40=$C39,"",IF($C40="","",NF($B40,"Provincia punto entrega")))</t>
  </si>
  <si>
    <t>=IF($C40=$C39,"",IF($C40="","",NF($B40,"País punto entrega")))</t>
  </si>
  <si>
    <t>=IF($C40=$C39,"",IF($C40="","",NF($B40,"bultosE")))</t>
  </si>
  <si>
    <t>=IF(B40="","",IF($B40=$B39,"",ROUNDUP(NF($B40,"Peso facturable"),0)))</t>
  </si>
  <si>
    <t>=IF(OR($G40="",$G40=$G39),"",NF($B40,"manipulacion"))</t>
  </si>
  <si>
    <t>=NP("codeunit","Miscelanea","CalculaEmbalajeAlbaranPedido",G40,I40,D40,"",,,,,,,"MEDIAPOST SPAIN","Navision")</t>
  </si>
  <si>
    <t>=IF(OR($G40="",$G40=$G39),"",NF($B40,"transporte")/NF($B40,"numeroexpediciones"))</t>
  </si>
  <si>
    <t>=IF(OR($G40="",$G40=$G39),"",NF($B40,"prima")/NF($B40,"numeroexpediciones"))</t>
  </si>
  <si>
    <t>=IF(OR($G40="",$G40=$G39),"",NF($B40,"reembolso")/NF($B40,"numeroexpediciones"))</t>
  </si>
  <si>
    <t>=IF(OR($G40="",$G40=$G39),"",NF($B40,"impuestos")/NF($B40,"numeroexpediciones"))</t>
  </si>
  <si>
    <t>=IF(AJ40="","",VALUE(AJ40))</t>
  </si>
  <si>
    <t>=IF(OR($G40="",$G40=$G39),"",NF($B40,"franqueo")/NF($B40,"numeroexpediciones"))</t>
  </si>
  <si>
    <t>=IF(OR($G40="",$G40=$G39),"",NF($B40,"despacho")/NF($B40,"numeroexpediciones"))</t>
  </si>
  <si>
    <t>=IF($G40="","",IFERROR(IF(ISBLANK(Z40),0,Z40)+IF(ISBLANK(AA40),0,AA40)+IF(ISBLANK(AB40),0,AB40)+IF(ISBLANK(AC40),0,AC40)+IF(ISBLANK(AD40),0,AD40)+IF(ISBLANK(AE40),0,AE40)+IF(ISBLANK(AF40),0,AF40)+IF(ISBLANK(AG40),0,AG40)+IF(ISBLANK(AH40),0,AH40),0))</t>
  </si>
  <si>
    <t>=IF($G40="","",NL("Suma","Registro activ. Log. detallado","Importe a facturar","Id. Prefactura",IdPrefactura,"Familia concepto","GESTION","Nº documento",NF($B40,"No_"),"Tipo de documento","Pedido|Bulto opaco","Datasource=","Navision"))</t>
  </si>
  <si>
    <t>=IF($C41=$C40,"",IF($C41="","",CONCATENATE(NF($B41,"Cód_ operativa")," ",NF($B41,"Descripción"))))</t>
  </si>
  <si>
    <t>=IF($C41=$C40,"",IF($C41="","",IF(NF($B41,"Tipo Documento")=0,"Pedido","Bulto Opaco")))</t>
  </si>
  <si>
    <t>=IF($C41=$C40,"",IF($C41="","",NF($B41,"No_")))</t>
  </si>
  <si>
    <t>=IF($C41=$C40,"",IF($C41="","",NF($B41,"No_ documento cliente")))</t>
  </si>
  <si>
    <t>=IF($C41=$C40,"",IF($C41="","",NF($B41,"Nombre punto entrega")))</t>
  </si>
  <si>
    <t>=IF($C41=$C40,"",IF($C41="","",NF($B41,"Contacto punto entrega")))</t>
  </si>
  <si>
    <t>=IF($C41=$C40,"",IF($C41="","",NF($B41,"Dirección punto entrega")))</t>
  </si>
  <si>
    <t>=IF($C41=$C40,"",IF($C41="","",NF($B41,"C_P_ punto entrega")))</t>
  </si>
  <si>
    <t>=IF($C41=$C40,"",IF($C41="","",NF($B41,"Población punto entrega")))</t>
  </si>
  <si>
    <t>=IF($C41=$C40,"",IF($C41="","",NF($B41,"Provincia punto entrega")))</t>
  </si>
  <si>
    <t>=IF($C41=$C40,"",IF($C41="","",NF($B41,"País punto entrega")))</t>
  </si>
  <si>
    <t>=IF($C41=$C40,"",IF($C41="","",NF($B41,"bultosE")))</t>
  </si>
  <si>
    <t>=IF(B41="","",IF($B41=$B40,"",ROUNDUP(NF($B41,"Peso facturable"),0)))</t>
  </si>
  <si>
    <t>=IF(OR($G41="",$G41=$G40),"",NF($B41,"manipulacion"))</t>
  </si>
  <si>
    <t>=NP("codeunit","Miscelanea","CalculaEmbalajeAlbaranPedido",G41,I41,D41,"",,,,,,,"MEDIAPOST SPAIN","Navision")</t>
  </si>
  <si>
    <t>=IF(OR($G41="",$G41=$G40),"",NF($B41,"transporte")/NF($B41,"numeroexpediciones"))</t>
  </si>
  <si>
    <t>=IF(OR($G41="",$G41=$G40),"",NF($B41,"prima")/NF($B41,"numeroexpediciones"))</t>
  </si>
  <si>
    <t>=IF(OR($G41="",$G41=$G40),"",NF($B41,"reembolso")/NF($B41,"numeroexpediciones"))</t>
  </si>
  <si>
    <t>=IF(OR($G41="",$G41=$G40),"",NF($B41,"impuestos")/NF($B41,"numeroexpediciones"))</t>
  </si>
  <si>
    <t>=IF(AJ41="","",VALUE(AJ41))</t>
  </si>
  <si>
    <t>=IF(OR($G41="",$G41=$G40),"",NF($B41,"franqueo")/NF($B41,"numeroexpediciones"))</t>
  </si>
  <si>
    <t>=IF(OR($G41="",$G41=$G40),"",NF($B41,"despacho")/NF($B41,"numeroexpediciones"))</t>
  </si>
  <si>
    <t>=IF($G41="","",IFERROR(IF(ISBLANK(Z41),0,Z41)+IF(ISBLANK(AA41),0,AA41)+IF(ISBLANK(AB41),0,AB41)+IF(ISBLANK(AC41),0,AC41)+IF(ISBLANK(AD41),0,AD41)+IF(ISBLANK(AE41),0,AE41)+IF(ISBLANK(AF41),0,AF41)+IF(ISBLANK(AG41),0,AG41)+IF(ISBLANK(AH41),0,AH41),0))</t>
  </si>
  <si>
    <t>=IF($G41="","",NL("Suma","Registro activ. Log. detallado","Importe a facturar","Id. Prefactura",IdPrefactura,"Familia concepto","GESTION","Nº documento",NF($B41,"No_"),"Tipo de documento","Pedido|Bulto opaco","Datasource=","Navision"))</t>
  </si>
  <si>
    <t>=IF($C42=$C41,"",IF($C42="","",CONCATENATE(NF($B42,"Cód_ operativa")," ",NF($B42,"Descripción"))))</t>
  </si>
  <si>
    <t>=IF($C42=$C41,"",IF($C42="","",IF(NF($B42,"Tipo Documento")=0,"Pedido","Bulto Opaco")))</t>
  </si>
  <si>
    <t>=IF($C42=$C41,"",IF($C42="","",NF($B42,"No_")))</t>
  </si>
  <si>
    <t>=IF($C42=$C41,"",IF($C42="","",NF($B42,"No_ documento cliente")))</t>
  </si>
  <si>
    <t>=IF($C42=$C41,"",IF($C42="","",NF($B42,"Nombre punto entrega")))</t>
  </si>
  <si>
    <t>=IF($C42=$C41,"",IF($C42="","",NF($B42,"Contacto punto entrega")))</t>
  </si>
  <si>
    <t>=IF($C42=$C41,"",IF($C42="","",NF($B42,"Dirección punto entrega")))</t>
  </si>
  <si>
    <t>=IF($C42=$C41,"",IF($C42="","",NF($B42,"C_P_ punto entrega")))</t>
  </si>
  <si>
    <t>=IF($C42=$C41,"",IF($C42="","",NF($B42,"Población punto entrega")))</t>
  </si>
  <si>
    <t>=IF($C42=$C41,"",IF($C42="","",NF($B42,"Provincia punto entrega")))</t>
  </si>
  <si>
    <t>=IF($C42=$C41,"",IF($C42="","",NF($B42,"País punto entrega")))</t>
  </si>
  <si>
    <t>=IF($C42=$C41,"",IF($C42="","",NF($B42,"bultosE")))</t>
  </si>
  <si>
    <t>=IF(B42="","",IF($B42=$B41,"",ROUNDUP(NF($B42,"Peso facturable"),0)))</t>
  </si>
  <si>
    <t>=IF(OR($G42="",$G42=$G41),"",NF($B42,"manipulacion"))</t>
  </si>
  <si>
    <t>=NP("codeunit","Miscelanea","CalculaEmbalajeAlbaranPedido",G42,I42,D42,"",,,,,,,"MEDIAPOST SPAIN","Navision")</t>
  </si>
  <si>
    <t>=IF(OR($G42="",$G42=$G41),"",NF($B42,"transporte")/NF($B42,"numeroexpediciones"))</t>
  </si>
  <si>
    <t>=IF(OR($G42="",$G42=$G41),"",NF($B42,"prima")/NF($B42,"numeroexpediciones"))</t>
  </si>
  <si>
    <t>=IF(OR($G42="",$G42=$G41),"",NF($B42,"reembolso")/NF($B42,"numeroexpediciones"))</t>
  </si>
  <si>
    <t>=IF(OR($G42="",$G42=$G41),"",NF($B42,"impuestos")/NF($B42,"numeroexpediciones"))</t>
  </si>
  <si>
    <t>=IF(AJ42="","",VALUE(AJ42))</t>
  </si>
  <si>
    <t>=IF(OR($G42="",$G42=$G41),"",NF($B42,"franqueo")/NF($B42,"numeroexpediciones"))</t>
  </si>
  <si>
    <t>=IF(OR($G42="",$G42=$G41),"",NF($B42,"despacho")/NF($B42,"numeroexpediciones"))</t>
  </si>
  <si>
    <t>=IF($G42="","",IFERROR(IF(ISBLANK(Z42),0,Z42)+IF(ISBLANK(AA42),0,AA42)+IF(ISBLANK(AB42),0,AB42)+IF(ISBLANK(AC42),0,AC42)+IF(ISBLANK(AD42),0,AD42)+IF(ISBLANK(AE42),0,AE42)+IF(ISBLANK(AF42),0,AF42)+IF(ISBLANK(AG42),0,AG42)+IF(ISBLANK(AH42),0,AH42),0))</t>
  </si>
  <si>
    <t>=IF($G42="","",NL("Suma","Registro activ. Log. detallado","Importe a facturar","Id. Prefactura",IdPrefactura,"Familia concepto","GESTION","Nº documento",NF($B42,"No_"),"Tipo de documento","Pedido|Bulto opaco","Datasource=","Navision"))</t>
  </si>
  <si>
    <t>=IF($C43=$C42,"",IF($C43="","",CONCATENATE(NF($B43,"Cód_ operativa")," ",NF($B43,"Descripción"))))</t>
  </si>
  <si>
    <t>=IF($C43=$C42,"",IF($C43="","",IF(NF($B43,"Tipo Documento")=0,"Pedido","Bulto Opaco")))</t>
  </si>
  <si>
    <t>=IF($C43=$C42,"",IF($C43="","",NF($B43,"No_")))</t>
  </si>
  <si>
    <t>=IF($C43=$C42,"",IF($C43="","",NF($B43,"No_ documento cliente")))</t>
  </si>
  <si>
    <t>=IF($C43=$C42,"",IF($C43="","",NF($B43,"Nombre punto entrega")))</t>
  </si>
  <si>
    <t>=IF($C43=$C42,"",IF($C43="","",NF($B43,"Contacto punto entrega")))</t>
  </si>
  <si>
    <t>=IF($C43=$C42,"",IF($C43="","",NF($B43,"Dirección punto entrega")))</t>
  </si>
  <si>
    <t>=IF($C43=$C42,"",IF($C43="","",NF($B43,"C_P_ punto entrega")))</t>
  </si>
  <si>
    <t>=IF($C43=$C42,"",IF($C43="","",NF($B43,"Población punto entrega")))</t>
  </si>
  <si>
    <t>=IF($C43=$C42,"",IF($C43="","",NF($B43,"Provincia punto entrega")))</t>
  </si>
  <si>
    <t>=IF($C43=$C42,"",IF($C43="","",NF($B43,"País punto entrega")))</t>
  </si>
  <si>
    <t>=IF($C43=$C42,"",IF($C43="","",NF($B43,"bultosE")))</t>
  </si>
  <si>
    <t>=IF(B43="","",IF($B43=$B42,"",ROUNDUP(NF($B43,"Peso facturable"),0)))</t>
  </si>
  <si>
    <t>=IF(OR($G43="",$G43=$G42),"",NF($B43,"manipulacion"))</t>
  </si>
  <si>
    <t>=NP("codeunit","Miscelanea","CalculaEmbalajeAlbaranPedido",G43,I43,D43,"",,,,,,,"MEDIAPOST SPAIN","Navision")</t>
  </si>
  <si>
    <t>=IF(OR($G43="",$G43=$G42),"",NF($B43,"transporte")/NF($B43,"numeroexpediciones"))</t>
  </si>
  <si>
    <t>=IF(OR($G43="",$G43=$G42),"",NF($B43,"prima")/NF($B43,"numeroexpediciones"))</t>
  </si>
  <si>
    <t>=IF(OR($G43="",$G43=$G42),"",NF($B43,"reembolso")/NF($B43,"numeroexpediciones"))</t>
  </si>
  <si>
    <t>=IF(OR($G43="",$G43=$G42),"",NF($B43,"impuestos")/NF($B43,"numeroexpediciones"))</t>
  </si>
  <si>
    <t>=IF(AJ43="","",VALUE(AJ43))</t>
  </si>
  <si>
    <t>=IF(OR($G43="",$G43=$G42),"",NF($B43,"franqueo")/NF($B43,"numeroexpediciones"))</t>
  </si>
  <si>
    <t>=IF(OR($G43="",$G43=$G42),"",NF($B43,"despacho")/NF($B43,"numeroexpediciones"))</t>
  </si>
  <si>
    <t>=IF($G43="","",IFERROR(IF(ISBLANK(Z43),0,Z43)+IF(ISBLANK(AA43),0,AA43)+IF(ISBLANK(AB43),0,AB43)+IF(ISBLANK(AC43),0,AC43)+IF(ISBLANK(AD43),0,AD43)+IF(ISBLANK(AE43),0,AE43)+IF(ISBLANK(AF43),0,AF43)+IF(ISBLANK(AG43),0,AG43)+IF(ISBLANK(AH43),0,AH43),0))</t>
  </si>
  <si>
    <t>=IF($G43="","",NL("Suma","Registro activ. Log. detallado","Importe a facturar","Id. Prefactura",IdPrefactura,"Familia concepto","GESTION","Nº documento",NF($B43,"No_"),"Tipo de documento","Pedido|Bulto opaco","Datasource=","Navision"))</t>
  </si>
  <si>
    <t>=IF($C44=$C43,"",IF($C44="","",CONCATENATE(NF($B44,"Cód_ operativa")," ",NF($B44,"Descripción"))))</t>
  </si>
  <si>
    <t>=IF($C44=$C43,"",IF($C44="","",IF(NF($B44,"Tipo Documento")=0,"Pedido","Bulto Opaco")))</t>
  </si>
  <si>
    <t>=IF($C44=$C43,"",IF($C44="","",NF($B44,"No_")))</t>
  </si>
  <si>
    <t>=IF($C44=$C43,"",IF($C44="","",NF($B44,"No_ documento cliente")))</t>
  </si>
  <si>
    <t>=IF($C44=$C43,"",IF($C44="","",NF($B44,"Nombre punto entrega")))</t>
  </si>
  <si>
    <t>=IF($C44=$C43,"",IF($C44="","",NF($B44,"Contacto punto entrega")))</t>
  </si>
  <si>
    <t>=IF($C44=$C43,"",IF($C44="","",NF($B44,"Dirección punto entrega")))</t>
  </si>
  <si>
    <t>=IF($C44=$C43,"",IF($C44="","",NF($B44,"C_P_ punto entrega")))</t>
  </si>
  <si>
    <t>=IF($C44=$C43,"",IF($C44="","",NF($B44,"Población punto entrega")))</t>
  </si>
  <si>
    <t>=IF($C44=$C43,"",IF($C44="","",NF($B44,"Provincia punto entrega")))</t>
  </si>
  <si>
    <t>=IF($C44=$C43,"",IF($C44="","",NF($B44,"País punto entrega")))</t>
  </si>
  <si>
    <t>=IF($C44=$C43,"",IF($C44="","",NF($B44,"bultosE")))</t>
  </si>
  <si>
    <t>=IF(B44="","",IF($B44=$B43,"",ROUNDUP(NF($B44,"Peso facturable"),0)))</t>
  </si>
  <si>
    <t>=IF(OR($G44="",$G44=$G43),"",NF($B44,"manipulacion"))</t>
  </si>
  <si>
    <t>=NP("codeunit","Miscelanea","CalculaEmbalajeAlbaranPedido",G44,I44,D44,"",,,,,,,"MEDIAPOST SPAIN","Navision")</t>
  </si>
  <si>
    <t>=IF(OR($G44="",$G44=$G43),"",NF($B44,"transporte")/NF($B44,"numeroexpediciones"))</t>
  </si>
  <si>
    <t>=IF(OR($G44="",$G44=$G43),"",NF($B44,"prima")/NF($B44,"numeroexpediciones"))</t>
  </si>
  <si>
    <t>=IF(OR($G44="",$G44=$G43),"",NF($B44,"reembolso")/NF($B44,"numeroexpediciones"))</t>
  </si>
  <si>
    <t>=IF(OR($G44="",$G44=$G43),"",NF($B44,"impuestos")/NF($B44,"numeroexpediciones"))</t>
  </si>
  <si>
    <t>=IF(AJ44="","",VALUE(AJ44))</t>
  </si>
  <si>
    <t>=IF(OR($G44="",$G44=$G43),"",NF($B44,"franqueo")/NF($B44,"numeroexpediciones"))</t>
  </si>
  <si>
    <t>=IF(OR($G44="",$G44=$G43),"",NF($B44,"despacho")/NF($B44,"numeroexpediciones"))</t>
  </si>
  <si>
    <t>=IF($G44="","",IFERROR(IF(ISBLANK(Z44),0,Z44)+IF(ISBLANK(AA44),0,AA44)+IF(ISBLANK(AB44),0,AB44)+IF(ISBLANK(AC44),0,AC44)+IF(ISBLANK(AD44),0,AD44)+IF(ISBLANK(AE44),0,AE44)+IF(ISBLANK(AF44),0,AF44)+IF(ISBLANK(AG44),0,AG44)+IF(ISBLANK(AH44),0,AH44),0))</t>
  </si>
  <si>
    <t>=IF($G44="","",NL("Suma","Registro activ. Log. detallado","Importe a facturar","Id. Prefactura",IdPrefactura,"Familia concepto","GESTION","Nº documento",NF($B44,"No_"),"Tipo de documento","Pedido|Bulto opaco","Datasource=","Navision"))</t>
  </si>
  <si>
    <t>=IF($C45=$C44,"",IF($C45="","",CONCATENATE(NF($B45,"Cód_ operativa")," ",NF($B45,"Descripción"))))</t>
  </si>
  <si>
    <t>=IF($C45=$C44,"",IF($C45="","",IF(NF($B45,"Tipo Documento")=0,"Pedido","Bulto Opaco")))</t>
  </si>
  <si>
    <t>=IF($C45=$C44,"",IF($C45="","",NF($B45,"No_")))</t>
  </si>
  <si>
    <t>=IF($C45=$C44,"",IF($C45="","",NF($B45,"No_ documento cliente")))</t>
  </si>
  <si>
    <t>=IF($C45=$C44,"",IF($C45="","",NF($B45,"Nombre punto entrega")))</t>
  </si>
  <si>
    <t>=IF($C45=$C44,"",IF($C45="","",NF($B45,"Contacto punto entrega")))</t>
  </si>
  <si>
    <t>=IF($C45=$C44,"",IF($C45="","",NF($B45,"Dirección punto entrega")))</t>
  </si>
  <si>
    <t>=IF($C45=$C44,"",IF($C45="","",NF($B45,"C_P_ punto entrega")))</t>
  </si>
  <si>
    <t>=IF($C45=$C44,"",IF($C45="","",NF($B45,"Población punto entrega")))</t>
  </si>
  <si>
    <t>=IF($C45=$C44,"",IF($C45="","",NF($B45,"Provincia punto entrega")))</t>
  </si>
  <si>
    <t>=IF($C45=$C44,"",IF($C45="","",NF($B45,"País punto entrega")))</t>
  </si>
  <si>
    <t>=IF($C45=$C44,"",IF($C45="","",NF($B45,"bultosE")))</t>
  </si>
  <si>
    <t>=IF(B45="","",IF($B45=$B44,"",ROUNDUP(NF($B45,"Peso facturable"),0)))</t>
  </si>
  <si>
    <t>=IF(OR($G45="",$G45=$G44),"",NF($B45,"manipulacion"))</t>
  </si>
  <si>
    <t>=NP("codeunit","Miscelanea","CalculaEmbalajeAlbaranPedido",G45,I45,D45,"",,,,,,,"MEDIAPOST SPAIN","Navision")</t>
  </si>
  <si>
    <t>=IF(OR($G45="",$G45=$G44),"",NF($B45,"transporte")/NF($B45,"numeroexpediciones"))</t>
  </si>
  <si>
    <t>=IF(OR($G45="",$G45=$G44),"",NF($B45,"prima")/NF($B45,"numeroexpediciones"))</t>
  </si>
  <si>
    <t>=IF(OR($G45="",$G45=$G44),"",NF($B45,"reembolso")/NF($B45,"numeroexpediciones"))</t>
  </si>
  <si>
    <t>=IF(OR($G45="",$G45=$G44),"",NF($B45,"impuestos")/NF($B45,"numeroexpediciones"))</t>
  </si>
  <si>
    <t>=IF(AJ45="","",VALUE(AJ45))</t>
  </si>
  <si>
    <t>=IF(OR($G45="",$G45=$G44),"",NF($B45,"franqueo")/NF($B45,"numeroexpediciones"))</t>
  </si>
  <si>
    <t>=IF(OR($G45="",$G45=$G44),"",NF($B45,"despacho")/NF($B45,"numeroexpediciones"))</t>
  </si>
  <si>
    <t>=IF($G45="","",IFERROR(IF(ISBLANK(Z45),0,Z45)+IF(ISBLANK(AA45),0,AA45)+IF(ISBLANK(AB45),0,AB45)+IF(ISBLANK(AC45),0,AC45)+IF(ISBLANK(AD45),0,AD45)+IF(ISBLANK(AE45),0,AE45)+IF(ISBLANK(AF45),0,AF45)+IF(ISBLANK(AG45),0,AG45)+IF(ISBLANK(AH45),0,AH45),0))</t>
  </si>
  <si>
    <t>=IF($G45="","",NL("Suma","Registro activ. Log. detallado","Importe a facturar","Id. Prefactura",IdPrefactura,"Familia concepto","GESTION","Nº documento",NF($B45,"No_"),"Tipo de documento","Pedido|Bulto opaco","Datasource=","Navision"))</t>
  </si>
  <si>
    <t>=IF($C46=$C45,"",IF($C46="","",CONCATENATE(NF($B46,"Cód_ operativa")," ",NF($B46,"Descripción"))))</t>
  </si>
  <si>
    <t>=IF($C46=$C45,"",IF($C46="","",IF(NF($B46,"Tipo Documento")=0,"Pedido","Bulto Opaco")))</t>
  </si>
  <si>
    <t>=IF($C46=$C45,"",IF($C46="","",NF($B46,"No_")))</t>
  </si>
  <si>
    <t>=IF($C46=$C45,"",IF($C46="","",NF($B46,"No_ documento cliente")))</t>
  </si>
  <si>
    <t>=IF($C46=$C45,"",IF($C46="","",NF($B46,"Nombre punto entrega")))</t>
  </si>
  <si>
    <t>=IF($C46=$C45,"",IF($C46="","",NF($B46,"Contacto punto entrega")))</t>
  </si>
  <si>
    <t>=IF($C46=$C45,"",IF($C46="","",NF($B46,"Dirección punto entrega")))</t>
  </si>
  <si>
    <t>=IF($C46=$C45,"",IF($C46="","",NF($B46,"C_P_ punto entrega")))</t>
  </si>
  <si>
    <t>=IF($C46=$C45,"",IF($C46="","",NF($B46,"Población punto entrega")))</t>
  </si>
  <si>
    <t>=IF($C46=$C45,"",IF($C46="","",NF($B46,"Provincia punto entrega")))</t>
  </si>
  <si>
    <t>=IF($C46=$C45,"",IF($C46="","",NF($B46,"País punto entrega")))</t>
  </si>
  <si>
    <t>=IF($C46=$C45,"",IF($C46="","",NF($B46,"bultosE")))</t>
  </si>
  <si>
    <t>=IF(B46="","",IF($B46=$B45,"",ROUNDUP(NF($B46,"Peso facturable"),0)))</t>
  </si>
  <si>
    <t>=IF(OR($G46="",$G46=$G45),"",NF($B46,"manipulacion"))</t>
  </si>
  <si>
    <t>=NP("codeunit","Miscelanea","CalculaEmbalajeAlbaranPedido",G46,I46,D46,"",,,,,,,"MEDIAPOST SPAIN","Navision")</t>
  </si>
  <si>
    <t>=IF(OR($G46="",$G46=$G45),"",NF($B46,"transporte")/NF($B46,"numeroexpediciones"))</t>
  </si>
  <si>
    <t>=IF(OR($G46="",$G46=$G45),"",NF($B46,"prima")/NF($B46,"numeroexpediciones"))</t>
  </si>
  <si>
    <t>=IF(OR($G46="",$G46=$G45),"",NF($B46,"reembolso")/NF($B46,"numeroexpediciones"))</t>
  </si>
  <si>
    <t>=IF(OR($G46="",$G46=$G45),"",NF($B46,"impuestos")/NF($B46,"numeroexpediciones"))</t>
  </si>
  <si>
    <t>=IF(AJ46="","",VALUE(AJ46))</t>
  </si>
  <si>
    <t>=IF(OR($G46="",$G46=$G45),"",NF($B46,"franqueo")/NF($B46,"numeroexpediciones"))</t>
  </si>
  <si>
    <t>=IF(OR($G46="",$G46=$G45),"",NF($B46,"despacho")/NF($B46,"numeroexpediciones"))</t>
  </si>
  <si>
    <t>=IF($G46="","",IFERROR(IF(ISBLANK(Z46),0,Z46)+IF(ISBLANK(AA46),0,AA46)+IF(ISBLANK(AB46),0,AB46)+IF(ISBLANK(AC46),0,AC46)+IF(ISBLANK(AD46),0,AD46)+IF(ISBLANK(AE46),0,AE46)+IF(ISBLANK(AF46),0,AF46)+IF(ISBLANK(AG46),0,AG46)+IF(ISBLANK(AH46),0,AH46),0))</t>
  </si>
  <si>
    <t>=IF($G46="","",NL("Suma","Registro activ. Log. detallado","Importe a facturar","Id. Prefactura",IdPrefactura,"Familia concepto","GESTION","Nº documento",NF($B46,"No_"),"Tipo de documento","Pedido|Bulto opaco","Datasource=","Navision"))</t>
  </si>
  <si>
    <t>=IF($C47=$C46,"",IF($C47="","",CONCATENATE(NF($B47,"Cód_ operativa")," ",NF($B47,"Descripción"))))</t>
  </si>
  <si>
    <t>=IF($C47=$C46,"",IF($C47="","",IF(NF($B47,"Tipo Documento")=0,"Pedido","Bulto Opaco")))</t>
  </si>
  <si>
    <t>=IF($C47=$C46,"",IF($C47="","",NF($B47,"No_")))</t>
  </si>
  <si>
    <t>=IF($C47=$C46,"",IF($C47="","",NF($B47,"No_ documento cliente")))</t>
  </si>
  <si>
    <t>=IF($C47=$C46,"",IF($C47="","",NF($B47,"Nombre punto entrega")))</t>
  </si>
  <si>
    <t>=IF($C47=$C46,"",IF($C47="","",NF($B47,"Contacto punto entrega")))</t>
  </si>
  <si>
    <t>=IF($C47=$C46,"",IF($C47="","",NF($B47,"Dirección punto entrega")))</t>
  </si>
  <si>
    <t>=IF($C47=$C46,"",IF($C47="","",NF($B47,"C_P_ punto entrega")))</t>
  </si>
  <si>
    <t>=IF($C47=$C46,"",IF($C47="","",NF($B47,"Población punto entrega")))</t>
  </si>
  <si>
    <t>=IF($C47=$C46,"",IF($C47="","",NF($B47,"Provincia punto entrega")))</t>
  </si>
  <si>
    <t>=IF($C47=$C46,"",IF($C47="","",NF($B47,"País punto entrega")))</t>
  </si>
  <si>
    <t>=IF($C47=$C46,"",IF($C47="","",NF($B47,"bultosE")))</t>
  </si>
  <si>
    <t>=IF(B47="","",IF($B47=$B46,"",ROUNDUP(NF($B47,"Peso facturable"),0)))</t>
  </si>
  <si>
    <t>=IF(OR($G47="",$G47=$G46),"",NF($B47,"manipulacion"))</t>
  </si>
  <si>
    <t>=NP("codeunit","Miscelanea","CalculaEmbalajeAlbaranPedido",G47,I47,D47,"",,,,,,,"MEDIAPOST SPAIN","Navision")</t>
  </si>
  <si>
    <t>=IF(OR($G47="",$G47=$G46),"",NF($B47,"transporte")/NF($B47,"numeroexpediciones"))</t>
  </si>
  <si>
    <t>=IF(OR($G47="",$G47=$G46),"",NF($B47,"prima")/NF($B47,"numeroexpediciones"))</t>
  </si>
  <si>
    <t>=IF(OR($G47="",$G47=$G46),"",NF($B47,"reembolso")/NF($B47,"numeroexpediciones"))</t>
  </si>
  <si>
    <t>=IF(OR($G47="",$G47=$G46),"",NF($B47,"impuestos")/NF($B47,"numeroexpediciones"))</t>
  </si>
  <si>
    <t>=IF(AJ47="","",VALUE(AJ47))</t>
  </si>
  <si>
    <t>=IF(OR($G47="",$G47=$G46),"",NF($B47,"franqueo")/NF($B47,"numeroexpediciones"))</t>
  </si>
  <si>
    <t>=IF(OR($G47="",$G47=$G46),"",NF($B47,"despacho")/NF($B47,"numeroexpediciones"))</t>
  </si>
  <si>
    <t>=IF($G47="","",IFERROR(IF(ISBLANK(Z47),0,Z47)+IF(ISBLANK(AA47),0,AA47)+IF(ISBLANK(AB47),0,AB47)+IF(ISBLANK(AC47),0,AC47)+IF(ISBLANK(AD47),0,AD47)+IF(ISBLANK(AE47),0,AE47)+IF(ISBLANK(AF47),0,AF47)+IF(ISBLANK(AG47),0,AG47)+IF(ISBLANK(AH47),0,AH47),0))</t>
  </si>
  <si>
    <t>=IF($G47="","",NL("Suma","Registro activ. Log. detallado","Importe a facturar","Id. Prefactura",IdPrefactura,"Familia concepto","GESTION","Nº documento",NF($B47,"No_"),"Tipo de documento","Pedido|Bulto opaco","Datasource=","Navision"))</t>
  </si>
  <si>
    <t>=IF($C48=$C47,"",IF($C48="","",CONCATENATE(NF($B48,"Cód_ operativa")," ",NF($B48,"Descripción"))))</t>
  </si>
  <si>
    <t>=IF($C48=$C47,"",IF($C48="","",IF(NF($B48,"Tipo Documento")=0,"Pedido","Bulto Opaco")))</t>
  </si>
  <si>
    <t>=IF($C48=$C47,"",IF($C48="","",NF($B48,"No_")))</t>
  </si>
  <si>
    <t>=IF($C48=$C47,"",IF($C48="","",NF($B48,"No_ documento cliente")))</t>
  </si>
  <si>
    <t>=IF($C48=$C47,"",IF($C48="","",NF($B48,"Nombre punto entrega")))</t>
  </si>
  <si>
    <t>=IF($C48=$C47,"",IF($C48="","",NF($B48,"Contacto punto entrega")))</t>
  </si>
  <si>
    <t>=IF($C48=$C47,"",IF($C48="","",NF($B48,"Dirección punto entrega")))</t>
  </si>
  <si>
    <t>=IF($C48=$C47,"",IF($C48="","",NF($B48,"C_P_ punto entrega")))</t>
  </si>
  <si>
    <t>=IF($C48=$C47,"",IF($C48="","",NF($B48,"Población punto entrega")))</t>
  </si>
  <si>
    <t>=IF($C48=$C47,"",IF($C48="","",NF($B48,"Provincia punto entrega")))</t>
  </si>
  <si>
    <t>=IF($C48=$C47,"",IF($C48="","",NF($B48,"País punto entrega")))</t>
  </si>
  <si>
    <t>=IF($C48=$C47,"",IF($C48="","",NF($B48,"bultosE")))</t>
  </si>
  <si>
    <t>=IF(B48="","",IF($B48=$B47,"",ROUNDUP(NF($B48,"Peso facturable"),0)))</t>
  </si>
  <si>
    <t>=IF(OR($G48="",$G48=$G47),"",NF($B48,"manipulacion"))</t>
  </si>
  <si>
    <t>=NP("codeunit","Miscelanea","CalculaEmbalajeAlbaranPedido",G48,I48,D48,"",,,,,,,"MEDIAPOST SPAIN","Navision")</t>
  </si>
  <si>
    <t>=IF(OR($G48="",$G48=$G47),"",NF($B48,"transporte")/NF($B48,"numeroexpediciones"))</t>
  </si>
  <si>
    <t>=IF(OR($G48="",$G48=$G47),"",NF($B48,"prima")/NF($B48,"numeroexpediciones"))</t>
  </si>
  <si>
    <t>=IF(OR($G48="",$G48=$G47),"",NF($B48,"reembolso")/NF($B48,"numeroexpediciones"))</t>
  </si>
  <si>
    <t>=IF(OR($G48="",$G48=$G47),"",NF($B48,"impuestos")/NF($B48,"numeroexpediciones"))</t>
  </si>
  <si>
    <t>=IF(AJ48="","",VALUE(AJ48))</t>
  </si>
  <si>
    <t>=IF(OR($G48="",$G48=$G47),"",NF($B48,"franqueo")/NF($B48,"numeroexpediciones"))</t>
  </si>
  <si>
    <t>=IF(OR($G48="",$G48=$G47),"",NF($B48,"despacho")/NF($B48,"numeroexpediciones"))</t>
  </si>
  <si>
    <t>=IF($G48="","",IFERROR(IF(ISBLANK(Z48),0,Z48)+IF(ISBLANK(AA48),0,AA48)+IF(ISBLANK(AB48),0,AB48)+IF(ISBLANK(AC48),0,AC48)+IF(ISBLANK(AD48),0,AD48)+IF(ISBLANK(AE48),0,AE48)+IF(ISBLANK(AF48),0,AF48)+IF(ISBLANK(AG48),0,AG48)+IF(ISBLANK(AH48),0,AH48),0))</t>
  </si>
  <si>
    <t>=IF($G48="","",NL("Suma","Registro activ. Log. detallado","Importe a facturar","Id. Prefactura",IdPrefactura,"Familia concepto","GESTION","Nº documento",NF($B48,"No_"),"Tipo de documento","Pedido|Bulto opaco","Datasource=","Navision"))</t>
  </si>
  <si>
    <t>=IF($C49=$C48,"",IF($C49="","",CONCATENATE(NF($B49,"Cód_ operativa")," ",NF($B49,"Descripción"))))</t>
  </si>
  <si>
    <t>=IF($C49=$C48,"",IF($C49="","",IF(NF($B49,"Tipo Documento")=0,"Pedido","Bulto Opaco")))</t>
  </si>
  <si>
    <t>=IF($C49=$C48,"",IF($C49="","",NF($B49,"No_")))</t>
  </si>
  <si>
    <t>=IF($C49=$C48,"",IF($C49="","",NF($B49,"No_ documento cliente")))</t>
  </si>
  <si>
    <t>=IF($C49=$C48,"",IF($C49="","",NF($B49,"Nombre punto entrega")))</t>
  </si>
  <si>
    <t>=IF($C49=$C48,"",IF($C49="","",NF($B49,"Contacto punto entrega")))</t>
  </si>
  <si>
    <t>=IF($C49=$C48,"",IF($C49="","",NF($B49,"Dirección punto entrega")))</t>
  </si>
  <si>
    <t>=IF($C49=$C48,"",IF($C49="","",NF($B49,"C_P_ punto entrega")))</t>
  </si>
  <si>
    <t>=IF($C49=$C48,"",IF($C49="","",NF($B49,"Población punto entrega")))</t>
  </si>
  <si>
    <t>=IF($C49=$C48,"",IF($C49="","",NF($B49,"Provincia punto entrega")))</t>
  </si>
  <si>
    <t>=IF($C49=$C48,"",IF($C49="","",NF($B49,"País punto entrega")))</t>
  </si>
  <si>
    <t>=IF($C49=$C48,"",IF($C49="","",NF($B49,"bultosE")))</t>
  </si>
  <si>
    <t>=IF(B49="","",IF($B49=$B48,"",ROUNDUP(NF($B49,"Peso facturable"),0)))</t>
  </si>
  <si>
    <t>=IF(OR($G49="",$G49=$G48),"",NF($B49,"manipulacion"))</t>
  </si>
  <si>
    <t>=NP("codeunit","Miscelanea","CalculaEmbalajeAlbaranPedido",G49,I49,D49,"",,,,,,,"MEDIAPOST SPAIN","Navision")</t>
  </si>
  <si>
    <t>=IF(OR($G49="",$G49=$G48),"",NF($B49,"transporte")/NF($B49,"numeroexpediciones"))</t>
  </si>
  <si>
    <t>=IF(OR($G49="",$G49=$G48),"",NF($B49,"prima")/NF($B49,"numeroexpediciones"))</t>
  </si>
  <si>
    <t>=IF(OR($G49="",$G49=$G48),"",NF($B49,"reembolso")/NF($B49,"numeroexpediciones"))</t>
  </si>
  <si>
    <t>=IF(OR($G49="",$G49=$G48),"",NF($B49,"impuestos")/NF($B49,"numeroexpediciones"))</t>
  </si>
  <si>
    <t>=IF(AJ49="","",VALUE(AJ49))</t>
  </si>
  <si>
    <t>=IF(OR($G49="",$G49=$G48),"",NF($B49,"franqueo")/NF($B49,"numeroexpediciones"))</t>
  </si>
  <si>
    <t>=IF(OR($G49="",$G49=$G48),"",NF($B49,"despacho")/NF($B49,"numeroexpediciones"))</t>
  </si>
  <si>
    <t>=IF($G49="","",IFERROR(IF(ISBLANK(Z49),0,Z49)+IF(ISBLANK(AA49),0,AA49)+IF(ISBLANK(AB49),0,AB49)+IF(ISBLANK(AC49),0,AC49)+IF(ISBLANK(AD49),0,AD49)+IF(ISBLANK(AE49),0,AE49)+IF(ISBLANK(AF49),0,AF49)+IF(ISBLANK(AG49),0,AG49)+IF(ISBLANK(AH49),0,AH49),0))</t>
  </si>
  <si>
    <t>=IF($G49="","",NL("Suma","Registro activ. Log. detallado","Importe a facturar","Id. Prefactura",IdPrefactura,"Familia concepto","GESTION","Nº documento",NF($B49,"No_"),"Tipo de documento","Pedido|Bulto opaco","Datasource=","Navision"))</t>
  </si>
  <si>
    <t>=IF($C50=$C49,"",IF($C50="","",CONCATENATE(NF($B50,"Cód_ operativa")," ",NF($B50,"Descripción"))))</t>
  </si>
  <si>
    <t>=IF($C50=$C49,"",IF($C50="","",IF(NF($B50,"Tipo Documento")=0,"Pedido","Bulto Opaco")))</t>
  </si>
  <si>
    <t>=IF($C50=$C49,"",IF($C50="","",NF($B50,"No_")))</t>
  </si>
  <si>
    <t>=IF($C50=$C49,"",IF($C50="","",NF($B50,"No_ documento cliente")))</t>
  </si>
  <si>
    <t>=IF($C50=$C49,"",IF($C50="","",NF($B50,"Nombre punto entrega")))</t>
  </si>
  <si>
    <t>=IF($C50=$C49,"",IF($C50="","",NF($B50,"Contacto punto entrega")))</t>
  </si>
  <si>
    <t>=IF($C50=$C49,"",IF($C50="","",NF($B50,"Dirección punto entrega")))</t>
  </si>
  <si>
    <t>=IF($C50=$C49,"",IF($C50="","",NF($B50,"C_P_ punto entrega")))</t>
  </si>
  <si>
    <t>=IF($C50=$C49,"",IF($C50="","",NF($B50,"Población punto entrega")))</t>
  </si>
  <si>
    <t>=IF($C50=$C49,"",IF($C50="","",NF($B50,"Provincia punto entrega")))</t>
  </si>
  <si>
    <t>=IF($C50=$C49,"",IF($C50="","",NF($B50,"País punto entrega")))</t>
  </si>
  <si>
    <t>=IF($C50=$C49,"",IF($C50="","",NF($B50,"bultosE")))</t>
  </si>
  <si>
    <t>=IF(B50="","",IF($B50=$B49,"",ROUNDUP(NF($B50,"Peso facturable"),0)))</t>
  </si>
  <si>
    <t>=IF(OR($G50="",$G50=$G49),"",NF($B50,"manipulacion"))</t>
  </si>
  <si>
    <t>=NP("codeunit","Miscelanea","CalculaEmbalajeAlbaranPedido",G50,I50,D50,"",,,,,,,"MEDIAPOST SPAIN","Navision")</t>
  </si>
  <si>
    <t>=IF(OR($G50="",$G50=$G49),"",NF($B50,"transporte")/NF($B50,"numeroexpediciones"))</t>
  </si>
  <si>
    <t>=IF(OR($G50="",$G50=$G49),"",NF($B50,"prima")/NF($B50,"numeroexpediciones"))</t>
  </si>
  <si>
    <t>=IF(OR($G50="",$G50=$G49),"",NF($B50,"reembolso")/NF($B50,"numeroexpediciones"))</t>
  </si>
  <si>
    <t>=IF(OR($G50="",$G50=$G49),"",NF($B50,"impuestos")/NF($B50,"numeroexpediciones"))</t>
  </si>
  <si>
    <t>=IF(AJ50="","",VALUE(AJ50))</t>
  </si>
  <si>
    <t>=IF(OR($G50="",$G50=$G49),"",NF($B50,"franqueo")/NF($B50,"numeroexpediciones"))</t>
  </si>
  <si>
    <t>=IF(OR($G50="",$G50=$G49),"",NF($B50,"despacho")/NF($B50,"numeroexpediciones"))</t>
  </si>
  <si>
    <t>=IF($G50="","",IFERROR(IF(ISBLANK(Z50),0,Z50)+IF(ISBLANK(AA50),0,AA50)+IF(ISBLANK(AB50),0,AB50)+IF(ISBLANK(AC50),0,AC50)+IF(ISBLANK(AD50),0,AD50)+IF(ISBLANK(AE50),0,AE50)+IF(ISBLANK(AF50),0,AF50)+IF(ISBLANK(AG50),0,AG50)+IF(ISBLANK(AH50),0,AH50),0))</t>
  </si>
  <si>
    <t>=IF($G50="","",NL("Suma","Registro activ. Log. detallado","Importe a facturar","Id. Prefactura",IdPrefactura,"Familia concepto","GESTION","Nº documento",NF($B50,"No_"),"Tipo de documento","Pedido|Bulto opaco","Datasource=","Navision"))</t>
  </si>
  <si>
    <t>=IF($C51=$C50,"",IF($C51="","",CONCATENATE(NF($B51,"Cód_ operativa")," ",NF($B51,"Descripción"))))</t>
  </si>
  <si>
    <t>=IF($C51=$C50,"",IF($C51="","",IF(NF($B51,"Tipo Documento")=0,"Pedido","Bulto Opaco")))</t>
  </si>
  <si>
    <t>=IF($C51=$C50,"",IF($C51="","",NF($B51,"No_")))</t>
  </si>
  <si>
    <t>=IF($C51=$C50,"",IF($C51="","",NF($B51,"No_ documento cliente")))</t>
  </si>
  <si>
    <t>=IF($C51=$C50,"",IF($C51="","",NF($B51,"Nombre punto entrega")))</t>
  </si>
  <si>
    <t>=IF($C51=$C50,"",IF($C51="","",NF($B51,"Contacto punto entrega")))</t>
  </si>
  <si>
    <t>=IF($C51=$C50,"",IF($C51="","",NF($B51,"Dirección punto entrega")))</t>
  </si>
  <si>
    <t>=IF($C51=$C50,"",IF($C51="","",NF($B51,"C_P_ punto entrega")))</t>
  </si>
  <si>
    <t>=IF($C51=$C50,"",IF($C51="","",NF($B51,"Población punto entrega")))</t>
  </si>
  <si>
    <t>=IF($C51=$C50,"",IF($C51="","",NF($B51,"Provincia punto entrega")))</t>
  </si>
  <si>
    <t>=IF($C51=$C50,"",IF($C51="","",NF($B51,"País punto entrega")))</t>
  </si>
  <si>
    <t>=IF($C51=$C50,"",IF($C51="","",NF($B51,"bultosE")))</t>
  </si>
  <si>
    <t>=IF(B51="","",IF($B51=$B50,"",ROUNDUP(NF($B51,"Peso facturable"),0)))</t>
  </si>
  <si>
    <t>=IF(OR($G51="",$G51=$G50),"",NF($B51,"manipulacion"))</t>
  </si>
  <si>
    <t>=NP("codeunit","Miscelanea","CalculaEmbalajeAlbaranPedido",G51,I51,D51,"",,,,,,,"MEDIAPOST SPAIN","Navision")</t>
  </si>
  <si>
    <t>=IF(OR($G51="",$G51=$G50),"",NF($B51,"transporte")/NF($B51,"numeroexpediciones"))</t>
  </si>
  <si>
    <t>=IF(OR($G51="",$G51=$G50),"",NF($B51,"prima")/NF($B51,"numeroexpediciones"))</t>
  </si>
  <si>
    <t>=IF(OR($G51="",$G51=$G50),"",NF($B51,"reembolso")/NF($B51,"numeroexpediciones"))</t>
  </si>
  <si>
    <t>=IF(OR($G51="",$G51=$G50),"",NF($B51,"impuestos")/NF($B51,"numeroexpediciones"))</t>
  </si>
  <si>
    <t>=IF(AJ51="","",VALUE(AJ51))</t>
  </si>
  <si>
    <t>=IF(OR($G51="",$G51=$G50),"",NF($B51,"franqueo")/NF($B51,"numeroexpediciones"))</t>
  </si>
  <si>
    <t>=IF(OR($G51="",$G51=$G50),"",NF($B51,"despacho")/NF($B51,"numeroexpediciones"))</t>
  </si>
  <si>
    <t>=IF($G51="","",IFERROR(IF(ISBLANK(Z51),0,Z51)+IF(ISBLANK(AA51),0,AA51)+IF(ISBLANK(AB51),0,AB51)+IF(ISBLANK(AC51),0,AC51)+IF(ISBLANK(AD51),0,AD51)+IF(ISBLANK(AE51),0,AE51)+IF(ISBLANK(AF51),0,AF51)+IF(ISBLANK(AG51),0,AG51)+IF(ISBLANK(AH51),0,AH51),0))</t>
  </si>
  <si>
    <t>=IF($G51="","",NL("Suma","Registro activ. Log. detallado","Importe a facturar","Id. Prefactura",IdPrefactura,"Familia concepto","GESTION","Nº documento",NF($B51,"No_"),"Tipo de documento","Pedido|Bulto opaco","Datasource=","Navision"))</t>
  </si>
  <si>
    <t>=IF($C52=$C51,"",IF($C52="","",CONCATENATE(NF($B52,"Cód_ operativa")," ",NF($B52,"Descripción"))))</t>
  </si>
  <si>
    <t>=IF($C52=$C51,"",IF($C52="","",IF(NF($B52,"Tipo Documento")=0,"Pedido","Bulto Opaco")))</t>
  </si>
  <si>
    <t>=IF($C52=$C51,"",IF($C52="","",NF($B52,"No_")))</t>
  </si>
  <si>
    <t>=IF($C52=$C51,"",IF($C52="","",NF($B52,"No_ documento cliente")))</t>
  </si>
  <si>
    <t>=IF($C52=$C51,"",IF($C52="","",NF($B52,"Nombre punto entrega")))</t>
  </si>
  <si>
    <t>=IF($C52=$C51,"",IF($C52="","",NF($B52,"Contacto punto entrega")))</t>
  </si>
  <si>
    <t>=IF($C52=$C51,"",IF($C52="","",NF($B52,"Dirección punto entrega")))</t>
  </si>
  <si>
    <t>=IF($C52=$C51,"",IF($C52="","",NF($B52,"C_P_ punto entrega")))</t>
  </si>
  <si>
    <t>=IF($C52=$C51,"",IF($C52="","",NF($B52,"Población punto entrega")))</t>
  </si>
  <si>
    <t>=IF($C52=$C51,"",IF($C52="","",NF($B52,"Provincia punto entrega")))</t>
  </si>
  <si>
    <t>=IF($C52=$C51,"",IF($C52="","",NF($B52,"País punto entrega")))</t>
  </si>
  <si>
    <t>=IF($C52=$C51,"",IF($C52="","",NF($B52,"bultosE")))</t>
  </si>
  <si>
    <t>=IF(B52="","",IF($B52=$B51,"",ROUNDUP(NF($B52,"Peso facturable"),0)))</t>
  </si>
  <si>
    <t>=IF(OR($G52="",$G52=$G51),"",NF($B52,"manipulacion"))</t>
  </si>
  <si>
    <t>=NP("codeunit","Miscelanea","CalculaEmbalajeAlbaranPedido",G52,I52,D52,"",,,,,,,"MEDIAPOST SPAIN","Navision")</t>
  </si>
  <si>
    <t>=IF(OR($G52="",$G52=$G51),"",NF($B52,"transporte")/NF($B52,"numeroexpediciones"))</t>
  </si>
  <si>
    <t>=IF(OR($G52="",$G52=$G51),"",NF($B52,"prima")/NF($B52,"numeroexpediciones"))</t>
  </si>
  <si>
    <t>=IF(OR($G52="",$G52=$G51),"",NF($B52,"reembolso")/NF($B52,"numeroexpediciones"))</t>
  </si>
  <si>
    <t>=IF(OR($G52="",$G52=$G51),"",NF($B52,"impuestos")/NF($B52,"numeroexpediciones"))</t>
  </si>
  <si>
    <t>=IF(AJ52="","",VALUE(AJ52))</t>
  </si>
  <si>
    <t>=IF(OR($G52="",$G52=$G51),"",NF($B52,"franqueo")/NF($B52,"numeroexpediciones"))</t>
  </si>
  <si>
    <t>=IF(OR($G52="",$G52=$G51),"",NF($B52,"despacho")/NF($B52,"numeroexpediciones"))</t>
  </si>
  <si>
    <t>=IF($G52="","",IFERROR(IF(ISBLANK(Z52),0,Z52)+IF(ISBLANK(AA52),0,AA52)+IF(ISBLANK(AB52),0,AB52)+IF(ISBLANK(AC52),0,AC52)+IF(ISBLANK(AD52),0,AD52)+IF(ISBLANK(AE52),0,AE52)+IF(ISBLANK(AF52),0,AF52)+IF(ISBLANK(AG52),0,AG52)+IF(ISBLANK(AH52),0,AH52),0))</t>
  </si>
  <si>
    <t>=IF($G52="","",NL("Suma","Registro activ. Log. detallado","Importe a facturar","Id. Prefactura",IdPrefactura,"Familia concepto","GESTION","Nº documento",NF($B52,"No_"),"Tipo de documento","Pedido|Bulto opaco","Datasource=","Navision"))</t>
  </si>
  <si>
    <t>=IF($C53=$C52,"",IF($C53="","",CONCATENATE(NF($B53,"Cód_ operativa")," ",NF($B53,"Descripción"))))</t>
  </si>
  <si>
    <t>=IF($C53=$C52,"",IF($C53="","",IF(NF($B53,"Tipo Documento")=0,"Pedido","Bulto Opaco")))</t>
  </si>
  <si>
    <t>=IF($C53=$C52,"",IF($C53="","",NF($B53,"No_")))</t>
  </si>
  <si>
    <t>=IF($C53=$C52,"",IF($C53="","",NF($B53,"No_ documento cliente")))</t>
  </si>
  <si>
    <t>=IF($C53=$C52,"",IF($C53="","",NF($B53,"Nombre punto entrega")))</t>
  </si>
  <si>
    <t>=IF($C53=$C52,"",IF($C53="","",NF($B53,"Contacto punto entrega")))</t>
  </si>
  <si>
    <t>=IF($C53=$C52,"",IF($C53="","",NF($B53,"Dirección punto entrega")))</t>
  </si>
  <si>
    <t>=IF($C53=$C52,"",IF($C53="","",NF($B53,"C_P_ punto entrega")))</t>
  </si>
  <si>
    <t>=IF($C53=$C52,"",IF($C53="","",NF($B53,"Población punto entrega")))</t>
  </si>
  <si>
    <t>=IF($C53=$C52,"",IF($C53="","",NF($B53,"Provincia punto entrega")))</t>
  </si>
  <si>
    <t>=IF($C53=$C52,"",IF($C53="","",NF($B53,"País punto entrega")))</t>
  </si>
  <si>
    <t>=IF($C53=$C52,"",IF($C53="","",NF($B53,"bultosE")))</t>
  </si>
  <si>
    <t>=IF(B53="","",IF($B53=$B52,"",ROUNDUP(NF($B53,"Peso facturable"),0)))</t>
  </si>
  <si>
    <t>=IF(OR($G53="",$G53=$G52),"",NF($B53,"manipulacion"))</t>
  </si>
  <si>
    <t>=NP("codeunit","Miscelanea","CalculaEmbalajeAlbaranPedido",G53,I53,D53,"",,,,,,,"MEDIAPOST SPAIN","Navision")</t>
  </si>
  <si>
    <t>=IF(OR($G53="",$G53=$G52),"",NF($B53,"transporte")/NF($B53,"numeroexpediciones"))</t>
  </si>
  <si>
    <t>=IF(OR($G53="",$G53=$G52),"",NF($B53,"prima")/NF($B53,"numeroexpediciones"))</t>
  </si>
  <si>
    <t>=IF(OR($G53="",$G53=$G52),"",NF($B53,"reembolso")/NF($B53,"numeroexpediciones"))</t>
  </si>
  <si>
    <t>=IF(OR($G53="",$G53=$G52),"",NF($B53,"impuestos")/NF($B53,"numeroexpediciones"))</t>
  </si>
  <si>
    <t>=IF(AJ53="","",VALUE(AJ53))</t>
  </si>
  <si>
    <t>=IF(OR($G53="",$G53=$G52),"",NF($B53,"franqueo")/NF($B53,"numeroexpediciones"))</t>
  </si>
  <si>
    <t>=IF(OR($G53="",$G53=$G52),"",NF($B53,"despacho")/NF($B53,"numeroexpediciones"))</t>
  </si>
  <si>
    <t>=IF($G53="","",IFERROR(IF(ISBLANK(Z53),0,Z53)+IF(ISBLANK(AA53),0,AA53)+IF(ISBLANK(AB53),0,AB53)+IF(ISBLANK(AC53),0,AC53)+IF(ISBLANK(AD53),0,AD53)+IF(ISBLANK(AE53),0,AE53)+IF(ISBLANK(AF53),0,AF53)+IF(ISBLANK(AG53),0,AG53)+IF(ISBLANK(AH53),0,AH53),0))</t>
  </si>
  <si>
    <t>=IF($G53="","",NL("Suma","Registro activ. Log. detallado","Importe a facturar","Id. Prefactura",IdPrefactura,"Familia concepto","GESTION","Nº documento",NF($B53,"No_"),"Tipo de documento","Pedido|Bulto opaco","Datasource=","Navision"))</t>
  </si>
  <si>
    <t>=IF($C54=$C53,"",IF($C54="","",CONCATENATE(NF($B54,"Cód_ operativa")," ",NF($B54,"Descripción"))))</t>
  </si>
  <si>
    <t>=IF($C54=$C53,"",IF($C54="","",IF(NF($B54,"Tipo Documento")=0,"Pedido","Bulto Opaco")))</t>
  </si>
  <si>
    <t>=IF($C54=$C53,"",IF($C54="","",NF($B54,"No_")))</t>
  </si>
  <si>
    <t>=IF($C54=$C53,"",IF($C54="","",NF($B54,"No_ documento cliente")))</t>
  </si>
  <si>
    <t>=IF($C54=$C53,"",IF($C54="","",NF($B54,"Nombre punto entrega")))</t>
  </si>
  <si>
    <t>=IF($C54=$C53,"",IF($C54="","",NF($B54,"Contacto punto entrega")))</t>
  </si>
  <si>
    <t>=IF($C54=$C53,"",IF($C54="","",NF($B54,"Dirección punto entrega")))</t>
  </si>
  <si>
    <t>=IF($C54=$C53,"",IF($C54="","",NF($B54,"C_P_ punto entrega")))</t>
  </si>
  <si>
    <t>=IF($C54=$C53,"",IF($C54="","",NF($B54,"Población punto entrega")))</t>
  </si>
  <si>
    <t>=IF($C54=$C53,"",IF($C54="","",NF($B54,"Provincia punto entrega")))</t>
  </si>
  <si>
    <t>=IF($C54=$C53,"",IF($C54="","",NF($B54,"País punto entrega")))</t>
  </si>
  <si>
    <t>=IF($C54=$C53,"",IF($C54="","",NF($B54,"bultosE")))</t>
  </si>
  <si>
    <t>=IF(B54="","",IF($B54=$B53,"",ROUNDUP(NF($B54,"Peso facturable"),0)))</t>
  </si>
  <si>
    <t>=IF(OR($G54="",$G54=$G53),"",NF($B54,"manipulacion"))</t>
  </si>
  <si>
    <t>=NP("codeunit","Miscelanea","CalculaEmbalajeAlbaranPedido",G54,I54,D54,"",,,,,,,"MEDIAPOST SPAIN","Navision")</t>
  </si>
  <si>
    <t>=IF(OR($G54="",$G54=$G53),"",NF($B54,"transporte")/NF($B54,"numeroexpediciones"))</t>
  </si>
  <si>
    <t>=IF(OR($G54="",$G54=$G53),"",NF($B54,"prima")/NF($B54,"numeroexpediciones"))</t>
  </si>
  <si>
    <t>=IF(OR($G54="",$G54=$G53),"",NF($B54,"reembolso")/NF($B54,"numeroexpediciones"))</t>
  </si>
  <si>
    <t>=IF(OR($G54="",$G54=$G53),"",NF($B54,"impuestos")/NF($B54,"numeroexpediciones"))</t>
  </si>
  <si>
    <t>=IF(AJ54="","",VALUE(AJ54))</t>
  </si>
  <si>
    <t>=IF(OR($G54="",$G54=$G53),"",NF($B54,"franqueo")/NF($B54,"numeroexpediciones"))</t>
  </si>
  <si>
    <t>=IF(OR($G54="",$G54=$G53),"",NF($B54,"despacho")/NF($B54,"numeroexpediciones"))</t>
  </si>
  <si>
    <t>=IF($G54="","",IFERROR(IF(ISBLANK(Z54),0,Z54)+IF(ISBLANK(AA54),0,AA54)+IF(ISBLANK(AB54),0,AB54)+IF(ISBLANK(AC54),0,AC54)+IF(ISBLANK(AD54),0,AD54)+IF(ISBLANK(AE54),0,AE54)+IF(ISBLANK(AF54),0,AF54)+IF(ISBLANK(AG54),0,AG54)+IF(ISBLANK(AH54),0,AH54),0))</t>
  </si>
  <si>
    <t>=IF($G54="","",NL("Suma","Registro activ. Log. detallado","Importe a facturar","Id. Prefactura",IdPrefactura,"Familia concepto","GESTION","Nº documento",NF($B54,"No_"),"Tipo de documento","Pedido|Bulto opaco","Datasource=","Navision"))</t>
  </si>
  <si>
    <t>=IF($C55=$C54,"",IF($C55="","",CONCATENATE(NF($B55,"Cód_ operativa")," ",NF($B55,"Descripción"))))</t>
  </si>
  <si>
    <t>=IF($C55=$C54,"",IF($C55="","",IF(NF($B55,"Tipo Documento")=0,"Pedido","Bulto Opaco")))</t>
  </si>
  <si>
    <t>=IF($C55=$C54,"",IF($C55="","",NF($B55,"No_")))</t>
  </si>
  <si>
    <t>=IF($C55=$C54,"",IF($C55="","",NF($B55,"No_ documento cliente")))</t>
  </si>
  <si>
    <t>=IF($C55=$C54,"",IF($C55="","",NF($B55,"Nombre punto entrega")))</t>
  </si>
  <si>
    <t>=IF($C55=$C54,"",IF($C55="","",NF($B55,"Contacto punto entrega")))</t>
  </si>
  <si>
    <t>=IF($C55=$C54,"",IF($C55="","",NF($B55,"Dirección punto entrega")))</t>
  </si>
  <si>
    <t>=IF($C55=$C54,"",IF($C55="","",NF($B55,"C_P_ punto entrega")))</t>
  </si>
  <si>
    <t>=IF($C55=$C54,"",IF($C55="","",NF($B55,"Población punto entrega")))</t>
  </si>
  <si>
    <t>=IF($C55=$C54,"",IF($C55="","",NF($B55,"Provincia punto entrega")))</t>
  </si>
  <si>
    <t>=IF($C55=$C54,"",IF($C55="","",NF($B55,"País punto entrega")))</t>
  </si>
  <si>
    <t>=IF($C55=$C54,"",IF($C55="","",NF($B55,"bultosE")))</t>
  </si>
  <si>
    <t>=IF(B55="","",IF($B55=$B54,"",ROUNDUP(NF($B55,"Peso facturable"),0)))</t>
  </si>
  <si>
    <t>=IF(OR($G55="",$G55=$G54),"",NF($B55,"manipulacion"))</t>
  </si>
  <si>
    <t>=NP("codeunit","Miscelanea","CalculaEmbalajeAlbaranPedido",G55,I55,D55,"",,,,,,,"MEDIAPOST SPAIN","Navision")</t>
  </si>
  <si>
    <t>=IF(OR($G55="",$G55=$G54),"",NF($B55,"transporte")/NF($B55,"numeroexpediciones"))</t>
  </si>
  <si>
    <t>=IF(OR($G55="",$G55=$G54),"",NF($B55,"prima")/NF($B55,"numeroexpediciones"))</t>
  </si>
  <si>
    <t>=IF(OR($G55="",$G55=$G54),"",NF($B55,"reembolso")/NF($B55,"numeroexpediciones"))</t>
  </si>
  <si>
    <t>=IF(OR($G55="",$G55=$G54),"",NF($B55,"impuestos")/NF($B55,"numeroexpediciones"))</t>
  </si>
  <si>
    <t>=IF(AJ55="","",VALUE(AJ55))</t>
  </si>
  <si>
    <t>=IF(OR($G55="",$G55=$G54),"",NF($B55,"franqueo")/NF($B55,"numeroexpediciones"))</t>
  </si>
  <si>
    <t>=IF(OR($G55="",$G55=$G54),"",NF($B55,"despacho")/NF($B55,"numeroexpediciones"))</t>
  </si>
  <si>
    <t>=IF($G55="","",IFERROR(IF(ISBLANK(Z55),0,Z55)+IF(ISBLANK(AA55),0,AA55)+IF(ISBLANK(AB55),0,AB55)+IF(ISBLANK(AC55),0,AC55)+IF(ISBLANK(AD55),0,AD55)+IF(ISBLANK(AE55),0,AE55)+IF(ISBLANK(AF55),0,AF55)+IF(ISBLANK(AG55),0,AG55)+IF(ISBLANK(AH55),0,AH55),0))</t>
  </si>
  <si>
    <t>=IF($G55="","",NL("Suma","Registro activ. Log. detallado","Importe a facturar","Id. Prefactura",IdPrefactura,"Familia concepto","GESTION","Nº documento",NF($B55,"No_"),"Tipo de documento","Pedido|Bulto opaco","Datasource=","Navision"))</t>
  </si>
  <si>
    <t>=IF($C56=$C55,"",IF($C56="","",CONCATENATE(NF($B56,"Cód_ operativa")," ",NF($B56,"Descripción"))))</t>
  </si>
  <si>
    <t>=IF($C56=$C55,"",IF($C56="","",IF(NF($B56,"Tipo Documento")=0,"Pedido","Bulto Opaco")))</t>
  </si>
  <si>
    <t>=IF($C56=$C55,"",IF($C56="","",NF($B56,"No_")))</t>
  </si>
  <si>
    <t>=IF($C56=$C55,"",IF($C56="","",NF($B56,"No_ documento cliente")))</t>
  </si>
  <si>
    <t>=IF($C56=$C55,"",IF($C56="","",NF($B56,"Nombre punto entrega")))</t>
  </si>
  <si>
    <t>=IF($C56=$C55,"",IF($C56="","",NF($B56,"Contacto punto entrega")))</t>
  </si>
  <si>
    <t>=IF($C56=$C55,"",IF($C56="","",NF($B56,"Dirección punto entrega")))</t>
  </si>
  <si>
    <t>=IF($C56=$C55,"",IF($C56="","",NF($B56,"C_P_ punto entrega")))</t>
  </si>
  <si>
    <t>=IF($C56=$C55,"",IF($C56="","",NF($B56,"Población punto entrega")))</t>
  </si>
  <si>
    <t>=IF($C56=$C55,"",IF($C56="","",NF($B56,"Provincia punto entrega")))</t>
  </si>
  <si>
    <t>=IF($C56=$C55,"",IF($C56="","",NF($B56,"País punto entrega")))</t>
  </si>
  <si>
    <t>=IF($C56=$C55,"",IF($C56="","",NF($B56,"bultosE")))</t>
  </si>
  <si>
    <t>=IF(B56="","",IF($B56=$B55,"",ROUNDUP(NF($B56,"Peso facturable"),0)))</t>
  </si>
  <si>
    <t>=IF(OR($G56="",$G56=$G55),"",NF($B56,"manipulacion"))</t>
  </si>
  <si>
    <t>=NP("codeunit","Miscelanea","CalculaEmbalajeAlbaranPedido",G56,I56,D56,"",,,,,,,"MEDIAPOST SPAIN","Navision")</t>
  </si>
  <si>
    <t>=IF(OR($G56="",$G56=$G55),"",NF($B56,"transporte")/NF($B56,"numeroexpediciones"))</t>
  </si>
  <si>
    <t>=IF(OR($G56="",$G56=$G55),"",NF($B56,"prima")/NF($B56,"numeroexpediciones"))</t>
  </si>
  <si>
    <t>=IF(OR($G56="",$G56=$G55),"",NF($B56,"reembolso")/NF($B56,"numeroexpediciones"))</t>
  </si>
  <si>
    <t>=IF(OR($G56="",$G56=$G55),"",NF($B56,"impuestos")/NF($B56,"numeroexpediciones"))</t>
  </si>
  <si>
    <t>=IF(AJ56="","",VALUE(AJ56))</t>
  </si>
  <si>
    <t>=IF(OR($G56="",$G56=$G55),"",NF($B56,"franqueo")/NF($B56,"numeroexpediciones"))</t>
  </si>
  <si>
    <t>=IF(OR($G56="",$G56=$G55),"",NF($B56,"despacho")/NF($B56,"numeroexpediciones"))</t>
  </si>
  <si>
    <t>=IF($G56="","",IFERROR(IF(ISBLANK(Z56),0,Z56)+IF(ISBLANK(AA56),0,AA56)+IF(ISBLANK(AB56),0,AB56)+IF(ISBLANK(AC56),0,AC56)+IF(ISBLANK(AD56),0,AD56)+IF(ISBLANK(AE56),0,AE56)+IF(ISBLANK(AF56),0,AF56)+IF(ISBLANK(AG56),0,AG56)+IF(ISBLANK(AH56),0,AH56),0))</t>
  </si>
  <si>
    <t>=IF($G56="","",NL("Suma","Registro activ. Log. detallado","Importe a facturar","Id. Prefactura",IdPrefactura,"Familia concepto","GESTION","Nº documento",NF($B56,"No_"),"Tipo de documento","Pedido|Bulto opaco","Datasource=","Navision"))</t>
  </si>
  <si>
    <t>=IF($C57=$C56,"",IF($C57="","",CONCATENATE(NF($B57,"Cód_ operativa")," ",NF($B57,"Descripción"))))</t>
  </si>
  <si>
    <t>=IF($C57=$C56,"",IF($C57="","",IF(NF($B57,"Tipo Documento")=0,"Pedido","Bulto Opaco")))</t>
  </si>
  <si>
    <t>=IF($C57=$C56,"",IF($C57="","",NF($B57,"No_")))</t>
  </si>
  <si>
    <t>=IF($C57=$C56,"",IF($C57="","",NF($B57,"No_ documento cliente")))</t>
  </si>
  <si>
    <t>=IF($C57=$C56,"",IF($C57="","",NF($B57,"Nombre punto entrega")))</t>
  </si>
  <si>
    <t>=IF($C57=$C56,"",IF($C57="","",NF($B57,"Contacto punto entrega")))</t>
  </si>
  <si>
    <t>=IF($C57=$C56,"",IF($C57="","",NF($B57,"Dirección punto entrega")))</t>
  </si>
  <si>
    <t>=IF($C57=$C56,"",IF($C57="","",NF($B57,"C_P_ punto entrega")))</t>
  </si>
  <si>
    <t>=IF($C57=$C56,"",IF($C57="","",NF($B57,"Población punto entrega")))</t>
  </si>
  <si>
    <t>=IF($C57=$C56,"",IF($C57="","",NF($B57,"Provincia punto entrega")))</t>
  </si>
  <si>
    <t>=IF($C57=$C56,"",IF($C57="","",NF($B57,"País punto entrega")))</t>
  </si>
  <si>
    <t>=IF($C57=$C56,"",IF($C57="","",NF($B57,"bultosE")))</t>
  </si>
  <si>
    <t>=IF(B57="","",IF($B57=$B56,"",ROUNDUP(NF($B57,"Peso facturable"),0)))</t>
  </si>
  <si>
    <t>=IF(OR($G57="",$G57=$G56),"",NF($B57,"manipulacion"))</t>
  </si>
  <si>
    <t>=NP("codeunit","Miscelanea","CalculaEmbalajeAlbaranPedido",G57,I57,D57,"",,,,,,,"MEDIAPOST SPAIN","Navision")</t>
  </si>
  <si>
    <t>=IF(OR($G57="",$G57=$G56),"",NF($B57,"transporte")/NF($B57,"numeroexpediciones"))</t>
  </si>
  <si>
    <t>=IF(OR($G57="",$G57=$G56),"",NF($B57,"prima")/NF($B57,"numeroexpediciones"))</t>
  </si>
  <si>
    <t>=IF(OR($G57="",$G57=$G56),"",NF($B57,"reembolso")/NF($B57,"numeroexpediciones"))</t>
  </si>
  <si>
    <t>=IF(OR($G57="",$G57=$G56),"",NF($B57,"impuestos")/NF($B57,"numeroexpediciones"))</t>
  </si>
  <si>
    <t>=IF(AJ57="","",VALUE(AJ57))</t>
  </si>
  <si>
    <t>=IF(OR($G57="",$G57=$G56),"",NF($B57,"franqueo")/NF($B57,"numeroexpediciones"))</t>
  </si>
  <si>
    <t>=IF(OR($G57="",$G57=$G56),"",NF($B57,"despacho")/NF($B57,"numeroexpediciones"))</t>
  </si>
  <si>
    <t>=IF($G57="","",IFERROR(IF(ISBLANK(Z57),0,Z57)+IF(ISBLANK(AA57),0,AA57)+IF(ISBLANK(AB57),0,AB57)+IF(ISBLANK(AC57),0,AC57)+IF(ISBLANK(AD57),0,AD57)+IF(ISBLANK(AE57),0,AE57)+IF(ISBLANK(AF57),0,AF57)+IF(ISBLANK(AG57),0,AG57)+IF(ISBLANK(AH57),0,AH57),0))</t>
  </si>
  <si>
    <t>=IF($G57="","",NL("Suma","Registro activ. Log. detallado","Importe a facturar","Id. Prefactura",IdPrefactura,"Familia concepto","GESTION","Nº documento",NF($B57,"No_"),"Tipo de documento","Pedido|Bulto opaco","Datasource=","Navision"))</t>
  </si>
  <si>
    <t>=IF($C58=$C57,"",IF($C58="","",CONCATENATE(NF($B58,"Cód_ operativa")," ",NF($B58,"Descripción"))))</t>
  </si>
  <si>
    <t>=IF($C58=$C57,"",IF($C58="","",IF(NF($B58,"Tipo Documento")=0,"Pedido","Bulto Opaco")))</t>
  </si>
  <si>
    <t>=IF($C58=$C57,"",IF($C58="","",NF($B58,"No_")))</t>
  </si>
  <si>
    <t>=IF($C58=$C57,"",IF($C58="","",NF($B58,"No_ documento cliente")))</t>
  </si>
  <si>
    <t>=IF($C58=$C57,"",IF($C58="","",NF($B58,"Nombre punto entrega")))</t>
  </si>
  <si>
    <t>=IF($C58=$C57,"",IF($C58="","",NF($B58,"Contacto punto entrega")))</t>
  </si>
  <si>
    <t>=IF($C58=$C57,"",IF($C58="","",NF($B58,"Dirección punto entrega")))</t>
  </si>
  <si>
    <t>=IF($C58=$C57,"",IF($C58="","",NF($B58,"C_P_ punto entrega")))</t>
  </si>
  <si>
    <t>=IF($C58=$C57,"",IF($C58="","",NF($B58,"Población punto entrega")))</t>
  </si>
  <si>
    <t>=IF($C58=$C57,"",IF($C58="","",NF($B58,"Provincia punto entrega")))</t>
  </si>
  <si>
    <t>=IF($C58=$C57,"",IF($C58="","",NF($B58,"País punto entrega")))</t>
  </si>
  <si>
    <t>=IF($C58=$C57,"",IF($C58="","",NF($B58,"bultosE")))</t>
  </si>
  <si>
    <t>=IF(B58="","",IF($B58=$B57,"",ROUNDUP(NF($B58,"Peso facturable"),0)))</t>
  </si>
  <si>
    <t>=IF(OR($G58="",$G58=$G57),"",NF($B58,"manipulacion"))</t>
  </si>
  <si>
    <t>=NP("codeunit","Miscelanea","CalculaEmbalajeAlbaranPedido",G58,I58,D58,"",,,,,,,"MEDIAPOST SPAIN","Navision")</t>
  </si>
  <si>
    <t>=IF(OR($G58="",$G58=$G57),"",NF($B58,"transporte")/NF($B58,"numeroexpediciones"))</t>
  </si>
  <si>
    <t>=IF(OR($G58="",$G58=$G57),"",NF($B58,"prima")/NF($B58,"numeroexpediciones"))</t>
  </si>
  <si>
    <t>=IF(OR($G58="",$G58=$G57),"",NF($B58,"reembolso")/NF($B58,"numeroexpediciones"))</t>
  </si>
  <si>
    <t>=IF(OR($G58="",$G58=$G57),"",NF($B58,"impuestos")/NF($B58,"numeroexpediciones"))</t>
  </si>
  <si>
    <t>=IF(AJ58="","",VALUE(AJ58))</t>
  </si>
  <si>
    <t>=IF(OR($G58="",$G58=$G57),"",NF($B58,"franqueo")/NF($B58,"numeroexpediciones"))</t>
  </si>
  <si>
    <t>=IF(OR($G58="",$G58=$G57),"",NF($B58,"despacho")/NF($B58,"numeroexpediciones"))</t>
  </si>
  <si>
    <t>=IF($G58="","",IFERROR(IF(ISBLANK(Z58),0,Z58)+IF(ISBLANK(AA58),0,AA58)+IF(ISBLANK(AB58),0,AB58)+IF(ISBLANK(AC58),0,AC58)+IF(ISBLANK(AD58),0,AD58)+IF(ISBLANK(AE58),0,AE58)+IF(ISBLANK(AF58),0,AF58)+IF(ISBLANK(AG58),0,AG58)+IF(ISBLANK(AH58),0,AH58),0))</t>
  </si>
  <si>
    <t>=IF($G58="","",NL("Suma","Registro activ. Log. detallado","Importe a facturar","Id. Prefactura",IdPrefactura,"Familia concepto","GESTION","Nº documento",NF($B58,"No_"),"Tipo de documento","Pedido|Bulto opaco","Datasource=","Navision"))</t>
  </si>
  <si>
    <t>=IF($C59=$C58,"",IF($C59="","",CONCATENATE(NF($B59,"Cód_ operativa")," ",NF($B59,"Descripción"))))</t>
  </si>
  <si>
    <t>=IF($C59=$C58,"",IF($C59="","",IF(NF($B59,"Tipo Documento")=0,"Pedido","Bulto Opaco")))</t>
  </si>
  <si>
    <t>=IF($C59=$C58,"",IF($C59="","",NF($B59,"No_")))</t>
  </si>
  <si>
    <t>=IF($C59=$C58,"",IF($C59="","",NF($B59,"No_ documento cliente")))</t>
  </si>
  <si>
    <t>=IF($C59=$C58,"",IF($C59="","",NF($B59,"Nombre punto entrega")))</t>
  </si>
  <si>
    <t>=IF($C59=$C58,"",IF($C59="","",NF($B59,"Contacto punto entrega")))</t>
  </si>
  <si>
    <t>=IF($C59=$C58,"",IF($C59="","",NF($B59,"Dirección punto entrega")))</t>
  </si>
  <si>
    <t>=IF($C59=$C58,"",IF($C59="","",NF($B59,"C_P_ punto entrega")))</t>
  </si>
  <si>
    <t>=IF($C59=$C58,"",IF($C59="","",NF($B59,"Población punto entrega")))</t>
  </si>
  <si>
    <t>=IF($C59=$C58,"",IF($C59="","",NF($B59,"Provincia punto entrega")))</t>
  </si>
  <si>
    <t>=IF($C59=$C58,"",IF($C59="","",NF($B59,"País punto entrega")))</t>
  </si>
  <si>
    <t>=IF($C59=$C58,"",IF($C59="","",NF($B59,"bultosE")))</t>
  </si>
  <si>
    <t>=IF(B59="","",IF($B59=$B58,"",ROUNDUP(NF($B59,"Peso facturable"),0)))</t>
  </si>
  <si>
    <t>=IF(OR($G59="",$G59=$G58),"",NF($B59,"manipulacion"))</t>
  </si>
  <si>
    <t>=NP("codeunit","Miscelanea","CalculaEmbalajeAlbaranPedido",G59,I59,D59,"",,,,,,,"MEDIAPOST SPAIN","Navision")</t>
  </si>
  <si>
    <t>=IF(OR($G59="",$G59=$G58),"",NF($B59,"transporte")/NF($B59,"numeroexpediciones"))</t>
  </si>
  <si>
    <t>=IF(OR($G59="",$G59=$G58),"",NF($B59,"prima")/NF($B59,"numeroexpediciones"))</t>
  </si>
  <si>
    <t>=IF(OR($G59="",$G59=$G58),"",NF($B59,"reembolso")/NF($B59,"numeroexpediciones"))</t>
  </si>
  <si>
    <t>=IF(OR($G59="",$G59=$G58),"",NF($B59,"impuestos")/NF($B59,"numeroexpediciones"))</t>
  </si>
  <si>
    <t>=IF(AJ59="","",VALUE(AJ59))</t>
  </si>
  <si>
    <t>=IF(OR($G59="",$G59=$G58),"",NF($B59,"franqueo")/NF($B59,"numeroexpediciones"))</t>
  </si>
  <si>
    <t>=IF(OR($G59="",$G59=$G58),"",NF($B59,"despacho")/NF($B59,"numeroexpediciones"))</t>
  </si>
  <si>
    <t>=IF($G59="","",IFERROR(IF(ISBLANK(Z59),0,Z59)+IF(ISBLANK(AA59),0,AA59)+IF(ISBLANK(AB59),0,AB59)+IF(ISBLANK(AC59),0,AC59)+IF(ISBLANK(AD59),0,AD59)+IF(ISBLANK(AE59),0,AE59)+IF(ISBLANK(AF59),0,AF59)+IF(ISBLANK(AG59),0,AG59)+IF(ISBLANK(AH59),0,AH59),0))</t>
  </si>
  <si>
    <t>=IF($G59="","",NL("Suma","Registro activ. Log. detallado","Importe a facturar","Id. Prefactura",IdPrefactura,"Familia concepto","GESTION","Nº documento",NF($B59,"No_"),"Tipo de documento","Pedido|Bulto opaco","Datasource=","Navision"))</t>
  </si>
  <si>
    <t>=IF($C60=$C59,"",IF($C60="","",CONCATENATE(NF($B60,"Cód_ operativa")," ",NF($B60,"Descripción"))))</t>
  </si>
  <si>
    <t>=IF($C60=$C59,"",IF($C60="","",IF(NF($B60,"Tipo Documento")=0,"Pedido","Bulto Opaco")))</t>
  </si>
  <si>
    <t>=IF($C60=$C59,"",IF($C60="","",NF($B60,"No_")))</t>
  </si>
  <si>
    <t>=IF($C60=$C59,"",IF($C60="","",NF($B60,"No_ documento cliente")))</t>
  </si>
  <si>
    <t>=IF($C60=$C59,"",IF($C60="","",NF($B60,"Nombre punto entrega")))</t>
  </si>
  <si>
    <t>=IF($C60=$C59,"",IF($C60="","",NF($B60,"Contacto punto entrega")))</t>
  </si>
  <si>
    <t>=IF($C60=$C59,"",IF($C60="","",NF($B60,"Dirección punto entrega")))</t>
  </si>
  <si>
    <t>=IF($C60=$C59,"",IF($C60="","",NF($B60,"C_P_ punto entrega")))</t>
  </si>
  <si>
    <t>=IF($C60=$C59,"",IF($C60="","",NF($B60,"Población punto entrega")))</t>
  </si>
  <si>
    <t>=IF($C60=$C59,"",IF($C60="","",NF($B60,"Provincia punto entrega")))</t>
  </si>
  <si>
    <t>=IF($C60=$C59,"",IF($C60="","",NF($B60,"País punto entrega")))</t>
  </si>
  <si>
    <t>=IF($C60=$C59,"",IF($C60="","",NF($B60,"bultosE")))</t>
  </si>
  <si>
    <t>=IF(B60="","",IF($B60=$B59,"",ROUNDUP(NF($B60,"Peso facturable"),0)))</t>
  </si>
  <si>
    <t>=IF(OR($G60="",$G60=$G59),"",NF($B60,"manipulacion"))</t>
  </si>
  <si>
    <t>=NP("codeunit","Miscelanea","CalculaEmbalajeAlbaranPedido",G60,I60,D60,"",,,,,,,"MEDIAPOST SPAIN","Navision")</t>
  </si>
  <si>
    <t>=IF(OR($G60="",$G60=$G59),"",NF($B60,"transporte")/NF($B60,"numeroexpediciones"))</t>
  </si>
  <si>
    <t>=IF(OR($G60="",$G60=$G59),"",NF($B60,"prima")/NF($B60,"numeroexpediciones"))</t>
  </si>
  <si>
    <t>=IF(OR($G60="",$G60=$G59),"",NF($B60,"reembolso")/NF($B60,"numeroexpediciones"))</t>
  </si>
  <si>
    <t>=IF(OR($G60="",$G60=$G59),"",NF($B60,"impuestos")/NF($B60,"numeroexpediciones"))</t>
  </si>
  <si>
    <t>=IF(AJ60="","",VALUE(AJ60))</t>
  </si>
  <si>
    <t>=IF(OR($G60="",$G60=$G59),"",NF($B60,"franqueo")/NF($B60,"numeroexpediciones"))</t>
  </si>
  <si>
    <t>=IF(OR($G60="",$G60=$G59),"",NF($B60,"despacho")/NF($B60,"numeroexpediciones"))</t>
  </si>
  <si>
    <t>=IF($G60="","",IFERROR(IF(ISBLANK(Z60),0,Z60)+IF(ISBLANK(AA60),0,AA60)+IF(ISBLANK(AB60),0,AB60)+IF(ISBLANK(AC60),0,AC60)+IF(ISBLANK(AD60),0,AD60)+IF(ISBLANK(AE60),0,AE60)+IF(ISBLANK(AF60),0,AF60)+IF(ISBLANK(AG60),0,AG60)+IF(ISBLANK(AH60),0,AH60),0))</t>
  </si>
  <si>
    <t>=IF($G60="","",NL("Suma","Registro activ. Log. detallado","Importe a facturar","Id. Prefactura",IdPrefactura,"Familia concepto","GESTION","Nº documento",NF($B60,"No_"),"Tipo de documento","Pedido|Bulto opaco","Datasource=","Navision"))</t>
  </si>
  <si>
    <t>=IF($C61=$C60,"",IF($C61="","",CONCATENATE(NF($B61,"Cód_ operativa")," ",NF($B61,"Descripción"))))</t>
  </si>
  <si>
    <t>=IF($C61=$C60,"",IF($C61="","",IF(NF($B61,"Tipo Documento")=0,"Pedido","Bulto Opaco")))</t>
  </si>
  <si>
    <t>=IF($C61=$C60,"",IF($C61="","",NF($B61,"No_")))</t>
  </si>
  <si>
    <t>=IF($C61=$C60,"",IF($C61="","",NF($B61,"No_ documento cliente")))</t>
  </si>
  <si>
    <t>=IF($C61=$C60,"",IF($C61="","",NF($B61,"Nombre punto entrega")))</t>
  </si>
  <si>
    <t>=IF($C61=$C60,"",IF($C61="","",NF($B61,"Contacto punto entrega")))</t>
  </si>
  <si>
    <t>=IF($C61=$C60,"",IF($C61="","",NF($B61,"Dirección punto entrega")))</t>
  </si>
  <si>
    <t>=IF($C61=$C60,"",IF($C61="","",NF($B61,"C_P_ punto entrega")))</t>
  </si>
  <si>
    <t>=IF($C61=$C60,"",IF($C61="","",NF($B61,"Población punto entrega")))</t>
  </si>
  <si>
    <t>=IF($C61=$C60,"",IF($C61="","",NF($B61,"Provincia punto entrega")))</t>
  </si>
  <si>
    <t>=IF($C61=$C60,"",IF($C61="","",NF($B61,"País punto entrega")))</t>
  </si>
  <si>
    <t>=IF($C61=$C60,"",IF($C61="","",NF($B61,"bultosE")))</t>
  </si>
  <si>
    <t>=IF(B61="","",IF($B61=$B60,"",ROUNDUP(NF($B61,"Peso facturable"),0)))</t>
  </si>
  <si>
    <t>=IF(OR($G61="",$G61=$G60),"",NF($B61,"manipulacion"))</t>
  </si>
  <si>
    <t>=NP("codeunit","Miscelanea","CalculaEmbalajeAlbaranPedido",G61,I61,D61,"",,,,,,,"MEDIAPOST SPAIN","Navision")</t>
  </si>
  <si>
    <t>=IF(OR($G61="",$G61=$G60),"",NF($B61,"transporte")/NF($B61,"numeroexpediciones"))</t>
  </si>
  <si>
    <t>=IF(OR($G61="",$G61=$G60),"",NF($B61,"prima")/NF($B61,"numeroexpediciones"))</t>
  </si>
  <si>
    <t>=IF(OR($G61="",$G61=$G60),"",NF($B61,"reembolso")/NF($B61,"numeroexpediciones"))</t>
  </si>
  <si>
    <t>=IF(OR($G61="",$G61=$G60),"",NF($B61,"impuestos")/NF($B61,"numeroexpediciones"))</t>
  </si>
  <si>
    <t>=IF(AJ61="","",VALUE(AJ61))</t>
  </si>
  <si>
    <t>=IF(OR($G61="",$G61=$G60),"",NF($B61,"franqueo")/NF($B61,"numeroexpediciones"))</t>
  </si>
  <si>
    <t>=IF(OR($G61="",$G61=$G60),"",NF($B61,"despacho")/NF($B61,"numeroexpediciones"))</t>
  </si>
  <si>
    <t>=IF($G61="","",IFERROR(IF(ISBLANK(Z61),0,Z61)+IF(ISBLANK(AA61),0,AA61)+IF(ISBLANK(AB61),0,AB61)+IF(ISBLANK(AC61),0,AC61)+IF(ISBLANK(AD61),0,AD61)+IF(ISBLANK(AE61),0,AE61)+IF(ISBLANK(AF61),0,AF61)+IF(ISBLANK(AG61),0,AG61)+IF(ISBLANK(AH61),0,AH61),0))</t>
  </si>
  <si>
    <t>=IF($G61="","",NL("Suma","Registro activ. Log. detallado","Importe a facturar","Id. Prefactura",IdPrefactura,"Familia concepto","GESTION","Nº documento",NF($B61,"No_"),"Tipo de documento","Pedido|Bulto opaco","Datasource=","Navision"))</t>
  </si>
  <si>
    <t>=IF($C62=$C61,"",IF($C62="","",CONCATENATE(NF($B62,"Cód_ operativa")," ",NF($B62,"Descripción"))))</t>
  </si>
  <si>
    <t>=IF($C62=$C61,"",IF($C62="","",IF(NF($B62,"Tipo Documento")=0,"Pedido","Bulto Opaco")))</t>
  </si>
  <si>
    <t>=IF($C62=$C61,"",IF($C62="","",NF($B62,"No_")))</t>
  </si>
  <si>
    <t>=IF($C62=$C61,"",IF($C62="","",NF($B62,"No_ documento cliente")))</t>
  </si>
  <si>
    <t>=IF($C62=$C61,"",IF($C62="","",NF($B62,"Nombre punto entrega")))</t>
  </si>
  <si>
    <t>=IF($C62=$C61,"",IF($C62="","",NF($B62,"Contacto punto entrega")))</t>
  </si>
  <si>
    <t>=IF($C62=$C61,"",IF($C62="","",NF($B62,"Dirección punto entrega")))</t>
  </si>
  <si>
    <t>=IF($C62=$C61,"",IF($C62="","",NF($B62,"C_P_ punto entrega")))</t>
  </si>
  <si>
    <t>=IF($C62=$C61,"",IF($C62="","",NF($B62,"Población punto entrega")))</t>
  </si>
  <si>
    <t>=IF($C62=$C61,"",IF($C62="","",NF($B62,"Provincia punto entrega")))</t>
  </si>
  <si>
    <t>=IF($C62=$C61,"",IF($C62="","",NF($B62,"País punto entrega")))</t>
  </si>
  <si>
    <t>=IF($C62=$C61,"",IF($C62="","",NF($B62,"bultosE")))</t>
  </si>
  <si>
    <t>=IF(B62="","",IF($B62=$B61,"",ROUNDUP(NF($B62,"Peso facturable"),0)))</t>
  </si>
  <si>
    <t>=IF(OR($G62="",$G62=$G61),"",NF($B62,"manipulacion"))</t>
  </si>
  <si>
    <t>=NP("codeunit","Miscelanea","CalculaEmbalajeAlbaranPedido",G62,I62,D62,"",,,,,,,"MEDIAPOST SPAIN","Navision")</t>
  </si>
  <si>
    <t>=IF(OR($G62="",$G62=$G61),"",NF($B62,"transporte")/NF($B62,"numeroexpediciones"))</t>
  </si>
  <si>
    <t>=IF(OR($G62="",$G62=$G61),"",NF($B62,"prima")/NF($B62,"numeroexpediciones"))</t>
  </si>
  <si>
    <t>=IF(OR($G62="",$G62=$G61),"",NF($B62,"reembolso")/NF($B62,"numeroexpediciones"))</t>
  </si>
  <si>
    <t>=IF(OR($G62="",$G62=$G61),"",NF($B62,"impuestos")/NF($B62,"numeroexpediciones"))</t>
  </si>
  <si>
    <t>=IF(AJ62="","",VALUE(AJ62))</t>
  </si>
  <si>
    <t>=IF(OR($G62="",$G62=$G61),"",NF($B62,"franqueo")/NF($B62,"numeroexpediciones"))</t>
  </si>
  <si>
    <t>=IF(OR($G62="",$G62=$G61),"",NF($B62,"despacho")/NF($B62,"numeroexpediciones"))</t>
  </si>
  <si>
    <t>=IF($G62="","",IFERROR(IF(ISBLANK(Z62),0,Z62)+IF(ISBLANK(AA62),0,AA62)+IF(ISBLANK(AB62),0,AB62)+IF(ISBLANK(AC62),0,AC62)+IF(ISBLANK(AD62),0,AD62)+IF(ISBLANK(AE62),0,AE62)+IF(ISBLANK(AF62),0,AF62)+IF(ISBLANK(AG62),0,AG62)+IF(ISBLANK(AH62),0,AH62),0))</t>
  </si>
  <si>
    <t>=IF($G62="","",NL("Suma","Registro activ. Log. detallado","Importe a facturar","Id. Prefactura",IdPrefactura,"Familia concepto","GESTION","Nº documento",NF($B62,"No_"),"Tipo de documento","Pedido|Bulto opaco","Datasource=","Navision"))</t>
  </si>
  <si>
    <t>=IF($C63=$C62,"",IF($C63="","",CONCATENATE(NF($B63,"Cód_ operativa")," ",NF($B63,"Descripción"))))</t>
  </si>
  <si>
    <t>=IF($C63=$C62,"",IF($C63="","",IF(NF($B63,"Tipo Documento")=0,"Pedido","Bulto Opaco")))</t>
  </si>
  <si>
    <t>=IF($C63=$C62,"",IF($C63="","",NF($B63,"No_")))</t>
  </si>
  <si>
    <t>=IF($C63=$C62,"",IF($C63="","",NF($B63,"No_ documento cliente")))</t>
  </si>
  <si>
    <t>=IF($C63=$C62,"",IF($C63="","",NF($B63,"Nombre punto entrega")))</t>
  </si>
  <si>
    <t>=IF($C63=$C62,"",IF($C63="","",NF($B63,"Contacto punto entrega")))</t>
  </si>
  <si>
    <t>=IF($C63=$C62,"",IF($C63="","",NF($B63,"Dirección punto entrega")))</t>
  </si>
  <si>
    <t>=IF($C63=$C62,"",IF($C63="","",NF($B63,"C_P_ punto entrega")))</t>
  </si>
  <si>
    <t>=IF($C63=$C62,"",IF($C63="","",NF($B63,"Población punto entrega")))</t>
  </si>
  <si>
    <t>=IF($C63=$C62,"",IF($C63="","",NF($B63,"Provincia punto entrega")))</t>
  </si>
  <si>
    <t>=IF($C63=$C62,"",IF($C63="","",NF($B63,"País punto entrega")))</t>
  </si>
  <si>
    <t>=IF($C63=$C62,"",IF($C63="","",NF($B63,"bultosE")))</t>
  </si>
  <si>
    <t>=IF(B63="","",IF($B63=$B62,"",ROUNDUP(NF($B63,"Peso facturable"),0)))</t>
  </si>
  <si>
    <t>=IF(OR($G63="",$G63=$G62),"",NF($B63,"manipulacion"))</t>
  </si>
  <si>
    <t>=NP("codeunit","Miscelanea","CalculaEmbalajeAlbaranPedido",G63,I63,D63,"",,,,,,,"MEDIAPOST SPAIN","Navision")</t>
  </si>
  <si>
    <t>=IF(OR($G63="",$G63=$G62),"",NF($B63,"transporte")/NF($B63,"numeroexpediciones"))</t>
  </si>
  <si>
    <t>=IF(OR($G63="",$G63=$G62),"",NF($B63,"prima")/NF($B63,"numeroexpediciones"))</t>
  </si>
  <si>
    <t>=IF(OR($G63="",$G63=$G62),"",NF($B63,"reembolso")/NF($B63,"numeroexpediciones"))</t>
  </si>
  <si>
    <t>=IF(OR($G63="",$G63=$G62),"",NF($B63,"impuestos")/NF($B63,"numeroexpediciones"))</t>
  </si>
  <si>
    <t>=IF(AJ63="","",VALUE(AJ63))</t>
  </si>
  <si>
    <t>=IF(OR($G63="",$G63=$G62),"",NF($B63,"franqueo")/NF($B63,"numeroexpediciones"))</t>
  </si>
  <si>
    <t>=IF(OR($G63="",$G63=$G62),"",NF($B63,"despacho")/NF($B63,"numeroexpediciones"))</t>
  </si>
  <si>
    <t>=IF($G63="","",IFERROR(IF(ISBLANK(Z63),0,Z63)+IF(ISBLANK(AA63),0,AA63)+IF(ISBLANK(AB63),0,AB63)+IF(ISBLANK(AC63),0,AC63)+IF(ISBLANK(AD63),0,AD63)+IF(ISBLANK(AE63),0,AE63)+IF(ISBLANK(AF63),0,AF63)+IF(ISBLANK(AG63),0,AG63)+IF(ISBLANK(AH63),0,AH63),0))</t>
  </si>
  <si>
    <t>=IF($G63="","",NL("Suma","Registro activ. Log. detallado","Importe a facturar","Id. Prefactura",IdPrefactura,"Familia concepto","GESTION","Nº documento",NF($B63,"No_"),"Tipo de documento","Pedido|Bulto opaco","Datasource=","Navision"))</t>
  </si>
  <si>
    <t>=IF($C64=$C63,"",IF($C64="","",CONCATENATE(NF($B64,"Cód_ operativa")," ",NF($B64,"Descripción"))))</t>
  </si>
  <si>
    <t>=IF($C64=$C63,"",IF($C64="","",IF(NF($B64,"Tipo Documento")=0,"Pedido","Bulto Opaco")))</t>
  </si>
  <si>
    <t>=IF($C64=$C63,"",IF($C64="","",NF($B64,"No_")))</t>
  </si>
  <si>
    <t>=IF($C64=$C63,"",IF($C64="","",NF($B64,"No_ documento cliente")))</t>
  </si>
  <si>
    <t>=IF($C64=$C63,"",IF($C64="","",NF($B64,"Nombre punto entrega")))</t>
  </si>
  <si>
    <t>=IF($C64=$C63,"",IF($C64="","",NF($B64,"Contacto punto entrega")))</t>
  </si>
  <si>
    <t>=IF($C64=$C63,"",IF($C64="","",NF($B64,"Dirección punto entrega")))</t>
  </si>
  <si>
    <t>=IF($C64=$C63,"",IF($C64="","",NF($B64,"C_P_ punto entrega")))</t>
  </si>
  <si>
    <t>=IF($C64=$C63,"",IF($C64="","",NF($B64,"Población punto entrega")))</t>
  </si>
  <si>
    <t>=IF($C64=$C63,"",IF($C64="","",NF($B64,"Provincia punto entrega")))</t>
  </si>
  <si>
    <t>=IF($C64=$C63,"",IF($C64="","",NF($B64,"País punto entrega")))</t>
  </si>
  <si>
    <t>=IF($C64=$C63,"",IF($C64="","",NF($B64,"bultosE")))</t>
  </si>
  <si>
    <t>=IF(B64="","",IF($B64=$B63,"",ROUNDUP(NF($B64,"Peso facturable"),0)))</t>
  </si>
  <si>
    <t>=IF(OR($G64="",$G64=$G63),"",NF($B64,"manipulacion"))</t>
  </si>
  <si>
    <t>=NP("codeunit","Miscelanea","CalculaEmbalajeAlbaranPedido",G64,I64,D64,"",,,,,,,"MEDIAPOST SPAIN","Navision")</t>
  </si>
  <si>
    <t>=IF(OR($G64="",$G64=$G63),"",NF($B64,"transporte")/NF($B64,"numeroexpediciones"))</t>
  </si>
  <si>
    <t>=IF(OR($G64="",$G64=$G63),"",NF($B64,"prima")/NF($B64,"numeroexpediciones"))</t>
  </si>
  <si>
    <t>=IF(OR($G64="",$G64=$G63),"",NF($B64,"reembolso")/NF($B64,"numeroexpediciones"))</t>
  </si>
  <si>
    <t>=IF(OR($G64="",$G64=$G63),"",NF($B64,"impuestos")/NF($B64,"numeroexpediciones"))</t>
  </si>
  <si>
    <t>=IF(AJ64="","",VALUE(AJ64))</t>
  </si>
  <si>
    <t>=IF(OR($G64="",$G64=$G63),"",NF($B64,"franqueo")/NF($B64,"numeroexpediciones"))</t>
  </si>
  <si>
    <t>=IF(OR($G64="",$G64=$G63),"",NF($B64,"despacho")/NF($B64,"numeroexpediciones"))</t>
  </si>
  <si>
    <t>=IF($G64="","",IFERROR(IF(ISBLANK(Z64),0,Z64)+IF(ISBLANK(AA64),0,AA64)+IF(ISBLANK(AB64),0,AB64)+IF(ISBLANK(AC64),0,AC64)+IF(ISBLANK(AD64),0,AD64)+IF(ISBLANK(AE64),0,AE64)+IF(ISBLANK(AF64),0,AF64)+IF(ISBLANK(AG64),0,AG64)+IF(ISBLANK(AH64),0,AH64),0))</t>
  </si>
  <si>
    <t>=IF($G64="","",NL("Suma","Registro activ. Log. detallado","Importe a facturar","Id. Prefactura",IdPrefactura,"Familia concepto","GESTION","Nº documento",NF($B64,"No_"),"Tipo de documento","Pedido|Bulto opaco","Datasource=","Navision"))</t>
  </si>
  <si>
    <t>=IF($C65=$C64,"",IF($C65="","",CONCATENATE(NF($B65,"Cód_ operativa")," ",NF($B65,"Descripción"))))</t>
  </si>
  <si>
    <t>=IF($C65=$C64,"",IF($C65="","",IF(NF($B65,"Tipo Documento")=0,"Pedido","Bulto Opaco")))</t>
  </si>
  <si>
    <t>=IF($C65=$C64,"",IF($C65="","",NF($B65,"No_")))</t>
  </si>
  <si>
    <t>=IF($C65=$C64,"",IF($C65="","",NF($B65,"No_ documento cliente")))</t>
  </si>
  <si>
    <t>=IF($C65=$C64,"",IF($C65="","",NF($B65,"Nombre punto entrega")))</t>
  </si>
  <si>
    <t>=IF($C65=$C64,"",IF($C65="","",NF($B65,"Contacto punto entrega")))</t>
  </si>
  <si>
    <t>=IF($C65=$C64,"",IF($C65="","",NF($B65,"Dirección punto entrega")))</t>
  </si>
  <si>
    <t>=IF($C65=$C64,"",IF($C65="","",NF($B65,"C_P_ punto entrega")))</t>
  </si>
  <si>
    <t>=IF($C65=$C64,"",IF($C65="","",NF($B65,"Población punto entrega")))</t>
  </si>
  <si>
    <t>=IF($C65=$C64,"",IF($C65="","",NF($B65,"Provincia punto entrega")))</t>
  </si>
  <si>
    <t>=IF($C65=$C64,"",IF($C65="","",NF($B65,"País punto entrega")))</t>
  </si>
  <si>
    <t>=IF($C65=$C64,"",IF($C65="","",NF($B65,"bultosE")))</t>
  </si>
  <si>
    <t>=IF(B65="","",IF($B65=$B64,"",ROUNDUP(NF($B65,"Peso facturable"),0)))</t>
  </si>
  <si>
    <t>=IF(OR($G65="",$G65=$G64),"",NF($B65,"manipulacion"))</t>
  </si>
  <si>
    <t>=NP("codeunit","Miscelanea","CalculaEmbalajeAlbaranPedido",G65,I65,D65,"",,,,,,,"MEDIAPOST SPAIN","Navision")</t>
  </si>
  <si>
    <t>=IF(OR($G65="",$G65=$G64),"",NF($B65,"transporte")/NF($B65,"numeroexpediciones"))</t>
  </si>
  <si>
    <t>=IF(OR($G65="",$G65=$G64),"",NF($B65,"prima")/NF($B65,"numeroexpediciones"))</t>
  </si>
  <si>
    <t>=IF(OR($G65="",$G65=$G64),"",NF($B65,"reembolso")/NF($B65,"numeroexpediciones"))</t>
  </si>
  <si>
    <t>=IF(OR($G65="",$G65=$G64),"",NF($B65,"impuestos")/NF($B65,"numeroexpediciones"))</t>
  </si>
  <si>
    <t>=IF(AJ65="","",VALUE(AJ65))</t>
  </si>
  <si>
    <t>=IF(OR($G65="",$G65=$G64),"",NF($B65,"franqueo")/NF($B65,"numeroexpediciones"))</t>
  </si>
  <si>
    <t>=IF(OR($G65="",$G65=$G64),"",NF($B65,"despacho")/NF($B65,"numeroexpediciones"))</t>
  </si>
  <si>
    <t>=IF($G65="","",IFERROR(IF(ISBLANK(Z65),0,Z65)+IF(ISBLANK(AA65),0,AA65)+IF(ISBLANK(AB65),0,AB65)+IF(ISBLANK(AC65),0,AC65)+IF(ISBLANK(AD65),0,AD65)+IF(ISBLANK(AE65),0,AE65)+IF(ISBLANK(AF65),0,AF65)+IF(ISBLANK(AG65),0,AG65)+IF(ISBLANK(AH65),0,AH65),0))</t>
  </si>
  <si>
    <t>=IF($G65="","",NL("Suma","Registro activ. Log. detallado","Importe a facturar","Id. Prefactura",IdPrefactura,"Familia concepto","GESTION","Nº documento",NF($B65,"No_"),"Tipo de documento","Pedido|Bulto opaco","Datasource=","Navision"))</t>
  </si>
  <si>
    <t>=IF($C66=$C65,"",IF($C66="","",CONCATENATE(NF($B66,"Cód_ operativa")," ",NF($B66,"Descripción"))))</t>
  </si>
  <si>
    <t>=IF($C66=$C65,"",IF($C66="","",IF(NF($B66,"Tipo Documento")=0,"Pedido","Bulto Opaco")))</t>
  </si>
  <si>
    <t>=IF($C66=$C65,"",IF($C66="","",NF($B66,"No_")))</t>
  </si>
  <si>
    <t>=IF($C66=$C65,"",IF($C66="","",NF($B66,"No_ documento cliente")))</t>
  </si>
  <si>
    <t>=IF($C66=$C65,"",IF($C66="","",NF($B66,"Nombre punto entrega")))</t>
  </si>
  <si>
    <t>=IF($C66=$C65,"",IF($C66="","",NF($B66,"Contacto punto entrega")))</t>
  </si>
  <si>
    <t>=IF($C66=$C65,"",IF($C66="","",NF($B66,"Dirección punto entrega")))</t>
  </si>
  <si>
    <t>=IF($C66=$C65,"",IF($C66="","",NF($B66,"C_P_ punto entrega")))</t>
  </si>
  <si>
    <t>=IF($C66=$C65,"",IF($C66="","",NF($B66,"Población punto entrega")))</t>
  </si>
  <si>
    <t>=IF($C66=$C65,"",IF($C66="","",NF($B66,"Provincia punto entrega")))</t>
  </si>
  <si>
    <t>=IF($C66=$C65,"",IF($C66="","",NF($B66,"País punto entrega")))</t>
  </si>
  <si>
    <t>=IF($C66=$C65,"",IF($C66="","",NF($B66,"bultosE")))</t>
  </si>
  <si>
    <t>=IF(B66="","",IF($B66=$B65,"",ROUNDUP(NF($B66,"Peso facturable"),0)))</t>
  </si>
  <si>
    <t>=IF(OR($G66="",$G66=$G65),"",NF($B66,"manipulacion"))</t>
  </si>
  <si>
    <t>=NP("codeunit","Miscelanea","CalculaEmbalajeAlbaranPedido",G66,I66,D66,"",,,,,,,"MEDIAPOST SPAIN","Navision")</t>
  </si>
  <si>
    <t>=IF(OR($G66="",$G66=$G65),"",NF($B66,"transporte")/NF($B66,"numeroexpediciones"))</t>
  </si>
  <si>
    <t>=IF(OR($G66="",$G66=$G65),"",NF($B66,"prima")/NF($B66,"numeroexpediciones"))</t>
  </si>
  <si>
    <t>=IF(OR($G66="",$G66=$G65),"",NF($B66,"reembolso")/NF($B66,"numeroexpediciones"))</t>
  </si>
  <si>
    <t>=IF(OR($G66="",$G66=$G65),"",NF($B66,"impuestos")/NF($B66,"numeroexpediciones"))</t>
  </si>
  <si>
    <t>=IF(AJ66="","",VALUE(AJ66))</t>
  </si>
  <si>
    <t>=IF(OR($G66="",$G66=$G65),"",NF($B66,"franqueo")/NF($B66,"numeroexpediciones"))</t>
  </si>
  <si>
    <t>=IF(OR($G66="",$G66=$G65),"",NF($B66,"despacho")/NF($B66,"numeroexpediciones"))</t>
  </si>
  <si>
    <t>=IF($G66="","",IFERROR(IF(ISBLANK(Z66),0,Z66)+IF(ISBLANK(AA66),0,AA66)+IF(ISBLANK(AB66),0,AB66)+IF(ISBLANK(AC66),0,AC66)+IF(ISBLANK(AD66),0,AD66)+IF(ISBLANK(AE66),0,AE66)+IF(ISBLANK(AF66),0,AF66)+IF(ISBLANK(AG66),0,AG66)+IF(ISBLANK(AH66),0,AH66),0))</t>
  </si>
  <si>
    <t>=IF($G66="","",NL("Suma","Registro activ. Log. detallado","Importe a facturar","Id. Prefactura",IdPrefactura,"Familia concepto","GESTION","Nº documento",NF($B66,"No_"),"Tipo de documento","Pedido|Bulto opaco","Datasource=","Navision"))</t>
  </si>
  <si>
    <t>=IF($C67=$C66,"",IF($C67="","",CONCATENATE(NF($B67,"Cód_ operativa")," ",NF($B67,"Descripción"))))</t>
  </si>
  <si>
    <t>=IF($C67=$C66,"",IF($C67="","",IF(NF($B67,"Tipo Documento")=0,"Pedido","Bulto Opaco")))</t>
  </si>
  <si>
    <t>=IF($C67=$C66,"",IF($C67="","",NF($B67,"No_")))</t>
  </si>
  <si>
    <t>=IF($C67=$C66,"",IF($C67="","",NF($B67,"No_ documento cliente")))</t>
  </si>
  <si>
    <t>=IF($C67=$C66,"",IF($C67="","",NF($B67,"Nombre punto entrega")))</t>
  </si>
  <si>
    <t>=IF($C67=$C66,"",IF($C67="","",NF($B67,"Contacto punto entrega")))</t>
  </si>
  <si>
    <t>=IF($C67=$C66,"",IF($C67="","",NF($B67,"Dirección punto entrega")))</t>
  </si>
  <si>
    <t>=IF($C67=$C66,"",IF($C67="","",NF($B67,"C_P_ punto entrega")))</t>
  </si>
  <si>
    <t>=IF($C67=$C66,"",IF($C67="","",NF($B67,"Población punto entrega")))</t>
  </si>
  <si>
    <t>=IF($C67=$C66,"",IF($C67="","",NF($B67,"Provincia punto entrega")))</t>
  </si>
  <si>
    <t>=IF($C67=$C66,"",IF($C67="","",NF($B67,"País punto entrega")))</t>
  </si>
  <si>
    <t>=IF($C67=$C66,"",IF($C67="","",NF($B67,"bultosE")))</t>
  </si>
  <si>
    <t>=IF(B67="","",IF($B67=$B66,"",ROUNDUP(NF($B67,"Peso facturable"),0)))</t>
  </si>
  <si>
    <t>=IF(OR($G67="",$G67=$G66),"",NF($B67,"manipulacion"))</t>
  </si>
  <si>
    <t>=NP("codeunit","Miscelanea","CalculaEmbalajeAlbaranPedido",G67,I67,D67,"",,,,,,,"MEDIAPOST SPAIN","Navision")</t>
  </si>
  <si>
    <t>=IF(OR($G67="",$G67=$G66),"",NF($B67,"transporte")/NF($B67,"numeroexpediciones"))</t>
  </si>
  <si>
    <t>=IF(OR($G67="",$G67=$G66),"",NF($B67,"prima")/NF($B67,"numeroexpediciones"))</t>
  </si>
  <si>
    <t>=IF(OR($G67="",$G67=$G66),"",NF($B67,"reembolso")/NF($B67,"numeroexpediciones"))</t>
  </si>
  <si>
    <t>=IF(OR($G67="",$G67=$G66),"",NF($B67,"impuestos")/NF($B67,"numeroexpediciones"))</t>
  </si>
  <si>
    <t>=IF(AJ67="","",VALUE(AJ67))</t>
  </si>
  <si>
    <t>=IF(OR($G67="",$G67=$G66),"",NF($B67,"franqueo")/NF($B67,"numeroexpediciones"))</t>
  </si>
  <si>
    <t>=IF(OR($G67="",$G67=$G66),"",NF($B67,"despacho")/NF($B67,"numeroexpediciones"))</t>
  </si>
  <si>
    <t>=IF($G67="","",IFERROR(IF(ISBLANK(Z67),0,Z67)+IF(ISBLANK(AA67),0,AA67)+IF(ISBLANK(AB67),0,AB67)+IF(ISBLANK(AC67),0,AC67)+IF(ISBLANK(AD67),0,AD67)+IF(ISBLANK(AE67),0,AE67)+IF(ISBLANK(AF67),0,AF67)+IF(ISBLANK(AG67),0,AG67)+IF(ISBLANK(AH67),0,AH67),0))</t>
  </si>
  <si>
    <t>=IF($G67="","",NL("Suma","Registro activ. Log. detallado","Importe a facturar","Id. Prefactura",IdPrefactura,"Familia concepto","GESTION","Nº documento",NF($B67,"No_"),"Tipo de documento","Pedido|Bulto opaco","Datasource=","Navision"))</t>
  </si>
  <si>
    <t>=IF($C68=$C67,"",IF($C68="","",CONCATENATE(NF($B68,"Cód_ operativa")," ",NF($B68,"Descripción"))))</t>
  </si>
  <si>
    <t>=IF($C68=$C67,"",IF($C68="","",IF(NF($B68,"Tipo Documento")=0,"Pedido","Bulto Opaco")))</t>
  </si>
  <si>
    <t>=IF($C68=$C67,"",IF($C68="","",NF($B68,"No_")))</t>
  </si>
  <si>
    <t>=IF($C68=$C67,"",IF($C68="","",NF($B68,"No_ documento cliente")))</t>
  </si>
  <si>
    <t>=IF($C68=$C67,"",IF($C68="","",NF($B68,"Nombre punto entrega")))</t>
  </si>
  <si>
    <t>=IF($C68=$C67,"",IF($C68="","",NF($B68,"Contacto punto entrega")))</t>
  </si>
  <si>
    <t>=IF($C68=$C67,"",IF($C68="","",NF($B68,"Dirección punto entrega")))</t>
  </si>
  <si>
    <t>=IF($C68=$C67,"",IF($C68="","",NF($B68,"C_P_ punto entrega")))</t>
  </si>
  <si>
    <t>=IF($C68=$C67,"",IF($C68="","",NF($B68,"Población punto entrega")))</t>
  </si>
  <si>
    <t>=IF($C68=$C67,"",IF($C68="","",NF($B68,"Provincia punto entrega")))</t>
  </si>
  <si>
    <t>=IF($C68=$C67,"",IF($C68="","",NF($B68,"País punto entrega")))</t>
  </si>
  <si>
    <t>=IF($C68=$C67,"",IF($C68="","",NF($B68,"bultosE")))</t>
  </si>
  <si>
    <t>=IF(B68="","",IF($B68=$B67,"",ROUNDUP(NF($B68,"Peso facturable"),0)))</t>
  </si>
  <si>
    <t>=IF(OR($G68="",$G68=$G67),"",NF($B68,"manipulacion"))</t>
  </si>
  <si>
    <t>=NP("codeunit","Miscelanea","CalculaEmbalajeAlbaranPedido",G68,I68,D68,"",,,,,,,"MEDIAPOST SPAIN","Navision")</t>
  </si>
  <si>
    <t>=IF(OR($G68="",$G68=$G67),"",NF($B68,"transporte")/NF($B68,"numeroexpediciones"))</t>
  </si>
  <si>
    <t>=IF(OR($G68="",$G68=$G67),"",NF($B68,"prima")/NF($B68,"numeroexpediciones"))</t>
  </si>
  <si>
    <t>=IF(OR($G68="",$G68=$G67),"",NF($B68,"reembolso")/NF($B68,"numeroexpediciones"))</t>
  </si>
  <si>
    <t>=IF(OR($G68="",$G68=$G67),"",NF($B68,"impuestos")/NF($B68,"numeroexpediciones"))</t>
  </si>
  <si>
    <t>=IF(AJ68="","",VALUE(AJ68))</t>
  </si>
  <si>
    <t>=IF(OR($G68="",$G68=$G67),"",NF($B68,"franqueo")/NF($B68,"numeroexpediciones"))</t>
  </si>
  <si>
    <t>=IF(OR($G68="",$G68=$G67),"",NF($B68,"despacho")/NF($B68,"numeroexpediciones"))</t>
  </si>
  <si>
    <t>=IF($G68="","",IFERROR(IF(ISBLANK(Z68),0,Z68)+IF(ISBLANK(AA68),0,AA68)+IF(ISBLANK(AB68),0,AB68)+IF(ISBLANK(AC68),0,AC68)+IF(ISBLANK(AD68),0,AD68)+IF(ISBLANK(AE68),0,AE68)+IF(ISBLANK(AF68),0,AF68)+IF(ISBLANK(AG68),0,AG68)+IF(ISBLANK(AH68),0,AH68),0))</t>
  </si>
  <si>
    <t>=IF($G68="","",NL("Suma","Registro activ. Log. detallado","Importe a facturar","Id. Prefactura",IdPrefactura,"Familia concepto","GESTION","Nº documento",NF($B68,"No_"),"Tipo de documento","Pedido|Bulto opaco","Datasource=","Navision"))</t>
  </si>
  <si>
    <t>=IF($C69=$C68,"",IF($C69="","",CONCATENATE(NF($B69,"Cód_ operativa")," ",NF($B69,"Descripción"))))</t>
  </si>
  <si>
    <t>=IF($C69=$C68,"",IF($C69="","",IF(NF($B69,"Tipo Documento")=0,"Pedido","Bulto Opaco")))</t>
  </si>
  <si>
    <t>=IF($C69=$C68,"",IF($C69="","",NF($B69,"No_")))</t>
  </si>
  <si>
    <t>=IF($C69=$C68,"",IF($C69="","",NF($B69,"No_ documento cliente")))</t>
  </si>
  <si>
    <t>=IF($C69=$C68,"",IF($C69="","",NF($B69,"Nombre punto entrega")))</t>
  </si>
  <si>
    <t>=IF($C69=$C68,"",IF($C69="","",NF($B69,"Contacto punto entrega")))</t>
  </si>
  <si>
    <t>=IF($C69=$C68,"",IF($C69="","",NF($B69,"Dirección punto entrega")))</t>
  </si>
  <si>
    <t>=IF($C69=$C68,"",IF($C69="","",NF($B69,"C_P_ punto entrega")))</t>
  </si>
  <si>
    <t>=IF($C69=$C68,"",IF($C69="","",NF($B69,"Población punto entrega")))</t>
  </si>
  <si>
    <t>=IF($C69=$C68,"",IF($C69="","",NF($B69,"Provincia punto entrega")))</t>
  </si>
  <si>
    <t>=IF($C69=$C68,"",IF($C69="","",NF($B69,"País punto entrega")))</t>
  </si>
  <si>
    <t>=IF($C69=$C68,"",IF($C69="","",NF($B69,"bultosE")))</t>
  </si>
  <si>
    <t>=IF(B69="","",IF($B69=$B68,"",ROUNDUP(NF($B69,"Peso facturable"),0)))</t>
  </si>
  <si>
    <t>=IF(OR($G69="",$G69=$G68),"",NF($B69,"manipulacion"))</t>
  </si>
  <si>
    <t>=NP("codeunit","Miscelanea","CalculaEmbalajeAlbaranPedido",G69,I69,D69,"",,,,,,,"MEDIAPOST SPAIN","Navision")</t>
  </si>
  <si>
    <t>=IF(OR($G69="",$G69=$G68),"",NF($B69,"transporte")/NF($B69,"numeroexpediciones"))</t>
  </si>
  <si>
    <t>=IF(OR($G69="",$G69=$G68),"",NF($B69,"prima")/NF($B69,"numeroexpediciones"))</t>
  </si>
  <si>
    <t>=IF(OR($G69="",$G69=$G68),"",NF($B69,"reembolso")/NF($B69,"numeroexpediciones"))</t>
  </si>
  <si>
    <t>=IF(OR($G69="",$G69=$G68),"",NF($B69,"impuestos")/NF($B69,"numeroexpediciones"))</t>
  </si>
  <si>
    <t>=IF(AJ69="","",VALUE(AJ69))</t>
  </si>
  <si>
    <t>=IF(OR($G69="",$G69=$G68),"",NF($B69,"franqueo")/NF($B69,"numeroexpediciones"))</t>
  </si>
  <si>
    <t>=IF(OR($G69="",$G69=$G68),"",NF($B69,"despacho")/NF($B69,"numeroexpediciones"))</t>
  </si>
  <si>
    <t>=IF($G69="","",IFERROR(IF(ISBLANK(Z69),0,Z69)+IF(ISBLANK(AA69),0,AA69)+IF(ISBLANK(AB69),0,AB69)+IF(ISBLANK(AC69),0,AC69)+IF(ISBLANK(AD69),0,AD69)+IF(ISBLANK(AE69),0,AE69)+IF(ISBLANK(AF69),0,AF69)+IF(ISBLANK(AG69),0,AG69)+IF(ISBLANK(AH69),0,AH69),0))</t>
  </si>
  <si>
    <t>=IF($G69="","",NL("Suma","Registro activ. Log. detallado","Importe a facturar","Id. Prefactura",IdPrefactura,"Familia concepto","GESTION","Nº documento",NF($B69,"No_"),"Tipo de documento","Pedido|Bulto opaco","Datasource=","Navision"))</t>
  </si>
  <si>
    <t>=IF($C70=$C69,"",IF($C70="","",CONCATENATE(NF($B70,"Cód_ operativa")," ",NF($B70,"Descripción"))))</t>
  </si>
  <si>
    <t>=IF($C70=$C69,"",IF($C70="","",IF(NF($B70,"Tipo Documento")=0,"Pedido","Bulto Opaco")))</t>
  </si>
  <si>
    <t>=IF($C70=$C69,"",IF($C70="","",NF($B70,"No_")))</t>
  </si>
  <si>
    <t>=IF($C70=$C69,"",IF($C70="","",NF($B70,"No_ documento cliente")))</t>
  </si>
  <si>
    <t>=IF($C70=$C69,"",IF($C70="","",NF($B70,"Nombre punto entrega")))</t>
  </si>
  <si>
    <t>=IF($C70=$C69,"",IF($C70="","",NF($B70,"Contacto punto entrega")))</t>
  </si>
  <si>
    <t>=IF($C70=$C69,"",IF($C70="","",NF($B70,"Dirección punto entrega")))</t>
  </si>
  <si>
    <t>=IF($C70=$C69,"",IF($C70="","",NF($B70,"C_P_ punto entrega")))</t>
  </si>
  <si>
    <t>=IF($C70=$C69,"",IF($C70="","",NF($B70,"Población punto entrega")))</t>
  </si>
  <si>
    <t>=IF($C70=$C69,"",IF($C70="","",NF($B70,"Provincia punto entrega")))</t>
  </si>
  <si>
    <t>=IF($C70=$C69,"",IF($C70="","",NF($B70,"País punto entrega")))</t>
  </si>
  <si>
    <t>=IF($C70=$C69,"",IF($C70="","",NF($B70,"bultosE")))</t>
  </si>
  <si>
    <t>=IF(B70="","",IF($B70=$B69,"",ROUNDUP(NF($B70,"Peso facturable"),0)))</t>
  </si>
  <si>
    <t>=IF(OR($G70="",$G70=$G69),"",NF($B70,"manipulacion"))</t>
  </si>
  <si>
    <t>=NP("codeunit","Miscelanea","CalculaEmbalajeAlbaranPedido",G70,I70,D70,"",,,,,,,"MEDIAPOST SPAIN","Navision")</t>
  </si>
  <si>
    <t>=IF(OR($G70="",$G70=$G69),"",NF($B70,"transporte")/NF($B70,"numeroexpediciones"))</t>
  </si>
  <si>
    <t>=IF(OR($G70="",$G70=$G69),"",NF($B70,"prima")/NF($B70,"numeroexpediciones"))</t>
  </si>
  <si>
    <t>=IF(OR($G70="",$G70=$G69),"",NF($B70,"reembolso")/NF($B70,"numeroexpediciones"))</t>
  </si>
  <si>
    <t>=IF(OR($G70="",$G70=$G69),"",NF($B70,"impuestos")/NF($B70,"numeroexpediciones"))</t>
  </si>
  <si>
    <t>=IF(AJ70="","",VALUE(AJ70))</t>
  </si>
  <si>
    <t>=IF(OR($G70="",$G70=$G69),"",NF($B70,"franqueo")/NF($B70,"numeroexpediciones"))</t>
  </si>
  <si>
    <t>=IF(OR($G70="",$G70=$G69),"",NF($B70,"despacho")/NF($B70,"numeroexpediciones"))</t>
  </si>
  <si>
    <t>=IF($G70="","",IFERROR(IF(ISBLANK(Z70),0,Z70)+IF(ISBLANK(AA70),0,AA70)+IF(ISBLANK(AB70),0,AB70)+IF(ISBLANK(AC70),0,AC70)+IF(ISBLANK(AD70),0,AD70)+IF(ISBLANK(AE70),0,AE70)+IF(ISBLANK(AF70),0,AF70)+IF(ISBLANK(AG70),0,AG70)+IF(ISBLANK(AH70),0,AH70),0))</t>
  </si>
  <si>
    <t>=IF($G70="","",NL("Suma","Registro activ. Log. detallado","Importe a facturar","Id. Prefactura",IdPrefactura,"Familia concepto","GESTION","Nº documento",NF($B70,"No_"),"Tipo de documento","Pedido|Bulto opaco","Datasource=","Navision"))</t>
  </si>
  <si>
    <t>=IF($C71=$C70,"",IF($C71="","",CONCATENATE(NF($B71,"Cód_ operativa")," ",NF($B71,"Descripción"))))</t>
  </si>
  <si>
    <t>=IF($C71=$C70,"",IF($C71="","",IF(NF($B71,"Tipo Documento")=0,"Pedido","Bulto Opaco")))</t>
  </si>
  <si>
    <t>=IF($C71=$C70,"",IF($C71="","",NF($B71,"No_")))</t>
  </si>
  <si>
    <t>=IF($C71=$C70,"",IF($C71="","",NF($B71,"No_ documento cliente")))</t>
  </si>
  <si>
    <t>=IF($C71=$C70,"",IF($C71="","",NF($B71,"Nombre punto entrega")))</t>
  </si>
  <si>
    <t>=IF($C71=$C70,"",IF($C71="","",NF($B71,"Contacto punto entrega")))</t>
  </si>
  <si>
    <t>=IF($C71=$C70,"",IF($C71="","",NF($B71,"Dirección punto entrega")))</t>
  </si>
  <si>
    <t>=IF($C71=$C70,"",IF($C71="","",NF($B71,"C_P_ punto entrega")))</t>
  </si>
  <si>
    <t>=IF($C71=$C70,"",IF($C71="","",NF($B71,"Población punto entrega")))</t>
  </si>
  <si>
    <t>=IF($C71=$C70,"",IF($C71="","",NF($B71,"Provincia punto entrega")))</t>
  </si>
  <si>
    <t>=IF($C71=$C70,"",IF($C71="","",NF($B71,"País punto entrega")))</t>
  </si>
  <si>
    <t>=IF($C71=$C70,"",IF($C71="","",NF($B71,"bultosE")))</t>
  </si>
  <si>
    <t>=IF(B71="","",IF($B71=$B70,"",ROUNDUP(NF($B71,"Peso facturable"),0)))</t>
  </si>
  <si>
    <t>=IF(OR($G71="",$G71=$G70),"",NF($B71,"manipulacion"))</t>
  </si>
  <si>
    <t>=NP("codeunit","Miscelanea","CalculaEmbalajeAlbaranPedido",G71,I71,D71,"",,,,,,,"MEDIAPOST SPAIN","Navision")</t>
  </si>
  <si>
    <t>=IF(OR($G71="",$G71=$G70),"",NF($B71,"transporte")/NF($B71,"numeroexpediciones"))</t>
  </si>
  <si>
    <t>=IF(OR($G71="",$G71=$G70),"",NF($B71,"prima")/NF($B71,"numeroexpediciones"))</t>
  </si>
  <si>
    <t>=IF(OR($G71="",$G71=$G70),"",NF($B71,"reembolso")/NF($B71,"numeroexpediciones"))</t>
  </si>
  <si>
    <t>=IF(OR($G71="",$G71=$G70),"",NF($B71,"impuestos")/NF($B71,"numeroexpediciones"))</t>
  </si>
  <si>
    <t>=IF(AJ71="","",VALUE(AJ71))</t>
  </si>
  <si>
    <t>=IF(OR($G71="",$G71=$G70),"",NF($B71,"franqueo")/NF($B71,"numeroexpediciones"))</t>
  </si>
  <si>
    <t>=IF(OR($G71="",$G71=$G70),"",NF($B71,"despacho")/NF($B71,"numeroexpediciones"))</t>
  </si>
  <si>
    <t>=IF($G71="","",IFERROR(IF(ISBLANK(Z71),0,Z71)+IF(ISBLANK(AA71),0,AA71)+IF(ISBLANK(AB71),0,AB71)+IF(ISBLANK(AC71),0,AC71)+IF(ISBLANK(AD71),0,AD71)+IF(ISBLANK(AE71),0,AE71)+IF(ISBLANK(AF71),0,AF71)+IF(ISBLANK(AG71),0,AG71)+IF(ISBLANK(AH71),0,AH71),0))</t>
  </si>
  <si>
    <t>=IF($G71="","",NL("Suma","Registro activ. Log. detallado","Importe a facturar","Id. Prefactura",IdPrefactura,"Familia concepto","GESTION","Nº documento",NF($B71,"No_"),"Tipo de documento","Pedido|Bulto opaco","Datasource=","Navision"))</t>
  </si>
  <si>
    <t>=IF($C72=$C71,"",IF($C72="","",CONCATENATE(NF($B72,"Cód_ operativa")," ",NF($B72,"Descripción"))))</t>
  </si>
  <si>
    <t>=IF($C72=$C71,"",IF($C72="","",IF(NF($B72,"Tipo Documento")=0,"Pedido","Bulto Opaco")))</t>
  </si>
  <si>
    <t>=IF($C72=$C71,"",IF($C72="","",NF($B72,"No_")))</t>
  </si>
  <si>
    <t>=IF($C72=$C71,"",IF($C72="","",NF($B72,"No_ documento cliente")))</t>
  </si>
  <si>
    <t>=IF($C72=$C71,"",IF($C72="","",NF($B72,"Nombre punto entrega")))</t>
  </si>
  <si>
    <t>=IF($C72=$C71,"",IF($C72="","",NF($B72,"Contacto punto entrega")))</t>
  </si>
  <si>
    <t>=IF($C72=$C71,"",IF($C72="","",NF($B72,"Dirección punto entrega")))</t>
  </si>
  <si>
    <t>=IF($C72=$C71,"",IF($C72="","",NF($B72,"C_P_ punto entrega")))</t>
  </si>
  <si>
    <t>=IF($C72=$C71,"",IF($C72="","",NF($B72,"Población punto entrega")))</t>
  </si>
  <si>
    <t>=IF($C72=$C71,"",IF($C72="","",NF($B72,"Provincia punto entrega")))</t>
  </si>
  <si>
    <t>=IF($C72=$C71,"",IF($C72="","",NF($B72,"País punto entrega")))</t>
  </si>
  <si>
    <t>=IF($C72=$C71,"",IF($C72="","",NF($B72,"bultosE")))</t>
  </si>
  <si>
    <t>=IF(B72="","",IF($B72=$B71,"",ROUNDUP(NF($B72,"Peso facturable"),0)))</t>
  </si>
  <si>
    <t>=IF(OR($G72="",$G72=$G71),"",NF($B72,"manipulacion"))</t>
  </si>
  <si>
    <t>=NP("codeunit","Miscelanea","CalculaEmbalajeAlbaranPedido",G72,I72,D72,"",,,,,,,"MEDIAPOST SPAIN","Navision")</t>
  </si>
  <si>
    <t>=IF(OR($G72="",$G72=$G71),"",NF($B72,"transporte")/NF($B72,"numeroexpediciones"))</t>
  </si>
  <si>
    <t>=IF(OR($G72="",$G72=$G71),"",NF($B72,"prima")/NF($B72,"numeroexpediciones"))</t>
  </si>
  <si>
    <t>=IF(OR($G72="",$G72=$G71),"",NF($B72,"reembolso")/NF($B72,"numeroexpediciones"))</t>
  </si>
  <si>
    <t>=IF(OR($G72="",$G72=$G71),"",NF($B72,"impuestos")/NF($B72,"numeroexpediciones"))</t>
  </si>
  <si>
    <t>=IF(AJ72="","",VALUE(AJ72))</t>
  </si>
  <si>
    <t>=IF(OR($G72="",$G72=$G71),"",NF($B72,"franqueo")/NF($B72,"numeroexpediciones"))</t>
  </si>
  <si>
    <t>=IF(OR($G72="",$G72=$G71),"",NF($B72,"despacho")/NF($B72,"numeroexpediciones"))</t>
  </si>
  <si>
    <t>=IF($G72="","",IFERROR(IF(ISBLANK(Z72),0,Z72)+IF(ISBLANK(AA72),0,AA72)+IF(ISBLANK(AB72),0,AB72)+IF(ISBLANK(AC72),0,AC72)+IF(ISBLANK(AD72),0,AD72)+IF(ISBLANK(AE72),0,AE72)+IF(ISBLANK(AF72),0,AF72)+IF(ISBLANK(AG72),0,AG72)+IF(ISBLANK(AH72),0,AH72),0))</t>
  </si>
  <si>
    <t>=IF($G72="","",NL("Suma","Registro activ. Log. detallado","Importe a facturar","Id. Prefactura",IdPrefactura,"Familia concepto","GESTION","Nº documento",NF($B72,"No_"),"Tipo de documento","Pedido|Bulto opaco","Datasource=","Navision"))</t>
  </si>
  <si>
    <t>=IF($C73=$C72,"",IF($C73="","",CONCATENATE(NF($B73,"Cód_ operativa")," ",NF($B73,"Descripción"))))</t>
  </si>
  <si>
    <t>=IF($C73=$C72,"",IF($C73="","",IF(NF($B73,"Tipo Documento")=0,"Pedido","Bulto Opaco")))</t>
  </si>
  <si>
    <t>=IF($C73=$C72,"",IF($C73="","",NF($B73,"No_")))</t>
  </si>
  <si>
    <t>=IF($C73=$C72,"",IF($C73="","",NF($B73,"No_ documento cliente")))</t>
  </si>
  <si>
    <t>=IF($C73=$C72,"",IF($C73="","",NF($B73,"Nombre punto entrega")))</t>
  </si>
  <si>
    <t>=IF($C73=$C72,"",IF($C73="","",NF($B73,"Contacto punto entrega")))</t>
  </si>
  <si>
    <t>=IF($C73=$C72,"",IF($C73="","",NF($B73,"Dirección punto entrega")))</t>
  </si>
  <si>
    <t>=IF($C73=$C72,"",IF($C73="","",NF($B73,"C_P_ punto entrega")))</t>
  </si>
  <si>
    <t>=IF($C73=$C72,"",IF($C73="","",NF($B73,"Población punto entrega")))</t>
  </si>
  <si>
    <t>=IF($C73=$C72,"",IF($C73="","",NF($B73,"Provincia punto entrega")))</t>
  </si>
  <si>
    <t>=IF($C73=$C72,"",IF($C73="","",NF($B73,"País punto entrega")))</t>
  </si>
  <si>
    <t>=IF($C73=$C72,"",IF($C73="","",NF($B73,"bultosE")))</t>
  </si>
  <si>
    <t>=IF(B73="","",IF($B73=$B72,"",ROUNDUP(NF($B73,"Peso facturable"),0)))</t>
  </si>
  <si>
    <t>=IF(OR($G73="",$G73=$G72),"",NF($B73,"manipulacion"))</t>
  </si>
  <si>
    <t>=NP("codeunit","Miscelanea","CalculaEmbalajeAlbaranPedido",G73,I73,D73,"",,,,,,,"MEDIAPOST SPAIN","Navision")</t>
  </si>
  <si>
    <t>=IF(OR($G73="",$G73=$G72),"",NF($B73,"transporte")/NF($B73,"numeroexpediciones"))</t>
  </si>
  <si>
    <t>=IF(OR($G73="",$G73=$G72),"",NF($B73,"prima")/NF($B73,"numeroexpediciones"))</t>
  </si>
  <si>
    <t>=IF(OR($G73="",$G73=$G72),"",NF($B73,"reembolso")/NF($B73,"numeroexpediciones"))</t>
  </si>
  <si>
    <t>=IF(OR($G73="",$G73=$G72),"",NF($B73,"impuestos")/NF($B73,"numeroexpediciones"))</t>
  </si>
  <si>
    <t>=IF(AJ73="","",VALUE(AJ73))</t>
  </si>
  <si>
    <t>=IF(OR($G73="",$G73=$G72),"",NF($B73,"franqueo")/NF($B73,"numeroexpediciones"))</t>
  </si>
  <si>
    <t>=IF(OR($G73="",$G73=$G72),"",NF($B73,"despacho")/NF($B73,"numeroexpediciones"))</t>
  </si>
  <si>
    <t>=IF($G73="","",IFERROR(IF(ISBLANK(Z73),0,Z73)+IF(ISBLANK(AA73),0,AA73)+IF(ISBLANK(AB73),0,AB73)+IF(ISBLANK(AC73),0,AC73)+IF(ISBLANK(AD73),0,AD73)+IF(ISBLANK(AE73),0,AE73)+IF(ISBLANK(AF73),0,AF73)+IF(ISBLANK(AG73),0,AG73)+IF(ISBLANK(AH73),0,AH73),0))</t>
  </si>
  <si>
    <t>=IF($G73="","",NL("Suma","Registro activ. Log. detallado","Importe a facturar","Id. Prefactura",IdPrefactura,"Familia concepto","GESTION","Nº documento",NF($B73,"No_"),"Tipo de documento","Pedido|Bulto opaco","Datasource=","Navision"))</t>
  </si>
  <si>
    <t>=IF($C74=$C73,"",IF($C74="","",CONCATENATE(NF($B74,"Cód_ operativa")," ",NF($B74,"Descripción"))))</t>
  </si>
  <si>
    <t>=IF($C74=$C73,"",IF($C74="","",IF(NF($B74,"Tipo Documento")=0,"Pedido","Bulto Opaco")))</t>
  </si>
  <si>
    <t>=IF($C74=$C73,"",IF($C74="","",NF($B74,"No_")))</t>
  </si>
  <si>
    <t>=IF($C74=$C73,"",IF($C74="","",NF($B74,"No_ documento cliente")))</t>
  </si>
  <si>
    <t>=IF($C74=$C73,"",IF($C74="","",NF($B74,"Nombre punto entrega")))</t>
  </si>
  <si>
    <t>=IF($C74=$C73,"",IF($C74="","",NF($B74,"Contacto punto entrega")))</t>
  </si>
  <si>
    <t>=IF($C74=$C73,"",IF($C74="","",NF($B74,"Dirección punto entrega")))</t>
  </si>
  <si>
    <t>=IF($C74=$C73,"",IF($C74="","",NF($B74,"C_P_ punto entrega")))</t>
  </si>
  <si>
    <t>=IF($C74=$C73,"",IF($C74="","",NF($B74,"Población punto entrega")))</t>
  </si>
  <si>
    <t>=IF($C74=$C73,"",IF($C74="","",NF($B74,"Provincia punto entrega")))</t>
  </si>
  <si>
    <t>=IF($C74=$C73,"",IF($C74="","",NF($B74,"País punto entrega")))</t>
  </si>
  <si>
    <t>=IF($C74=$C73,"",IF($C74="","",NF($B74,"bultosE")))</t>
  </si>
  <si>
    <t>=IF(B74="","",IF($B74=$B73,"",ROUNDUP(NF($B74,"Peso facturable"),0)))</t>
  </si>
  <si>
    <t>=IF(OR($G74="",$G74=$G73),"",NF($B74,"manipulacion"))</t>
  </si>
  <si>
    <t>=NP("codeunit","Miscelanea","CalculaEmbalajeAlbaranPedido",G74,I74,D74,"",,,,,,,"MEDIAPOST SPAIN","Navision")</t>
  </si>
  <si>
    <t>=IF(OR($G74="",$G74=$G73),"",NF($B74,"transporte")/NF($B74,"numeroexpediciones"))</t>
  </si>
  <si>
    <t>=IF(OR($G74="",$G74=$G73),"",NF($B74,"prima")/NF($B74,"numeroexpediciones"))</t>
  </si>
  <si>
    <t>=IF(OR($G74="",$G74=$G73),"",NF($B74,"reembolso")/NF($B74,"numeroexpediciones"))</t>
  </si>
  <si>
    <t>=IF(OR($G74="",$G74=$G73),"",NF($B74,"impuestos")/NF($B74,"numeroexpediciones"))</t>
  </si>
  <si>
    <t>=IF(AJ74="","",VALUE(AJ74))</t>
  </si>
  <si>
    <t>=IF(OR($G74="",$G74=$G73),"",NF($B74,"franqueo")/NF($B74,"numeroexpediciones"))</t>
  </si>
  <si>
    <t>=IF(OR($G74="",$G74=$G73),"",NF($B74,"despacho")/NF($B74,"numeroexpediciones"))</t>
  </si>
  <si>
    <t>=IF($G74="","",IFERROR(IF(ISBLANK(Z74),0,Z74)+IF(ISBLANK(AA74),0,AA74)+IF(ISBLANK(AB74),0,AB74)+IF(ISBLANK(AC74),0,AC74)+IF(ISBLANK(AD74),0,AD74)+IF(ISBLANK(AE74),0,AE74)+IF(ISBLANK(AF74),0,AF74)+IF(ISBLANK(AG74),0,AG74)+IF(ISBLANK(AH74),0,AH74),0))</t>
  </si>
  <si>
    <t>=IF($G74="","",NL("Suma","Registro activ. Log. detallado","Importe a facturar","Id. Prefactura",IdPrefactura,"Familia concepto","GESTION","Nº documento",NF($B74,"No_"),"Tipo de documento","Pedido|Bulto opaco","Datasource=","Navision"))</t>
  </si>
  <si>
    <t>=IF($C75=$C74,"",IF($C75="","",CONCATENATE(NF($B75,"Cód_ operativa")," ",NF($B75,"Descripción"))))</t>
  </si>
  <si>
    <t>=IF($C75=$C74,"",IF($C75="","",IF(NF($B75,"Tipo Documento")=0,"Pedido","Bulto Opaco")))</t>
  </si>
  <si>
    <t>=IF($C75=$C74,"",IF($C75="","",NF($B75,"No_")))</t>
  </si>
  <si>
    <t>=IF($C75=$C74,"",IF($C75="","",NF($B75,"No_ documento cliente")))</t>
  </si>
  <si>
    <t>=IF($C75=$C74,"",IF($C75="","",NF($B75,"Nombre punto entrega")))</t>
  </si>
  <si>
    <t>=IF($C75=$C74,"",IF($C75="","",NF($B75,"Contacto punto entrega")))</t>
  </si>
  <si>
    <t>=IF($C75=$C74,"",IF($C75="","",NF($B75,"Dirección punto entrega")))</t>
  </si>
  <si>
    <t>=IF($C75=$C74,"",IF($C75="","",NF($B75,"C_P_ punto entrega")))</t>
  </si>
  <si>
    <t>=IF($C75=$C74,"",IF($C75="","",NF($B75,"Población punto entrega")))</t>
  </si>
  <si>
    <t>=IF($C75=$C74,"",IF($C75="","",NF($B75,"Provincia punto entrega")))</t>
  </si>
  <si>
    <t>=IF($C75=$C74,"",IF($C75="","",NF($B75,"País punto entrega")))</t>
  </si>
  <si>
    <t>=IF($C75=$C74,"",IF($C75="","",NF($B75,"bultosE")))</t>
  </si>
  <si>
    <t>=IF(B75="","",IF($B75=$B74,"",ROUNDUP(NF($B75,"Peso facturable"),0)))</t>
  </si>
  <si>
    <t>=IF(OR($G75="",$G75=$G74),"",NF($B75,"manipulacion"))</t>
  </si>
  <si>
    <t>=NP("codeunit","Miscelanea","CalculaEmbalajeAlbaranPedido",G75,I75,D75,"",,,,,,,"MEDIAPOST SPAIN","Navision")</t>
  </si>
  <si>
    <t>=IF(OR($G75="",$G75=$G74),"",NF($B75,"transporte")/NF($B75,"numeroexpediciones"))</t>
  </si>
  <si>
    <t>=IF(OR($G75="",$G75=$G74),"",NF($B75,"prima")/NF($B75,"numeroexpediciones"))</t>
  </si>
  <si>
    <t>=IF(OR($G75="",$G75=$G74),"",NF($B75,"reembolso")/NF($B75,"numeroexpediciones"))</t>
  </si>
  <si>
    <t>=IF(OR($G75="",$G75=$G74),"",NF($B75,"impuestos")/NF($B75,"numeroexpediciones"))</t>
  </si>
  <si>
    <t>=IF(AJ75="","",VALUE(AJ75))</t>
  </si>
  <si>
    <t>=IF(OR($G75="",$G75=$G74),"",NF($B75,"franqueo")/NF($B75,"numeroexpediciones"))</t>
  </si>
  <si>
    <t>=IF(OR($G75="",$G75=$G74),"",NF($B75,"despacho")/NF($B75,"numeroexpediciones"))</t>
  </si>
  <si>
    <t>=IF($G75="","",IFERROR(IF(ISBLANK(Z75),0,Z75)+IF(ISBLANK(AA75),0,AA75)+IF(ISBLANK(AB75),0,AB75)+IF(ISBLANK(AC75),0,AC75)+IF(ISBLANK(AD75),0,AD75)+IF(ISBLANK(AE75),0,AE75)+IF(ISBLANK(AF75),0,AF75)+IF(ISBLANK(AG75),0,AG75)+IF(ISBLANK(AH75),0,AH75),0))</t>
  </si>
  <si>
    <t>=IF($G75="","",NL("Suma","Registro activ. Log. detallado","Importe a facturar","Id. Prefactura",IdPrefactura,"Familia concepto","GESTION","Nº documento",NF($B75,"No_"),"Tipo de documento","Pedido|Bulto opaco","Datasource=","Navision"))</t>
  </si>
  <si>
    <t>=IF($C76=$C75,"",IF($C76="","",CONCATENATE(NF($B76,"Cód_ operativa")," ",NF($B76,"Descripción"))))</t>
  </si>
  <si>
    <t>=IF($C76=$C75,"",IF($C76="","",IF(NF($B76,"Tipo Documento")=0,"Pedido","Bulto Opaco")))</t>
  </si>
  <si>
    <t>=IF($C76=$C75,"",IF($C76="","",NF($B76,"No_")))</t>
  </si>
  <si>
    <t>=IF($C76=$C75,"",IF($C76="","",NF($B76,"No_ documento cliente")))</t>
  </si>
  <si>
    <t>=IF($C76=$C75,"",IF($C76="","",NF($B76,"Nombre punto entrega")))</t>
  </si>
  <si>
    <t>=IF($C76=$C75,"",IF($C76="","",NF($B76,"Contacto punto entrega")))</t>
  </si>
  <si>
    <t>=IF($C76=$C75,"",IF($C76="","",NF($B76,"Dirección punto entrega")))</t>
  </si>
  <si>
    <t>=IF($C76=$C75,"",IF($C76="","",NF($B76,"C_P_ punto entrega")))</t>
  </si>
  <si>
    <t>=IF($C76=$C75,"",IF($C76="","",NF($B76,"Población punto entrega")))</t>
  </si>
  <si>
    <t>=IF($C76=$C75,"",IF($C76="","",NF($B76,"Provincia punto entrega")))</t>
  </si>
  <si>
    <t>=IF($C76=$C75,"",IF($C76="","",NF($B76,"País punto entrega")))</t>
  </si>
  <si>
    <t>=IF($C76=$C75,"",IF($C76="","",NF($B76,"bultosE")))</t>
  </si>
  <si>
    <t>=IF(B76="","",IF($B76=$B75,"",ROUNDUP(NF($B76,"Peso facturable"),0)))</t>
  </si>
  <si>
    <t>=IF(OR($G76="",$G76=$G75),"",NF($B76,"manipulacion"))</t>
  </si>
  <si>
    <t>=NP("codeunit","Miscelanea","CalculaEmbalajeAlbaranPedido",G76,I76,D76,"",,,,,,,"MEDIAPOST SPAIN","Navision")</t>
  </si>
  <si>
    <t>=IF(OR($G76="",$G76=$G75),"",NF($B76,"transporte")/NF($B76,"numeroexpediciones"))</t>
  </si>
  <si>
    <t>=IF(OR($G76="",$G76=$G75),"",NF($B76,"prima")/NF($B76,"numeroexpediciones"))</t>
  </si>
  <si>
    <t>=IF(OR($G76="",$G76=$G75),"",NF($B76,"reembolso")/NF($B76,"numeroexpediciones"))</t>
  </si>
  <si>
    <t>=IF(OR($G76="",$G76=$G75),"",NF($B76,"impuestos")/NF($B76,"numeroexpediciones"))</t>
  </si>
  <si>
    <t>=IF(AJ76="","",VALUE(AJ76))</t>
  </si>
  <si>
    <t>=IF(OR($G76="",$G76=$G75),"",NF($B76,"franqueo")/NF($B76,"numeroexpediciones"))</t>
  </si>
  <si>
    <t>=IF(OR($G76="",$G76=$G75),"",NF($B76,"despacho")/NF($B76,"numeroexpediciones"))</t>
  </si>
  <si>
    <t>=IF($G76="","",IFERROR(IF(ISBLANK(Z76),0,Z76)+IF(ISBLANK(AA76),0,AA76)+IF(ISBLANK(AB76),0,AB76)+IF(ISBLANK(AC76),0,AC76)+IF(ISBLANK(AD76),0,AD76)+IF(ISBLANK(AE76),0,AE76)+IF(ISBLANK(AF76),0,AF76)+IF(ISBLANK(AG76),0,AG76)+IF(ISBLANK(AH76),0,AH76),0))</t>
  </si>
  <si>
    <t>=IF($G76="","",NL("Suma","Registro activ. Log. detallado","Importe a facturar","Id. Prefactura",IdPrefactura,"Familia concepto","GESTION","Nº documento",NF($B76,"No_"),"Tipo de documento","Pedido|Bulto opaco","Datasource=","Navision"))</t>
  </si>
  <si>
    <t>=IF($C77=$C76,"",IF($C77="","",CONCATENATE(NF($B77,"Cód_ operativa")," ",NF($B77,"Descripción"))))</t>
  </si>
  <si>
    <t>=IF($C77=$C76,"",IF($C77="","",IF(NF($B77,"Tipo Documento")=0,"Pedido","Bulto Opaco")))</t>
  </si>
  <si>
    <t>=IF($C77=$C76,"",IF($C77="","",NF($B77,"No_")))</t>
  </si>
  <si>
    <t>=IF($C77=$C76,"",IF($C77="","",NF($B77,"No_ documento cliente")))</t>
  </si>
  <si>
    <t>=IF($C77=$C76,"",IF($C77="","",NF($B77,"Nombre punto entrega")))</t>
  </si>
  <si>
    <t>=IF($C77=$C76,"",IF($C77="","",NF($B77,"Contacto punto entrega")))</t>
  </si>
  <si>
    <t>=IF($C77=$C76,"",IF($C77="","",NF($B77,"Dirección punto entrega")))</t>
  </si>
  <si>
    <t>=IF($C77=$C76,"",IF($C77="","",NF($B77,"C_P_ punto entrega")))</t>
  </si>
  <si>
    <t>=IF($C77=$C76,"",IF($C77="","",NF($B77,"Población punto entrega")))</t>
  </si>
  <si>
    <t>=IF($C77=$C76,"",IF($C77="","",NF($B77,"Provincia punto entrega")))</t>
  </si>
  <si>
    <t>=IF($C77=$C76,"",IF($C77="","",NF($B77,"País punto entrega")))</t>
  </si>
  <si>
    <t>=IF($C77=$C76,"",IF($C77="","",NF($B77,"bultosE")))</t>
  </si>
  <si>
    <t>=IF(B77="","",IF($B77=$B76,"",ROUNDUP(NF($B77,"Peso facturable"),0)))</t>
  </si>
  <si>
    <t>=IF(OR($G77="",$G77=$G76),"",NF($B77,"manipulacion"))</t>
  </si>
  <si>
    <t>=NP("codeunit","Miscelanea","CalculaEmbalajeAlbaranPedido",G77,I77,D77,"",,,,,,,"MEDIAPOST SPAIN","Navision")</t>
  </si>
  <si>
    <t>=IF(OR($G77="",$G77=$G76),"",NF($B77,"transporte")/NF($B77,"numeroexpediciones"))</t>
  </si>
  <si>
    <t>=IF(OR($G77="",$G77=$G76),"",NF($B77,"prima")/NF($B77,"numeroexpediciones"))</t>
  </si>
  <si>
    <t>=IF(OR($G77="",$G77=$G76),"",NF($B77,"reembolso")/NF($B77,"numeroexpediciones"))</t>
  </si>
  <si>
    <t>=IF(OR($G77="",$G77=$G76),"",NF($B77,"impuestos")/NF($B77,"numeroexpediciones"))</t>
  </si>
  <si>
    <t>=IF(AJ77="","",VALUE(AJ77))</t>
  </si>
  <si>
    <t>=IF(OR($G77="",$G77=$G76),"",NF($B77,"franqueo")/NF($B77,"numeroexpediciones"))</t>
  </si>
  <si>
    <t>=IF(OR($G77="",$G77=$G76),"",NF($B77,"despacho")/NF($B77,"numeroexpediciones"))</t>
  </si>
  <si>
    <t>=IF($G77="","",IFERROR(IF(ISBLANK(Z77),0,Z77)+IF(ISBLANK(AA77),0,AA77)+IF(ISBLANK(AB77),0,AB77)+IF(ISBLANK(AC77),0,AC77)+IF(ISBLANK(AD77),0,AD77)+IF(ISBLANK(AE77),0,AE77)+IF(ISBLANK(AF77),0,AF77)+IF(ISBLANK(AG77),0,AG77)+IF(ISBLANK(AH77),0,AH77),0))</t>
  </si>
  <si>
    <t>=IF($G77="","",NL("Suma","Registro activ. Log. detallado","Importe a facturar","Id. Prefactura",IdPrefactura,"Familia concepto","GESTION","Nº documento",NF($B77,"No_"),"Tipo de documento","Pedido|Bulto opaco","Datasource=","Navision"))</t>
  </si>
  <si>
    <t>=IF($C78=$C77,"",IF($C78="","",CONCATENATE(NF($B78,"Cód_ operativa")," ",NF($B78,"Descripción"))))</t>
  </si>
  <si>
    <t>=IF($C78=$C77,"",IF($C78="","",IF(NF($B78,"Tipo Documento")=0,"Pedido","Bulto Opaco")))</t>
  </si>
  <si>
    <t>=IF($C78=$C77,"",IF($C78="","",NF($B78,"No_")))</t>
  </si>
  <si>
    <t>=IF($C78=$C77,"",IF($C78="","",NF($B78,"No_ documento cliente")))</t>
  </si>
  <si>
    <t>=IF($C78=$C77,"",IF($C78="","",NF($B78,"Nombre punto entrega")))</t>
  </si>
  <si>
    <t>=IF($C78=$C77,"",IF($C78="","",NF($B78,"Contacto punto entrega")))</t>
  </si>
  <si>
    <t>=IF($C78=$C77,"",IF($C78="","",NF($B78,"Dirección punto entrega")))</t>
  </si>
  <si>
    <t>=IF($C78=$C77,"",IF($C78="","",NF($B78,"C_P_ punto entrega")))</t>
  </si>
  <si>
    <t>=IF($C78=$C77,"",IF($C78="","",NF($B78,"Población punto entrega")))</t>
  </si>
  <si>
    <t>=IF($C78=$C77,"",IF($C78="","",NF($B78,"Provincia punto entrega")))</t>
  </si>
  <si>
    <t>=IF($C78=$C77,"",IF($C78="","",NF($B78,"País punto entrega")))</t>
  </si>
  <si>
    <t>=IF($C78=$C77,"",IF($C78="","",NF($B78,"bultosE")))</t>
  </si>
  <si>
    <t>=IF(B78="","",IF($B78=$B77,"",ROUNDUP(NF($B78,"Peso facturable"),0)))</t>
  </si>
  <si>
    <t>=IF(OR($G78="",$G78=$G77),"",NF($B78,"manipulacion"))</t>
  </si>
  <si>
    <t>=NP("codeunit","Miscelanea","CalculaEmbalajeAlbaranPedido",G78,I78,D78,"",,,,,,,"MEDIAPOST SPAIN","Navision")</t>
  </si>
  <si>
    <t>=IF(OR($G78="",$G78=$G77),"",NF($B78,"transporte")/NF($B78,"numeroexpediciones"))</t>
  </si>
  <si>
    <t>=IF(OR($G78="",$G78=$G77),"",NF($B78,"prima")/NF($B78,"numeroexpediciones"))</t>
  </si>
  <si>
    <t>=IF(OR($G78="",$G78=$G77),"",NF($B78,"reembolso")/NF($B78,"numeroexpediciones"))</t>
  </si>
  <si>
    <t>=IF(OR($G78="",$G78=$G77),"",NF($B78,"impuestos")/NF($B78,"numeroexpediciones"))</t>
  </si>
  <si>
    <t>=IF(AJ78="","",VALUE(AJ78))</t>
  </si>
  <si>
    <t>=IF(OR($G78="",$G78=$G77),"",NF($B78,"franqueo")/NF($B78,"numeroexpediciones"))</t>
  </si>
  <si>
    <t>=IF(OR($G78="",$G78=$G77),"",NF($B78,"despacho")/NF($B78,"numeroexpediciones"))</t>
  </si>
  <si>
    <t>=IF($G78="","",IFERROR(IF(ISBLANK(Z78),0,Z78)+IF(ISBLANK(AA78),0,AA78)+IF(ISBLANK(AB78),0,AB78)+IF(ISBLANK(AC78),0,AC78)+IF(ISBLANK(AD78),0,AD78)+IF(ISBLANK(AE78),0,AE78)+IF(ISBLANK(AF78),0,AF78)+IF(ISBLANK(AG78),0,AG78)+IF(ISBLANK(AH78),0,AH78),0))</t>
  </si>
  <si>
    <t>=IF($G78="","",NL("Suma","Registro activ. Log. detallado","Importe a facturar","Id. Prefactura",IdPrefactura,"Familia concepto","GESTION","Nº documento",NF($B78,"No_"),"Tipo de documento","Pedido|Bulto opaco","Datasource=","Navision"))</t>
  </si>
  <si>
    <t>=IF($C79=$C78,"",IF($C79="","",CONCATENATE(NF($B79,"Cód_ operativa")," ",NF($B79,"Descripción"))))</t>
  </si>
  <si>
    <t>=IF($C79=$C78,"",IF($C79="","",IF(NF($B79,"Tipo Documento")=0,"Pedido","Bulto Opaco")))</t>
  </si>
  <si>
    <t>=IF($C79=$C78,"",IF($C79="","",NF($B79,"No_")))</t>
  </si>
  <si>
    <t>=IF($C79=$C78,"",IF($C79="","",NF($B79,"No_ documento cliente")))</t>
  </si>
  <si>
    <t>=IF($C79=$C78,"",IF($C79="","",NF($B79,"Nombre punto entrega")))</t>
  </si>
  <si>
    <t>=IF($C79=$C78,"",IF($C79="","",NF($B79,"Contacto punto entrega")))</t>
  </si>
  <si>
    <t>=IF($C79=$C78,"",IF($C79="","",NF($B79,"Dirección punto entrega")))</t>
  </si>
  <si>
    <t>=IF($C79=$C78,"",IF($C79="","",NF($B79,"C_P_ punto entrega")))</t>
  </si>
  <si>
    <t>=IF($C79=$C78,"",IF($C79="","",NF($B79,"Población punto entrega")))</t>
  </si>
  <si>
    <t>=IF($C79=$C78,"",IF($C79="","",NF($B79,"Provincia punto entrega")))</t>
  </si>
  <si>
    <t>=IF($C79=$C78,"",IF($C79="","",NF($B79,"País punto entrega")))</t>
  </si>
  <si>
    <t>=IF($C79=$C78,"",IF($C79="","",NF($B79,"bultosE")))</t>
  </si>
  <si>
    <t>=IF(B79="","",IF($B79=$B78,"",ROUNDUP(NF($B79,"Peso facturable"),0)))</t>
  </si>
  <si>
    <t>=IF(OR($G79="",$G79=$G78),"",NF($B79,"manipulacion"))</t>
  </si>
  <si>
    <t>=NP("codeunit","Miscelanea","CalculaEmbalajeAlbaranPedido",G79,I79,D79,"",,,,,,,"MEDIAPOST SPAIN","Navision")</t>
  </si>
  <si>
    <t>=IF(OR($G79="",$G79=$G78),"",NF($B79,"transporte")/NF($B79,"numeroexpediciones"))</t>
  </si>
  <si>
    <t>=IF(OR($G79="",$G79=$G78),"",NF($B79,"prima")/NF($B79,"numeroexpediciones"))</t>
  </si>
  <si>
    <t>=IF(OR($G79="",$G79=$G78),"",NF($B79,"reembolso")/NF($B79,"numeroexpediciones"))</t>
  </si>
  <si>
    <t>=IF(OR($G79="",$G79=$G78),"",NF($B79,"impuestos")/NF($B79,"numeroexpediciones"))</t>
  </si>
  <si>
    <t>=IF(AJ79="","",VALUE(AJ79))</t>
  </si>
  <si>
    <t>=IF(OR($G79="",$G79=$G78),"",NF($B79,"franqueo")/NF($B79,"numeroexpediciones"))</t>
  </si>
  <si>
    <t>=IF(OR($G79="",$G79=$G78),"",NF($B79,"despacho")/NF($B79,"numeroexpediciones"))</t>
  </si>
  <si>
    <t>=IF($G79="","",IFERROR(IF(ISBLANK(Z79),0,Z79)+IF(ISBLANK(AA79),0,AA79)+IF(ISBLANK(AB79),0,AB79)+IF(ISBLANK(AC79),0,AC79)+IF(ISBLANK(AD79),0,AD79)+IF(ISBLANK(AE79),0,AE79)+IF(ISBLANK(AF79),0,AF79)+IF(ISBLANK(AG79),0,AG79)+IF(ISBLANK(AH79),0,AH79),0))</t>
  </si>
  <si>
    <t>=IF($G79="","",NL("Suma","Registro activ. Log. detallado","Importe a facturar","Id. Prefactura",IdPrefactura,"Familia concepto","GESTION","Nº documento",NF($B79,"No_"),"Tipo de documento","Pedido|Bulto opaco","Datasource=","Navision"))</t>
  </si>
  <si>
    <t>=IF($C80=$C79,"",IF($C80="","",CONCATENATE(NF($B80,"Cód_ operativa")," ",NF($B80,"Descripción"))))</t>
  </si>
  <si>
    <t>=IF($C80=$C79,"",IF($C80="","",IF(NF($B80,"Tipo Documento")=0,"Pedido","Bulto Opaco")))</t>
  </si>
  <si>
    <t>=IF($C80=$C79,"",IF($C80="","",NF($B80,"No_")))</t>
  </si>
  <si>
    <t>=IF($C80=$C79,"",IF($C80="","",NF($B80,"No_ documento cliente")))</t>
  </si>
  <si>
    <t>=IF($C80=$C79,"",IF($C80="","",NF($B80,"Nombre punto entrega")))</t>
  </si>
  <si>
    <t>=IF($C80=$C79,"",IF($C80="","",NF($B80,"Contacto punto entrega")))</t>
  </si>
  <si>
    <t>=IF($C80=$C79,"",IF($C80="","",NF($B80,"Dirección punto entrega")))</t>
  </si>
  <si>
    <t>=IF($C80=$C79,"",IF($C80="","",NF($B80,"C_P_ punto entrega")))</t>
  </si>
  <si>
    <t>=IF($C80=$C79,"",IF($C80="","",NF($B80,"Población punto entrega")))</t>
  </si>
  <si>
    <t>=IF($C80=$C79,"",IF($C80="","",NF($B80,"Provincia punto entrega")))</t>
  </si>
  <si>
    <t>=IF($C80=$C79,"",IF($C80="","",NF($B80,"País punto entrega")))</t>
  </si>
  <si>
    <t>=IF($C80=$C79,"",IF($C80="","",NF($B80,"bultosE")))</t>
  </si>
  <si>
    <t>=IF(B80="","",IF($B80=$B79,"",ROUNDUP(NF($B80,"Peso facturable"),0)))</t>
  </si>
  <si>
    <t>=IF(OR($G80="",$G80=$G79),"",NF($B80,"manipulacion"))</t>
  </si>
  <si>
    <t>=NP("codeunit","Miscelanea","CalculaEmbalajeAlbaranPedido",G80,I80,D80,"",,,,,,,"MEDIAPOST SPAIN","Navision")</t>
  </si>
  <si>
    <t>=IF(OR($G80="",$G80=$G79),"",NF($B80,"transporte")/NF($B80,"numeroexpediciones"))</t>
  </si>
  <si>
    <t>=IF(OR($G80="",$G80=$G79),"",NF($B80,"prima")/NF($B80,"numeroexpediciones"))</t>
  </si>
  <si>
    <t>=IF(OR($G80="",$G80=$G79),"",NF($B80,"reembolso")/NF($B80,"numeroexpediciones"))</t>
  </si>
  <si>
    <t>=IF(OR($G80="",$G80=$G79),"",NF($B80,"impuestos")/NF($B80,"numeroexpediciones"))</t>
  </si>
  <si>
    <t>=IF(AJ80="","",VALUE(AJ80))</t>
  </si>
  <si>
    <t>=IF(OR($G80="",$G80=$G79),"",NF($B80,"franqueo")/NF($B80,"numeroexpediciones"))</t>
  </si>
  <si>
    <t>=IF(OR($G80="",$G80=$G79),"",NF($B80,"despacho")/NF($B80,"numeroexpediciones"))</t>
  </si>
  <si>
    <t>=IF($G80="","",IFERROR(IF(ISBLANK(Z80),0,Z80)+IF(ISBLANK(AA80),0,AA80)+IF(ISBLANK(AB80),0,AB80)+IF(ISBLANK(AC80),0,AC80)+IF(ISBLANK(AD80),0,AD80)+IF(ISBLANK(AE80),0,AE80)+IF(ISBLANK(AF80),0,AF80)+IF(ISBLANK(AG80),0,AG80)+IF(ISBLANK(AH80),0,AH80),0))</t>
  </si>
  <si>
    <t>=IF($G80="","",NL("Suma","Registro activ. Log. detallado","Importe a facturar","Id. Prefactura",IdPrefactura,"Familia concepto","GESTION","Nº documento",NF($B80,"No_"),"Tipo de documento","Pedido|Bulto opaco","Datasource=","Navision"))</t>
  </si>
  <si>
    <t>=IF($C81=$C80,"",IF($C81="","",CONCATENATE(NF($B81,"Cód_ operativa")," ",NF($B81,"Descripción"))))</t>
  </si>
  <si>
    <t>=IF($C81=$C80,"",IF($C81="","",IF(NF($B81,"Tipo Documento")=0,"Pedido","Bulto Opaco")))</t>
  </si>
  <si>
    <t>=IF($C81=$C80,"",IF($C81="","",NF($B81,"No_")))</t>
  </si>
  <si>
    <t>=IF($C81=$C80,"",IF($C81="","",NF($B81,"No_ documento cliente")))</t>
  </si>
  <si>
    <t>=IF($C81=$C80,"",IF($C81="","",NF($B81,"Nombre punto entrega")))</t>
  </si>
  <si>
    <t>=IF($C81=$C80,"",IF($C81="","",NF($B81,"Contacto punto entrega")))</t>
  </si>
  <si>
    <t>=IF($C81=$C80,"",IF($C81="","",NF($B81,"Dirección punto entrega")))</t>
  </si>
  <si>
    <t>=IF($C81=$C80,"",IF($C81="","",NF($B81,"C_P_ punto entrega")))</t>
  </si>
  <si>
    <t>=IF($C81=$C80,"",IF($C81="","",NF($B81,"Población punto entrega")))</t>
  </si>
  <si>
    <t>=IF($C81=$C80,"",IF($C81="","",NF($B81,"Provincia punto entrega")))</t>
  </si>
  <si>
    <t>=IF($C81=$C80,"",IF($C81="","",NF($B81,"País punto entrega")))</t>
  </si>
  <si>
    <t>=IF($C81=$C80,"",IF($C81="","",NF($B81,"bultosE")))</t>
  </si>
  <si>
    <t>=IF(B81="","",IF($B81=$B80,"",ROUNDUP(NF($B81,"Peso facturable"),0)))</t>
  </si>
  <si>
    <t>=IF(OR($G81="",$G81=$G80),"",NF($B81,"manipulacion"))</t>
  </si>
  <si>
    <t>=NP("codeunit","Miscelanea","CalculaEmbalajeAlbaranPedido",G81,I81,D81,"",,,,,,,"MEDIAPOST SPAIN","Navision")</t>
  </si>
  <si>
    <t>=IF(OR($G81="",$G81=$G80),"",NF($B81,"transporte")/NF($B81,"numeroexpediciones"))</t>
  </si>
  <si>
    <t>=IF(OR($G81="",$G81=$G80),"",NF($B81,"prima")/NF($B81,"numeroexpediciones"))</t>
  </si>
  <si>
    <t>=IF(OR($G81="",$G81=$G80),"",NF($B81,"reembolso")/NF($B81,"numeroexpediciones"))</t>
  </si>
  <si>
    <t>=IF(OR($G81="",$G81=$G80),"",NF($B81,"impuestos")/NF($B81,"numeroexpediciones"))</t>
  </si>
  <si>
    <t>=IF(AJ81="","",VALUE(AJ81))</t>
  </si>
  <si>
    <t>=IF(OR($G81="",$G81=$G80),"",NF($B81,"franqueo")/NF($B81,"numeroexpediciones"))</t>
  </si>
  <si>
    <t>=IF(OR($G81="",$G81=$G80),"",NF($B81,"despacho")/NF($B81,"numeroexpediciones"))</t>
  </si>
  <si>
    <t>=IF($G81="","",IFERROR(IF(ISBLANK(Z81),0,Z81)+IF(ISBLANK(AA81),0,AA81)+IF(ISBLANK(AB81),0,AB81)+IF(ISBLANK(AC81),0,AC81)+IF(ISBLANK(AD81),0,AD81)+IF(ISBLANK(AE81),0,AE81)+IF(ISBLANK(AF81),0,AF81)+IF(ISBLANK(AG81),0,AG81)+IF(ISBLANK(AH81),0,AH81),0))</t>
  </si>
  <si>
    <t>=IF($G81="","",NL("Suma","Registro activ. Log. detallado","Importe a facturar","Id. Prefactura",IdPrefactura,"Familia concepto","GESTION","Nº documento",NF($B81,"No_"),"Tipo de documento","Pedido|Bulto opaco","Datasource=","Navision"))</t>
  </si>
  <si>
    <t>=IF($C82=$C81,"",IF($C82="","",CONCATENATE(NF($B82,"Cód_ operativa")," ",NF($B82,"Descripción"))))</t>
  </si>
  <si>
    <t>=IF($C82=$C81,"",IF($C82="","",IF(NF($B82,"Tipo Documento")=0,"Pedido","Bulto Opaco")))</t>
  </si>
  <si>
    <t>=IF($C82=$C81,"",IF($C82="","",NF($B82,"No_")))</t>
  </si>
  <si>
    <t>=IF($C82=$C81,"",IF($C82="","",NF($B82,"No_ documento cliente")))</t>
  </si>
  <si>
    <t>=IF($C82=$C81,"",IF($C82="","",NF($B82,"Nombre punto entrega")))</t>
  </si>
  <si>
    <t>=IF($C82=$C81,"",IF($C82="","",NF($B82,"Contacto punto entrega")))</t>
  </si>
  <si>
    <t>=IF($C82=$C81,"",IF($C82="","",NF($B82,"Dirección punto entrega")))</t>
  </si>
  <si>
    <t>=IF($C82=$C81,"",IF($C82="","",NF($B82,"C_P_ punto entrega")))</t>
  </si>
  <si>
    <t>=IF($C82=$C81,"",IF($C82="","",NF($B82,"Población punto entrega")))</t>
  </si>
  <si>
    <t>=IF($C82=$C81,"",IF($C82="","",NF($B82,"Provincia punto entrega")))</t>
  </si>
  <si>
    <t>=IF($C82=$C81,"",IF($C82="","",NF($B82,"País punto entrega")))</t>
  </si>
  <si>
    <t>=IF($C82=$C81,"",IF($C82="","",NF($B82,"bultosE")))</t>
  </si>
  <si>
    <t>=IF(B82="","",IF($B82=$B81,"",ROUNDUP(NF($B82,"Peso facturable"),0)))</t>
  </si>
  <si>
    <t>=IF(OR($G82="",$G82=$G81),"",NF($B82,"manipulacion"))</t>
  </si>
  <si>
    <t>=NP("codeunit","Miscelanea","CalculaEmbalajeAlbaranPedido",G82,I82,D82,"",,,,,,,"MEDIAPOST SPAIN","Navision")</t>
  </si>
  <si>
    <t>=IF(OR($G82="",$G82=$G81),"",NF($B82,"transporte")/NF($B82,"numeroexpediciones"))</t>
  </si>
  <si>
    <t>=IF(OR($G82="",$G82=$G81),"",NF($B82,"prima")/NF($B82,"numeroexpediciones"))</t>
  </si>
  <si>
    <t>=IF(OR($G82="",$G82=$G81),"",NF($B82,"reembolso")/NF($B82,"numeroexpediciones"))</t>
  </si>
  <si>
    <t>=IF(OR($G82="",$G82=$G81),"",NF($B82,"impuestos")/NF($B82,"numeroexpediciones"))</t>
  </si>
  <si>
    <t>=IF(AJ82="","",VALUE(AJ82))</t>
  </si>
  <si>
    <t>=IF(OR($G82="",$G82=$G81),"",NF($B82,"franqueo")/NF($B82,"numeroexpediciones"))</t>
  </si>
  <si>
    <t>=IF(OR($G82="",$G82=$G81),"",NF($B82,"despacho")/NF($B82,"numeroexpediciones"))</t>
  </si>
  <si>
    <t>=IF($G82="","",IFERROR(IF(ISBLANK(Z82),0,Z82)+IF(ISBLANK(AA82),0,AA82)+IF(ISBLANK(AB82),0,AB82)+IF(ISBLANK(AC82),0,AC82)+IF(ISBLANK(AD82),0,AD82)+IF(ISBLANK(AE82),0,AE82)+IF(ISBLANK(AF82),0,AF82)+IF(ISBLANK(AG82),0,AG82)+IF(ISBLANK(AH82),0,AH82),0))</t>
  </si>
  <si>
    <t>=IF($G82="","",NL("Suma","Registro activ. Log. detallado","Importe a facturar","Id. Prefactura",IdPrefactura,"Familia concepto","GESTION","Nº documento",NF($B82,"No_"),"Tipo de documento","Pedido|Bulto opaco","Datasource=","Navision"))</t>
  </si>
  <si>
    <t>=IF($C83=$C82,"",IF($C83="","",CONCATENATE(NF($B83,"Cód_ operativa")," ",NF($B83,"Descripción"))))</t>
  </si>
  <si>
    <t>=IF($C83=$C82,"",IF($C83="","",IF(NF($B83,"Tipo Documento")=0,"Pedido","Bulto Opaco")))</t>
  </si>
  <si>
    <t>=IF($C83=$C82,"",IF($C83="","",NF($B83,"No_")))</t>
  </si>
  <si>
    <t>=IF($C83=$C82,"",IF($C83="","",NF($B83,"No_ documento cliente")))</t>
  </si>
  <si>
    <t>=IF($C83=$C82,"",IF($C83="","",NF($B83,"Nombre punto entrega")))</t>
  </si>
  <si>
    <t>=IF($C83=$C82,"",IF($C83="","",NF($B83,"Contacto punto entrega")))</t>
  </si>
  <si>
    <t>=IF($C83=$C82,"",IF($C83="","",NF($B83,"Dirección punto entrega")))</t>
  </si>
  <si>
    <t>=IF($C83=$C82,"",IF($C83="","",NF($B83,"C_P_ punto entrega")))</t>
  </si>
  <si>
    <t>=IF($C83=$C82,"",IF($C83="","",NF($B83,"Población punto entrega")))</t>
  </si>
  <si>
    <t>=IF($C83=$C82,"",IF($C83="","",NF($B83,"Provincia punto entrega")))</t>
  </si>
  <si>
    <t>=IF($C83=$C82,"",IF($C83="","",NF($B83,"País punto entrega")))</t>
  </si>
  <si>
    <t>=IF($C83=$C82,"",IF($C83="","",NF($B83,"bultosE")))</t>
  </si>
  <si>
    <t>=IF(B83="","",IF($B83=$B82,"",ROUNDUP(NF($B83,"Peso facturable"),0)))</t>
  </si>
  <si>
    <t>=IF(OR($G83="",$G83=$G82),"",NF($B83,"manipulacion"))</t>
  </si>
  <si>
    <t>=NP("codeunit","Miscelanea","CalculaEmbalajeAlbaranPedido",G83,I83,D83,"",,,,,,,"MEDIAPOST SPAIN","Navision")</t>
  </si>
  <si>
    <t>=IF(OR($G83="",$G83=$G82),"",NF($B83,"transporte")/NF($B83,"numeroexpediciones"))</t>
  </si>
  <si>
    <t>=IF(OR($G83="",$G83=$G82),"",NF($B83,"prima")/NF($B83,"numeroexpediciones"))</t>
  </si>
  <si>
    <t>=IF(OR($G83="",$G83=$G82),"",NF($B83,"reembolso")/NF($B83,"numeroexpediciones"))</t>
  </si>
  <si>
    <t>=IF(OR($G83="",$G83=$G82),"",NF($B83,"impuestos")/NF($B83,"numeroexpediciones"))</t>
  </si>
  <si>
    <t>=IF(AJ83="","",VALUE(AJ83))</t>
  </si>
  <si>
    <t>=IF(OR($G83="",$G83=$G82),"",NF($B83,"franqueo")/NF($B83,"numeroexpediciones"))</t>
  </si>
  <si>
    <t>=IF(OR($G83="",$G83=$G82),"",NF($B83,"despacho")/NF($B83,"numeroexpediciones"))</t>
  </si>
  <si>
    <t>=IF($G83="","",IFERROR(IF(ISBLANK(Z83),0,Z83)+IF(ISBLANK(AA83),0,AA83)+IF(ISBLANK(AB83),0,AB83)+IF(ISBLANK(AC83),0,AC83)+IF(ISBLANK(AD83),0,AD83)+IF(ISBLANK(AE83),0,AE83)+IF(ISBLANK(AF83),0,AF83)+IF(ISBLANK(AG83),0,AG83)+IF(ISBLANK(AH83),0,AH83),0))</t>
  </si>
  <si>
    <t>=IF($G83="","",NL("Suma","Registro activ. Log. detallado","Importe a facturar","Id. Prefactura",IdPrefactura,"Familia concepto","GESTION","Nº documento",NF($B83,"No_"),"Tipo de documento","Pedido|Bulto opaco","Datasource=","Navision"))</t>
  </si>
  <si>
    <t>=IF($C84=$C83,"",IF($C84="","",CONCATENATE(NF($B84,"Cód_ operativa")," ",NF($B84,"Descripción"))))</t>
  </si>
  <si>
    <t>=IF($C84=$C83,"",IF($C84="","",IF(NF($B84,"Tipo Documento")=0,"Pedido","Bulto Opaco")))</t>
  </si>
  <si>
    <t>=IF($C84=$C83,"",IF($C84="","",NF($B84,"No_")))</t>
  </si>
  <si>
    <t>=IF($C84=$C83,"",IF($C84="","",NF($B84,"No_ documento cliente")))</t>
  </si>
  <si>
    <t>=IF($C84=$C83,"",IF($C84="","",NF($B84,"Nombre punto entrega")))</t>
  </si>
  <si>
    <t>=IF($C84=$C83,"",IF($C84="","",NF($B84,"Contacto punto entrega")))</t>
  </si>
  <si>
    <t>=IF($C84=$C83,"",IF($C84="","",NF($B84,"Dirección punto entrega")))</t>
  </si>
  <si>
    <t>=IF($C84=$C83,"",IF($C84="","",NF($B84,"C_P_ punto entrega")))</t>
  </si>
  <si>
    <t>=IF($C84=$C83,"",IF($C84="","",NF($B84,"Población punto entrega")))</t>
  </si>
  <si>
    <t>=IF($C84=$C83,"",IF($C84="","",NF($B84,"Provincia punto entrega")))</t>
  </si>
  <si>
    <t>=IF($C84=$C83,"",IF($C84="","",NF($B84,"País punto entrega")))</t>
  </si>
  <si>
    <t>=IF($C84=$C83,"",IF($C84="","",NF($B84,"bultosE")))</t>
  </si>
  <si>
    <t>=IF(B84="","",IF($B84=$B83,"",ROUNDUP(NF($B84,"Peso facturable"),0)))</t>
  </si>
  <si>
    <t>=IF(OR($G84="",$G84=$G83),"",NF($B84,"manipulacion"))</t>
  </si>
  <si>
    <t>=NP("codeunit","Miscelanea","CalculaEmbalajeAlbaranPedido",G84,I84,D84,"",,,,,,,"MEDIAPOST SPAIN","Navision")</t>
  </si>
  <si>
    <t>=IF(OR($G84="",$G84=$G83),"",NF($B84,"transporte")/NF($B84,"numeroexpediciones"))</t>
  </si>
  <si>
    <t>=IF(OR($G84="",$G84=$G83),"",NF($B84,"prima")/NF($B84,"numeroexpediciones"))</t>
  </si>
  <si>
    <t>=IF(OR($G84="",$G84=$G83),"",NF($B84,"reembolso")/NF($B84,"numeroexpediciones"))</t>
  </si>
  <si>
    <t>=IF(OR($G84="",$G84=$G83),"",NF($B84,"impuestos")/NF($B84,"numeroexpediciones"))</t>
  </si>
  <si>
    <t>=IF(AJ84="","",VALUE(AJ84))</t>
  </si>
  <si>
    <t>=IF(OR($G84="",$G84=$G83),"",NF($B84,"franqueo")/NF($B84,"numeroexpediciones"))</t>
  </si>
  <si>
    <t>=IF(OR($G84="",$G84=$G83),"",NF($B84,"despacho")/NF($B84,"numeroexpediciones"))</t>
  </si>
  <si>
    <t>=IF($G84="","",IFERROR(IF(ISBLANK(Z84),0,Z84)+IF(ISBLANK(AA84),0,AA84)+IF(ISBLANK(AB84),0,AB84)+IF(ISBLANK(AC84),0,AC84)+IF(ISBLANK(AD84),0,AD84)+IF(ISBLANK(AE84),0,AE84)+IF(ISBLANK(AF84),0,AF84)+IF(ISBLANK(AG84),0,AG84)+IF(ISBLANK(AH84),0,AH84),0))</t>
  </si>
  <si>
    <t>=IF($G84="","",NL("Suma","Registro activ. Log. detallado","Importe a facturar","Id. Prefactura",IdPrefactura,"Familia concepto","GESTION","Nº documento",NF($B84,"No_"),"Tipo de documento","Pedido|Bulto opaco","Datasource=","Navision"))</t>
  </si>
  <si>
    <t>=IF($C85=$C84,"",IF($C85="","",CONCATENATE(NF($B85,"Cód_ operativa")," ",NF($B85,"Descripción"))))</t>
  </si>
  <si>
    <t>=IF($C85=$C84,"",IF($C85="","",IF(NF($B85,"Tipo Documento")=0,"Pedido","Bulto Opaco")))</t>
  </si>
  <si>
    <t>=IF($C85=$C84,"",IF($C85="","",NF($B85,"No_")))</t>
  </si>
  <si>
    <t>=IF($C85=$C84,"",IF($C85="","",NF($B85,"No_ documento cliente")))</t>
  </si>
  <si>
    <t>=IF($C85=$C84,"",IF($C85="","",NF($B85,"Nombre punto entrega")))</t>
  </si>
  <si>
    <t>=IF($C85=$C84,"",IF($C85="","",NF($B85,"Contacto punto entrega")))</t>
  </si>
  <si>
    <t>=IF($C85=$C84,"",IF($C85="","",NF($B85,"Dirección punto entrega")))</t>
  </si>
  <si>
    <t>=IF($C85=$C84,"",IF($C85="","",NF($B85,"C_P_ punto entrega")))</t>
  </si>
  <si>
    <t>=IF($C85=$C84,"",IF($C85="","",NF($B85,"Población punto entrega")))</t>
  </si>
  <si>
    <t>=IF($C85=$C84,"",IF($C85="","",NF($B85,"Provincia punto entrega")))</t>
  </si>
  <si>
    <t>=IF($C85=$C84,"",IF($C85="","",NF($B85,"País punto entrega")))</t>
  </si>
  <si>
    <t>=IF($C85=$C84,"",IF($C85="","",NF($B85,"bultosE")))</t>
  </si>
  <si>
    <t>=IF(B85="","",IF($B85=$B84,"",ROUNDUP(NF($B85,"Peso facturable"),0)))</t>
  </si>
  <si>
    <t>=IF(OR($G85="",$G85=$G84),"",NF($B85,"manipulacion"))</t>
  </si>
  <si>
    <t>=NP("codeunit","Miscelanea","CalculaEmbalajeAlbaranPedido",G85,I85,D85,"",,,,,,,"MEDIAPOST SPAIN","Navision")</t>
  </si>
  <si>
    <t>=IF(OR($G85="",$G85=$G84),"",NF($B85,"transporte")/NF($B85,"numeroexpediciones"))</t>
  </si>
  <si>
    <t>=IF(OR($G85="",$G85=$G84),"",NF($B85,"prima")/NF($B85,"numeroexpediciones"))</t>
  </si>
  <si>
    <t>=IF(OR($G85="",$G85=$G84),"",NF($B85,"reembolso")/NF($B85,"numeroexpediciones"))</t>
  </si>
  <si>
    <t>=IF(OR($G85="",$G85=$G84),"",NF($B85,"impuestos")/NF($B85,"numeroexpediciones"))</t>
  </si>
  <si>
    <t>=IF(AJ85="","",VALUE(AJ85))</t>
  </si>
  <si>
    <t>=IF(OR($G85="",$G85=$G84),"",NF($B85,"franqueo")/NF($B85,"numeroexpediciones"))</t>
  </si>
  <si>
    <t>=IF(OR($G85="",$G85=$G84),"",NF($B85,"despacho")/NF($B85,"numeroexpediciones"))</t>
  </si>
  <si>
    <t>=IF($G85="","",IFERROR(IF(ISBLANK(Z85),0,Z85)+IF(ISBLANK(AA85),0,AA85)+IF(ISBLANK(AB85),0,AB85)+IF(ISBLANK(AC85),0,AC85)+IF(ISBLANK(AD85),0,AD85)+IF(ISBLANK(AE85),0,AE85)+IF(ISBLANK(AF85),0,AF85)+IF(ISBLANK(AG85),0,AG85)+IF(ISBLANK(AH85),0,AH85),0))</t>
  </si>
  <si>
    <t>=IF($G85="","",NL("Suma","Registro activ. Log. detallado","Importe a facturar","Id. Prefactura",IdPrefactura,"Familia concepto","GESTION","Nº documento",NF($B85,"No_"),"Tipo de documento","Pedido|Bulto opaco","Datasource=","Navision"))</t>
  </si>
  <si>
    <t>=NF($B5,"No_")</t>
  </si>
  <si>
    <t>=NF($B6,"No_")</t>
  </si>
  <si>
    <t>=NF($B7,"No_")</t>
  </si>
  <si>
    <t>=NF($B8,"No_")</t>
  </si>
  <si>
    <t>=NF($B9,"No_")</t>
  </si>
  <si>
    <t>=NF($B10,"No_")</t>
  </si>
  <si>
    <t>=NF($B11,"No_")</t>
  </si>
  <si>
    <t>=NF($B12,"No_")</t>
  </si>
  <si>
    <t>=NF($B13,"No_")</t>
  </si>
  <si>
    <t>=NF($B14,"No_")</t>
  </si>
  <si>
    <t>=NF($B15,"No_")</t>
  </si>
  <si>
    <t>=NF($B16,"No_")</t>
  </si>
  <si>
    <t>=NF($B17,"No_")</t>
  </si>
  <si>
    <t>=NF($B18,"No_")</t>
  </si>
  <si>
    <t>=NF($B19,"No_")</t>
  </si>
  <si>
    <t>=NF($B20,"No_")</t>
  </si>
  <si>
    <t>=NF($B21,"No_")</t>
  </si>
  <si>
    <t>=NF($B22,"No_")</t>
  </si>
  <si>
    <t>=NF($B23,"No_")</t>
  </si>
  <si>
    <t>=NF($B24,"No_")</t>
  </si>
  <si>
    <t>=NF($B25,"No_")</t>
  </si>
  <si>
    <t>=NF($B26,"No_")</t>
  </si>
  <si>
    <t>=NF($B27,"No_")</t>
  </si>
  <si>
    <t>=NF($B28,"No_")</t>
  </si>
  <si>
    <t>=NF($B29,"No_")</t>
  </si>
  <si>
    <t>=NF($B30,"No_")</t>
  </si>
  <si>
    <t>=NF($B31,"No_")</t>
  </si>
  <si>
    <t>=NF($B32,"No_")</t>
  </si>
  <si>
    <t>=NF($B33,"No_")</t>
  </si>
  <si>
    <t>=NF($B34,"No_")</t>
  </si>
  <si>
    <t>=NF($B35,"No_")</t>
  </si>
  <si>
    <t>=NF($B36,"No_")</t>
  </si>
  <si>
    <t>=NF($B37,"No_")</t>
  </si>
  <si>
    <t>=NF($B38,"No_")</t>
  </si>
  <si>
    <t>=NF($B39,"No_")</t>
  </si>
  <si>
    <t>=NF($B40,"No_")</t>
  </si>
  <si>
    <t>=NF($B41,"No_")</t>
  </si>
  <si>
    <t>=NF($B42,"No_")</t>
  </si>
  <si>
    <t>=NF($B43,"No_")</t>
  </si>
  <si>
    <t>=NF($B44,"No_")</t>
  </si>
  <si>
    <t>=NF($B45,"No_")</t>
  </si>
  <si>
    <t>=NF($B46,"No_")</t>
  </si>
  <si>
    <t>=NF($B47,"No_")</t>
  </si>
  <si>
    <t>=NF($B48,"No_")</t>
  </si>
  <si>
    <t>=NF($B49,"No_")</t>
  </si>
  <si>
    <t>=NF($B50,"No_")</t>
  </si>
  <si>
    <t>=NF($B51,"No_")</t>
  </si>
  <si>
    <t>=NF($B52,"No_")</t>
  </si>
  <si>
    <t>=NF($B53,"No_")</t>
  </si>
  <si>
    <t>=NF($B54,"No_")</t>
  </si>
  <si>
    <t>=NF($B55,"No_")</t>
  </si>
  <si>
    <t>=NF($B56,"No_")</t>
  </si>
  <si>
    <t>=NF($B57,"No_")</t>
  </si>
  <si>
    <t>=NF($B58,"No_")</t>
  </si>
  <si>
    <t>=NF($B59,"No_")</t>
  </si>
  <si>
    <t>=NF($B60,"No_")</t>
  </si>
  <si>
    <t>=NF($B61,"No_")</t>
  </si>
  <si>
    <t>=NF($B62,"No_")</t>
  </si>
  <si>
    <t>=NF($B63,"No_")</t>
  </si>
  <si>
    <t>=NF($B64,"No_")</t>
  </si>
  <si>
    <t>=NF($B65,"No_")</t>
  </si>
  <si>
    <t>=NF($B66,"No_")</t>
  </si>
  <si>
    <t>=NF($B67,"No_")</t>
  </si>
  <si>
    <t>=NF($B68,"No_")</t>
  </si>
  <si>
    <t>=NF($B69,"No_")</t>
  </si>
  <si>
    <t>=NF($B70,"No_")</t>
  </si>
  <si>
    <t>=NF($B71,"No_")</t>
  </si>
  <si>
    <t>=NF($B72,"No_")</t>
  </si>
  <si>
    <t>=NF($B73,"No_")</t>
  </si>
  <si>
    <t>=NF($B74,"No_")</t>
  </si>
  <si>
    <t>=NF($B75,"No_")</t>
  </si>
  <si>
    <t>=NF($B76,"No_")</t>
  </si>
  <si>
    <t>=NF($B77,"No_")</t>
  </si>
  <si>
    <t>=NF($B78,"No_")</t>
  </si>
  <si>
    <t>=NF($B79,"No_")</t>
  </si>
  <si>
    <t>=NF($B80,"No_")</t>
  </si>
  <si>
    <t>=NF($B81,"No_")</t>
  </si>
  <si>
    <t>=NF($B82,"No_")</t>
  </si>
  <si>
    <t>=NF($B83,"No_")</t>
  </si>
  <si>
    <t>=NF($B84,"No_")</t>
  </si>
  <si>
    <t>=NF($B85,"No_")</t>
  </si>
  <si>
    <t>=NF($B5,"No_ producto cliente")</t>
  </si>
  <si>
    <t>=NF($B6,"No_ producto cliente")</t>
  </si>
  <si>
    <t>=NF($B7,"No_ producto cliente")</t>
  </si>
  <si>
    <t>=NF($B8,"No_ producto cliente")</t>
  </si>
  <si>
    <t>=NF($B9,"No_ producto cliente")</t>
  </si>
  <si>
    <t>=NF($B10,"No_ producto cliente")</t>
  </si>
  <si>
    <t>=NF($B11,"No_ producto cliente")</t>
  </si>
  <si>
    <t>=NF($B12,"No_ producto cliente")</t>
  </si>
  <si>
    <t>=NF($B13,"No_ producto cliente")</t>
  </si>
  <si>
    <t>=NF($B14,"No_ producto cliente")</t>
  </si>
  <si>
    <t>=NF($B15,"No_ producto cliente")</t>
  </si>
  <si>
    <t>=NF($B16,"No_ producto cliente")</t>
  </si>
  <si>
    <t>=NF($B17,"No_ producto cliente")</t>
  </si>
  <si>
    <t>=NF($B18,"No_ producto cliente")</t>
  </si>
  <si>
    <t>=NF($B19,"No_ producto cliente")</t>
  </si>
  <si>
    <t>=NF($B20,"No_ producto cliente")</t>
  </si>
  <si>
    <t>=NF($B21,"No_ producto cliente")</t>
  </si>
  <si>
    <t>=NF($B22,"No_ producto cliente")</t>
  </si>
  <si>
    <t>=NF($B23,"No_ producto cliente")</t>
  </si>
  <si>
    <t>=NF($B24,"No_ producto cliente")</t>
  </si>
  <si>
    <t>=NF($B25,"No_ producto cliente")</t>
  </si>
  <si>
    <t>=NF($B26,"No_ producto cliente")</t>
  </si>
  <si>
    <t>=NF($B27,"No_ producto cliente")</t>
  </si>
  <si>
    <t>=NF($B28,"No_ producto cliente")</t>
  </si>
  <si>
    <t>=NF($B29,"No_ producto cliente")</t>
  </si>
  <si>
    <t>=NF($B30,"No_ producto cliente")</t>
  </si>
  <si>
    <t>=NF($B31,"No_ producto cliente")</t>
  </si>
  <si>
    <t>=NF($B32,"No_ producto cliente")</t>
  </si>
  <si>
    <t>=NF($B33,"No_ producto cliente")</t>
  </si>
  <si>
    <t>=NF($B34,"No_ producto cliente")</t>
  </si>
  <si>
    <t>=NF($B35,"No_ producto cliente")</t>
  </si>
  <si>
    <t>=NF($B36,"No_ producto cliente")</t>
  </si>
  <si>
    <t>=NF($B37,"No_ producto cliente")</t>
  </si>
  <si>
    <t>=NF($B38,"No_ producto cliente")</t>
  </si>
  <si>
    <t>=NF($B39,"No_ producto cliente")</t>
  </si>
  <si>
    <t>=NF($B40,"No_ producto cliente")</t>
  </si>
  <si>
    <t>=NF($B41,"No_ producto cliente")</t>
  </si>
  <si>
    <t>=NF($B42,"No_ producto cliente")</t>
  </si>
  <si>
    <t>=NF($B43,"No_ producto cliente")</t>
  </si>
  <si>
    <t>=NF($B44,"No_ producto cliente")</t>
  </si>
  <si>
    <t>=NF($B45,"No_ producto cliente")</t>
  </si>
  <si>
    <t>=NF($B46,"No_ producto cliente")</t>
  </si>
  <si>
    <t>=NF($B47,"No_ producto cliente")</t>
  </si>
  <si>
    <t>=NF($B48,"No_ producto cliente")</t>
  </si>
  <si>
    <t>=NF($B49,"No_ producto cliente")</t>
  </si>
  <si>
    <t>=NF($B50,"No_ producto cliente")</t>
  </si>
  <si>
    <t>=NF($B51,"No_ producto cliente")</t>
  </si>
  <si>
    <t>=NF($B52,"No_ producto cliente")</t>
  </si>
  <si>
    <t>=NF($B53,"No_ producto cliente")</t>
  </si>
  <si>
    <t>=NF($B54,"No_ producto cliente")</t>
  </si>
  <si>
    <t>=NF($B55,"No_ producto cliente")</t>
  </si>
  <si>
    <t>=NF($B56,"No_ producto cliente")</t>
  </si>
  <si>
    <t>=NF($B57,"No_ producto cliente")</t>
  </si>
  <si>
    <t>=NF($B58,"No_ producto cliente")</t>
  </si>
  <si>
    <t>=NF($B59,"No_ producto cliente")</t>
  </si>
  <si>
    <t>=NF($B60,"No_ producto cliente")</t>
  </si>
  <si>
    <t>=NF($B61,"No_ producto cliente")</t>
  </si>
  <si>
    <t>=NF($B62,"No_ producto cliente")</t>
  </si>
  <si>
    <t>=NF($B63,"No_ producto cliente")</t>
  </si>
  <si>
    <t>=NF($B64,"No_ producto cliente")</t>
  </si>
  <si>
    <t>=NF($B65,"No_ producto cliente")</t>
  </si>
  <si>
    <t>=NF($B66,"No_ producto cliente")</t>
  </si>
  <si>
    <t>=NF($B67,"No_ producto cliente")</t>
  </si>
  <si>
    <t>=NF($B68,"No_ producto cliente")</t>
  </si>
  <si>
    <t>=NF($B69,"No_ producto cliente")</t>
  </si>
  <si>
    <t>=NF($B70,"No_ producto cliente")</t>
  </si>
  <si>
    <t>=NF($B71,"No_ producto cliente")</t>
  </si>
  <si>
    <t>=NF($B72,"No_ producto cliente")</t>
  </si>
  <si>
    <t>=NF($B73,"No_ producto cliente")</t>
  </si>
  <si>
    <t>=NF($B74,"No_ producto cliente")</t>
  </si>
  <si>
    <t>=NF($B75,"No_ producto cliente")</t>
  </si>
  <si>
    <t>=NF($B76,"No_ producto cliente")</t>
  </si>
  <si>
    <t>=NF($B77,"No_ producto cliente")</t>
  </si>
  <si>
    <t>=NF($B78,"No_ producto cliente")</t>
  </si>
  <si>
    <t>=NF($B79,"No_ producto cliente")</t>
  </si>
  <si>
    <t>=NF($B80,"No_ producto cliente")</t>
  </si>
  <si>
    <t>=NF($B81,"No_ producto cliente")</t>
  </si>
  <si>
    <t>=NF($B82,"No_ producto cliente")</t>
  </si>
  <si>
    <t>=NF($B83,"No_ producto cliente")</t>
  </si>
  <si>
    <t>=NF($B84,"No_ producto cliente")</t>
  </si>
  <si>
    <t>=NF($B85,"No_ producto cliente")</t>
  </si>
  <si>
    <t>=NF($B5,"Descripción ampliada")</t>
  </si>
  <si>
    <t>=NF($B6,"Descripción ampliada")</t>
  </si>
  <si>
    <t>=NF($B7,"Descripción ampliada")</t>
  </si>
  <si>
    <t>=NF($B8,"Descripción ampliada")</t>
  </si>
  <si>
    <t>=NF($B9,"Descripción ampliada")</t>
  </si>
  <si>
    <t>=NF($B10,"Descripción ampliada")</t>
  </si>
  <si>
    <t>=NF($B11,"Descripción ampliada")</t>
  </si>
  <si>
    <t>=NF($B12,"Descripción ampliada")</t>
  </si>
  <si>
    <t>=NF($B13,"Descripción ampliada")</t>
  </si>
  <si>
    <t>=NF($B14,"Descripción ampliada")</t>
  </si>
  <si>
    <t>=NF($B15,"Descripción ampliada")</t>
  </si>
  <si>
    <t>=NF($B16,"Descripción ampliada")</t>
  </si>
  <si>
    <t>=NF($B17,"Descripción ampliada")</t>
  </si>
  <si>
    <t>=NF($B18,"Descripción ampliada")</t>
  </si>
  <si>
    <t>=NF($B19,"Descripción ampliada")</t>
  </si>
  <si>
    <t>=NF($B20,"Descripción ampliada")</t>
  </si>
  <si>
    <t>=NF($B21,"Descripción ampliada")</t>
  </si>
  <si>
    <t>=NF($B22,"Descripción ampliada")</t>
  </si>
  <si>
    <t>=NF($B23,"Descripción ampliada")</t>
  </si>
  <si>
    <t>=NF($B24,"Descripción ampliada")</t>
  </si>
  <si>
    <t>=NF($B25,"Descripción ampliada")</t>
  </si>
  <si>
    <t>=NF($B26,"Descripción ampliada")</t>
  </si>
  <si>
    <t>=NF($B27,"Descripción ampliada")</t>
  </si>
  <si>
    <t>=NF($B28,"Descripción ampliada")</t>
  </si>
  <si>
    <t>=NF($B29,"Descripción ampliada")</t>
  </si>
  <si>
    <t>=NF($B30,"Descripción ampliada")</t>
  </si>
  <si>
    <t>=NF($B31,"Descripción ampliada")</t>
  </si>
  <si>
    <t>=NF($B32,"Descripción ampliada")</t>
  </si>
  <si>
    <t>=NF($B33,"Descripción ampliada")</t>
  </si>
  <si>
    <t>=NF($B34,"Descripción ampliada")</t>
  </si>
  <si>
    <t>=NF($B35,"Descripción ampliada")</t>
  </si>
  <si>
    <t>=NF($B36,"Descripción ampliada")</t>
  </si>
  <si>
    <t>=NF($B37,"Descripción ampliada")</t>
  </si>
  <si>
    <t>=NF($B38,"Descripción ampliada")</t>
  </si>
  <si>
    <t>=NF($B39,"Descripción ampliada")</t>
  </si>
  <si>
    <t>=NF($B40,"Descripción ampliada")</t>
  </si>
  <si>
    <t>=NF($B41,"Descripción ampliada")</t>
  </si>
  <si>
    <t>=NF($B42,"Descripción ampliada")</t>
  </si>
  <si>
    <t>=NF($B43,"Descripción ampliada")</t>
  </si>
  <si>
    <t>=NF($B44,"Descripción ampliada")</t>
  </si>
  <si>
    <t>=NF($B45,"Descripción ampliada")</t>
  </si>
  <si>
    <t>=NF($B46,"Descripción ampliada")</t>
  </si>
  <si>
    <t>=NF($B47,"Descripción ampliada")</t>
  </si>
  <si>
    <t>=NF($B48,"Descripción ampliada")</t>
  </si>
  <si>
    <t>=NF($B49,"Descripción ampliada")</t>
  </si>
  <si>
    <t>=NF($B50,"Descripción ampliada")</t>
  </si>
  <si>
    <t>=NF($B51,"Descripción ampliada")</t>
  </si>
  <si>
    <t>=NF($B52,"Descripción ampliada")</t>
  </si>
  <si>
    <t>=NF($B53,"Descripción ampliada")</t>
  </si>
  <si>
    <t>=NF($B54,"Descripción ampliada")</t>
  </si>
  <si>
    <t>=NF($B55,"Descripción ampliada")</t>
  </si>
  <si>
    <t>=NF($B56,"Descripción ampliada")</t>
  </si>
  <si>
    <t>=NF($B57,"Descripción ampliada")</t>
  </si>
  <si>
    <t>=NF($B58,"Descripción ampliada")</t>
  </si>
  <si>
    <t>=NF($B59,"Descripción ampliada")</t>
  </si>
  <si>
    <t>=NF($B60,"Descripción ampliada")</t>
  </si>
  <si>
    <t>=NF($B61,"Descripción ampliada")</t>
  </si>
  <si>
    <t>=NF($B62,"Descripción ampliada")</t>
  </si>
  <si>
    <t>=NF($B63,"Descripción ampliada")</t>
  </si>
  <si>
    <t>=NF($B64,"Descripción ampliada")</t>
  </si>
  <si>
    <t>=NF($B65,"Descripción ampliada")</t>
  </si>
  <si>
    <t>=NF($B66,"Descripción ampliada")</t>
  </si>
  <si>
    <t>=NF($B67,"Descripción ampliada")</t>
  </si>
  <si>
    <t>=NF($B68,"Descripción ampliada")</t>
  </si>
  <si>
    <t>=NF($B69,"Descripción ampliada")</t>
  </si>
  <si>
    <t>=NF($B70,"Descripción ampliada")</t>
  </si>
  <si>
    <t>=NF($B71,"Descripción ampliada")</t>
  </si>
  <si>
    <t>=NF($B72,"Descripción ampliada")</t>
  </si>
  <si>
    <t>=NF($B73,"Descripción ampliada")</t>
  </si>
  <si>
    <t>=NF($B74,"Descripción ampliada")</t>
  </si>
  <si>
    <t>=NF($B75,"Descripción ampliada")</t>
  </si>
  <si>
    <t>=NF($B76,"Descripción ampliada")</t>
  </si>
  <si>
    <t>=NF($B77,"Descripción ampliada")</t>
  </si>
  <si>
    <t>=NF($B78,"Descripción ampliada")</t>
  </si>
  <si>
    <t>=NF($B79,"Descripción ampliada")</t>
  </si>
  <si>
    <t>=NF($B80,"Descripción ampliada")</t>
  </si>
  <si>
    <t>=NF($B81,"Descripción ampliada")</t>
  </si>
  <si>
    <t>=NF($B82,"Descripción ampliada")</t>
  </si>
  <si>
    <t>=NF($B83,"Descripción ampliada")</t>
  </si>
  <si>
    <t>=NF($B84,"Descripción ampliada")</t>
  </si>
  <si>
    <t>=NF($B85,"Descripción ampliada")</t>
  </si>
  <si>
    <t>=NF($B5,"Cantidad confirmada")</t>
  </si>
  <si>
    <t>=NF($B6,"Cantidad confirmada")</t>
  </si>
  <si>
    <t>=NF($B7,"Cantidad confirmada")</t>
  </si>
  <si>
    <t>=NF($B8,"Cantidad confirmada")</t>
  </si>
  <si>
    <t>=NF($B9,"Cantidad confirmada")</t>
  </si>
  <si>
    <t>=NF($B10,"Cantidad confirmada")</t>
  </si>
  <si>
    <t>=NF($B11,"Cantidad confirmada")</t>
  </si>
  <si>
    <t>=NF($B12,"Cantidad confirmada")</t>
  </si>
  <si>
    <t>=NF($B13,"Cantidad confirmada")</t>
  </si>
  <si>
    <t>=NF($B14,"Cantidad confirmada")</t>
  </si>
  <si>
    <t>=NF($B15,"Cantidad confirmada")</t>
  </si>
  <si>
    <t>=NF($B16,"Cantidad confirmada")</t>
  </si>
  <si>
    <t>=NF($B17,"Cantidad confirmada")</t>
  </si>
  <si>
    <t>=NF($B18,"Cantidad confirmada")</t>
  </si>
  <si>
    <t>=NF($B19,"Cantidad confirmada")</t>
  </si>
  <si>
    <t>=NF($B20,"Cantidad confirmada")</t>
  </si>
  <si>
    <t>=NF($B21,"Cantidad confirmada")</t>
  </si>
  <si>
    <t>=NF($B22,"Cantidad confirmada")</t>
  </si>
  <si>
    <t>=NF($B23,"Cantidad confirmada")</t>
  </si>
  <si>
    <t>=NF($B24,"Cantidad confirmada")</t>
  </si>
  <si>
    <t>=NF($B25,"Cantidad confirmada")</t>
  </si>
  <si>
    <t>=NF($B26,"Cantidad confirmada")</t>
  </si>
  <si>
    <t>=NF($B27,"Cantidad confirmada")</t>
  </si>
  <si>
    <t>=NF($B28,"Cantidad confirmada")</t>
  </si>
  <si>
    <t>=NF($B29,"Cantidad confirmada")</t>
  </si>
  <si>
    <t>=NF($B30,"Cantidad confirmada")</t>
  </si>
  <si>
    <t>=NF($B31,"Cantidad confirmada")</t>
  </si>
  <si>
    <t>=NF($B32,"Cantidad confirmada")</t>
  </si>
  <si>
    <t>=NF($B33,"Cantidad confirmada")</t>
  </si>
  <si>
    <t>=NF($B34,"Cantidad confirmada")</t>
  </si>
  <si>
    <t>=NF($B35,"Cantidad confirmada")</t>
  </si>
  <si>
    <t>=NF($B36,"Cantidad confirmada")</t>
  </si>
  <si>
    <t>=NF($B37,"Cantidad confirmada")</t>
  </si>
  <si>
    <t>=NF($B38,"Cantidad confirmada")</t>
  </si>
  <si>
    <t>=NF($B39,"Cantidad confirmada")</t>
  </si>
  <si>
    <t>=NF($B40,"Cantidad confirmada")</t>
  </si>
  <si>
    <t>=NF($B41,"Cantidad confirmada")</t>
  </si>
  <si>
    <t>=NF($B42,"Cantidad confirmada")</t>
  </si>
  <si>
    <t>=NF($B43,"Cantidad confirmada")</t>
  </si>
  <si>
    <t>=NF($B44,"Cantidad confirmada")</t>
  </si>
  <si>
    <t>=NF($B45,"Cantidad confirmada")</t>
  </si>
  <si>
    <t>=NF($B46,"Cantidad confirmada")</t>
  </si>
  <si>
    <t>=NF($B47,"Cantidad confirmada")</t>
  </si>
  <si>
    <t>=NF($B48,"Cantidad confirmada")</t>
  </si>
  <si>
    <t>=NF($B49,"Cantidad confirmada")</t>
  </si>
  <si>
    <t>=NF($B50,"Cantidad confirmada")</t>
  </si>
  <si>
    <t>=NF($B51,"Cantidad confirmada")</t>
  </si>
  <si>
    <t>=NF($B52,"Cantidad confirmada")</t>
  </si>
  <si>
    <t>=NF($B53,"Cantidad confirmada")</t>
  </si>
  <si>
    <t>=NF($B54,"Cantidad confirmada")</t>
  </si>
  <si>
    <t>=NF($B55,"Cantidad confirmada")</t>
  </si>
  <si>
    <t>=NF($B56,"Cantidad confirmada")</t>
  </si>
  <si>
    <t>=NF($B57,"Cantidad confirmada")</t>
  </si>
  <si>
    <t>=NF($B58,"Cantidad confirmada")</t>
  </si>
  <si>
    <t>=NF($B59,"Cantidad confirmada")</t>
  </si>
  <si>
    <t>=NF($B60,"Cantidad confirmada")</t>
  </si>
  <si>
    <t>=NF($B61,"Cantidad confirmada")</t>
  </si>
  <si>
    <t>=NF($B62,"Cantidad confirmada")</t>
  </si>
  <si>
    <t>=NF($B63,"Cantidad confirmada")</t>
  </si>
  <si>
    <t>=NF($B64,"Cantidad confirmada")</t>
  </si>
  <si>
    <t>=NF($B65,"Cantidad confirmada")</t>
  </si>
  <si>
    <t>=NF($B66,"Cantidad confirmada")</t>
  </si>
  <si>
    <t>=NF($B67,"Cantidad confirmada")</t>
  </si>
  <si>
    <t>=NF($B68,"Cantidad confirmada")</t>
  </si>
  <si>
    <t>=NF($B69,"Cantidad confirmada")</t>
  </si>
  <si>
    <t>=NF($B70,"Cantidad confirmada")</t>
  </si>
  <si>
    <t>=NF($B71,"Cantidad confirmada")</t>
  </si>
  <si>
    <t>=NF($B72,"Cantidad confirmada")</t>
  </si>
  <si>
    <t>=NF($B73,"Cantidad confirmada")</t>
  </si>
  <si>
    <t>=NF($B74,"Cantidad confirmada")</t>
  </si>
  <si>
    <t>=NF($B75,"Cantidad confirmada")</t>
  </si>
  <si>
    <t>=NF($B76,"Cantidad confirmada")</t>
  </si>
  <si>
    <t>=NF($B77,"Cantidad confirmada")</t>
  </si>
  <si>
    <t>=NF($B78,"Cantidad confirmada")</t>
  </si>
  <si>
    <t>=NF($B79,"Cantidad confirmada")</t>
  </si>
  <si>
    <t>=NF($B80,"Cantidad confirmada")</t>
  </si>
  <si>
    <t>=NF($B81,"Cantidad confirmada")</t>
  </si>
  <si>
    <t>=NF($B82,"Cantidad confirmada")</t>
  </si>
  <si>
    <t>=NF($B83,"Cantidad confirmada")</t>
  </si>
  <si>
    <t>=NF($B84,"Cantidad confirmada")</t>
  </si>
  <si>
    <t>=NF($B85,"Cantidad confirmada")</t>
  </si>
  <si>
    <t>=IF($C86=$C85,"",IF($C86="","",CONCATENATE(NF($B86,"Cód_ operativa")," ",NF($B86,"Descripción"))))</t>
  </si>
  <si>
    <t>=IF($C86=$C85,"",IF($C86="","",IF(NF($B86,"Tipo Documento")=0,"Pedido","Bulto Opaco")))</t>
  </si>
  <si>
    <t>=IF($C86=$C85,"",IF($C86="","",NF($B86,"No_")))</t>
  </si>
  <si>
    <t>=IF($C86=$C85,"",IF($C86="","",NF($B86,"No_ documento cliente")))</t>
  </si>
  <si>
    <t>=IF($C86=$C85,"",IF($C86="","",NF($B86,"Nombre punto entrega")))</t>
  </si>
  <si>
    <t>=IF($C86=$C85,"",IF($C86="","",NF($B86,"Contacto punto entrega")))</t>
  </si>
  <si>
    <t>=IF($C86=$C85,"",IF($C86="","",NF($B86,"Dirección punto entrega")))</t>
  </si>
  <si>
    <t>=IF($C86=$C85,"",IF($C86="","",NF($B86,"C_P_ punto entrega")))</t>
  </si>
  <si>
    <t>=IF($C86=$C85,"",IF($C86="","",NF($B86,"Población punto entrega")))</t>
  </si>
  <si>
    <t>=IF($C86=$C85,"",IF($C86="","",NF($B86,"Provincia punto entrega")))</t>
  </si>
  <si>
    <t>=IF($C86=$C85,"",IF($C86="","",NF($B86,"País punto entrega")))</t>
  </si>
  <si>
    <t>=IF($C86=$C85,"",IF($C86="","",NF($B86,"bultosE")))</t>
  </si>
  <si>
    <t>=IF(B86="","",IF($B86=$B85,"",ROUNDUP(NF($B86,"Peso facturable"),0)))</t>
  </si>
  <si>
    <t>=IF(OR($G86="",$G86=$G85),"",NF($B86,"manipulacion"))</t>
  </si>
  <si>
    <t>=NP("codeunit","Miscelanea","CalculaEmbalajeAlbaranPedido",G86,I86,D86,"",,,,,,,"MEDIAPOST SPAIN","Navision")</t>
  </si>
  <si>
    <t>=IF(OR($G86="",$G86=$G85),"",NF($B86,"transporte")/NF($B86,"numeroexpediciones"))</t>
  </si>
  <si>
    <t>=IF(OR($G86="",$G86=$G85),"",NF($B86,"prima")/NF($B86,"numeroexpediciones"))</t>
  </si>
  <si>
    <t>=IF(OR($G86="",$G86=$G85),"",NF($B86,"reembolso")/NF($B86,"numeroexpediciones"))</t>
  </si>
  <si>
    <t>=IF(OR($G86="",$G86=$G85),"",NF($B86,"impuestos")/NF($B86,"numeroexpediciones"))</t>
  </si>
  <si>
    <t>=IF(AJ86="","",VALUE(AJ86))</t>
  </si>
  <si>
    <t>=IF(OR($G86="",$G86=$G85),"",NF($B86,"franqueo")/NF($B86,"numeroexpediciones"))</t>
  </si>
  <si>
    <t>=IF(OR($G86="",$G86=$G85),"",NF($B86,"despacho")/NF($B86,"numeroexpediciones"))</t>
  </si>
  <si>
    <t>=IF($G86="","",IFERROR(IF(ISBLANK(Z86),0,Z86)+IF(ISBLANK(AA86),0,AA86)+IF(ISBLANK(AB86),0,AB86)+IF(ISBLANK(AC86),0,AC86)+IF(ISBLANK(AD86),0,AD86)+IF(ISBLANK(AE86),0,AE86)+IF(ISBLANK(AF86),0,AF86)+IF(ISBLANK(AG86),0,AG86)+IF(ISBLANK(AH86),0,AH86),0))</t>
  </si>
  <si>
    <t>=IF($G86="","",NL("Suma","Registro activ. Log. detallado","Importe a facturar","Id. Prefactura",IdPrefactura,"Familia concepto","GESTION","Nº documento",NF($B86,"No_"),"Tipo de documento","Pedido|Bulto opaco","Datasource=","Navision"))</t>
  </si>
  <si>
    <t>=IF($C87=$C86,"",IF($C87="","",CONCATENATE(NF($B87,"Cód_ operativa")," ",NF($B87,"Descripción"))))</t>
  </si>
  <si>
    <t>=IF($C87=$C86,"",IF($C87="","",IF(NF($B87,"Tipo Documento")=0,"Pedido","Bulto Opaco")))</t>
  </si>
  <si>
    <t>=IF($C87=$C86,"",IF($C87="","",NF($B87,"No_")))</t>
  </si>
  <si>
    <t>=IF($C87=$C86,"",IF($C87="","",NF($B87,"No_ documento cliente")))</t>
  </si>
  <si>
    <t>=IF($C87=$C86,"",IF($C87="","",NF($B87,"Nombre punto entrega")))</t>
  </si>
  <si>
    <t>=IF($C87=$C86,"",IF($C87="","",NF($B87,"Contacto punto entrega")))</t>
  </si>
  <si>
    <t>=IF($C87=$C86,"",IF($C87="","",NF($B87,"Dirección punto entrega")))</t>
  </si>
  <si>
    <t>=IF($C87=$C86,"",IF($C87="","",NF($B87,"C_P_ punto entrega")))</t>
  </si>
  <si>
    <t>=IF($C87=$C86,"",IF($C87="","",NF($B87,"Población punto entrega")))</t>
  </si>
  <si>
    <t>=IF($C87=$C86,"",IF($C87="","",NF($B87,"Provincia punto entrega")))</t>
  </si>
  <si>
    <t>=IF($C87=$C86,"",IF($C87="","",NF($B87,"País punto entrega")))</t>
  </si>
  <si>
    <t>=IF($C87=$C86,"",IF($C87="","",NF($B87,"bultosE")))</t>
  </si>
  <si>
    <t>=IF(B87="","",IF($B87=$B86,"",ROUNDUP(NF($B87,"Peso facturable"),0)))</t>
  </si>
  <si>
    <t>=IF(OR($G87="",$G87=$G86),"",NF($B87,"manipulacion"))</t>
  </si>
  <si>
    <t>=NP("codeunit","Miscelanea","CalculaEmbalajeAlbaranPedido",G87,I87,D87,"",,,,,,,"MEDIAPOST SPAIN","Navision")</t>
  </si>
  <si>
    <t>=IF(OR($G87="",$G87=$G86),"",NF($B87,"transporte")/NF($B87,"numeroexpediciones"))</t>
  </si>
  <si>
    <t>=IF(OR($G87="",$G87=$G86),"",NF($B87,"prima")/NF($B87,"numeroexpediciones"))</t>
  </si>
  <si>
    <t>=IF(OR($G87="",$G87=$G86),"",NF($B87,"reembolso")/NF($B87,"numeroexpediciones"))</t>
  </si>
  <si>
    <t>=IF(OR($G87="",$G87=$G86),"",NF($B87,"impuestos")/NF($B87,"numeroexpediciones"))</t>
  </si>
  <si>
    <t>=IF(AJ87="","",VALUE(AJ87))</t>
  </si>
  <si>
    <t>=IF(OR($G87="",$G87=$G86),"",NF($B87,"franqueo")/NF($B87,"numeroexpediciones"))</t>
  </si>
  <si>
    <t>=IF(OR($G87="",$G87=$G86),"",NF($B87,"despacho")/NF($B87,"numeroexpediciones"))</t>
  </si>
  <si>
    <t>=IF($G87="","",IFERROR(IF(ISBLANK(Z87),0,Z87)+IF(ISBLANK(AA87),0,AA87)+IF(ISBLANK(AB87),0,AB87)+IF(ISBLANK(AC87),0,AC87)+IF(ISBLANK(AD87),0,AD87)+IF(ISBLANK(AE87),0,AE87)+IF(ISBLANK(AF87),0,AF87)+IF(ISBLANK(AG87),0,AG87)+IF(ISBLANK(AH87),0,AH87),0))</t>
  </si>
  <si>
    <t>=IF($G87="","",NL("Suma","Registro activ. Log. detallado","Importe a facturar","Id. Prefactura",IdPrefactura,"Familia concepto","GESTION","Nº documento",NF($B87,"No_"),"Tipo de documento","Pedido|Bulto opaco","Datasource=","Navision"))</t>
  </si>
  <si>
    <t>=IF($C88=$C87,"",IF($C88="","",CONCATENATE(NF($B88,"Cód_ operativa")," ",NF($B88,"Descripción"))))</t>
  </si>
  <si>
    <t>=IF($C88=$C87,"",IF($C88="","",IF(NF($B88,"Tipo Documento")=0,"Pedido","Bulto Opaco")))</t>
  </si>
  <si>
    <t>=IF($C88=$C87,"",IF($C88="","",NF($B88,"No_")))</t>
  </si>
  <si>
    <t>=IF($C88=$C87,"",IF($C88="","",NF($B88,"No_ documento cliente")))</t>
  </si>
  <si>
    <t>=IF($C88=$C87,"",IF($C88="","",NF($B88,"Nombre punto entrega")))</t>
  </si>
  <si>
    <t>=IF($C88=$C87,"",IF($C88="","",NF($B88,"Contacto punto entrega")))</t>
  </si>
  <si>
    <t>=IF($C88=$C87,"",IF($C88="","",NF($B88,"Dirección punto entrega")))</t>
  </si>
  <si>
    <t>=IF($C88=$C87,"",IF($C88="","",NF($B88,"C_P_ punto entrega")))</t>
  </si>
  <si>
    <t>=IF($C88=$C87,"",IF($C88="","",NF($B88,"Población punto entrega")))</t>
  </si>
  <si>
    <t>=IF($C88=$C87,"",IF($C88="","",NF($B88,"Provincia punto entrega")))</t>
  </si>
  <si>
    <t>=IF($C88=$C87,"",IF($C88="","",NF($B88,"País punto entrega")))</t>
  </si>
  <si>
    <t>=IF($C88=$C87,"",IF($C88="","",NF($B88,"bultosE")))</t>
  </si>
  <si>
    <t>=IF(B88="","",IF($B88=$B87,"",ROUNDUP(NF($B88,"Peso facturable"),0)))</t>
  </si>
  <si>
    <t>=IF(OR($G88="",$G88=$G87),"",NF($B88,"manipulacion"))</t>
  </si>
  <si>
    <t>=NP("codeunit","Miscelanea","CalculaEmbalajeAlbaranPedido",G88,I88,D88,"",,,,,,,"MEDIAPOST SPAIN","Navision")</t>
  </si>
  <si>
    <t>=IF(OR($G88="",$G88=$G87),"",NF($B88,"transporte")/NF($B88,"numeroexpediciones"))</t>
  </si>
  <si>
    <t>=IF(OR($G88="",$G88=$G87),"",NF($B88,"prima")/NF($B88,"numeroexpediciones"))</t>
  </si>
  <si>
    <t>=IF(OR($G88="",$G88=$G87),"",NF($B88,"reembolso")/NF($B88,"numeroexpediciones"))</t>
  </si>
  <si>
    <t>=IF(OR($G88="",$G88=$G87),"",NF($B88,"impuestos")/NF($B88,"numeroexpediciones"))</t>
  </si>
  <si>
    <t>=IF(AJ88="","",VALUE(AJ88))</t>
  </si>
  <si>
    <t>=IF(OR($G88="",$G88=$G87),"",NF($B88,"franqueo")/NF($B88,"numeroexpediciones"))</t>
  </si>
  <si>
    <t>=IF(OR($G88="",$G88=$G87),"",NF($B88,"despacho")/NF($B88,"numeroexpediciones"))</t>
  </si>
  <si>
    <t>=IF($G88="","",IFERROR(IF(ISBLANK(Z88),0,Z88)+IF(ISBLANK(AA88),0,AA88)+IF(ISBLANK(AB88),0,AB88)+IF(ISBLANK(AC88),0,AC88)+IF(ISBLANK(AD88),0,AD88)+IF(ISBLANK(AE88),0,AE88)+IF(ISBLANK(AF88),0,AF88)+IF(ISBLANK(AG88),0,AG88)+IF(ISBLANK(AH88),0,AH88),0))</t>
  </si>
  <si>
    <t>=IF($G88="","",NL("Suma","Registro activ. Log. detallado","Importe a facturar","Id. Prefactura",IdPrefactura,"Familia concepto","GESTION","Nº documento",NF($B88,"No_"),"Tipo de documento","Pedido|Bulto opaco","Datasource=","Navision"))</t>
  </si>
  <si>
    <t>=IF($C89=$C88,"",IF($C89="","",CONCATENATE(NF($B89,"Cód_ operativa")," ",NF($B89,"Descripción"))))</t>
  </si>
  <si>
    <t>=IF($C89=$C88,"",IF($C89="","",IF(NF($B89,"Tipo Documento")=0,"Pedido","Bulto Opaco")))</t>
  </si>
  <si>
    <t>=IF($C89=$C88,"",IF($C89="","",NF($B89,"No_")))</t>
  </si>
  <si>
    <t>=IF($C89=$C88,"",IF($C89="","",NF($B89,"No_ documento cliente")))</t>
  </si>
  <si>
    <t>=IF($C89=$C88,"",IF($C89="","",NF($B89,"Nombre punto entrega")))</t>
  </si>
  <si>
    <t>=IF($C89=$C88,"",IF($C89="","",NF($B89,"Contacto punto entrega")))</t>
  </si>
  <si>
    <t>=IF($C89=$C88,"",IF($C89="","",NF($B89,"Dirección punto entrega")))</t>
  </si>
  <si>
    <t>=IF($C89=$C88,"",IF($C89="","",NF($B89,"C_P_ punto entrega")))</t>
  </si>
  <si>
    <t>=IF($C89=$C88,"",IF($C89="","",NF($B89,"Población punto entrega")))</t>
  </si>
  <si>
    <t>=IF($C89=$C88,"",IF($C89="","",NF($B89,"Provincia punto entrega")))</t>
  </si>
  <si>
    <t>=IF($C89=$C88,"",IF($C89="","",NF($B89,"País punto entrega")))</t>
  </si>
  <si>
    <t>=IF($C89=$C88,"",IF($C89="","",NF($B89,"bultosE")))</t>
  </si>
  <si>
    <t>=IF(B89="","",IF($B89=$B88,"",ROUNDUP(NF($B89,"Peso facturable"),0)))</t>
  </si>
  <si>
    <t>=IF(OR($G89="",$G89=$G88),"",NF($B89,"manipulacion"))</t>
  </si>
  <si>
    <t>=NP("codeunit","Miscelanea","CalculaEmbalajeAlbaranPedido",G89,I89,D89,"",,,,,,,"MEDIAPOST SPAIN","Navision")</t>
  </si>
  <si>
    <t>=IF(OR($G89="",$G89=$G88),"",NF($B89,"transporte")/NF($B89,"numeroexpediciones"))</t>
  </si>
  <si>
    <t>=IF(OR($G89="",$G89=$G88),"",NF($B89,"prima")/NF($B89,"numeroexpediciones"))</t>
  </si>
  <si>
    <t>=IF(OR($G89="",$G89=$G88),"",NF($B89,"reembolso")/NF($B89,"numeroexpediciones"))</t>
  </si>
  <si>
    <t>=IF(OR($G89="",$G89=$G88),"",NF($B89,"impuestos")/NF($B89,"numeroexpediciones"))</t>
  </si>
  <si>
    <t>=IF(AJ89="","",VALUE(AJ89))</t>
  </si>
  <si>
    <t>=IF(OR($G89="",$G89=$G88),"",NF($B89,"franqueo")/NF($B89,"numeroexpediciones"))</t>
  </si>
  <si>
    <t>=IF(OR($G89="",$G89=$G88),"",NF($B89,"despacho")/NF($B89,"numeroexpediciones"))</t>
  </si>
  <si>
    <t>=IF($G89="","",IFERROR(IF(ISBLANK(Z89),0,Z89)+IF(ISBLANK(AA89),0,AA89)+IF(ISBLANK(AB89),0,AB89)+IF(ISBLANK(AC89),0,AC89)+IF(ISBLANK(AD89),0,AD89)+IF(ISBLANK(AE89),0,AE89)+IF(ISBLANK(AF89),0,AF89)+IF(ISBLANK(AG89),0,AG89)+IF(ISBLANK(AH89),0,AH89),0))</t>
  </si>
  <si>
    <t>=IF($G89="","",NL("Suma","Registro activ. Log. detallado","Importe a facturar","Id. Prefactura",IdPrefactura,"Familia concepto","GESTION","Nº documento",NF($B89,"No_"),"Tipo de documento","Pedido|Bulto opaco","Datasource=","Navision"))</t>
  </si>
  <si>
    <t>=IF($C90=$C89,"",IF($C90="","",CONCATENATE(NF($B90,"Cód_ operativa")," ",NF($B90,"Descripción"))))</t>
  </si>
  <si>
    <t>=IF($C90=$C89,"",IF($C90="","",IF(NF($B90,"Tipo Documento")=0,"Pedido","Bulto Opaco")))</t>
  </si>
  <si>
    <t>=IF($C90=$C89,"",IF($C90="","",NF($B90,"No_")))</t>
  </si>
  <si>
    <t>=IF($C90=$C89,"",IF($C90="","",NF($B90,"No_ documento cliente")))</t>
  </si>
  <si>
    <t>=IF($C90=$C89,"",IF($C90="","",NF($B90,"Nombre punto entrega")))</t>
  </si>
  <si>
    <t>=IF($C90=$C89,"",IF($C90="","",NF($B90,"Contacto punto entrega")))</t>
  </si>
  <si>
    <t>=IF($C90=$C89,"",IF($C90="","",NF($B90,"Dirección punto entrega")))</t>
  </si>
  <si>
    <t>=IF($C90=$C89,"",IF($C90="","",NF($B90,"C_P_ punto entrega")))</t>
  </si>
  <si>
    <t>=IF($C90=$C89,"",IF($C90="","",NF($B90,"Población punto entrega")))</t>
  </si>
  <si>
    <t>=IF($C90=$C89,"",IF($C90="","",NF($B90,"Provincia punto entrega")))</t>
  </si>
  <si>
    <t>=IF($C90=$C89,"",IF($C90="","",NF($B90,"País punto entrega")))</t>
  </si>
  <si>
    <t>=IF($C90=$C89,"",IF($C90="","",NF($B90,"bultosE")))</t>
  </si>
  <si>
    <t>=IF(B90="","",IF($B90=$B89,"",ROUNDUP(NF($B90,"Peso facturable"),0)))</t>
  </si>
  <si>
    <t>=IF(OR($G90="",$G90=$G89),"",NF($B90,"manipulacion"))</t>
  </si>
  <si>
    <t>=NP("codeunit","Miscelanea","CalculaEmbalajeAlbaranPedido",G90,I90,D90,"",,,,,,,"MEDIAPOST SPAIN","Navision")</t>
  </si>
  <si>
    <t>=IF(OR($G90="",$G90=$G89),"",NF($B90,"transporte")/NF($B90,"numeroexpediciones"))</t>
  </si>
  <si>
    <t>=IF(OR($G90="",$G90=$G89),"",NF($B90,"prima")/NF($B90,"numeroexpediciones"))</t>
  </si>
  <si>
    <t>=IF(OR($G90="",$G90=$G89),"",NF($B90,"reembolso")/NF($B90,"numeroexpediciones"))</t>
  </si>
  <si>
    <t>=IF(OR($G90="",$G90=$G89),"",NF($B90,"impuestos")/NF($B90,"numeroexpediciones"))</t>
  </si>
  <si>
    <t>=IF(AJ90="","",VALUE(AJ90))</t>
  </si>
  <si>
    <t>=IF(OR($G90="",$G90=$G89),"",NF($B90,"franqueo")/NF($B90,"numeroexpediciones"))</t>
  </si>
  <si>
    <t>=IF(OR($G90="",$G90=$G89),"",NF($B90,"despacho")/NF($B90,"numeroexpediciones"))</t>
  </si>
  <si>
    <t>=IF($G90="","",IFERROR(IF(ISBLANK(Z90),0,Z90)+IF(ISBLANK(AA90),0,AA90)+IF(ISBLANK(AB90),0,AB90)+IF(ISBLANK(AC90),0,AC90)+IF(ISBLANK(AD90),0,AD90)+IF(ISBLANK(AE90),0,AE90)+IF(ISBLANK(AF90),0,AF90)+IF(ISBLANK(AG90),0,AG90)+IF(ISBLANK(AH90),0,AH90),0))</t>
  </si>
  <si>
    <t>=IF($G90="","",NL("Suma","Registro activ. Log. detallado","Importe a facturar","Id. Prefactura",IdPrefactura,"Familia concepto","GESTION","Nº documento",NF($B90,"No_"),"Tipo de documento","Pedido|Bulto opaco","Datasource=","Navision"))</t>
  </si>
  <si>
    <t>=IF($C91=$C90,"",IF($C91="","",CONCATENATE(NF($B91,"Cód_ operativa")," ",NF($B91,"Descripción"))))</t>
  </si>
  <si>
    <t>=IF($C91=$C90,"",IF($C91="","",IF(NF($B91,"Tipo Documento")=0,"Pedido","Bulto Opaco")))</t>
  </si>
  <si>
    <t>=IF($C91=$C90,"",IF($C91="","",NF($B91,"No_")))</t>
  </si>
  <si>
    <t>=IF($C91=$C90,"",IF($C91="","",NF($B91,"No_ documento cliente")))</t>
  </si>
  <si>
    <t>=IF($C91=$C90,"",IF($C91="","",NF($B91,"Nombre punto entrega")))</t>
  </si>
  <si>
    <t>=IF($C91=$C90,"",IF($C91="","",NF($B91,"Contacto punto entrega")))</t>
  </si>
  <si>
    <t>=IF($C91=$C90,"",IF($C91="","",NF($B91,"Dirección punto entrega")))</t>
  </si>
  <si>
    <t>=IF($C91=$C90,"",IF($C91="","",NF($B91,"C_P_ punto entrega")))</t>
  </si>
  <si>
    <t>=IF($C91=$C90,"",IF($C91="","",NF($B91,"Población punto entrega")))</t>
  </si>
  <si>
    <t>=IF($C91=$C90,"",IF($C91="","",NF($B91,"Provincia punto entrega")))</t>
  </si>
  <si>
    <t>=IF($C91=$C90,"",IF($C91="","",NF($B91,"País punto entrega")))</t>
  </si>
  <si>
    <t>=IF($C91=$C90,"",IF($C91="","",NF($B91,"bultosE")))</t>
  </si>
  <si>
    <t>=IF(B91="","",IF($B91=$B90,"",ROUNDUP(NF($B91,"Peso facturable"),0)))</t>
  </si>
  <si>
    <t>=IF(OR($G91="",$G91=$G90),"",NF($B91,"manipulacion"))</t>
  </si>
  <si>
    <t>=NP("codeunit","Miscelanea","CalculaEmbalajeAlbaranPedido",G91,I91,D91,"",,,,,,,"MEDIAPOST SPAIN","Navision")</t>
  </si>
  <si>
    <t>=IF(OR($G91="",$G91=$G90),"",NF($B91,"transporte")/NF($B91,"numeroexpediciones"))</t>
  </si>
  <si>
    <t>=IF(OR($G91="",$G91=$G90),"",NF($B91,"prima")/NF($B91,"numeroexpediciones"))</t>
  </si>
  <si>
    <t>=IF(OR($G91="",$G91=$G90),"",NF($B91,"reembolso")/NF($B91,"numeroexpediciones"))</t>
  </si>
  <si>
    <t>=IF(OR($G91="",$G91=$G90),"",NF($B91,"impuestos")/NF($B91,"numeroexpediciones"))</t>
  </si>
  <si>
    <t>=IF(AJ91="","",VALUE(AJ91))</t>
  </si>
  <si>
    <t>=IF(OR($G91="",$G91=$G90),"",NF($B91,"franqueo")/NF($B91,"numeroexpediciones"))</t>
  </si>
  <si>
    <t>=IF(OR($G91="",$G91=$G90),"",NF($B91,"despacho")/NF($B91,"numeroexpediciones"))</t>
  </si>
  <si>
    <t>=IF($G91="","",IFERROR(IF(ISBLANK(Z91),0,Z91)+IF(ISBLANK(AA91),0,AA91)+IF(ISBLANK(AB91),0,AB91)+IF(ISBLANK(AC91),0,AC91)+IF(ISBLANK(AD91),0,AD91)+IF(ISBLANK(AE91),0,AE91)+IF(ISBLANK(AF91),0,AF91)+IF(ISBLANK(AG91),0,AG91)+IF(ISBLANK(AH91),0,AH91),0))</t>
  </si>
  <si>
    <t>=IF($G91="","",NL("Suma","Registro activ. Log. detallado","Importe a facturar","Id. Prefactura",IdPrefactura,"Familia concepto","GESTION","Nº documento",NF($B91,"No_"),"Tipo de documento","Pedido|Bulto opaco","Datasource=","Navision"))</t>
  </si>
  <si>
    <t>=IF($C92=$C91,"",IF($C92="","",CONCATENATE(NF($B92,"Cód_ operativa")," ",NF($B92,"Descripción"))))</t>
  </si>
  <si>
    <t>=IF($C92=$C91,"",IF($C92="","",IF(NF($B92,"Tipo Documento")=0,"Pedido","Bulto Opaco")))</t>
  </si>
  <si>
    <t>=IF($C92=$C91,"",IF($C92="","",NF($B92,"No_")))</t>
  </si>
  <si>
    <t>=IF($C92=$C91,"",IF($C92="","",NF($B92,"No_ documento cliente")))</t>
  </si>
  <si>
    <t>=IF($C92=$C91,"",IF($C92="","",NF($B92,"Nombre punto entrega")))</t>
  </si>
  <si>
    <t>=IF($C92=$C91,"",IF($C92="","",NF($B92,"Contacto punto entrega")))</t>
  </si>
  <si>
    <t>=IF($C92=$C91,"",IF($C92="","",NF($B92,"Dirección punto entrega")))</t>
  </si>
  <si>
    <t>=IF($C92=$C91,"",IF($C92="","",NF($B92,"C_P_ punto entrega")))</t>
  </si>
  <si>
    <t>=IF($C92=$C91,"",IF($C92="","",NF($B92,"Población punto entrega")))</t>
  </si>
  <si>
    <t>=IF($C92=$C91,"",IF($C92="","",NF($B92,"Provincia punto entrega")))</t>
  </si>
  <si>
    <t>=IF($C92=$C91,"",IF($C92="","",NF($B92,"País punto entrega")))</t>
  </si>
  <si>
    <t>=IF($C92=$C91,"",IF($C92="","",NF($B92,"bultosE")))</t>
  </si>
  <si>
    <t>=IF(B92="","",IF($B92=$B91,"",ROUNDUP(NF($B92,"Peso facturable"),0)))</t>
  </si>
  <si>
    <t>=IF(OR($G92="",$G92=$G91),"",NF($B92,"manipulacion"))</t>
  </si>
  <si>
    <t>=NP("codeunit","Miscelanea","CalculaEmbalajeAlbaranPedido",G92,I92,D92,"",,,,,,,"MEDIAPOST SPAIN","Navision")</t>
  </si>
  <si>
    <t>=IF(OR($G92="",$G92=$G91),"",NF($B92,"transporte")/NF($B92,"numeroexpediciones"))</t>
  </si>
  <si>
    <t>=IF(OR($G92="",$G92=$G91),"",NF($B92,"prima")/NF($B92,"numeroexpediciones"))</t>
  </si>
  <si>
    <t>=IF(OR($G92="",$G92=$G91),"",NF($B92,"reembolso")/NF($B92,"numeroexpediciones"))</t>
  </si>
  <si>
    <t>=IF(OR($G92="",$G92=$G91),"",NF($B92,"impuestos")/NF($B92,"numeroexpediciones"))</t>
  </si>
  <si>
    <t>=IF(AJ92="","",VALUE(AJ92))</t>
  </si>
  <si>
    <t>=IF(OR($G92="",$G92=$G91),"",NF($B92,"franqueo")/NF($B92,"numeroexpediciones"))</t>
  </si>
  <si>
    <t>=IF(OR($G92="",$G92=$G91),"",NF($B92,"despacho")/NF($B92,"numeroexpediciones"))</t>
  </si>
  <si>
    <t>=IF($G92="","",IFERROR(IF(ISBLANK(Z92),0,Z92)+IF(ISBLANK(AA92),0,AA92)+IF(ISBLANK(AB92),0,AB92)+IF(ISBLANK(AC92),0,AC92)+IF(ISBLANK(AD92),0,AD92)+IF(ISBLANK(AE92),0,AE92)+IF(ISBLANK(AF92),0,AF92)+IF(ISBLANK(AG92),0,AG92)+IF(ISBLANK(AH92),0,AH92),0))</t>
  </si>
  <si>
    <t>=IF($G92="","",NL("Suma","Registro activ. Log. detallado","Importe a facturar","Id. Prefactura",IdPrefactura,"Familia concepto","GESTION","Nº documento",NF($B92,"No_"),"Tipo de documento","Pedido|Bulto opaco","Datasource=","Navision"))</t>
  </si>
  <si>
    <t>=IF($C93=$C92,"",IF($C93="","",CONCATENATE(NF($B93,"Cód_ operativa")," ",NF($B93,"Descripción"))))</t>
  </si>
  <si>
    <t>=IF($C93=$C92,"",IF($C93="","",IF(NF($B93,"Tipo Documento")=0,"Pedido","Bulto Opaco")))</t>
  </si>
  <si>
    <t>=IF($C93=$C92,"",IF($C93="","",NF($B93,"No_")))</t>
  </si>
  <si>
    <t>=IF($C93=$C92,"",IF($C93="","",NF($B93,"No_ documento cliente")))</t>
  </si>
  <si>
    <t>=IF($C93=$C92,"",IF($C93="","",NF($B93,"Nombre punto entrega")))</t>
  </si>
  <si>
    <t>=IF($C93=$C92,"",IF($C93="","",NF($B93,"Contacto punto entrega")))</t>
  </si>
  <si>
    <t>=IF($C93=$C92,"",IF($C93="","",NF($B93,"Dirección punto entrega")))</t>
  </si>
  <si>
    <t>=IF($C93=$C92,"",IF($C93="","",NF($B93,"C_P_ punto entrega")))</t>
  </si>
  <si>
    <t>=IF($C93=$C92,"",IF($C93="","",NF($B93,"Población punto entrega")))</t>
  </si>
  <si>
    <t>=IF($C93=$C92,"",IF($C93="","",NF($B93,"Provincia punto entrega")))</t>
  </si>
  <si>
    <t>=IF($C93=$C92,"",IF($C93="","",NF($B93,"País punto entrega")))</t>
  </si>
  <si>
    <t>=IF($C93=$C92,"",IF($C93="","",NF($B93,"bultosE")))</t>
  </si>
  <si>
    <t>=IF(B93="","",IF($B93=$B92,"",ROUNDUP(NF($B93,"Peso facturable"),0)))</t>
  </si>
  <si>
    <t>=IF(OR($G93="",$G93=$G92),"",NF($B93,"manipulacion"))</t>
  </si>
  <si>
    <t>=NP("codeunit","Miscelanea","CalculaEmbalajeAlbaranPedido",G93,I93,D93,"",,,,,,,"MEDIAPOST SPAIN","Navision")</t>
  </si>
  <si>
    <t>=IF(OR($G93="",$G93=$G92),"",NF($B93,"transporte")/NF($B93,"numeroexpediciones"))</t>
  </si>
  <si>
    <t>=IF(OR($G93="",$G93=$G92),"",NF($B93,"prima")/NF($B93,"numeroexpediciones"))</t>
  </si>
  <si>
    <t>=IF(OR($G93="",$G93=$G92),"",NF($B93,"reembolso")/NF($B93,"numeroexpediciones"))</t>
  </si>
  <si>
    <t>=IF(OR($G93="",$G93=$G92),"",NF($B93,"impuestos")/NF($B93,"numeroexpediciones"))</t>
  </si>
  <si>
    <t>=IF(AJ93="","",VALUE(AJ93))</t>
  </si>
  <si>
    <t>=IF(OR($G93="",$G93=$G92),"",NF($B93,"franqueo")/NF($B93,"numeroexpediciones"))</t>
  </si>
  <si>
    <t>=IF(OR($G93="",$G93=$G92),"",NF($B93,"despacho")/NF($B93,"numeroexpediciones"))</t>
  </si>
  <si>
    <t>=IF($G93="","",IFERROR(IF(ISBLANK(Z93),0,Z93)+IF(ISBLANK(AA93),0,AA93)+IF(ISBLANK(AB93),0,AB93)+IF(ISBLANK(AC93),0,AC93)+IF(ISBLANK(AD93),0,AD93)+IF(ISBLANK(AE93),0,AE93)+IF(ISBLANK(AF93),0,AF93)+IF(ISBLANK(AG93),0,AG93)+IF(ISBLANK(AH93),0,AH93),0))</t>
  </si>
  <si>
    <t>=IF($G93="","",NL("Suma","Registro activ. Log. detallado","Importe a facturar","Id. Prefactura",IdPrefactura,"Familia concepto","GESTION","Nº documento",NF($B93,"No_"),"Tipo de documento","Pedido|Bulto opaco","Datasource=","Navision"))</t>
  </si>
  <si>
    <t>=IF($C94=$C93,"",IF($C94="","",CONCATENATE(NF($B94,"Cód_ operativa")," ",NF($B94,"Descripción"))))</t>
  </si>
  <si>
    <t>=IF($C94=$C93,"",IF($C94="","",IF(NF($B94,"Tipo Documento")=0,"Pedido","Bulto Opaco")))</t>
  </si>
  <si>
    <t>=IF($C94=$C93,"",IF($C94="","",NF($B94,"No_")))</t>
  </si>
  <si>
    <t>=IF($C94=$C93,"",IF($C94="","",NF($B94,"No_ documento cliente")))</t>
  </si>
  <si>
    <t>=IF($C94=$C93,"",IF($C94="","",NF($B94,"Nombre punto entrega")))</t>
  </si>
  <si>
    <t>=IF($C94=$C93,"",IF($C94="","",NF($B94,"Contacto punto entrega")))</t>
  </si>
  <si>
    <t>=IF($C94=$C93,"",IF($C94="","",NF($B94,"Dirección punto entrega")))</t>
  </si>
  <si>
    <t>=IF($C94=$C93,"",IF($C94="","",NF($B94,"C_P_ punto entrega")))</t>
  </si>
  <si>
    <t>=IF($C94=$C93,"",IF($C94="","",NF($B94,"Población punto entrega")))</t>
  </si>
  <si>
    <t>=IF($C94=$C93,"",IF($C94="","",NF($B94,"Provincia punto entrega")))</t>
  </si>
  <si>
    <t>=IF($C94=$C93,"",IF($C94="","",NF($B94,"País punto entrega")))</t>
  </si>
  <si>
    <t>=IF($C94=$C93,"",IF($C94="","",NF($B94,"bultosE")))</t>
  </si>
  <si>
    <t>=IF(B94="","",IF($B94=$B93,"",ROUNDUP(NF($B94,"Peso facturable"),0)))</t>
  </si>
  <si>
    <t>=IF(OR($G94="",$G94=$G93),"",NF($B94,"manipulacion"))</t>
  </si>
  <si>
    <t>=NP("codeunit","Miscelanea","CalculaEmbalajeAlbaranPedido",G94,I94,D94,"",,,,,,,"MEDIAPOST SPAIN","Navision")</t>
  </si>
  <si>
    <t>=IF(OR($G94="",$G94=$G93),"",NF($B94,"transporte")/NF($B94,"numeroexpediciones"))</t>
  </si>
  <si>
    <t>=IF(OR($G94="",$G94=$G93),"",NF($B94,"prima")/NF($B94,"numeroexpediciones"))</t>
  </si>
  <si>
    <t>=IF(OR($G94="",$G94=$G93),"",NF($B94,"reembolso")/NF($B94,"numeroexpediciones"))</t>
  </si>
  <si>
    <t>=IF(OR($G94="",$G94=$G93),"",NF($B94,"impuestos")/NF($B94,"numeroexpediciones"))</t>
  </si>
  <si>
    <t>=IF(AJ94="","",VALUE(AJ94))</t>
  </si>
  <si>
    <t>=IF(OR($G94="",$G94=$G93),"",NF($B94,"franqueo")/NF($B94,"numeroexpediciones"))</t>
  </si>
  <si>
    <t>=IF(OR($G94="",$G94=$G93),"",NF($B94,"despacho")/NF($B94,"numeroexpediciones"))</t>
  </si>
  <si>
    <t>=IF($G94="","",IFERROR(IF(ISBLANK(Z94),0,Z94)+IF(ISBLANK(AA94),0,AA94)+IF(ISBLANK(AB94),0,AB94)+IF(ISBLANK(AC94),0,AC94)+IF(ISBLANK(AD94),0,AD94)+IF(ISBLANK(AE94),0,AE94)+IF(ISBLANK(AF94),0,AF94)+IF(ISBLANK(AG94),0,AG94)+IF(ISBLANK(AH94),0,AH94),0))</t>
  </si>
  <si>
    <t>=IF($G94="","",NL("Suma","Registro activ. Log. detallado","Importe a facturar","Id. Prefactura",IdPrefactura,"Familia concepto","GESTION","Nº documento",NF($B94,"No_"),"Tipo de documento","Pedido|Bulto opaco","Datasource=","Navision"))</t>
  </si>
  <si>
    <t>=IF($C95=$C94,"",IF($C95="","",CONCATENATE(NF($B95,"Cód_ operativa")," ",NF($B95,"Descripción"))))</t>
  </si>
  <si>
    <t>=IF($C95=$C94,"",IF($C95="","",IF(NF($B95,"Tipo Documento")=0,"Pedido","Bulto Opaco")))</t>
  </si>
  <si>
    <t>=IF($C95=$C94,"",IF($C95="","",NF($B95,"No_")))</t>
  </si>
  <si>
    <t>=IF($C95=$C94,"",IF($C95="","",NF($B95,"No_ documento cliente")))</t>
  </si>
  <si>
    <t>=IF($C95=$C94,"",IF($C95="","",NF($B95,"Nombre punto entrega")))</t>
  </si>
  <si>
    <t>=IF($C95=$C94,"",IF($C95="","",NF($B95,"Contacto punto entrega")))</t>
  </si>
  <si>
    <t>=IF($C95=$C94,"",IF($C95="","",NF($B95,"Dirección punto entrega")))</t>
  </si>
  <si>
    <t>=IF($C95=$C94,"",IF($C95="","",NF($B95,"C_P_ punto entrega")))</t>
  </si>
  <si>
    <t>=IF($C95=$C94,"",IF($C95="","",NF($B95,"Población punto entrega")))</t>
  </si>
  <si>
    <t>=IF($C95=$C94,"",IF($C95="","",NF($B95,"Provincia punto entrega")))</t>
  </si>
  <si>
    <t>=IF($C95=$C94,"",IF($C95="","",NF($B95,"País punto entrega")))</t>
  </si>
  <si>
    <t>=IF($C95=$C94,"",IF($C95="","",NF($B95,"bultosE")))</t>
  </si>
  <si>
    <t>=IF(B95="","",IF($B95=$B94,"",ROUNDUP(NF($B95,"Peso facturable"),0)))</t>
  </si>
  <si>
    <t>=IF(OR($G95="",$G95=$G94),"",NF($B95,"manipulacion"))</t>
  </si>
  <si>
    <t>=NP("codeunit","Miscelanea","CalculaEmbalajeAlbaranPedido",G95,I95,D95,"",,,,,,,"MEDIAPOST SPAIN","Navision")</t>
  </si>
  <si>
    <t>=IF(OR($G95="",$G95=$G94),"",NF($B95,"transporte")/NF($B95,"numeroexpediciones"))</t>
  </si>
  <si>
    <t>=IF(OR($G95="",$G95=$G94),"",NF($B95,"prima")/NF($B95,"numeroexpediciones"))</t>
  </si>
  <si>
    <t>=IF(OR($G95="",$G95=$G94),"",NF($B95,"reembolso")/NF($B95,"numeroexpediciones"))</t>
  </si>
  <si>
    <t>=IF(OR($G95="",$G95=$G94),"",NF($B95,"impuestos")/NF($B95,"numeroexpediciones"))</t>
  </si>
  <si>
    <t>=IF(AJ95="","",VALUE(AJ95))</t>
  </si>
  <si>
    <t>=IF(OR($G95="",$G95=$G94),"",NF($B95,"franqueo")/NF($B95,"numeroexpediciones"))</t>
  </si>
  <si>
    <t>=IF(OR($G95="",$G95=$G94),"",NF($B95,"despacho")/NF($B95,"numeroexpediciones"))</t>
  </si>
  <si>
    <t>=IF($G95="","",IFERROR(IF(ISBLANK(Z95),0,Z95)+IF(ISBLANK(AA95),0,AA95)+IF(ISBLANK(AB95),0,AB95)+IF(ISBLANK(AC95),0,AC95)+IF(ISBLANK(AD95),0,AD95)+IF(ISBLANK(AE95),0,AE95)+IF(ISBLANK(AF95),0,AF95)+IF(ISBLANK(AG95),0,AG95)+IF(ISBLANK(AH95),0,AH95),0))</t>
  </si>
  <si>
    <t>=IF($G95="","",NL("Suma","Registro activ. Log. detallado","Importe a facturar","Id. Prefactura",IdPrefactura,"Familia concepto","GESTION","Nº documento",NF($B95,"No_"),"Tipo de documento","Pedido|Bulto opaco","Datasource=","Navision"))</t>
  </si>
  <si>
    <t>=IF($C96=$C95,"",IF($C96="","",CONCATENATE(NF($B96,"Cód_ operativa")," ",NF($B96,"Descripción"))))</t>
  </si>
  <si>
    <t>=IF($C96=$C95,"",IF($C96="","",IF(NF($B96,"Tipo Documento")=0,"Pedido","Bulto Opaco")))</t>
  </si>
  <si>
    <t>=IF($C96=$C95,"",IF($C96="","",NF($B96,"No_")))</t>
  </si>
  <si>
    <t>=IF($C96=$C95,"",IF($C96="","",NF($B96,"No_ documento cliente")))</t>
  </si>
  <si>
    <t>=IF($C96=$C95,"",IF($C96="","",NF($B96,"Nombre punto entrega")))</t>
  </si>
  <si>
    <t>=IF($C96=$C95,"",IF($C96="","",NF($B96,"Contacto punto entrega")))</t>
  </si>
  <si>
    <t>=IF($C96=$C95,"",IF($C96="","",NF($B96,"Dirección punto entrega")))</t>
  </si>
  <si>
    <t>=IF($C96=$C95,"",IF($C96="","",NF($B96,"C_P_ punto entrega")))</t>
  </si>
  <si>
    <t>=IF($C96=$C95,"",IF($C96="","",NF($B96,"Población punto entrega")))</t>
  </si>
  <si>
    <t>=IF($C96=$C95,"",IF($C96="","",NF($B96,"Provincia punto entrega")))</t>
  </si>
  <si>
    <t>=IF($C96=$C95,"",IF($C96="","",NF($B96,"País punto entrega")))</t>
  </si>
  <si>
    <t>=IF($C96=$C95,"",IF($C96="","",NF($B96,"bultosE")))</t>
  </si>
  <si>
    <t>=IF(B96="","",IF($B96=$B95,"",ROUNDUP(NF($B96,"Peso facturable"),0)))</t>
  </si>
  <si>
    <t>=IF(OR($G96="",$G96=$G95),"",NF($B96,"manipulacion"))</t>
  </si>
  <si>
    <t>=NP("codeunit","Miscelanea","CalculaEmbalajeAlbaranPedido",G96,I96,D96,"",,,,,,,"MEDIAPOST SPAIN","Navision")</t>
  </si>
  <si>
    <t>=IF(OR($G96="",$G96=$G95),"",NF($B96,"transporte")/NF($B96,"numeroexpediciones"))</t>
  </si>
  <si>
    <t>=IF(OR($G96="",$G96=$G95),"",NF($B96,"prima")/NF($B96,"numeroexpediciones"))</t>
  </si>
  <si>
    <t>=IF(OR($G96="",$G96=$G95),"",NF($B96,"reembolso")/NF($B96,"numeroexpediciones"))</t>
  </si>
  <si>
    <t>=IF(OR($G96="",$G96=$G95),"",NF($B96,"impuestos")/NF($B96,"numeroexpediciones"))</t>
  </si>
  <si>
    <t>=IF(AJ96="","",VALUE(AJ96))</t>
  </si>
  <si>
    <t>=IF(OR($G96="",$G96=$G95),"",NF($B96,"franqueo")/NF($B96,"numeroexpediciones"))</t>
  </si>
  <si>
    <t>=IF(OR($G96="",$G96=$G95),"",NF($B96,"despacho")/NF($B96,"numeroexpediciones"))</t>
  </si>
  <si>
    <t>=IF($G96="","",IFERROR(IF(ISBLANK(Z96),0,Z96)+IF(ISBLANK(AA96),0,AA96)+IF(ISBLANK(AB96),0,AB96)+IF(ISBLANK(AC96),0,AC96)+IF(ISBLANK(AD96),0,AD96)+IF(ISBLANK(AE96),0,AE96)+IF(ISBLANK(AF96),0,AF96)+IF(ISBLANK(AG96),0,AG96)+IF(ISBLANK(AH96),0,AH96),0))</t>
  </si>
  <si>
    <t>=IF($G96="","",NL("Suma","Registro activ. Log. detallado","Importe a facturar","Id. Prefactura",IdPrefactura,"Familia concepto","GESTION","Nº documento",NF($B96,"No_"),"Tipo de documento","Pedido|Bulto opaco","Datasource=","Navision"))</t>
  </si>
  <si>
    <t>=IF($C97=$C96,"",IF($C97="","",CONCATENATE(NF($B97,"Cód_ operativa")," ",NF($B97,"Descripción"))))</t>
  </si>
  <si>
    <t>=IF($C97=$C96,"",IF($C97="","",IF(NF($B97,"Tipo Documento")=0,"Pedido","Bulto Opaco")))</t>
  </si>
  <si>
    <t>=IF($C97=$C96,"",IF($C97="","",NF($B97,"No_")))</t>
  </si>
  <si>
    <t>=IF($C97=$C96,"",IF($C97="","",NF($B97,"No_ documento cliente")))</t>
  </si>
  <si>
    <t>=IF($C97=$C96,"",IF($C97="","",NF($B97,"Nombre punto entrega")))</t>
  </si>
  <si>
    <t>=IF($C97=$C96,"",IF($C97="","",NF($B97,"Contacto punto entrega")))</t>
  </si>
  <si>
    <t>=IF($C97=$C96,"",IF($C97="","",NF($B97,"Dirección punto entrega")))</t>
  </si>
  <si>
    <t>=IF($C97=$C96,"",IF($C97="","",NF($B97,"C_P_ punto entrega")))</t>
  </si>
  <si>
    <t>=IF($C97=$C96,"",IF($C97="","",NF($B97,"Población punto entrega")))</t>
  </si>
  <si>
    <t>=IF($C97=$C96,"",IF($C97="","",NF($B97,"Provincia punto entrega")))</t>
  </si>
  <si>
    <t>=IF($C97=$C96,"",IF($C97="","",NF($B97,"País punto entrega")))</t>
  </si>
  <si>
    <t>=IF($C97=$C96,"",IF($C97="","",NF($B97,"bultosE")))</t>
  </si>
  <si>
    <t>=IF(B97="","",IF($B97=$B96,"",ROUNDUP(NF($B97,"Peso facturable"),0)))</t>
  </si>
  <si>
    <t>=IF(OR($G97="",$G97=$G96),"",NF($B97,"manipulacion"))</t>
  </si>
  <si>
    <t>=NP("codeunit","Miscelanea","CalculaEmbalajeAlbaranPedido",G97,I97,D97,"",,,,,,,"MEDIAPOST SPAIN","Navision")</t>
  </si>
  <si>
    <t>=IF(OR($G97="",$G97=$G96),"",NF($B97,"transporte")/NF($B97,"numeroexpediciones"))</t>
  </si>
  <si>
    <t>=IF(OR($G97="",$G97=$G96),"",NF($B97,"prima")/NF($B97,"numeroexpediciones"))</t>
  </si>
  <si>
    <t>=IF(OR($G97="",$G97=$G96),"",NF($B97,"reembolso")/NF($B97,"numeroexpediciones"))</t>
  </si>
  <si>
    <t>=IF(OR($G97="",$G97=$G96),"",NF($B97,"impuestos")/NF($B97,"numeroexpediciones"))</t>
  </si>
  <si>
    <t>=IF(AJ97="","",VALUE(AJ97))</t>
  </si>
  <si>
    <t>=IF(OR($G97="",$G97=$G96),"",NF($B97,"franqueo")/NF($B97,"numeroexpediciones"))</t>
  </si>
  <si>
    <t>=IF(OR($G97="",$G97=$G96),"",NF($B97,"despacho")/NF($B97,"numeroexpediciones"))</t>
  </si>
  <si>
    <t>=IF($G97="","",IFERROR(IF(ISBLANK(Z97),0,Z97)+IF(ISBLANK(AA97),0,AA97)+IF(ISBLANK(AB97),0,AB97)+IF(ISBLANK(AC97),0,AC97)+IF(ISBLANK(AD97),0,AD97)+IF(ISBLANK(AE97),0,AE97)+IF(ISBLANK(AF97),0,AF97)+IF(ISBLANK(AG97),0,AG97)+IF(ISBLANK(AH97),0,AH97),0))</t>
  </si>
  <si>
    <t>=IF($G97="","",NL("Suma","Registro activ. Log. detallado","Importe a facturar","Id. Prefactura",IdPrefactura,"Familia concepto","GESTION","Nº documento",NF($B97,"No_"),"Tipo de documento","Pedido|Bulto opaco","Datasource=","Navision"))</t>
  </si>
  <si>
    <t>=IF($C98=$C97,"",IF($C98="","",CONCATENATE(NF($B98,"Cód_ operativa")," ",NF($B98,"Descripción"))))</t>
  </si>
  <si>
    <t>=IF($C98=$C97,"",IF($C98="","",IF(NF($B98,"Tipo Documento")=0,"Pedido","Bulto Opaco")))</t>
  </si>
  <si>
    <t>=IF($C98=$C97,"",IF($C98="","",NF($B98,"No_")))</t>
  </si>
  <si>
    <t>=IF($C98=$C97,"",IF($C98="","",NF($B98,"No_ documento cliente")))</t>
  </si>
  <si>
    <t>=IF($C98=$C97,"",IF($C98="","",NF($B98,"Nombre punto entrega")))</t>
  </si>
  <si>
    <t>=IF($C98=$C97,"",IF($C98="","",NF($B98,"Contacto punto entrega")))</t>
  </si>
  <si>
    <t>=IF($C98=$C97,"",IF($C98="","",NF($B98,"Dirección punto entrega")))</t>
  </si>
  <si>
    <t>=IF($C98=$C97,"",IF($C98="","",NF($B98,"C_P_ punto entrega")))</t>
  </si>
  <si>
    <t>=IF($C98=$C97,"",IF($C98="","",NF($B98,"Población punto entrega")))</t>
  </si>
  <si>
    <t>=IF($C98=$C97,"",IF($C98="","",NF($B98,"Provincia punto entrega")))</t>
  </si>
  <si>
    <t>=IF($C98=$C97,"",IF($C98="","",NF($B98,"País punto entrega")))</t>
  </si>
  <si>
    <t>=IF($C98=$C97,"",IF($C98="","",NF($B98,"bultosE")))</t>
  </si>
  <si>
    <t>=IF(B98="","",IF($B98=$B97,"",ROUNDUP(NF($B98,"Peso facturable"),0)))</t>
  </si>
  <si>
    <t>=IF(OR($G98="",$G98=$G97),"",NF($B98,"manipulacion"))</t>
  </si>
  <si>
    <t>=NP("codeunit","Miscelanea","CalculaEmbalajeAlbaranPedido",G98,I98,D98,"",,,,,,,"MEDIAPOST SPAIN","Navision")</t>
  </si>
  <si>
    <t>=IF(OR($G98="",$G98=$G97),"",NF($B98,"transporte")/NF($B98,"numeroexpediciones"))</t>
  </si>
  <si>
    <t>=IF(OR($G98="",$G98=$G97),"",NF($B98,"prima")/NF($B98,"numeroexpediciones"))</t>
  </si>
  <si>
    <t>=IF(OR($G98="",$G98=$G97),"",NF($B98,"reembolso")/NF($B98,"numeroexpediciones"))</t>
  </si>
  <si>
    <t>=IF(OR($G98="",$G98=$G97),"",NF($B98,"impuestos")/NF($B98,"numeroexpediciones"))</t>
  </si>
  <si>
    <t>=IF(AJ98="","",VALUE(AJ98))</t>
  </si>
  <si>
    <t>=IF(OR($G98="",$G98=$G97),"",NF($B98,"franqueo")/NF($B98,"numeroexpediciones"))</t>
  </si>
  <si>
    <t>=IF(OR($G98="",$G98=$G97),"",NF($B98,"despacho")/NF($B98,"numeroexpediciones"))</t>
  </si>
  <si>
    <t>=IF($G98="","",IFERROR(IF(ISBLANK(Z98),0,Z98)+IF(ISBLANK(AA98),0,AA98)+IF(ISBLANK(AB98),0,AB98)+IF(ISBLANK(AC98),0,AC98)+IF(ISBLANK(AD98),0,AD98)+IF(ISBLANK(AE98),0,AE98)+IF(ISBLANK(AF98),0,AF98)+IF(ISBLANK(AG98),0,AG98)+IF(ISBLANK(AH98),0,AH98),0))</t>
  </si>
  <si>
    <t>=IF($G98="","",NL("Suma","Registro activ. Log. detallado","Importe a facturar","Id. Prefactura",IdPrefactura,"Familia concepto","GESTION","Nº documento",NF($B98,"No_"),"Tipo de documento","Pedido|Bulto opaco","Datasource=","Navision"))</t>
  </si>
  <si>
    <t>=IF($C99=$C98,"",IF($C99="","",CONCATENATE(NF($B99,"Cód_ operativa")," ",NF($B99,"Descripción"))))</t>
  </si>
  <si>
    <t>=IF($C99=$C98,"",IF($C99="","",IF(NF($B99,"Tipo Documento")=0,"Pedido","Bulto Opaco")))</t>
  </si>
  <si>
    <t>=IF($C99=$C98,"",IF($C99="","",NF($B99,"No_")))</t>
  </si>
  <si>
    <t>=IF($C99=$C98,"",IF($C99="","",NF($B99,"No_ documento cliente")))</t>
  </si>
  <si>
    <t>=IF($C99=$C98,"",IF($C99="","",NF($B99,"Nombre punto entrega")))</t>
  </si>
  <si>
    <t>=IF($C99=$C98,"",IF($C99="","",NF($B99,"Contacto punto entrega")))</t>
  </si>
  <si>
    <t>=IF($C99=$C98,"",IF($C99="","",NF($B99,"Dirección punto entrega")))</t>
  </si>
  <si>
    <t>=IF($C99=$C98,"",IF($C99="","",NF($B99,"C_P_ punto entrega")))</t>
  </si>
  <si>
    <t>=IF($C99=$C98,"",IF($C99="","",NF($B99,"Población punto entrega")))</t>
  </si>
  <si>
    <t>=IF($C99=$C98,"",IF($C99="","",NF($B99,"Provincia punto entrega")))</t>
  </si>
  <si>
    <t>=IF($C99=$C98,"",IF($C99="","",NF($B99,"País punto entrega")))</t>
  </si>
  <si>
    <t>=IF($C99=$C98,"",IF($C99="","",NF($B99,"bultosE")))</t>
  </si>
  <si>
    <t>=IF(B99="","",IF($B99=$B98,"",ROUNDUP(NF($B99,"Peso facturable"),0)))</t>
  </si>
  <si>
    <t>=IF(OR($G99="",$G99=$G98),"",NF($B99,"manipulacion"))</t>
  </si>
  <si>
    <t>=NP("codeunit","Miscelanea","CalculaEmbalajeAlbaranPedido",G99,I99,D99,"",,,,,,,"MEDIAPOST SPAIN","Navision")</t>
  </si>
  <si>
    <t>=IF(OR($G99="",$G99=$G98),"",NF($B99,"transporte")/NF($B99,"numeroexpediciones"))</t>
  </si>
  <si>
    <t>=IF(OR($G99="",$G99=$G98),"",NF($B99,"prima")/NF($B99,"numeroexpediciones"))</t>
  </si>
  <si>
    <t>=IF(OR($G99="",$G99=$G98),"",NF($B99,"reembolso")/NF($B99,"numeroexpediciones"))</t>
  </si>
  <si>
    <t>=IF(OR($G99="",$G99=$G98),"",NF($B99,"impuestos")/NF($B99,"numeroexpediciones"))</t>
  </si>
  <si>
    <t>=IF(AJ99="","",VALUE(AJ99))</t>
  </si>
  <si>
    <t>=IF(OR($G99="",$G99=$G98),"",NF($B99,"franqueo")/NF($B99,"numeroexpediciones"))</t>
  </si>
  <si>
    <t>=IF(OR($G99="",$G99=$G98),"",NF($B99,"despacho")/NF($B99,"numeroexpediciones"))</t>
  </si>
  <si>
    <t>=IF($G99="","",IFERROR(IF(ISBLANK(Z99),0,Z99)+IF(ISBLANK(AA99),0,AA99)+IF(ISBLANK(AB99),0,AB99)+IF(ISBLANK(AC99),0,AC99)+IF(ISBLANK(AD99),0,AD99)+IF(ISBLANK(AE99),0,AE99)+IF(ISBLANK(AF99),0,AF99)+IF(ISBLANK(AG99),0,AG99)+IF(ISBLANK(AH99),0,AH99),0))</t>
  </si>
  <si>
    <t>=IF($G99="","",NL("Suma","Registro activ. Log. detallado","Importe a facturar","Id. Prefactura",IdPrefactura,"Familia concepto","GESTION","Nº documento",NF($B99,"No_"),"Tipo de documento","Pedido|Bulto opaco","Datasource=","Navision"))</t>
  </si>
  <si>
    <t>=IF($C100=$C99,"",IF($C100="","",CONCATENATE(NF($B100,"Cód_ operativa")," ",NF($B100,"Descripción"))))</t>
  </si>
  <si>
    <t>=IF($C100=$C99,"",IF($C100="","",IF(NF($B100,"Tipo Documento")=0,"Pedido","Bulto Opaco")))</t>
  </si>
  <si>
    <t>=IF($C100=$C99,"",IF($C100="","",NF($B100,"No_")))</t>
  </si>
  <si>
    <t>=IF($C100=$C99,"",IF($C100="","",NF($B100,"No_ documento cliente")))</t>
  </si>
  <si>
    <t>=IF($C100=$C99,"",IF($C100="","",NF($B100,"Nombre punto entrega")))</t>
  </si>
  <si>
    <t>=IF($C100=$C99,"",IF($C100="","",NF($B100,"Contacto punto entrega")))</t>
  </si>
  <si>
    <t>=IF($C100=$C99,"",IF($C100="","",NF($B100,"Dirección punto entrega")))</t>
  </si>
  <si>
    <t>=IF($C100=$C99,"",IF($C100="","",NF($B100,"C_P_ punto entrega")))</t>
  </si>
  <si>
    <t>=IF($C100=$C99,"",IF($C100="","",NF($B100,"Población punto entrega")))</t>
  </si>
  <si>
    <t>=IF($C100=$C99,"",IF($C100="","",NF($B100,"Provincia punto entrega")))</t>
  </si>
  <si>
    <t>=IF($C100=$C99,"",IF($C100="","",NF($B100,"País punto entrega")))</t>
  </si>
  <si>
    <t>=IF($C100=$C99,"",IF($C100="","",NF($B100,"bultosE")))</t>
  </si>
  <si>
    <t>=IF(B100="","",IF($B100=$B99,"",ROUNDUP(NF($B100,"Peso facturable"),0)))</t>
  </si>
  <si>
    <t>=IF(OR($G100="",$G100=$G99),"",NF($B100,"manipulacion"))</t>
  </si>
  <si>
    <t>=NP("codeunit","Miscelanea","CalculaEmbalajeAlbaranPedido",G100,I100,D100,"",,,,,,,"MEDIAPOST SPAIN","Navision")</t>
  </si>
  <si>
    <t>=IF(OR($G100="",$G100=$G99),"",NF($B100,"transporte")/NF($B100,"numeroexpediciones"))</t>
  </si>
  <si>
    <t>=IF(OR($G100="",$G100=$G99),"",NF($B100,"prima")/NF($B100,"numeroexpediciones"))</t>
  </si>
  <si>
    <t>=IF(OR($G100="",$G100=$G99),"",NF($B100,"reembolso")/NF($B100,"numeroexpediciones"))</t>
  </si>
  <si>
    <t>=IF(OR($G100="",$G100=$G99),"",NF($B100,"impuestos")/NF($B100,"numeroexpediciones"))</t>
  </si>
  <si>
    <t>=IF(AJ100="","",VALUE(AJ100))</t>
  </si>
  <si>
    <t>=IF(OR($G100="",$G100=$G99),"",NF($B100,"franqueo")/NF($B100,"numeroexpediciones"))</t>
  </si>
  <si>
    <t>=IF(OR($G100="",$G100=$G99),"",NF($B100,"despacho")/NF($B100,"numeroexpediciones"))</t>
  </si>
  <si>
    <t>=IF($G100="","",IFERROR(IF(ISBLANK(Z100),0,Z100)+IF(ISBLANK(AA100),0,AA100)+IF(ISBLANK(AB100),0,AB100)+IF(ISBLANK(AC100),0,AC100)+IF(ISBLANK(AD100),0,AD100)+IF(ISBLANK(AE100),0,AE100)+IF(ISBLANK(AF100),0,AF100)+IF(ISBLANK(AG100),0,AG100)+IF(ISBLANK(AH100),0,AH100),0))</t>
  </si>
  <si>
    <t>=IF($G100="","",NL("Suma","Registro activ. Log. detallado","Importe a facturar","Id. Prefactura",IdPrefactura,"Familia concepto","GESTION","Nº documento",NF($B100,"No_"),"Tipo de documento","Pedido|Bulto opaco","Datasource=","Navision"))</t>
  </si>
  <si>
    <t>=IF($C101=$C100,"",IF($C101="","",CONCATENATE(NF($B101,"Cód_ operativa")," ",NF($B101,"Descripción"))))</t>
  </si>
  <si>
    <t>=IF($C101=$C100,"",IF($C101="","",IF(NF($B101,"Tipo Documento")=0,"Pedido","Bulto Opaco")))</t>
  </si>
  <si>
    <t>=IF($C101=$C100,"",IF($C101="","",NF($B101,"No_")))</t>
  </si>
  <si>
    <t>=IF($C101=$C100,"",IF($C101="","",NF($B101,"No_ documento cliente")))</t>
  </si>
  <si>
    <t>=IF($C101=$C100,"",IF($C101="","",NF($B101,"Nombre punto entrega")))</t>
  </si>
  <si>
    <t>=IF($C101=$C100,"",IF($C101="","",NF($B101,"Contacto punto entrega")))</t>
  </si>
  <si>
    <t>=IF($C101=$C100,"",IF($C101="","",NF($B101,"Dirección punto entrega")))</t>
  </si>
  <si>
    <t>=IF($C101=$C100,"",IF($C101="","",NF($B101,"C_P_ punto entrega")))</t>
  </si>
  <si>
    <t>=IF($C101=$C100,"",IF($C101="","",NF($B101,"Población punto entrega")))</t>
  </si>
  <si>
    <t>=IF($C101=$C100,"",IF($C101="","",NF($B101,"Provincia punto entrega")))</t>
  </si>
  <si>
    <t>=IF($C101=$C100,"",IF($C101="","",NF($B101,"País punto entrega")))</t>
  </si>
  <si>
    <t>=IF($C101=$C100,"",IF($C101="","",NF($B101,"bultosE")))</t>
  </si>
  <si>
    <t>=IF(B101="","",IF($B101=$B100,"",ROUNDUP(NF($B101,"Peso facturable"),0)))</t>
  </si>
  <si>
    <t>=IF(OR($G101="",$G101=$G100),"",NF($B101,"manipulacion"))</t>
  </si>
  <si>
    <t>=NP("codeunit","Miscelanea","CalculaEmbalajeAlbaranPedido",G101,I101,D101,"",,,,,,,"MEDIAPOST SPAIN","Navision")</t>
  </si>
  <si>
    <t>=IF(OR($G101="",$G101=$G100),"",NF($B101,"transporte")/NF($B101,"numeroexpediciones"))</t>
  </si>
  <si>
    <t>=IF(OR($G101="",$G101=$G100),"",NF($B101,"prima")/NF($B101,"numeroexpediciones"))</t>
  </si>
  <si>
    <t>=IF(OR($G101="",$G101=$G100),"",NF($B101,"reembolso")/NF($B101,"numeroexpediciones"))</t>
  </si>
  <si>
    <t>=IF(OR($G101="",$G101=$G100),"",NF($B101,"impuestos")/NF($B101,"numeroexpediciones"))</t>
  </si>
  <si>
    <t>=IF(AJ101="","",VALUE(AJ101))</t>
  </si>
  <si>
    <t>=IF(OR($G101="",$G101=$G100),"",NF($B101,"franqueo")/NF($B101,"numeroexpediciones"))</t>
  </si>
  <si>
    <t>=IF(OR($G101="",$G101=$G100),"",NF($B101,"despacho")/NF($B101,"numeroexpediciones"))</t>
  </si>
  <si>
    <t>=IF($G101="","",IFERROR(IF(ISBLANK(Z101),0,Z101)+IF(ISBLANK(AA101),0,AA101)+IF(ISBLANK(AB101),0,AB101)+IF(ISBLANK(AC101),0,AC101)+IF(ISBLANK(AD101),0,AD101)+IF(ISBLANK(AE101),0,AE101)+IF(ISBLANK(AF101),0,AF101)+IF(ISBLANK(AG101),0,AG101)+IF(ISBLANK(AH101),0,AH101),0))</t>
  </si>
  <si>
    <t>=IF($G101="","",NL("Suma","Registro activ. Log. detallado","Importe a facturar","Id. Prefactura",IdPrefactura,"Familia concepto","GESTION","Nº documento",NF($B101,"No_"),"Tipo de documento","Pedido|Bulto opaco","Datasource=","Navision"))</t>
  </si>
  <si>
    <t>=IF($C102=$C101,"",IF($C102="","",CONCATENATE(NF($B102,"Cód_ operativa")," ",NF($B102,"Descripción"))))</t>
  </si>
  <si>
    <t>=IF($C102=$C101,"",IF($C102="","",IF(NF($B102,"Tipo Documento")=0,"Pedido","Bulto Opaco")))</t>
  </si>
  <si>
    <t>=IF($C102=$C101,"",IF($C102="","",NF($B102,"No_")))</t>
  </si>
  <si>
    <t>=IF($C102=$C101,"",IF($C102="","",NF($B102,"No_ documento cliente")))</t>
  </si>
  <si>
    <t>=IF($C102=$C101,"",IF($C102="","",NF($B102,"Nombre punto entrega")))</t>
  </si>
  <si>
    <t>=IF($C102=$C101,"",IF($C102="","",NF($B102,"Contacto punto entrega")))</t>
  </si>
  <si>
    <t>=IF($C102=$C101,"",IF($C102="","",NF($B102,"Dirección punto entrega")))</t>
  </si>
  <si>
    <t>=IF($C102=$C101,"",IF($C102="","",NF($B102,"C_P_ punto entrega")))</t>
  </si>
  <si>
    <t>=IF($C102=$C101,"",IF($C102="","",NF($B102,"Población punto entrega")))</t>
  </si>
  <si>
    <t>=IF($C102=$C101,"",IF($C102="","",NF($B102,"Provincia punto entrega")))</t>
  </si>
  <si>
    <t>=IF($C102=$C101,"",IF($C102="","",NF($B102,"País punto entrega")))</t>
  </si>
  <si>
    <t>=IF($C102=$C101,"",IF($C102="","",NF($B102,"bultosE")))</t>
  </si>
  <si>
    <t>=IF(B102="","",IF($B102=$B101,"",ROUNDUP(NF($B102,"Peso facturable"),0)))</t>
  </si>
  <si>
    <t>=IF(OR($G102="",$G102=$G101),"",NF($B102,"manipulacion"))</t>
  </si>
  <si>
    <t>=NP("codeunit","Miscelanea","CalculaEmbalajeAlbaranPedido",G102,I102,D102,"",,,,,,,"MEDIAPOST SPAIN","Navision")</t>
  </si>
  <si>
    <t>=IF(OR($G102="",$G102=$G101),"",NF($B102,"transporte")/NF($B102,"numeroexpediciones"))</t>
  </si>
  <si>
    <t>=IF(OR($G102="",$G102=$G101),"",NF($B102,"prima")/NF($B102,"numeroexpediciones"))</t>
  </si>
  <si>
    <t>=IF(OR($G102="",$G102=$G101),"",NF($B102,"reembolso")/NF($B102,"numeroexpediciones"))</t>
  </si>
  <si>
    <t>=IF(OR($G102="",$G102=$G101),"",NF($B102,"impuestos")/NF($B102,"numeroexpediciones"))</t>
  </si>
  <si>
    <t>=IF(AJ102="","",VALUE(AJ102))</t>
  </si>
  <si>
    <t>=IF(OR($G102="",$G102=$G101),"",NF($B102,"franqueo")/NF($B102,"numeroexpediciones"))</t>
  </si>
  <si>
    <t>=IF(OR($G102="",$G102=$G101),"",NF($B102,"despacho")/NF($B102,"numeroexpediciones"))</t>
  </si>
  <si>
    <t>=IF($G102="","",IFERROR(IF(ISBLANK(Z102),0,Z102)+IF(ISBLANK(AA102),0,AA102)+IF(ISBLANK(AB102),0,AB102)+IF(ISBLANK(AC102),0,AC102)+IF(ISBLANK(AD102),0,AD102)+IF(ISBLANK(AE102),0,AE102)+IF(ISBLANK(AF102),0,AF102)+IF(ISBLANK(AG102),0,AG102)+IF(ISBLANK(AH102),0,AH102),0))</t>
  </si>
  <si>
    <t>=IF($G102="","",NL("Suma","Registro activ. Log. detallado","Importe a facturar","Id. Prefactura",IdPrefactura,"Familia concepto","GESTION","Nº documento",NF($B102,"No_"),"Tipo de documento","Pedido|Bulto opaco","Datasource=","Navision"))</t>
  </si>
  <si>
    <t>=IF($C103=$C102,"",IF($C103="","",CONCATENATE(NF($B103,"Cód_ operativa")," ",NF($B103,"Descripción"))))</t>
  </si>
  <si>
    <t>=IF($C103=$C102,"",IF($C103="","",IF(NF($B103,"Tipo Documento")=0,"Pedido","Bulto Opaco")))</t>
  </si>
  <si>
    <t>=IF($C103=$C102,"",IF($C103="","",NF($B103,"No_")))</t>
  </si>
  <si>
    <t>=IF($C103=$C102,"",IF($C103="","",NF($B103,"No_ documento cliente")))</t>
  </si>
  <si>
    <t>=IF($C103=$C102,"",IF($C103="","",NF($B103,"Nombre punto entrega")))</t>
  </si>
  <si>
    <t>=IF($C103=$C102,"",IF($C103="","",NF($B103,"Contacto punto entrega")))</t>
  </si>
  <si>
    <t>=IF($C103=$C102,"",IF($C103="","",NF($B103,"Dirección punto entrega")))</t>
  </si>
  <si>
    <t>=IF($C103=$C102,"",IF($C103="","",NF($B103,"C_P_ punto entrega")))</t>
  </si>
  <si>
    <t>=IF($C103=$C102,"",IF($C103="","",NF($B103,"Población punto entrega")))</t>
  </si>
  <si>
    <t>=IF($C103=$C102,"",IF($C103="","",NF($B103,"Provincia punto entrega")))</t>
  </si>
  <si>
    <t>=IF($C103=$C102,"",IF($C103="","",NF($B103,"País punto entrega")))</t>
  </si>
  <si>
    <t>=IF($C103=$C102,"",IF($C103="","",NF($B103,"bultosE")))</t>
  </si>
  <si>
    <t>=IF(B103="","",IF($B103=$B102,"",ROUNDUP(NF($B103,"Peso facturable"),0)))</t>
  </si>
  <si>
    <t>=IF(OR($G103="",$G103=$G102),"",NF($B103,"manipulacion"))</t>
  </si>
  <si>
    <t>=NP("codeunit","Miscelanea","CalculaEmbalajeAlbaranPedido",G103,I103,D103,"",,,,,,,"MEDIAPOST SPAIN","Navision")</t>
  </si>
  <si>
    <t>=IF(OR($G103="",$G103=$G102),"",NF($B103,"transporte")/NF($B103,"numeroexpediciones"))</t>
  </si>
  <si>
    <t>=IF(OR($G103="",$G103=$G102),"",NF($B103,"prima")/NF($B103,"numeroexpediciones"))</t>
  </si>
  <si>
    <t>=IF(OR($G103="",$G103=$G102),"",NF($B103,"reembolso")/NF($B103,"numeroexpediciones"))</t>
  </si>
  <si>
    <t>=IF(OR($G103="",$G103=$G102),"",NF($B103,"impuestos")/NF($B103,"numeroexpediciones"))</t>
  </si>
  <si>
    <t>=IF(AJ103="","",VALUE(AJ103))</t>
  </si>
  <si>
    <t>=IF(OR($G103="",$G103=$G102),"",NF($B103,"franqueo")/NF($B103,"numeroexpediciones"))</t>
  </si>
  <si>
    <t>=IF(OR($G103="",$G103=$G102),"",NF($B103,"despacho")/NF($B103,"numeroexpediciones"))</t>
  </si>
  <si>
    <t>=IF($G103="","",IFERROR(IF(ISBLANK(Z103),0,Z103)+IF(ISBLANK(AA103),0,AA103)+IF(ISBLANK(AB103),0,AB103)+IF(ISBLANK(AC103),0,AC103)+IF(ISBLANK(AD103),0,AD103)+IF(ISBLANK(AE103),0,AE103)+IF(ISBLANK(AF103),0,AF103)+IF(ISBLANK(AG103),0,AG103)+IF(ISBLANK(AH103),0,AH103),0))</t>
  </si>
  <si>
    <t>=IF($G103="","",NL("Suma","Registro activ. Log. detallado","Importe a facturar","Id. Prefactura",IdPrefactura,"Familia concepto","GESTION","Nº documento",NF($B103,"No_"),"Tipo de documento","Pedido|Bulto opaco","Datasource=","Navision"))</t>
  </si>
  <si>
    <t>=IF($C104=$C103,"",IF($C104="","",CONCATENATE(NF($B104,"Cód_ operativa")," ",NF($B104,"Descripción"))))</t>
  </si>
  <si>
    <t>=IF($C104=$C103,"",IF($C104="","",IF(NF($B104,"Tipo Documento")=0,"Pedido","Bulto Opaco")))</t>
  </si>
  <si>
    <t>=IF($C104=$C103,"",IF($C104="","",NF($B104,"No_")))</t>
  </si>
  <si>
    <t>=IF($C104=$C103,"",IF($C104="","",NF($B104,"No_ documento cliente")))</t>
  </si>
  <si>
    <t>=IF($C104=$C103,"",IF($C104="","",NF($B104,"Nombre punto entrega")))</t>
  </si>
  <si>
    <t>=IF($C104=$C103,"",IF($C104="","",NF($B104,"Contacto punto entrega")))</t>
  </si>
  <si>
    <t>=IF($C104=$C103,"",IF($C104="","",NF($B104,"Dirección punto entrega")))</t>
  </si>
  <si>
    <t>=IF($C104=$C103,"",IF($C104="","",NF($B104,"C_P_ punto entrega")))</t>
  </si>
  <si>
    <t>=IF($C104=$C103,"",IF($C104="","",NF($B104,"Población punto entrega")))</t>
  </si>
  <si>
    <t>=IF($C104=$C103,"",IF($C104="","",NF($B104,"Provincia punto entrega")))</t>
  </si>
  <si>
    <t>=IF($C104=$C103,"",IF($C104="","",NF($B104,"País punto entrega")))</t>
  </si>
  <si>
    <t>=IF($C104=$C103,"",IF($C104="","",NF($B104,"bultosE")))</t>
  </si>
  <si>
    <t>=IF(B104="","",IF($B104=$B103,"",ROUNDUP(NF($B104,"Peso facturable"),0)))</t>
  </si>
  <si>
    <t>=IF(OR($G104="",$G104=$G103),"",NF($B104,"manipulacion"))</t>
  </si>
  <si>
    <t>=NP("codeunit","Miscelanea","CalculaEmbalajeAlbaranPedido",G104,I104,D104,"",,,,,,,"MEDIAPOST SPAIN","Navision")</t>
  </si>
  <si>
    <t>=IF(OR($G104="",$G104=$G103),"",NF($B104,"transporte")/NF($B104,"numeroexpediciones"))</t>
  </si>
  <si>
    <t>=IF(OR($G104="",$G104=$G103),"",NF($B104,"prima")/NF($B104,"numeroexpediciones"))</t>
  </si>
  <si>
    <t>=IF(OR($G104="",$G104=$G103),"",NF($B104,"reembolso")/NF($B104,"numeroexpediciones"))</t>
  </si>
  <si>
    <t>=IF(OR($G104="",$G104=$G103),"",NF($B104,"impuestos")/NF($B104,"numeroexpediciones"))</t>
  </si>
  <si>
    <t>=IF(AJ104="","",VALUE(AJ104))</t>
  </si>
  <si>
    <t>=IF(OR($G104="",$G104=$G103),"",NF($B104,"franqueo")/NF($B104,"numeroexpediciones"))</t>
  </si>
  <si>
    <t>=IF(OR($G104="",$G104=$G103),"",NF($B104,"despacho")/NF($B104,"numeroexpediciones"))</t>
  </si>
  <si>
    <t>=IF($G104="","",IFERROR(IF(ISBLANK(Z104),0,Z104)+IF(ISBLANK(AA104),0,AA104)+IF(ISBLANK(AB104),0,AB104)+IF(ISBLANK(AC104),0,AC104)+IF(ISBLANK(AD104),0,AD104)+IF(ISBLANK(AE104),0,AE104)+IF(ISBLANK(AF104),0,AF104)+IF(ISBLANK(AG104),0,AG104)+IF(ISBLANK(AH104),0,AH104),0))</t>
  </si>
  <si>
    <t>=IF($G104="","",NL("Suma","Registro activ. Log. detallado","Importe a facturar","Id. Prefactura",IdPrefactura,"Familia concepto","GESTION","Nº documento",NF($B104,"No_"),"Tipo de documento","Pedido|Bulto opaco","Datasource=","Navision"))</t>
  </si>
  <si>
    <t>=IF($C105=$C104,"",IF($C105="","",CONCATENATE(NF($B105,"Cód_ operativa")," ",NF($B105,"Descripción"))))</t>
  </si>
  <si>
    <t>=IF($C105=$C104,"",IF($C105="","",IF(NF($B105,"Tipo Documento")=0,"Pedido","Bulto Opaco")))</t>
  </si>
  <si>
    <t>=IF($C105=$C104,"",IF($C105="","",NF($B105,"No_")))</t>
  </si>
  <si>
    <t>=IF($C105=$C104,"",IF($C105="","",NF($B105,"No_ documento cliente")))</t>
  </si>
  <si>
    <t>=IF($C105=$C104,"",IF($C105="","",NF($B105,"Nombre punto entrega")))</t>
  </si>
  <si>
    <t>=IF($C105=$C104,"",IF($C105="","",NF($B105,"Contacto punto entrega")))</t>
  </si>
  <si>
    <t>=IF($C105=$C104,"",IF($C105="","",NF($B105,"Dirección punto entrega")))</t>
  </si>
  <si>
    <t>=IF($C105=$C104,"",IF($C105="","",NF($B105,"C_P_ punto entrega")))</t>
  </si>
  <si>
    <t>=IF($C105=$C104,"",IF($C105="","",NF($B105,"Población punto entrega")))</t>
  </si>
  <si>
    <t>=IF($C105=$C104,"",IF($C105="","",NF($B105,"Provincia punto entrega")))</t>
  </si>
  <si>
    <t>=IF($C105=$C104,"",IF($C105="","",NF($B105,"País punto entrega")))</t>
  </si>
  <si>
    <t>=IF($C105=$C104,"",IF($C105="","",NF($B105,"bultosE")))</t>
  </si>
  <si>
    <t>=IF(B105="","",IF($B105=$B104,"",ROUNDUP(NF($B105,"Peso facturable"),0)))</t>
  </si>
  <si>
    <t>=IF(OR($G105="",$G105=$G104),"",NF($B105,"manipulacion"))</t>
  </si>
  <si>
    <t>=NP("codeunit","Miscelanea","CalculaEmbalajeAlbaranPedido",G105,I105,D105,"",,,,,,,"MEDIAPOST SPAIN","Navision")</t>
  </si>
  <si>
    <t>=IF(OR($G105="",$G105=$G104),"",NF($B105,"transporte")/NF($B105,"numeroexpediciones"))</t>
  </si>
  <si>
    <t>=IF(OR($G105="",$G105=$G104),"",NF($B105,"prima")/NF($B105,"numeroexpediciones"))</t>
  </si>
  <si>
    <t>=IF(OR($G105="",$G105=$G104),"",NF($B105,"reembolso")/NF($B105,"numeroexpediciones"))</t>
  </si>
  <si>
    <t>=IF(OR($G105="",$G105=$G104),"",NF($B105,"impuestos")/NF($B105,"numeroexpediciones"))</t>
  </si>
  <si>
    <t>=IF(AJ105="","",VALUE(AJ105))</t>
  </si>
  <si>
    <t>=IF(OR($G105="",$G105=$G104),"",NF($B105,"franqueo")/NF($B105,"numeroexpediciones"))</t>
  </si>
  <si>
    <t>=IF(OR($G105="",$G105=$G104),"",NF($B105,"despacho")/NF($B105,"numeroexpediciones"))</t>
  </si>
  <si>
    <t>=IF($G105="","",IFERROR(IF(ISBLANK(Z105),0,Z105)+IF(ISBLANK(AA105),0,AA105)+IF(ISBLANK(AB105),0,AB105)+IF(ISBLANK(AC105),0,AC105)+IF(ISBLANK(AD105),0,AD105)+IF(ISBLANK(AE105),0,AE105)+IF(ISBLANK(AF105),0,AF105)+IF(ISBLANK(AG105),0,AG105)+IF(ISBLANK(AH105),0,AH105),0))</t>
  </si>
  <si>
    <t>=IF($G105="","",NL("Suma","Registro activ. Log. detallado","Importe a facturar","Id. Prefactura",IdPrefactura,"Familia concepto","GESTION","Nº documento",NF($B105,"No_"),"Tipo de documento","Pedido|Bulto opaco","Datasource=","Navision"))</t>
  </si>
  <si>
    <t>=IF($C106=$C105,"",IF($C106="","",CONCATENATE(NF($B106,"Cód_ operativa")," ",NF($B106,"Descripción"))))</t>
  </si>
  <si>
    <t>=IF($C106=$C105,"",IF($C106="","",IF(NF($B106,"Tipo Documento")=0,"Pedido","Bulto Opaco")))</t>
  </si>
  <si>
    <t>=IF($C106=$C105,"",IF($C106="","",NF($B106,"No_")))</t>
  </si>
  <si>
    <t>=IF($C106=$C105,"",IF($C106="","",NF($B106,"No_ documento cliente")))</t>
  </si>
  <si>
    <t>=IF($C106=$C105,"",IF($C106="","",NF($B106,"Nombre punto entrega")))</t>
  </si>
  <si>
    <t>=IF($C106=$C105,"",IF($C106="","",NF($B106,"Contacto punto entrega")))</t>
  </si>
  <si>
    <t>=IF($C106=$C105,"",IF($C106="","",NF($B106,"Dirección punto entrega")))</t>
  </si>
  <si>
    <t>=IF($C106=$C105,"",IF($C106="","",NF($B106,"C_P_ punto entrega")))</t>
  </si>
  <si>
    <t>=IF($C106=$C105,"",IF($C106="","",NF($B106,"Población punto entrega")))</t>
  </si>
  <si>
    <t>=IF($C106=$C105,"",IF($C106="","",NF($B106,"Provincia punto entrega")))</t>
  </si>
  <si>
    <t>=IF($C106=$C105,"",IF($C106="","",NF($B106,"País punto entrega")))</t>
  </si>
  <si>
    <t>=IF($C106=$C105,"",IF($C106="","",NF($B106,"bultosE")))</t>
  </si>
  <si>
    <t>=IF(B106="","",IF($B106=$B105,"",ROUNDUP(NF($B106,"Peso facturable"),0)))</t>
  </si>
  <si>
    <t>=IF(OR($G106="",$G106=$G105),"",NF($B106,"manipulacion"))</t>
  </si>
  <si>
    <t>=NP("codeunit","Miscelanea","CalculaEmbalajeAlbaranPedido",G106,I106,D106,"",,,,,,,"MEDIAPOST SPAIN","Navision")</t>
  </si>
  <si>
    <t>=IF(OR($G106="",$G106=$G105),"",NF($B106,"transporte")/NF($B106,"numeroexpediciones"))</t>
  </si>
  <si>
    <t>=IF(OR($G106="",$G106=$G105),"",NF($B106,"prima")/NF($B106,"numeroexpediciones"))</t>
  </si>
  <si>
    <t>=IF(OR($G106="",$G106=$G105),"",NF($B106,"reembolso")/NF($B106,"numeroexpediciones"))</t>
  </si>
  <si>
    <t>=IF(OR($G106="",$G106=$G105),"",NF($B106,"impuestos")/NF($B106,"numeroexpediciones"))</t>
  </si>
  <si>
    <t>=IF(AJ106="","",VALUE(AJ106))</t>
  </si>
  <si>
    <t>=IF(OR($G106="",$G106=$G105),"",NF($B106,"franqueo")/NF($B106,"numeroexpediciones"))</t>
  </si>
  <si>
    <t>=IF(OR($G106="",$G106=$G105),"",NF($B106,"despacho")/NF($B106,"numeroexpediciones"))</t>
  </si>
  <si>
    <t>=IF($G106="","",IFERROR(IF(ISBLANK(Z106),0,Z106)+IF(ISBLANK(AA106),0,AA106)+IF(ISBLANK(AB106),0,AB106)+IF(ISBLANK(AC106),0,AC106)+IF(ISBLANK(AD106),0,AD106)+IF(ISBLANK(AE106),0,AE106)+IF(ISBLANK(AF106),0,AF106)+IF(ISBLANK(AG106),0,AG106)+IF(ISBLANK(AH106),0,AH106),0))</t>
  </si>
  <si>
    <t>=IF($G106="","",NL("Suma","Registro activ. Log. detallado","Importe a facturar","Id. Prefactura",IdPrefactura,"Familia concepto","GESTION","Nº documento",NF($B106,"No_"),"Tipo de documento","Pedido|Bulto opaco","Datasource=","Navision"))</t>
  </si>
  <si>
    <t>=IF($C107=$C106,"",IF($C107="","",CONCATENATE(NF($B107,"Cód_ operativa")," ",NF($B107,"Descripción"))))</t>
  </si>
  <si>
    <t>=IF($C107=$C106,"",IF($C107="","",IF(NF($B107,"Tipo Documento")=0,"Pedido","Bulto Opaco")))</t>
  </si>
  <si>
    <t>=IF($C107=$C106,"",IF($C107="","",NF($B107,"No_")))</t>
  </si>
  <si>
    <t>=IF($C107=$C106,"",IF($C107="","",NF($B107,"No_ documento cliente")))</t>
  </si>
  <si>
    <t>=IF($C107=$C106,"",IF($C107="","",NF($B107,"Nombre punto entrega")))</t>
  </si>
  <si>
    <t>=IF($C107=$C106,"",IF($C107="","",NF($B107,"Contacto punto entrega")))</t>
  </si>
  <si>
    <t>=IF($C107=$C106,"",IF($C107="","",NF($B107,"Dirección punto entrega")))</t>
  </si>
  <si>
    <t>=IF($C107=$C106,"",IF($C107="","",NF($B107,"C_P_ punto entrega")))</t>
  </si>
  <si>
    <t>=IF($C107=$C106,"",IF($C107="","",NF($B107,"Población punto entrega")))</t>
  </si>
  <si>
    <t>=IF($C107=$C106,"",IF($C107="","",NF($B107,"Provincia punto entrega")))</t>
  </si>
  <si>
    <t>=IF($C107=$C106,"",IF($C107="","",NF($B107,"País punto entrega")))</t>
  </si>
  <si>
    <t>=IF($C107=$C106,"",IF($C107="","",NF($B107,"bultosE")))</t>
  </si>
  <si>
    <t>=IF(B107="","",IF($B107=$B106,"",ROUNDUP(NF($B107,"Peso facturable"),0)))</t>
  </si>
  <si>
    <t>=IF(OR($G107="",$G107=$G106),"",NF($B107,"manipulacion"))</t>
  </si>
  <si>
    <t>=NP("codeunit","Miscelanea","CalculaEmbalajeAlbaranPedido",G107,I107,D107,"",,,,,,,"MEDIAPOST SPAIN","Navision")</t>
  </si>
  <si>
    <t>=IF(OR($G107="",$G107=$G106),"",NF($B107,"transporte")/NF($B107,"numeroexpediciones"))</t>
  </si>
  <si>
    <t>=IF(OR($G107="",$G107=$G106),"",NF($B107,"prima")/NF($B107,"numeroexpediciones"))</t>
  </si>
  <si>
    <t>=IF(OR($G107="",$G107=$G106),"",NF($B107,"reembolso")/NF($B107,"numeroexpediciones"))</t>
  </si>
  <si>
    <t>=IF(OR($G107="",$G107=$G106),"",NF($B107,"impuestos")/NF($B107,"numeroexpediciones"))</t>
  </si>
  <si>
    <t>=IF(AJ107="","",VALUE(AJ107))</t>
  </si>
  <si>
    <t>=IF(OR($G107="",$G107=$G106),"",NF($B107,"franqueo")/NF($B107,"numeroexpediciones"))</t>
  </si>
  <si>
    <t>=IF(OR($G107="",$G107=$G106),"",NF($B107,"despacho")/NF($B107,"numeroexpediciones"))</t>
  </si>
  <si>
    <t>=IF($G107="","",IFERROR(IF(ISBLANK(Z107),0,Z107)+IF(ISBLANK(AA107),0,AA107)+IF(ISBLANK(AB107),0,AB107)+IF(ISBLANK(AC107),0,AC107)+IF(ISBLANK(AD107),0,AD107)+IF(ISBLANK(AE107),0,AE107)+IF(ISBLANK(AF107),0,AF107)+IF(ISBLANK(AG107),0,AG107)+IF(ISBLANK(AH107),0,AH107),0))</t>
  </si>
  <si>
    <t>=IF($G107="","",NL("Suma","Registro activ. Log. detallado","Importe a facturar","Id. Prefactura",IdPrefactura,"Familia concepto","GESTION","Nº documento",NF($B107,"No_"),"Tipo de documento","Pedido|Bulto opaco","Datasource=","Navision"))</t>
  </si>
  <si>
    <t>=IF($C108=$C107,"",IF($C108="","",CONCATENATE(NF($B108,"Cód_ operativa")," ",NF($B108,"Descripción"))))</t>
  </si>
  <si>
    <t>=IF($C108=$C107,"",IF($C108="","",IF(NF($B108,"Tipo Documento")=0,"Pedido","Bulto Opaco")))</t>
  </si>
  <si>
    <t>=IF($C108=$C107,"",IF($C108="","",NF($B108,"No_")))</t>
  </si>
  <si>
    <t>=IF($C108=$C107,"",IF($C108="","",NF($B108,"No_ documento cliente")))</t>
  </si>
  <si>
    <t>=IF($C108=$C107,"",IF($C108="","",NF($B108,"Nombre punto entrega")))</t>
  </si>
  <si>
    <t>=IF($C108=$C107,"",IF($C108="","",NF($B108,"Contacto punto entrega")))</t>
  </si>
  <si>
    <t>=IF($C108=$C107,"",IF($C108="","",NF($B108,"Dirección punto entrega")))</t>
  </si>
  <si>
    <t>=IF($C108=$C107,"",IF($C108="","",NF($B108,"C_P_ punto entrega")))</t>
  </si>
  <si>
    <t>=IF($C108=$C107,"",IF($C108="","",NF($B108,"Población punto entrega")))</t>
  </si>
  <si>
    <t>=IF($C108=$C107,"",IF($C108="","",NF($B108,"Provincia punto entrega")))</t>
  </si>
  <si>
    <t>=IF($C108=$C107,"",IF($C108="","",NF($B108,"País punto entrega")))</t>
  </si>
  <si>
    <t>=IF($C108=$C107,"",IF($C108="","",NF($B108,"bultosE")))</t>
  </si>
  <si>
    <t>=IF(B108="","",IF($B108=$B107,"",ROUNDUP(NF($B108,"Peso facturable"),0)))</t>
  </si>
  <si>
    <t>=IF(OR($G108="",$G108=$G107),"",NF($B108,"manipulacion"))</t>
  </si>
  <si>
    <t>=NP("codeunit","Miscelanea","CalculaEmbalajeAlbaranPedido",G108,I108,D108,"",,,,,,,"MEDIAPOST SPAIN","Navision")</t>
  </si>
  <si>
    <t>=IF(OR($G108="",$G108=$G107),"",NF($B108,"transporte")/NF($B108,"numeroexpediciones"))</t>
  </si>
  <si>
    <t>=IF(OR($G108="",$G108=$G107),"",NF($B108,"prima")/NF($B108,"numeroexpediciones"))</t>
  </si>
  <si>
    <t>=IF(OR($G108="",$G108=$G107),"",NF($B108,"reembolso")/NF($B108,"numeroexpediciones"))</t>
  </si>
  <si>
    <t>=IF(OR($G108="",$G108=$G107),"",NF($B108,"impuestos")/NF($B108,"numeroexpediciones"))</t>
  </si>
  <si>
    <t>=IF(AJ108="","",VALUE(AJ108))</t>
  </si>
  <si>
    <t>=IF(OR($G108="",$G108=$G107),"",NF($B108,"franqueo")/NF($B108,"numeroexpediciones"))</t>
  </si>
  <si>
    <t>=IF(OR($G108="",$G108=$G107),"",NF($B108,"despacho")/NF($B108,"numeroexpediciones"))</t>
  </si>
  <si>
    <t>=IF($G108="","",IFERROR(IF(ISBLANK(Z108),0,Z108)+IF(ISBLANK(AA108),0,AA108)+IF(ISBLANK(AB108),0,AB108)+IF(ISBLANK(AC108),0,AC108)+IF(ISBLANK(AD108),0,AD108)+IF(ISBLANK(AE108),0,AE108)+IF(ISBLANK(AF108),0,AF108)+IF(ISBLANK(AG108),0,AG108)+IF(ISBLANK(AH108),0,AH108),0))</t>
  </si>
  <si>
    <t>=IF($G108="","",NL("Suma","Registro activ. Log. detallado","Importe a facturar","Id. Prefactura",IdPrefactura,"Familia concepto","GESTION","Nº documento",NF($B108,"No_"),"Tipo de documento","Pedido|Bulto opaco","Datasource=","Navision"))</t>
  </si>
  <si>
    <t>=NF($B86,"No_")</t>
  </si>
  <si>
    <t>=NF($B87,"No_")</t>
  </si>
  <si>
    <t>=NF($B88,"No_")</t>
  </si>
  <si>
    <t>=NF($B89,"No_")</t>
  </si>
  <si>
    <t>=NF($B90,"No_")</t>
  </si>
  <si>
    <t>=NF($B91,"No_")</t>
  </si>
  <si>
    <t>=NF($B92,"No_")</t>
  </si>
  <si>
    <t>=NF($B93,"No_")</t>
  </si>
  <si>
    <t>=NF($B94,"No_")</t>
  </si>
  <si>
    <t>=NF($B95,"No_")</t>
  </si>
  <si>
    <t>=NF($B96,"No_")</t>
  </si>
  <si>
    <t>=NF($B97,"No_")</t>
  </si>
  <si>
    <t>=NF($B98,"No_")</t>
  </si>
  <si>
    <t>=NF($B99,"No_")</t>
  </si>
  <si>
    <t>=NF($B100,"No_")</t>
  </si>
  <si>
    <t>=NF($B101,"No_")</t>
  </si>
  <si>
    <t>=NF($B102,"No_")</t>
  </si>
  <si>
    <t>=NF($B103,"No_")</t>
  </si>
  <si>
    <t>=NF($B104,"No_")</t>
  </si>
  <si>
    <t>=NF($B105,"No_")</t>
  </si>
  <si>
    <t>=NF($B106,"No_")</t>
  </si>
  <si>
    <t>=NF($B107,"No_")</t>
  </si>
  <si>
    <t>=NF($B108,"No_")</t>
  </si>
  <si>
    <t>=NF($B86,"No_ producto cliente")</t>
  </si>
  <si>
    <t>=NF($B87,"No_ producto cliente")</t>
  </si>
  <si>
    <t>=NF($B88,"No_ producto cliente")</t>
  </si>
  <si>
    <t>=NF($B89,"No_ producto cliente")</t>
  </si>
  <si>
    <t>=NF($B90,"No_ producto cliente")</t>
  </si>
  <si>
    <t>=NF($B91,"No_ producto cliente")</t>
  </si>
  <si>
    <t>=NF($B92,"No_ producto cliente")</t>
  </si>
  <si>
    <t>=NF($B93,"No_ producto cliente")</t>
  </si>
  <si>
    <t>=NF($B94,"No_ producto cliente")</t>
  </si>
  <si>
    <t>=NF($B95,"No_ producto cliente")</t>
  </si>
  <si>
    <t>=NF($B96,"No_ producto cliente")</t>
  </si>
  <si>
    <t>=NF($B97,"No_ producto cliente")</t>
  </si>
  <si>
    <t>=NF($B98,"No_ producto cliente")</t>
  </si>
  <si>
    <t>=NF($B99,"No_ producto cliente")</t>
  </si>
  <si>
    <t>=NF($B100,"No_ producto cliente")</t>
  </si>
  <si>
    <t>=NF($B101,"No_ producto cliente")</t>
  </si>
  <si>
    <t>=NF($B102,"No_ producto cliente")</t>
  </si>
  <si>
    <t>=NF($B103,"No_ producto cliente")</t>
  </si>
  <si>
    <t>=NF($B104,"No_ producto cliente")</t>
  </si>
  <si>
    <t>=NF($B105,"No_ producto cliente")</t>
  </si>
  <si>
    <t>=NF($B106,"No_ producto cliente")</t>
  </si>
  <si>
    <t>=NF($B107,"No_ producto cliente")</t>
  </si>
  <si>
    <t>=NF($B108,"No_ producto cliente")</t>
  </si>
  <si>
    <t>=NF($B86,"Descripción ampliada")</t>
  </si>
  <si>
    <t>=NF($B87,"Descripción ampliada")</t>
  </si>
  <si>
    <t>=NF($B88,"Descripción ampliada")</t>
  </si>
  <si>
    <t>=NF($B89,"Descripción ampliada")</t>
  </si>
  <si>
    <t>=NF($B90,"Descripción ampliada")</t>
  </si>
  <si>
    <t>=NF($B91,"Descripción ampliada")</t>
  </si>
  <si>
    <t>=NF($B92,"Descripción ampliada")</t>
  </si>
  <si>
    <t>=NF($B93,"Descripción ampliada")</t>
  </si>
  <si>
    <t>=NF($B94,"Descripción ampliada")</t>
  </si>
  <si>
    <t>=NF($B95,"Descripción ampliada")</t>
  </si>
  <si>
    <t>=NF($B96,"Descripción ampliada")</t>
  </si>
  <si>
    <t>=NF($B97,"Descripción ampliada")</t>
  </si>
  <si>
    <t>=NF($B98,"Descripción ampliada")</t>
  </si>
  <si>
    <t>=NF($B99,"Descripción ampliada")</t>
  </si>
  <si>
    <t>=NF($B100,"Descripción ampliada")</t>
  </si>
  <si>
    <t>=NF($B101,"Descripción ampliada")</t>
  </si>
  <si>
    <t>=NF($B102,"Descripción ampliada")</t>
  </si>
  <si>
    <t>=NF($B103,"Descripción ampliada")</t>
  </si>
  <si>
    <t>=NF($B104,"Descripción ampliada")</t>
  </si>
  <si>
    <t>=NF($B105,"Descripción ampliada")</t>
  </si>
  <si>
    <t>=NF($B106,"Descripción ampliada")</t>
  </si>
  <si>
    <t>=NF($B107,"Descripción ampliada")</t>
  </si>
  <si>
    <t>=NF($B108,"Descripción ampliada")</t>
  </si>
  <si>
    <t>=NF($B86,"Cantidad confirmada")</t>
  </si>
  <si>
    <t>=NF($B87,"Cantidad confirmada")</t>
  </si>
  <si>
    <t>=NF($B88,"Cantidad confirmada")</t>
  </si>
  <si>
    <t>=NF($B89,"Cantidad confirmada")</t>
  </si>
  <si>
    <t>=NF($B90,"Cantidad confirmada")</t>
  </si>
  <si>
    <t>=NF($B91,"Cantidad confirmada")</t>
  </si>
  <si>
    <t>=NF($B92,"Cantidad confirmada")</t>
  </si>
  <si>
    <t>=NF($B93,"Cantidad confirmada")</t>
  </si>
  <si>
    <t>=NF($B94,"Cantidad confirmada")</t>
  </si>
  <si>
    <t>=NF($B95,"Cantidad confirmada")</t>
  </si>
  <si>
    <t>=NF($B96,"Cantidad confirmada")</t>
  </si>
  <si>
    <t>=NF($B97,"Cantidad confirmada")</t>
  </si>
  <si>
    <t>=NF($B98,"Cantidad confirmada")</t>
  </si>
  <si>
    <t>=NF($B99,"Cantidad confirmada")</t>
  </si>
  <si>
    <t>=NF($B100,"Cantidad confirmada")</t>
  </si>
  <si>
    <t>=NF($B101,"Cantidad confirmada")</t>
  </si>
  <si>
    <t>=NF($B102,"Cantidad confirmada")</t>
  </si>
  <si>
    <t>=NF($B103,"Cantidad confirmada")</t>
  </si>
  <si>
    <t>=NF($B104,"Cantidad confirmada")</t>
  </si>
  <si>
    <t>=NF($B105,"Cantidad confirmada")</t>
  </si>
  <si>
    <t>=NF($B106,"Cantidad confirmada")</t>
  </si>
  <si>
    <t>=NF($B107,"Cantidad confirmada")</t>
  </si>
  <si>
    <t>=NF($B108,"Cantidad confirmada")</t>
  </si>
  <si>
    <t>=NF($B4,"Id. Prefactura")</t>
  </si>
  <si>
    <t>=IF(NF($B4,"Cod. operativa")="","",CONCATENATE(NF($B4,"Cod. operativa")," ",NL("Filas","Operativas","Descripción","No. cliente SGA",NF($B4,"Código cliente SGA"),"Código",NF($B4,"Cod. operativa"),"Datasource=","Navision")))</t>
  </si>
  <si>
    <t>=NF($B4,"Id. Campo fecha")</t>
  </si>
  <si>
    <t>=NF($B4,"Información para el cliente")</t>
  </si>
  <si>
    <t>=NF($B4,"Valor")</t>
  </si>
  <si>
    <t>="C0007256"</t>
  </si>
  <si>
    <t>="PF26-00004176"</t>
  </si>
  <si>
    <t>Auto+OcultarHoja+Valores+Ocultar+Formulas=Hoja113,Hoja22,Hoja23</t>
  </si>
  <si>
    <t>Auto+OcultarHoja+Valores+Ocultar+Formulas=Hoja113,Hoja22,Hoja23+FormulasOnly</t>
  </si>
  <si>
    <t>Auto+Ocultar+Valores+Formulas=Hoja114,Hoja24,Hoja25</t>
  </si>
  <si>
    <t>="""Navision"",""MEDIAPOST SPAIN"",""7098046"",""9"",""ALMACENAJE DIARIO"",""17"",""0,1044435"",""5"",""053"""</t>
  </si>
  <si>
    <t>="""Navision"",""MEDIAPOST SPAIN"",""7098046"",""9"",""ALMACENAJE DIARIO"",""17"",""0,3205335"",""5"",""053"""</t>
  </si>
  <si>
    <t>="""Navision"",""MEDIAPOST SPAIN"",""7098046"",""9"",""ALMACENAJE DIARIO"",""17"",""0,324135"",""5"",""053"""</t>
  </si>
  <si>
    <t>="""Navision"",""MEDIAPOST SPAIN"",""7098046"",""9"",""ALMACENAJE DIARIO"",""17"",""0,345744"",""5"",""053"""</t>
  </si>
  <si>
    <t>="""Navision"",""MEDIAPOST SPAIN"",""7098046"",""9"",""ALMACENAJE DIARIO"",""17"",""0,8751645"",""5"",""053"""</t>
  </si>
  <si>
    <t>="""Navision"",""MEDIAPOST SPAIN"",""7098046"",""9"",""ALMACENAJE DIARIO"",""17"",""0,893172"",""5"",""053"""</t>
  </si>
  <si>
    <t>="""Navision"",""MEDIAPOST SPAIN"",""7098046"",""9"",""ALMACENAJE DIARIO"",""17"",""0,92738625"",""5"",""053"""</t>
  </si>
  <si>
    <t>="""Navision"",""MEDIAPOST SPAIN"",""7098046"",""9"",""ALMACENAJE DIARIO"",""17"",""1,382976"",""5"",""053"""</t>
  </si>
  <si>
    <t>="""Navision"",""MEDIAPOST SPAIN"",""7098046"",""9"",""ALMACENAJE DIARIO"",""17"",""5,445468"",""5"",""053"""</t>
  </si>
  <si>
    <t>="""Navision"",""MEDIAPOST SPAIN"",""7098046"",""9"",""ALMACENAJE DIARIO"",""17"",""5,747994"",""5"",""053"""</t>
  </si>
  <si>
    <t>="""Navision"",""MEDIAPOST SPAIN"",""7098046"",""9"",""ALMACENAJE DIARIO"",""17"",""6,05052"",""5"",""053"""</t>
  </si>
  <si>
    <t>="""Navision"",""MEDIAPOST SPAIN"",""7098046"",""9"",""ALMACENAJE DIARIO"",""17"",""6,353046"",""5"",""053"""</t>
  </si>
  <si>
    <t>="""Navision"",""MEDIAPOST SPAIN"",""7098046"",""9"",""SEGURO DE ALMACENAJE"",""17"",""27,604128"",""5"",""053"""</t>
  </si>
  <si>
    <t>=SUM($D3:D17)</t>
  </si>
  <si>
    <t>Auto+Ocultar+Valores+Formulas=Hoja114,Hoja24,Hoja25+FormulasOnly</t>
  </si>
  <si>
    <t>Auto+Ocultar+Valores+Formulas=Hoja115,Hoja26,Hoja27</t>
  </si>
  <si>
    <t>="""SQL-NAVISION"","""",""SQL="",""14=Id_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línea"",""20000"",""14=Cód_ producto cliente"",""11-50-000519"",""14=Descripción ampliada"",""PUERTA INDOOR - PEQUE¥A - DE"&amp;"RECHA"",""10=Cantidad confirmada por SGA"",""100,00000000000000000000"",""2=numeroexpediciones"",""1"",""10=recepcion"",""41,90458440000000000000"",""10=devolucion"",""0,00000000000000000000"",""10=gestion"",""0,00000000000000000000"",""10=franqueo"",""0,00000000000000000000"",""1"&amp;"0=prima"",""0,00000000000000000000"",""10=transporte"",""0,00000000000000000000"""</t>
  </si>
  <si>
    <t>="""SQL-NAVISION"","""",""SQL="",""14=Id_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línea"",""30000"",""14=Cód_ producto cliente"",""11-50-000523"",""14=Descripción ampliada"",""PUERTA INDOOR - MEDIANA - IZ"&amp;"QUIERDA"",""10=Cantidad confirmada por SGA"",""50,00000000000000000000"",""2=numeroexpediciones"",""1"",""10=recepcion"",""41,90458440000000000000"",""10=devolucion"",""0,00000000000000000000"",""10=gestion"",""0,00000000000000000000"",""10=franqueo"",""0,00000000000000000000"","""&amp;"10=prima"",""0,00000000000000000000"",""10=transporte"",""0,00000000000000000000"""</t>
  </si>
  <si>
    <t>="""SQL-NAVISION"","""",""SQL="",""14=Id_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línea"",""40000"",""14=Cód_ producto cliente"",""11-50-000520"",""14=Descripción ampliada"",""PUERTA INDOOR - MEDIANA - DE"&amp;"RECHA"",""10=Cantidad confirmada por SGA"",""50,00000000000000000000"",""2=numeroexpediciones"",""1"",""10=recepcion"",""41,90458440000000000000"",""10=devolucion"",""0,00000000000000000000"",""10=gestion"",""0,00000000000000000000"",""10=franqueo"",""0,00000000000000000000"",""10"&amp;"=prima"",""0,00000000000000000000"",""10=transporte"",""0,00000000000000000000"""</t>
  </si>
  <si>
    <t>="""SQL-NAVISION"","""",""SQL="",""14=Id_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línea"",""50000"",""14=Cód_ producto cliente"",""11-50-000524"",""14=Descripción ampliada"",""PUERTA INDOOR - GRANDE - IZQ"&amp;"UIERDA"",""10=Cantidad confirmada por SGA"",""50,00000000000000000000"",""2=numeroexpediciones"",""1"",""10=recepcion"",""41,90458440000000000000"",""10=devolucion"",""0,00000000000000000000"",""10=gestion"",""0,00000000000000000000"",""10=franqueo"",""0,00000000000000000000"",""1"&amp;"0=prima"",""0,00000000000000000000"",""10=transporte"",""0,00000000000000000000"""</t>
  </si>
  <si>
    <t>="""SQL-NAVISION"","""",""SQL="",""14=Id_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línea"",""60000"",""14=Cód_ producto cliente"",""11-50-000521"",""14=Descripción ampliada"",""PUERTA INDOOR - GRANDE - DER"&amp;"ECHA"",""10=Cantidad confirmada por SGA"",""50,00000000000000000000"",""2=numeroexpediciones"",""1"",""10=recepcion"",""41,90458440000000000000"",""10=devolucion"",""0,00000000000000000000"",""10=gestion"",""0,00000000000000000000"",""10=franqueo"",""0,00000000000000000000"",""10="&amp;"prima"",""0,00000000000000000000"",""10=transporte"",""0,00000000000000000000"""</t>
  </si>
  <si>
    <t>="""SQL-NAVISION"","""",""SQL="",""14=Id_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línea"",""70000"",""14=Cód_ producto cliente"",""11-50-000041"",""14=Descripción ampliada"",""PUERTA OUTDOOR - PEQUE¥A - I"&amp;"ZQUIERDA"",""10=Cantidad confirmada por SGA"",""50,00000000000000000000"",""2=numeroexpediciones"",""1"",""10=recepcion"",""41,90458440000000000000"",""10=devolucion"",""0,00000000000000000000"",""10=gestion"",""0,00000000000000000000"",""10=franqueo"",""0,00000000000000000000"","&amp;"""10=prima"",""0,00000000000000000000"",""10=transporte"",""0,00000000000000000000"""</t>
  </si>
  <si>
    <t>="""SQL-NAVISION"","""",""SQL="",""14=Id_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línea"",""80000"",""14=Cód_ producto cliente"",""11-50-000040"",""14=Descripción ampliada"",""PUERTA OUTDOOR - PEQUE¥A - D"&amp;"ERECHA"",""10=Cantidad confirmada por SGA"",""50,00000000000000000000"",""2=numeroexpediciones"",""1"",""10=recepcion"",""41,90458440000000000000"",""10=devolucion"",""0,00000000000000000000"",""10=gestion"",""0,00000000000000000000"",""10=franqueo"",""0,00000000000000000000"",""1"&amp;"0=prima"",""0,00000000000000000000"",""10=transporte"",""0,00000000000000000000"""</t>
  </si>
  <si>
    <t>="""SQL-NAVISION"","""",""SQL="",""14=Id_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línea"",""90000"",""14=Cód_ producto cliente"",""11-50-000038"",""14=Descripción ampliada"",""PUERTA OUTDOOR - MEDIANA - I"&amp;"ZQUIERDA"",""10=Cantidad confirmada por SGA"",""50,00000000000000000000"",""2=numeroexpediciones"",""1"",""10=recepcion"",""41,90458440000000000000"",""10=devolucion"",""0,00000000000000000000"",""10=gestion"",""0,00000000000000000000"",""10=franqueo"",""0,00000000000000000000"","&amp;"""10=prima"",""0,00000000000000000000"",""10=transporte"",""0,00000000000000000000"""</t>
  </si>
  <si>
    <t>="""SQL-NAVISION"","""",""SQL="",""14=Id_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línea"",""100000"",""14=Cód_ producto cliente"",""11-50-000039"",""14=Descripción ampliada"",""PUERTA OUTDOOR - MEDIANA - "&amp;"DERECHA"",""10=Cantidad confirmada por SGA"",""50,00000000000000000000"",""2=numeroexpediciones"",""1"",""10=recepcion"",""41,90458440000000000000"",""10=devolucion"",""0,00000000000000000000"",""10=gestion"",""0,00000000000000000000"",""10=franqueo"",""0,00000000000000000000"","""&amp;"10=prima"",""0,00000000000000000000"",""10=transporte"",""0,00000000000000000000"""</t>
  </si>
  <si>
    <t>="""SQL-NAVISION"","""",""SQL="",""14=Id_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línea"",""110000"",""14=Cód_ producto cliente"",""11-50-000037"",""14=Descripción ampliada"",""PUERTA OUTDOOR - GRANDE - I"&amp;"ZQUIERDA"",""10=Cantidad confirmada por SGA"",""50,00000000000000000000"",""2=numeroexpediciones"",""1"",""10=recepcion"",""41,90458440000000000000"",""10=devolucion"",""0,00000000000000000000"",""10=gestion"",""0,00000000000000000000"",""10=franqueo"",""0,00000000000000000000"","&amp;"""10=prima"",""0,00000000000000000000"",""10=transporte"",""0,00000000000000000000"""</t>
  </si>
  <si>
    <t>="""SQL-NAVISION"","""",""SQL="",""14=Id_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línea"",""120000"",""14=Cód_ producto cliente"",""11-50-000011"",""14=Descripción ampliada"",""PUERTA OUTDOOR - GRANDE - D"&amp;"ERECHA"",""10=Cantidad confirmada por SGA"",""50,00000000000000000000"",""2=numeroexpediciones"",""1"",""10=recepcion"",""41,90458440000000000000"",""10=devolucion"",""0,00000000000000000000"",""10=gestion"",""0,00000000000000000000"",""10=franqueo"",""0,00000000000000000000"",""1"&amp;"0=prima"",""0,00000000000000000000"",""10=transporte"",""0,00000000000000000000"""</t>
  </si>
  <si>
    <t>="""SQL-NAVISION"","""",""SQL="",""14=Id_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línea"",""130000"",""14=Cód_ producto cliente"",""10-10-000566"",""14=Descripción ampliada"",""PASADORES DE PUERTAS"",""10=C"&amp;"antidad confirmada por SGA"",""300,00000000000000000000"",""2=numeroexpediciones"",""1"",""10=recepcion"",""41,90458440000000000000"",""10=devolucion"",""0,00000000000000000000"",""10=gestion"",""0,00000000000000000000"",""10=franqueo"",""0,00000000000000000000"",""10=prima"",""0,"&amp;"00000000000000000000"",""10=transporte"",""0,00000000000000000000"""</t>
  </si>
  <si>
    <t>="""SQL-NAVISION"","""",""SQL="",""14=Id_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línea"",""140000"",""14=Cód_ producto cliente"",""10-10-000572"",""14=Descripción ampliada"",""PASADORES DE PUERTAS"",""10=C"&amp;"antidad confirmada por SGA"",""300,00000000000000000000"",""2=numeroexpediciones"",""1"",""10=recepcion"",""41,90458440000000000000"",""10=devolucion"",""0,00000000000000000000"",""10=gestion"",""0,00000000000000000000"",""10=franqueo"",""0,00000000000000000000"",""10=prima"",""0,"&amp;"00000000000000000000"",""10=transporte"",""0,00000000000000000000"""</t>
  </si>
  <si>
    <t>="""SQL-NAVISION"","""",""SQL="",""14=Id_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línea"",""150000"",""14=Cód_ producto cliente"",""10-10-000811"",""14=Descripción ampliada"",""PASADORES DE PUERTAS"",""10=C"&amp;"antidad confirmada por SGA"",""300,00000000000000000000"",""2=numeroexpediciones"",""1"",""10=recepcion"",""41,90458440000000000000"",""10=devolucion"",""0,00000000000000000000"",""10=gestion"",""0,00000000000000000000"",""10=franqueo"",""0,00000000000000000000"",""10=prima"",""0,"&amp;"00000000000000000000"",""10=transporte"",""0,00000000000000000000"""</t>
  </si>
  <si>
    <t>="""SQL-NAVISION"","""",""SQL="",""14=Id_ Prefactura"",""PF26-00004176"",""2=Tipo documento"",""0"",""14=Nº documento"",""RP260007644"",""14=Nº documento cliente"",""717727"",""14=No_ referencia transporte"","""",""14=Familia pedido"","""",""15=Fecha confirmación SGA"",""14/04/2026"",""14=No"&amp;"mbre proveedor"",""SERVICE INN."",""14=Contacto proveedor"","""",""14=Dirección proveedor"","""",""14=CP proveedor"","""",""14=Población proveedor"","""",""14=Provincia proveedor"","""",""14=País Proveedor"","""",""2=bultosP"",""0"",""10=palesP"",""1,00000000000000000000"",""14=Cód_ Servici"&amp;"o solicitado Fact_"","""",""10=Peso facturable"",""0,65000000000000000000"",""14=Operativa"",""053"",""14=Descripción"",""PRUEBA PILOTO INPOST"",""2=Nº línea"",""10000"",""14=Cód_ producto cliente"",""10-21-001029"",""14=Descripción ampliada"",""6-PIN 5.08MM (NUEVO CONECTOR EXPAND"&amp;"ER 3.3)"",""10=Cantidad confirmada por SGA"",""50,00000000000000000000"",""2=numeroexpediciones"",""1"",""10=recepcion"",""2,21898705000000000000"",""10=devolucion"",""0,00000000000000000000"",""10=gestion"",""0,00000000000000000000"",""10=franqueo"",""0,00000000000000000000"",""1"&amp;"0=prima"",""0,00000000000000000000"",""10=transporte"",""0,00000000000000000000"""</t>
  </si>
  <si>
    <t>="""SQL-NAVISION"","""",""SQL="",""14=Id_ Prefactura"",""PF26-00004176"",""2=Tipo documento"",""0"",""14=Nº documento"",""RP260007877"",""14=Nº documento cliente"",""34442720"",""14=No_ referencia transporte"","""",""14=Familia pedido"","""",""15=Fecha confirmación SGA"",""16/04/2026"",""14="&amp;"Nombre proveedor"",""ELECTRONIC COMPONETS"",""14=Contacto proveedor"","""",""14=Dirección proveedor"","""",""14=CP proveedor"","""",""14=Población proveedor"","""",""14=Provincia proveedor"","""",""14=País Proveedor"","""",""2=bultosP"",""0"",""10=palesP"",""1,00000000000000000000"",""14=Có"&amp;"d_ Servicio solicitado Fact_"","""",""10=Peso facturable"",""64,56000000000000000000"",""14=Operativa"",""053"",""14=Descripción"",""PRUEBA PILOTO INPOST"",""2=Nº línea"",""10000"",""14=Cód_ producto cliente"",""10-21-000637"",""14=Descripción ampliada"",""BATERIA 12V."",""10=Cantid"&amp;"ad confirmada por SGA"",""16,00000000000000000000"",""2=numeroexpediciones"",""1"",""10=recepcion"",""4,38917892000000000000"",""10=devolucion"",""0,00000000000000000000"",""10=gestion"",""0,00000000000000000000"",""10=franqueo"",""0,00000000000000000000"",""10=prima"",""0,0000000"&amp;"0000000000000"",""10=transporte"",""0,00000000000000000000"""</t>
  </si>
  <si>
    <t>=SUM(Z4:Z21)</t>
  </si>
  <si>
    <t>=SUM(AA4:AA21)</t>
  </si>
  <si>
    <t>=SUM(AB4:AB21)</t>
  </si>
  <si>
    <t>=SUM(AC4:AC21)</t>
  </si>
  <si>
    <t>=SUM(AD4:AD21)</t>
  </si>
  <si>
    <t>=SUM(AE4:AE21)</t>
  </si>
  <si>
    <t>=SUM(AF4:AF21)</t>
  </si>
  <si>
    <t>Auto+Ocultar+Valores+Formulas=Hoja115,Hoja26,Hoja27+FormulasOnly</t>
  </si>
  <si>
    <t>Auto+Ocultar+Valores+Formulas=Hoja116,Hoja28,Hoja29</t>
  </si>
  <si>
    <t>="""SQL-NAVISION"","""",""SQL="",""14=Id_ Prefactura"",""PF26-00004176"",""2=Tipo documento"",""0"",""14=No_"",""PD260062454"",""14=No_ referencia transporte"",""X26020194"",""14=Familia pedido"","""",""15=Fecha confirmación SGA"",""08/04/2026"",""14=Nombre punto entrega"",""TIPSA LAS ROZA"&amp;"S"",""14=Contacto punto entrega"",""PIOTR PINCZURA"",""14=Dirección punto entrega"",""CALLE MUNICH, 2B"",""14=C_P_ punto entrega"",""28232"",""14=Población punto entrega"",""Las Rozas de Madrid"",""14=Provincia punto entrega"",""Madrid"",""14=País punto entrega"",""ES"",""10=bulto"&amp;"sP"",""1,00000000000000000000"",""14=No_ documento cliente"",""INPOST070426.1"",""14=Cód_ Servicio solicitado Fact_"",""STD"",""10=bultosE"",""1,00000000000000000000"",""10=Peso facturable"",""7,00000000000000000000"",""14=Cód_ operativa"",""053"",""14=Descripción"",""PRUEBA PILOT"&amp;"O INPOST"",""2=No_ línea"",""20000"",""14=No_ producto cliente"",""10-21-000879"",""14=Descripción ampliada"",""ROUTER ALC NDVR"",""10=Cantidad confirmada"",""3,00000000000000000000"",""2=numeroexpediciones"",""1"",""2=numeroalbaranes"",""1"",""10=manipulacion"",""3,2331180000000000"&amp;"0000"",""10=embalaje"",""1,61000000000000000000"",""10=transporte"",""6,58540200000000000000"",""10=prima"",""0,00000000000000000000"",""10=reembolso"",""0,00000000000000000000"",""10=impuestos"",""0,00000000000000000000"",""10=gestion"",""0,10598700000000000000"",""10=franqueo"","""&amp;"0,00000000000000000000"",""10=despacho"",""0,00000000000000000000"""</t>
  </si>
  <si>
    <t>="""SQL-NAVISION"","""",""SQL="",""14=Id_ Prefactura"",""PF26-00004176"",""2=Tipo documento"",""0"",""14=No_"",""PD260062561"",""14=No_ referencia transporte"",""X26020232"",""14=Familia pedido"","""",""15=Fecha confirmación SGA"",""08/04/2026"",""14=Nombre punto entrega"",""Javier Cortego"&amp;"so Torres"",""14=Contacto punto entrega"",""Javier Cortegoso Torres"",""14=Dirección punto entrega"",""Plaza España 3-4 8i"",""14=C_P_ punto entrega"",""15403"",""14=Población punto entrega"",""Ferrol"",""14=Provincia punto entrega"",""A Coruña"",""14=País punto entrega"",""ES"","&amp;"""10=bultosP"",""1,00000000000000000000"",""14=No_ documento cliente"",""INPOST070426.2"",""14=Cód_ Servicio solicitado Fact_"",""STD"",""10=bultosE"",""1,00000000000000000000"",""10=Peso facturable"",""1,00000000000000000000"",""14=Cód_ operativa"",""053"",""14=Descripción"",""PRU"&amp;"EBA PILOTO INPOST"",""2=No_ línea"",""10000"",""14=No_ producto cliente"",""10-21-000638"",""14=Descripción ampliada"",""DISCO DURO SSD"",""10=Cantidad confirmada"",""2,00000000000000000000"",""2=numeroexpediciones"",""1"",""2=numeroalbaranes"",""1"",""10=manipulacion"",""2,17427700"&amp;"000000000000"",""10=embalaje"",""0,45000000000000000000"",""10=transporte"",""4,55327300000000000000"",""10=prima"",""0,00000000000000000000"",""10=reembolso"",""0,00000000000000000000"",""10=impuestos"",""0,00000000000000000000"",""10=gestion"",""0,10598700000000000000"",""10=fra"&amp;"nqueo"",""0,00000000000000000000"",""10=despacho"",""0,00000000000000000000"""</t>
  </si>
  <si>
    <t>="""SQL-NAVISION"","""",""SQL="",""14=Id_ Prefactura"",""PF26-00004176"",""2=Tipo documento"",""0"",""14=No_"",""PD260064487"",""14=No_ referencia transporte"",""INPOST100426.1"",""14=Familia pedido"","""",""15=Fecha confirmación SGA"",""10/04/2026"",""14=Nombre punto entrega"",""FLOWBEST "&amp;"LDA"",""14=Contacto punto entrega"",""TIAGO RIBEIRO"",""14=Dirección punto entrega"",""Estrada Nacional 10 – Km 127,2 Cruz das Almas, Alagoas"",""14=C_P_ punto entrega"",""2615"",""14=Población punto entrega"",""133 Alverca do Ribatejo"",""14=Provincia punto entrega"",""PORT"&amp;"UGAL"",""14=País punto entrega"",""PT"",""10=bultosP"",""1,00000000000000000000"",""14=No_ documento cliente"",""INPOST100426.1"",""14=Cód_ Servicio solicitado Fact_"",""STD"",""10=bultosE"",""1,00000000000000000000"",""10=Peso facturable"",""3,00000000000000000000"",""14=Cód_ ope"&amp;"rativa"",""053"",""14=Descripción"",""PRUEBA PILOTO INPOST"",""2=No_ línea"",""10000"",""14=No_ producto cliente"",""10-11-001202"",""14=Descripción ampliada"",""EMERGENCY KEY TO THE XS MODULE( COMPARTMENT)"",""10=Cantidad confirmada"",""5,00000000000000000000"",""2=numeroexpedi"&amp;"ciones"",""1"",""2=numeroalbaranes"",""1"",""10=manipulacion"",""2,39654100000000000000"",""10=embalaje"",""0,54000000000000000000"",""10=transporte"",""9,00874300000000000000"",""10=prima"",""0,00000000000000000000"",""10=reembolso"",""0,00000000000000000000"",""10=impuestos"",""0,00"&amp;"000000000000000000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</si>
  <si>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línea"",""10000"",""14=No_ producto cliente"",""11-50-000011"",""14=Descripción ampliada"",""PUERTA OUTDOOR - GRANDE - DERECHA"",""10=Cantidad confirmada"",""2,00000000000000000000"",""2=numeroexpediciones"",""1"",""2=nume"&amp;"roalbaranes"",""1"",""10=manipulacion"",""47,72913600000000000000"",""10=embalaje"",""21,26000000000000000000"",""10=transporte"",""63,47414700000000000000"",""10=prima"",""0,00000000000000000000"",""10=reembolso"",""0,00000000000000000000"",""10=impuestos"",""0,000000000000000000"&amp;"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</si>
  <si>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línea"",""20000"",""14=No_ producto cliente"",""11-50-000037"",""14=Descripción ampliada"",""PUERTA OUTDOOR - GRANDE - IZQUIERDA"",""10=Cantidad confirmada"",""2,00000000000000000000"",""2=numeroexpediciones"",""1"",""2=nu"&amp;"meroalbaranes"",""1"",""10=manipulacion"",""47,72913600000000000000"",""10=embalaje"",""21,26000000000000000000"",""10=transporte"",""63,47414700000000000000"",""10=prima"",""0,00000000000000000000"",""10=reembolso"",""0,00000000000000000000"",""10=impuestos"",""0,0000000000000000"&amp;"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</si>
  <si>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línea"",""30000"",""14=No_ producto cliente"",""11-50-000038"",""14=Descripción ampliada"",""PUERTA OUTDOOR - MEDIANA - IZQUIERDA"",""10=Cantidad confirmada"",""2,00000000000000000000"",""2=numeroexpediciones"",""1"",""2=n"&amp;"umeroalbaranes"",""1"",""10=manipulacion"",""47,72913600000000000000"",""10=embalaje"",""21,26000000000000000000"",""10=transporte"",""63,47414700000000000000"",""10=prima"",""0,00000000000000000000"",""10=reembolso"",""0,00000000000000000000"",""10=impuestos"",""0,000000000000000"&amp;"00000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</si>
  <si>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línea"",""40000"",""14=No_ producto cliente"",""11-50-000039"",""14=Descripción ampliada"",""PUERTA OUTDOOR - MEDIANA - DERECHA"",""10=Cantidad confirmada"",""2,00000000000000000000"",""2=numeroexpediciones"",""1"",""2=num"&amp;"eroalbaranes"",""1"",""10=manipulacion"",""47,72913600000000000000"",""10=embalaje"",""21,26000000000000000000"",""10=transporte"",""63,47414700000000000000"",""10=prima"",""0,00000000000000000000"",""10=reembolso"",""0,00000000000000000000"",""10=impuestos"",""0,00000000000000000"&amp;"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</si>
  <si>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línea"",""50000"",""14=No_ producto cliente"",""11-50-000040"",""14=Descripción ampliada"",""PUERTA OUTDOOR - PEQUE¥A - DERECHA"",""10=Cantidad confirmada"",""4,00000000000000000000"",""2=numeroexpediciones"",""1"",""2=num"&amp;"eroalbaranes"",""1"",""10=manipulacion"",""47,72913600000000000000"",""10=embalaje"",""21,26000000000000000000"",""10=transporte"",""63,47414700000000000000"",""10=prima"",""0,00000000000000000000"",""10=reembolso"",""0,00000000000000000000"",""10=impuestos"",""0,00000000000000000"&amp;"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</si>
  <si>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línea"",""60000"",""14=No_ producto cliente"",""11-50-000041"",""14=Descripción ampliada"",""PUERTA OUTDOOR - PEQUE¥A - IZQUIERDA"",""10=Cantidad confirmada"",""2,00000000000000000000"",""2=numeroexpediciones"",""1"",""2=n"&amp;"umeroalbaranes"",""1"",""10=manipulacion"",""47,72913600000000000000"",""10=embalaje"",""21,26000000000000000000"",""10=transporte"",""63,47414700000000000000"",""10=prima"",""0,00000000000000000000"",""10=reembolso"",""0,00000000000000000000"",""10=impuestos"",""0,000000000000000"&amp;"00000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</si>
  <si>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línea"",""70000"",""14=No_ producto cliente"",""11-50-000519"",""14=Descripción ampliada"",""PUERTA INDOOR - PEQUE¥A - DERECHA"",""10=Cantidad confirmada"",""2,00000000000000000000"",""2=numeroexpediciones"",""1"",""2=nume"&amp;"roalbaranes"",""1"",""10=manipulacion"",""47,72913600000000000000"",""10=embalaje"",""21,26000000000000000000"",""10=transporte"",""63,47414700000000000000"",""10=prima"",""0,00000000000000000000"",""10=reembolso"",""0,00000000000000000000"",""10=impuestos"",""0,000000000000000000"&amp;"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</si>
  <si>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línea"",""80000"",""14=No_ producto cliente"",""11-50-000520"",""14=Descripción ampliada"",""PUERTA INDOOR - MEDIANA - DERECHA"",""10=Cantidad confirmada"",""2,00000000000000000000"",""2=numeroexpediciones"",""1"",""2=nume"&amp;"roalbaranes"",""1"",""10=manipulacion"",""47,72913600000000000000"",""10=embalaje"",""21,26000000000000000000"",""10=transporte"",""63,47414700000000000000"",""10=prima"",""0,00000000000000000000"",""10=reembolso"",""0,00000000000000000000"",""10=impuestos"",""0,000000000000000000"&amp;"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</si>
  <si>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línea"",""90000"",""14=No_ producto cliente"",""11-50-000521"",""14=Descripción ampliada"",""PUERTA INDOOR - GRANDE - DERECHA"",""10=Cantidad confirmada"",""1,00000000000000000000"",""2=numeroexpediciones"",""1"",""2=numer"&amp;"oalbaranes"",""1"",""10=manipulacion"",""47,72913600000000000000"",""10=embalaje"",""21,26000000000000000000"",""10=transporte"",""63,47414700000000000000"",""10=prima"",""0,00000000000000000000"",""10=reembolso"",""0,00000000000000000000"",""10=impuestos"",""0,0000000000000000000"&amp;"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</si>
  <si>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línea"",""100000"",""14=No_ producto cliente"",""11-50-000522"",""14=Descripción ampliada"",""PUERTA INDOOR - PEQUE¥A - IZQUIERDA"",""10=Cantidad confirmada"",""1,00000000000000000000"",""2=numeroexpediciones"",""1"",""2=n"&amp;"umeroalbaranes"",""1"",""10=manipulacion"",""47,72913600000000000000"",""10=embalaje"",""21,26000000000000000000"",""10=transporte"",""63,47414700000000000000"",""10=prima"",""0,00000000000000000000"",""10=reembolso"",""0,00000000000000000000"",""10=impuestos"",""0,000000000000000"&amp;"00000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</si>
  <si>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línea"",""110000"",""14=No_ producto cliente"",""11-50-000523"",""14=Descripción ampliada"",""PUERTA INDOOR - MEDIANA - IZQUIERDA"",""10=Cantidad confirmada"",""2,00000000000000000000"",""2=numeroexpediciones"",""1"",""2=n"&amp;"umeroalbaranes"",""1"",""10=manipulacion"",""47,72913600000000000000"",""10=embalaje"",""21,26000000000000000000"",""10=transporte"",""63,47414700000000000000"",""10=prima"",""0,00000000000000000000"",""10=reembolso"",""0,00000000000000000000"",""10=impuestos"",""0,000000000000000"&amp;"00000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</si>
  <si>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línea"",""120000"",""14=No_ producto cliente"",""11-50-000524"",""14=Descripción ampliada"",""PUERTA INDOOR - GRANDE - IZQUIERDA"",""10=Cantidad confirmada"",""1,00000000000000000000"",""2=numeroexpediciones"",""1"",""2=nu"&amp;"meroalbaranes"",""1"",""10=manipulacion"",""47,72913600000000000000"",""10=embalaje"",""21,26000000000000000000"",""10=transporte"",""63,47414700000000000000"",""10=prima"",""0,00000000000000000000"",""10=reembolso"",""0,00000000000000000000"",""10=impuestos"",""0,0000000000000000"&amp;"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</si>
  <si>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línea"",""130000"",""14=No_ producto cliente"",""10-10-000566"",""14=Descripción ampliada"",""PASADORES DE PUERTAS"",""10=Cantidad confirmada"",""150,00000000000000000000"",""2=numeroexpediciones"",""1"",""2=numeroalbarane"&amp;"s"",""1"",""10=manipulacion"",""47,72913600000000000000"",""10=embalaje"",""21,26000000000000000000"",""10=transporte"",""63,47414700000000000000"",""10=prima"",""0,00000000000000000000"",""10=reembolso"",""0,00000000000000000000"",""10=impuestos"",""0,00000000000000000000"",""10=ge"&amp;"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</si>
  <si>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línea"",""140000"",""14=No_ producto cliente"",""10-10-000572"",""14=Descripción ampliada"",""PASADORES DE PUERTAS"",""10=Cantidad confirmada"",""150,00000000000000000000"",""2=numeroexpediciones"",""1"",""2=numeroalbarane"&amp;"s"",""1"",""10=manipulacion"",""47,72913600000000000000"",""10=embalaje"",""21,26000000000000000000"",""10=transporte"",""63,47414700000000000000"",""10=prima"",""0,00000000000000000000"",""10=reembolso"",""0,00000000000000000000"",""10=impuestos"",""0,00000000000000000000"",""10=ge"&amp;"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</si>
  <si>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línea"",""150000"",""14=No_ producto cliente"",""10-10-000811"",""14=Descripción ampliada"",""PASADORES DE PUERTAS"",""10=Cantidad confirmada"",""150,00000000000000000000"",""2=numeroexpediciones"",""1"",""2=numeroalbarane"&amp;"s"",""1"",""10=manipulacion"",""47,72913600000000000000"",""10=embalaje"",""21,26000000000000000000"",""10=transporte"",""63,47414700000000000000"",""10=prima"",""0,00000000000000000000"",""10=reembolso"",""0,00000000000000000000"",""10=impuestos"",""0,00000000000000000000"",""10=ge"&amp;"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</si>
  <si>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línea"",""160000"",""14=No_ producto cliente"",""10-10-001379"",""14=Descripción ampliada"",""TAPONES DE PLASTICO PUERTA"",""10=Cantidad confirmada"",""500,00000000000000000000"",""2=numeroexpediciones"",""1"",""2=numeroal"&amp;"baranes"",""1"",""10=manipulacion"",""47,72913600000000000000"",""10=embalaje"",""21,26000000000000000000"",""10=transporte"",""63,47414700000000000000"",""10=prima"",""0,00000000000000000000"",""10=reembolso"",""0,00000000000000000000"",""10=impuestos"",""0,00000000000000000000"","&amp;"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</si>
  <si>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línea"",""170000"",""14=No_ producto cliente"",""10-10-000129"",""14=Descripción ampliada"",""IMANES"",""10=Cantidad confirmada"",""50,00000000000000000000"",""2=numeroexpediciones"",""1"",""2=numeroalbaranes"",""1"",""10=mani"&amp;"pulacion"",""47,72913600000000000000"",""10=embalaje"",""21,26000000000000000000"",""10=transporte"",""63,47414700000000000000"",""10=prima"",""0,00000000000000000000"",""10=reembolso"",""0,00000000000000000000"",""10=impuestos"",""0,00000000000000000000"",""10=gestion"",""0,10598"&amp;"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</si>
  <si>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línea"",""180000"",""14=No_ producto cliente"",""10-10-000888"",""14=Descripción ampliada"",""TAPONES PARA IMANES"",""10=Cantidad confirmada"",""50,00000000000000000000"",""2=numeroexpediciones"",""1"",""2=numeroalbaranes"""&amp;",""1"",""10=manipulacion"",""47,72913600000000000000"",""10=embalaje"",""21,26000000000000000000"",""10=transporte"",""63,47414700000000000000"",""10=prima"",""0,00000000000000000000"",""10=reembolso"",""0,00000000000000000000"",""10=impuestos"",""0,00000000000000000000"",""10=gest"&amp;"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</si>
  <si>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línea"",""190000"",""14=No_ producto cliente"",""10-21-000056"",""14=Descripción ampliada"",""CONTROLADOR DE CERRADURAS"",""10=Cantidad confirmada"",""10,00000000000000000000"",""2=numeroexpediciones"",""1"",""2=numeroalba"&amp;"ranes"",""1"",""10=manipulacion"",""47,72913600000000000000"",""10=embalaje"",""21,26000000000000000000"",""10=transporte"",""63,47414700000000000000"",""10=prima"",""0,00000000000000000000"",""10=reembolso"",""0,00000000000000000000"",""10=impuestos"",""0,00000000000000000000"",""1"&amp;"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</si>
  <si>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línea"",""200000"",""14=No_ producto cliente"",""10-21-001028"",""14=Descripción ampliada"",""CONTROLADOR DE CERRADURAS"",""10=Cantidad confirmada"",""2,00000000000000000000"",""2=numeroexpediciones"",""1"",""2=numeroalbar"&amp;"anes"",""1"",""10=manipulacion"",""47,72913600000000000000"",""10=embalaje"",""21,26000000000000000000"",""10=transporte"",""63,47414700000000000000"",""10=prima"",""0,00000000000000000000"",""10=reembolso"",""0,00000000000000000000"",""10=impuestos"",""0,00000000000000000000"",""10"&amp;"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</si>
  <si>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línea"",""210000"",""14=No_ producto cliente"",""11-50-000396"",""14=Descripción ampliada"",""DOOR XS"",""10=Cantidad confirmada"",""2,00000000000000000000"",""2=numeroexpediciones"",""1"",""2=numeroalbaranes"",""1"",""10=mani"&amp;"pulacion"",""47,72913600000000000000"",""10=embalaje"",""21,26000000000000000000"",""10=transporte"",""63,47414700000000000000"",""10=prima"",""0,00000000000000000000"",""10=reembolso"",""0,00000000000000000000"",""10=impuestos"",""0,00000000000000000000"",""10=gestion"",""0,10598"&amp;"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</si>
  <si>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línea"",""220000"",""14=No_ producto cliente"",""10-21-000629"",""14=Descripción ampliada"",""PCB BOXLOCK300 VER 1.2. PLATE FOR"",""10=Cantidad confirmada"",""15,00000000000000000000"",""2=numeroexpediciones"",""1"",""2=nu"&amp;"meroalbaranes"",""1"",""10=manipulacion"",""47,72913600000000000000"",""10=embalaje"",""21,26000000000000000000"",""10=transporte"",""63,47414700000000000000"",""10=prima"",""0,00000000000000000000"",""10=reembolso"",""0,00000000000000000000"",""10=impuestos"",""0,0000000000000000"&amp;"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</si>
  <si>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línea"",""230000"",""14=No_ producto cliente"",""10-80-000197"",""14=Descripción ampliada"",""ACTUATOR WITH MUSHER+PIN HOLDER"",""10=Cantidad confirmada"",""50,00000000000000000000"",""2=numeroexpediciones"",""1"",""2=nume"&amp;"roalbaranes"",""1"",""10=manipulacion"",""47,72913600000000000000"",""10=embalaje"",""21,26000000000000000000"",""10=transporte"",""63,47414700000000000000"",""10=prima"",""0,00000000000000000000"",""10=reembolso"",""0,00000000000000000000"",""10=impuestos"",""0,000000000000000000"&amp;"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</si>
  <si>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línea"",""240000"",""14=No_ producto cliente"",""10-50-000666"",""14=Descripción ampliada"",""CERRADURAS DE LOCKER"",""10=Cantidad confirmada"",""50,00000000000000000000"",""2=numeroexpediciones"",""1"",""2=numeroalbaranes"&amp;""",""1"",""10=manipulacion"",""47,72913600000000000000"",""10=embalaje"",""21,26000000000000000000"",""10=transporte"",""63,47414700000000000000"",""10=prima"",""0,00000000000000000000"",""10=reembolso"",""0,00000000000000000000"",""10=impuestos"",""0,00000000000000000000"",""10=ges"&amp;"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</si>
  <si>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línea"",""250000"",""14=No_ producto cliente"",""10-20-000064"",""14=Descripción ampliada"",""ACTUADOR CERRADURAS"",""10=Cantidad confirmada"",""60,00000000000000000000"",""2=numeroexpediciones"",""1"",""2=numeroalbaranes"""&amp;",""1"",""10=manipulacion"",""47,72913600000000000000"",""10=embalaje"",""21,26000000000000000000"",""10=transporte"",""63,47414700000000000000"",""10=prima"",""0,00000000000000000000"",""10=reembolso"",""0,00000000000000000000"",""10=impuestos"",""0,00000000000000000000"",""10=gest"&amp;"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</si>
  <si>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línea"",""260000"",""14=No_ producto cliente"",""10-21-000879"",""14=Descripción ampliada"",""ROUTER ALC NDVR"",""10=Cantidad confirmada"",""10,00000000000000000000"",""2=numeroexpediciones"",""1"",""2=numeroalbaranes"",""1"""&amp;",""10=manipulacion"",""47,72913600000000000000"",""10=embalaje"",""21,26000000000000000000"",""10=transporte"",""63,47414700000000000000"",""10=prima"",""0,00000000000000000000"",""10=reembolso"",""0,00000000000000000000"",""10=impuestos"",""0,00000000000000000000"",""10=gestion"""&amp;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</si>
  <si>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línea"",""270000"",""14=No_ producto cliente"",""10-21-000643"",""14=Descripción ampliada"",""ROUTER ALC"",""10=Cantidad confirmada"",""20,00000000000000000000"",""2=numeroexpediciones"",""1"",""2=numeroalbaranes"",""1"",""10="&amp;"manipulacion"",""47,72913600000000000000"",""10=embalaje"",""21,26000000000000000000"",""10=transporte"",""63,47414700000000000000"",""10=prima"",""0,00000000000000000000"",""10=reembolso"",""0,00000000000000000000"",""10=impuestos"",""0,00000000000000000000"",""10=gestion"",""0,1"&amp;"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</si>
  <si>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línea"",""280000"",""14=No_ producto cliente"",""10-21-000930"",""14=Descripción ampliada"",""ANTENNA MIMO 2J7024Ma - INDOOR - MAGNET 10.5M"",""10=Cantidad confirmada"",""5,00000000000000000000"",""2=numeroexpediciones"&amp;""",""1"",""2=numeroalbaranes"",""1"",""10=manipulacion"",""47,72913600000000000000"",""10=embalaje"",""21,26000000000000000000"",""10=transporte"",""63,47414700000000000000"",""10=prima"",""0,00000000000000000000"",""10=reembolso"",""0,00000000000000000000"",""10=impuestos"",""0,00000"&amp;"000000000000000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</si>
  <si>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línea"",""290000"",""14=No_ producto cliente"",""10-21-000637"",""14=Descripción ampliada"",""BATERIA 12V."",""10=Cantidad confirmada"",""2,00000000000000000000"",""2=numeroexpediciones"",""1"",""2=numeroalbaranes"",""1"",""10"&amp;"=manipulacion"",""47,72913600000000000000"",""10=embalaje"",""21,26000000000000000000"",""10=transporte"",""63,47414700000000000000"",""10=prima"",""0,00000000000000000000"",""10=reembolso"",""0,00000000000000000000"",""10=impuestos"",""0,00000000000000000000"",""10=gestion"",""0,"&amp;"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</si>
  <si>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línea"",""300000"",""14=No_ producto cliente"",""10-21-000644"",""14=Descripción ampliada"",""PLACA PRINCIPAL DEL LOCKER"",""10=Cantidad confirmada"",""1,00000000000000000000"",""2=numeroexpediciones"",""1"",""2=numeroalba"&amp;"ranes"",""1"",""10=manipulacion"",""47,72913600000000000000"",""10=embalaje"",""21,26000000000000000000"",""10=transporte"",""63,47414700000000000000"",""10=prima"",""0,00000000000000000000"",""10=reembolso"",""0,00000000000000000000"",""10=impuestos"",""0,00000000000000000000"",""1"&amp;"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</si>
  <si>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línea"",""310000"",""14=No_ producto cliente"",""10-21-000869"",""14=Descripción ampliada"",""FUENTE DE ALIMENTACIàN COMPLETA"",""10=Cantidad confirmada"",""1,00000000000000000000"",""2=numeroexpediciones"",""1"",""2=numer"&amp;"oalbaranes"",""1"",""10=manipulacion"",""47,72913600000000000000"",""10=embalaje"",""21,26000000000000000000"",""10=transporte"",""63,47414700000000000000"",""10=prima"",""0,00000000000000000000"",""10=reembolso"",""0,00000000000000000000"",""10=impuestos"",""0,0000000000000000000"&amp;"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</si>
  <si>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línea"",""320000"",""14=No_ producto cliente"",""10-21-000638"",""14=Descripción ampliada"",""DISCO DURO SSD"",""10=Cantidad confirmada"",""4,00000000000000000000"",""2=numeroexpediciones"",""1"",""2=numeroalbaranes"",""1"","""&amp;"10=manipulacion"",""47,72913600000000000000"",""10=embalaje"",""21,26000000000000000000"",""10=transporte"",""63,47414700000000000000"",""10=prima"",""0,00000000000000000000"",""10=reembolso"",""0,00000000000000000000"",""10=impuestos"",""0,00000000000000000000"",""10=gestion"","""&amp;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</si>
  <si>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línea"",""330000"",""14=No_ producto cliente"",""10-21-000640"",""14=Descripción ampliada"",""SENSOR DE LUZ - T2"",""10=Cantidad confirmada"",""2,00000000000000000000"",""2=numeroexpediciones"",""1"",""2=numeroalbaranes"","""&amp;"1"",""10=manipulacion"",""47,72913600000000000000"",""10=embalaje"",""21,26000000000000000000"",""10=transporte"",""63,47414700000000000000"",""10=prima"",""0,00000000000000000000"",""10=reembolso"",""0,00000000000000000000"",""10=impuestos"",""0,00000000000000000000"",""10=gestio"&amp;"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</si>
  <si>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línea"",""340000"",""14=No_ producto cliente"",""10-21-000641"",""14=Descripción ampliada"",""SENSOR DE PRESIàN - T1"",""10=Cantidad confirmada"",""2,00000000000000000000"",""2=numeroexpediciones"",""1"",""2=numeroalbarane"&amp;"s"",""1"",""10=manipulacion"",""47,72913600000000000000"",""10=embalaje"",""21,26000000000000000000"",""10=transporte"",""63,47414700000000000000"",""10=prima"",""0,00000000000000000000"",""10=reembolso"",""0,00000000000000000000"",""10=impuestos"",""0,00000000000000000000"",""10=ge"&amp;"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</si>
  <si>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línea"",""350000"",""14=No_ producto cliente"",""10-21-000642"",""14=Descripción ampliada"",""SENSOR DE HUMEDAD - T0"",""10=Cantidad confirmada"",""2,00000000000000000000"",""2=numeroexpediciones"",""1"",""2=numeroalbarane"&amp;"s"",""1"",""10=manipulacion"",""47,72913600000000000000"",""10=embalaje"",""21,26000000000000000000"",""10=transporte"",""63,47414700000000000000"",""10=prima"",""0,00000000000000000000"",""10=reembolso"",""0,00000000000000000000"",""10=impuestos"",""0,00000000000000000000"",""10=ge"&amp;"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</si>
  <si>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línea"",""360000"",""14=No_ producto cliente"",""10-21-000666"",""14=Descripción ampliada"",""CÁMARA DE SEGURIDAD - INDOOR LOCKER"",""10=Cantidad confirmada"",""6,00000000000000000000"",""2=numeroexpediciones"",""1"",""2=n"&amp;"umeroalbaranes"",""1"",""10=manipulacion"",""47,72913600000000000000"",""10=embalaje"",""21,26000000000000000000"",""10=transporte"",""63,47414700000000000000"",""10=prima"",""0,00000000000000000000"",""10=reembolso"",""0,00000000000000000000"",""10=impuestos"",""0,000000000000000"&amp;"00000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</si>
  <si>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línea"",""370000"",""14=No_ producto cliente"",""10-21-000838"",""14=Descripción ampliada"",""CÁMARA DE SEGURIDAD - OUTDOOR LOCKER"",""10=Cantidad confirmada"",""2,00000000000000000000"",""2=numeroexpediciones"",""1"",""2="&amp;"numeroalbaranes"",""1"",""10=manipulacion"",""47,72913600000000000000"",""10=embalaje"",""21,26000000000000000000"",""10=transporte"",""63,47414700000000000000"",""10=prima"",""0,00000000000000000000"",""10=reembolso"",""0,00000000000000000000"",""10=impuestos"",""0,00000000000000"&amp;"000000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</si>
  <si>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línea"",""380000"",""14=No_ producto cliente"",""10-21-000680"",""14=Descripción ampliada"",""VIDEO GRABADOR"",""10=Cantidad confirmada"",""2,00000000000000000000"",""2=numeroexpediciones"",""1"",""2=numeroalbaranes"",""1"","""&amp;"10=manipulacion"",""47,72913600000000000000"",""10=embalaje"",""21,26000000000000000000"",""10=transporte"",""63,47414700000000000000"",""10=prima"",""0,00000000000000000000"",""10=reembolso"",""0,00000000000000000000"",""10=impuestos"",""0,00000000000000000000"",""10=gestion"","""&amp;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</si>
  <si>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línea"",""390000"",""14=No_ producto cliente"",""10-21-000944"",""14=Descripción ampliada"",""ESCANER NEWLAND"",""10=Cantidad confirmada"",""6,00000000000000000000"",""2=numeroexpediciones"",""1"",""2=numeroalbaranes"",""1"","&amp;"""10=manipulacion"",""47,72913600000000000000"",""10=embalaje"",""21,26000000000000000000"",""10=transporte"",""63,47414700000000000000"",""10=prima"",""0,00000000000000000000"",""10=reembolso"",""0,00000000000000000000"",""10=impuestos"",""0,00000000000000000000"",""10=gestion"","&amp;"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</si>
  <si>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línea"",""400000"",""14=No_ producto cliente"",""10-51-000600"",""14=Descripción ampliada"",""CABLE CONVERTIDOR ESCANER"",""10=Cantidad confirmada"",""12,00000000000000000000"",""2=numeroexpediciones"",""1"",""2=numeroalba"&amp;"ranes"",""1"",""10=manipulacion"",""47,72913600000000000000"",""10=embalaje"",""21,26000000000000000000"",""10=transporte"",""63,47414700000000000000"",""10=prima"",""0,00000000000000000000"",""10=reembolso"",""0,00000000000000000000"",""10=impuestos"",""0,00000000000000000000"",""1"&amp;"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</si>
  <si>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línea"",""410000"",""14=No_ producto cliente"",""KIT-IR TOUCH"",""14=Descripción ampliada"",""KIT (IR TOUCH + SELLANTES X2 + USB IR)"",""10=Cantidad confirmada"",""2,00000000000000000000"",""2=numeroexpediciones"",""1"","""&amp;"2=numeroalbaranes"",""1"",""10=manipulacion"",""47,72913600000000000000"",""10=embalaje"",""21,26000000000000000000"",""10=transporte"",""63,47414700000000000000"",""10=prima"",""0,00000000000000000000"",""10=reembolso"",""0,00000000000000000000"",""10=impuestos"",""0,000000000000"&amp;"00000000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</si>
  <si>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línea"",""420000"",""14=No_ producto cliente"",""KIT CAPACITIVO"",""14=Descripción ampliada"",""MONITOR CAPACITIVO + USB + CONECTOR (1095) + SELLANTE + SENSOR"",""10=Cantidad confirmada"",""2,00000000000000000000"",""2"&amp;"=numeroexpediciones"",""1"",""2=numeroalbaranes"",""1"",""10=manipulacion"",""47,72913600000000000000"",""10=embalaje"",""21,26000000000000000000"",""10=transporte"",""63,47414700000000000000"",""10=prima"",""0,00000000000000000000"",""10=reembolso"",""0,00000000000000000000"",""10="&amp;"impuestos"",""0,00000000000000000000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</si>
  <si>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línea"",""430000"",""14=No_ producto cliente"",""10-14-000010"",""14=Descripción ampliada"",""SELLANTE (SEAL FOR IR 12' 0000505326 DSPPCCP)"",""10=Cantidad confirmada"",""5,00000000000000000000"",""2=numeroexpediciones"&amp;""",""1"",""2=numeroalbaranes"",""1"",""10=manipulacion"",""47,72913600000000000000"",""10=embalaje"",""21,26000000000000000000"",""10=transporte"",""63,47414700000000000000"",""10=prima"",""0,00000000000000000000"",""10=reembolso"",""0,00000000000000000000"",""10=impuestos"",""0,00000"&amp;"000000000000000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</si>
  <si>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línea"",""440000"",""14=No_ producto cliente"",""KIT-PC-USB"",""14=Descripción ampliada"",""KIT PC COMPACTO Y HDMI PC"",""10=Cantidad confirmada"",""1,00000000000000000000"",""2=numeroexpediciones"",""1"",""2=numeroalbaran"&amp;"es"",""1"",""10=manipulacion"",""47,72913600000000000000"",""10=embalaje"",""21,26000000000000000000"",""10=transporte"",""63,47414700000000000000"",""10=prima"",""0,00000000000000000000"",""10=reembolso"",""0,00000000000000000000"",""10=impuestos"",""0,00000000000000000000"",""10=g"&amp;"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</si>
  <si>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línea"",""450000"",""14=No_ producto cliente"",""10-11-001202"",""14=Descripción ampliada"",""EMERGENCY KEY TO THE XS MODULE( COMPARTMENT)"",""10=Cantidad confirmada"",""1,00000000000000000000"",""2=numeroexpediciones"""&amp;",""1"",""2=numeroalbaranes"",""1"",""10=manipulacion"",""47,72913600000000000000"",""10=embalaje"",""21,26000000000000000000"",""10=transporte"",""63,47414700000000000000"",""10=prima"",""0,00000000000000000000"",""10=reembolso"",""0,00000000000000000000"",""10=impuestos"",""0,000000"&amp;"00000000000000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</si>
  <si>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línea"",""460000"",""14=No_ producto cliente"",""10-12-000033"",""14=Descripción ampliada"",""EMERGENCY ROD- METAL ROOF S235JR ( INDOOR COMPARTMENT)"",""10=Cantidad confirmada"",""1,00000000000000000000"",""2=numeroexp"&amp;"ediciones"",""1"",""2=numeroalbaranes"",""1"",""10=manipulacion"",""47,72913600000000000000"",""10=embalaje"",""21,26000000000000000000"",""10=transporte"",""63,47414700000000000000"",""10=prima"",""0,00000000000000000000"",""10=reembolso"",""0,00000000000000000000"",""10=impuestos"""&amp;",""0,00000000000000000000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</si>
  <si>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línea"",""470000"",""14=No_ producto cliente"",""39-00-0039"",""14=Descripción ampliada"",""CONTACTO HEMBRA MINI-FIT"",""10=Cantidad confirmada"",""100,00000000000000000000"",""2=numeroexpediciones"",""1"",""2=numeroalbara"&amp;"nes"",""1"",""10=manipulacion"",""47,72913600000000000000"",""10=embalaje"",""21,26000000000000000000"",""10=transporte"",""63,47414700000000000000"",""10=prima"",""0,00000000000000000000"",""10=reembolso"",""0,00000000000000000000"",""10=impuestos"",""0,00000000000000000000"",""10="&amp;"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</si>
  <si>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línea"",""480000"",""14=No_ producto cliente"",""43030-0007"",""14=Descripción ampliada"",""CONTACTO HEMBRA MICRO-FIT"",""10=Cantidad confirmada"",""100,00000000000000000000"",""2=numeroexpediciones"",""1"",""2=numeroalbar"&amp;"anes"",""1"",""10=manipulacion"",""47,72913600000000000000"",""10=embalaje"",""21,26000000000000000000"",""10=transporte"",""63,47414700000000000000"",""10=prima"",""0,00000000000000000000"",""10=reembolso"",""0,00000000000000000000"",""10=impuestos"",""0,00000000000000000000"",""10"&amp;"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</si>
  <si>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línea"",""490000"",""14=No_ producto cliente"",""43025-0410"",""14=Descripción ampliada"",""CONECTOR CONDUCTO-PLACA ENCHUFE HEMBRA MICRO-FIT"",""10=Cantidad confirmada"",""20,00000000000000000000"",""2=numeroexpedicion"&amp;"es"",""1"",""2=numeroalbaranes"",""1"",""10=manipulacion"",""47,72913600000000000000"",""10=embalaje"",""21,26000000000000000000"",""10=transporte"",""63,47414700000000000000"",""10=prima"",""0,00000000000000000000"",""10=reembolso"",""0,00000000000000000000"",""10=impuestos"",""0,000"&amp;"00000000000000000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</si>
  <si>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línea"",""500000"",""14=No_ producto cliente"",""39-01-2040"",""14=Descripción ampliada"",""CONECTOR CABLE-PLACA ENCHUFE HEMBRA MINI-FIT"",""10=Cantidad confirmada"",""20,00000000000000000000"",""2=numeroexpediciones"","&amp;"""1"",""2=numeroalbaranes"",""1"",""10=manipulacion"",""47,72913600000000000000"",""10=embalaje"",""21,26000000000000000000"",""10=transporte"",""63,47414700000000000000"",""10=prima"",""0,00000000000000000000"",""10=reembolso"",""0,00000000000000000000"",""10=impuestos"",""0,0000000"&amp;"0000000000000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</si>
  <si>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línea"",""510000"",""14=No_ producto cliente"",""11-03-0043"",""14=Descripción ampliada"",""Herramienta Extracción Crimpado Molex"",""10=Cantidad confirmada"",""1,00000000000000000000"",""2=numeroexpediciones"",""1"",""2=n"&amp;"umeroalbaranes"",""1"",""10=manipulacion"",""47,72913600000000000000"",""10=embalaje"",""21,26000000000000000000"",""10=transporte"",""63,47414700000000000000"",""10=prima"",""0,00000000000000000000"",""10=reembolso"",""0,00000000000000000000"",""10=impuestos"",""0,000000000000000"&amp;"00000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</si>
  <si>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línea"",""520000"",""14=No_ producto cliente"",""10-22-000040"",""14=Descripción ampliada"",""CONECTOR 12V. CORRIENTE - HEMBRA"",""10=Cantidad confirmada"",""2,00000000000000000000"",""2=numeroexpediciones"",""1"",""2=nume"&amp;"roalbaranes"",""1"",""10=manipulacion"",""47,72913600000000000000"",""10=embalaje"",""21,26000000000000000000"",""10=transporte"",""63,47414700000000000000"",""10=prima"",""0,00000000000000000000"",""10=reembolso"",""0,00000000000000000000"",""10=impuestos"",""0,000000000000000000"&amp;"00"",""10=gestion"",""0,10598700000000000000"",""10=franqueo"",""0,00000000000000000000"",""10=despacho"",""0,00000000000000000000"""</t>
  </si>
  <si>
    <t>="""SQL-NAVISION"","""",""SQL="",""14=Id_ Prefactura"",""PF26-00004176"",""2=Tipo documento"",""0"",""14=No_"",""PD260071471"",""14=No_ referencia transporte"",""INPOST220426.1"",""14=Familia pedido"","""",""15=Fecha confirmación SGA"",""23/04/2026"",""14=Nombre punto entrega"",""TIPSA SAN"&amp;"T BOI"",""14=Contacto punto entrega"",""DIEGO CASAGRANDE"",""14=Dirección punto entrega"",""CARRER DE LA CIENCIA, 26"",""14=C_P_ punto entrega"",""08840"",""14=Población punto entrega"",""Viladecans"",""14=Provincia punto entrega"",""Barcelona"",""14=País punto entrega"",""ES"","""&amp;"10=bultosP"",""1,00000000000000000000"",""14=No_ documento cliente"",""INPOST220426.1"",""14=Cód_ Servicio solicitado Fact_"",""STD"",""10=bultosE"",""1,00000000000000000000"",""10=Peso facturable"",""29,00000000000000000000"",""14=Cód_ operativa"",""053"",""14=Descripción"",""PRU"&amp;"EBA PILOTO INPOST"",""2=No_ línea"",""10000"",""14=No_ producto cliente"",""10-20-000064"",""14=Descripción ampliada"",""ACTUADOR CERRADURAS"",""10=Cantidad confirmada"",""20,00000000000000000000"",""2=numeroexpediciones"",""1"",""2=numeroalbaranes"",""1"",""10=manipulacion"",""8,42"&amp;"236500000000000000"",""10=embalaje"",""1,30000000000000000000"",""10=transporte"",""8,83487100000000000000"",""10=prima"",""0,00000000000000000000"",""10=reembolso"",""0,00000000000000000000"",""10=impuestos"",""0,00000000000000000000"",""10=gestion"",""0,10598700000000000000"","""&amp;"10=franqueo"",""0,00000000000000000000"",""10=despacho"",""0,00000000000000000000"""</t>
  </si>
  <si>
    <t>="""SQL-NAVISION"","""",""SQL="",""14=Id_ Prefactura"",""PF26-00004176"",""2=Tipo documento"",""0"",""14=No_"",""PD260071471"",""14=No_ referencia transporte"",""INPOST220426.1"",""14=Familia pedido"","""",""15=Fecha confirmación SGA"",""23/04/2026"",""14=Nombre punto entrega"",""TIPSA SAN"&amp;"T BOI"",""14=Contacto punto entrega"",""DIEGO CASAGRANDE"",""14=Dirección punto entrega"",""CARRER DE LA CIENCIA, 26"",""14=C_P_ punto entrega"",""08840"",""14=Población punto entrega"",""Viladecans"",""14=Provincia punto entrega"",""Barcelona"",""14=País punto entrega"",""ES"","""&amp;"10=bultosP"",""1,00000000000000000000"",""14=No_ documento cliente"",""INPOST220426.1"",""14=Cód_ Servicio solicitado Fact_"",""STD"",""10=bultosE"",""1,00000000000000000000"",""10=Peso facturable"",""29,00000000000000000000"",""14=Cód_ operativa"",""053"",""14=Descripción"",""PRU"&amp;"EBA PILOTO INPOST"",""2=No_ línea"",""20000"",""14=No_ producto cliente"",""10-21-000643"",""14=Descripción ampliada"",""ROUTER ALC"",""10=Cantidad confirmada"",""5,00000000000000000000"",""2=numeroexpediciones"",""1"",""2=numeroalbaranes"",""1"",""10=manipulacion"",""8,422365000000"&amp;"00000000"",""10=embalaje"",""1,30000000000000000000"",""10=transporte"",""8,83487100000000000000"",""10=prima"",""0,00000000000000000000"",""10=reembolso"",""0,00000000000000000000"",""10=impuestos"",""0,00000000000000000000"",""10=gestion"",""0,10598700000000000000"",""10=franque"&amp;"o"",""0,00000000000000000000"",""10=despacho"",""0,00000000000000000000"""</t>
  </si>
  <si>
    <t>="""SQL-NAVISION"","""",""SQL="",""14=Id_ Prefactura"",""PF26-00004176"",""2=Tipo documento"",""0"",""14=No_"",""PD260071471"",""14=No_ referencia transporte"",""INPOST220426.1"",""14=Familia pedido"","""",""15=Fecha confirmación SGA"",""23/04/2026"",""14=Nombre punto entrega"",""TIPSA SAN"&amp;"T BOI"",""14=Contacto punto entrega"",""DIEGO CASAGRANDE"",""14=Dirección punto entrega"",""CARRER DE LA CIENCIA, 26"",""14=C_P_ punto entrega"",""08840"",""14=Población punto entrega"",""Viladecans"",""14=Provincia punto entrega"",""Barcelona"",""14=País punto entrega"",""ES"","""&amp;"10=bultosP"",""1,00000000000000000000"",""14=No_ documento cliente"",""INPOST220426.1"",""14=Cód_ Servicio solicitado Fact_"",""STD"",""10=bultosE"",""1,00000000000000000000"",""10=Peso facturable"",""29,00000000000000000000"",""14=Cód_ operativa"",""053"",""14=Descripción"",""PRU"&amp;"EBA PILOTO INPOST"",""2=No_ línea"",""30000"",""14=No_ producto cliente"",""10-50-000666"",""14=Descripción ampliada"",""CERRADURAS DE LOCKER"",""10=Cantidad confirmada"",""4,00000000000000000000"",""2=numeroexpediciones"",""1"",""2=numeroalbaranes"",""1"",""10=manipulacion"",""8,42"&amp;"236500000000000000"",""10=embalaje"",""1,30000000000000000000"",""10=transporte"",""8,83487100000000000000"",""10=prima"",""0,00000000000000000000"",""10=reembolso"",""0,00000000000000000000"",""10=impuestos"",""0,00000000000000000000"",""10=gestion"",""0,10598700000000000000"","""&amp;"10=franqueo"",""0,00000000000000000000"",""10=despacho"",""0,00000000000000000000"""</t>
  </si>
  <si>
    <t>="""SQL-NAVISION"","""",""SQL="",""14=Id_ Prefactura"",""PF26-00004176"",""2=Tipo documento"",""0"",""14=No_"",""PD260071471"",""14=No_ referencia transporte"",""INPOST220426.1"",""14=Familia pedido"","""",""15=Fecha confirmación SGA"",""23/04/2026"",""14=Nombre punto entrega"",""TIPSA SAN"&amp;"T BOI"",""14=Contacto punto entrega"",""DIEGO CASAGRANDE"",""14=Dirección punto entrega"",""CARRER DE LA CIENCIA, 26"",""14=C_P_ punto entrega"",""08840"",""14=Población punto entrega"",""Viladecans"",""14=Provincia punto entrega"",""Barcelona"",""14=País punto entrega"",""ES"","""&amp;"10=bultosP"",""1,00000000000000000000"",""14=No_ documento cliente"",""INPOST220426.1"",""14=Cód_ Servicio solicitado Fact_"",""STD"",""10=bultosE"",""1,00000000000000000000"",""10=Peso facturable"",""29,00000000000000000000"",""14=Cód_ operativa"",""053"",""14=Descripción"",""PRU"&amp;"EBA PILOTO INPOST"",""2=No_ línea"",""40000"",""14=No_ producto cliente"",""10-51-000600"",""14=Descripción ampliada"",""CABLE CONVERTIDOR ESCANER"",""10=Cantidad confirmada"",""2,00000000000000000000"",""2=numeroexpediciones"",""1"",""2=numeroalbaranes"",""1"",""10=manipulacion"","&amp;"""8,42236500000000000000"",""10=embalaje"",""1,30000000000000000000"",""10=transporte"",""8,83487100000000000000"",""10=prima"",""0,00000000000000000000"",""10=reembolso"",""0,00000000000000000000"",""10=impuestos"",""0,00000000000000000000"",""10=gestion"",""0,105987000000000000"&amp;"00"",""10=franqueo"",""0,00000000000000000000"",""10=despacho"",""0,00000000000000000000"""</t>
  </si>
  <si>
    <t>="""SQL-NAVISION"","""",""SQL="",""14=Id_ Prefactura"",""PF26-00004176"",""2=Tipo documento"",""0"",""14=No_"",""PD260071471"",""14=No_ referencia transporte"",""INPOST220426.1"",""14=Familia pedido"","""",""15=Fecha confirmación SGA"",""23/04/2026"",""14=Nombre punto entrega"",""TIPSA SAN"&amp;"T BOI"",""14=Contacto punto entrega"",""DIEGO CASAGRANDE"",""14=Dirección punto entrega"",""CARRER DE LA CIENCIA, 26"",""14=C_P_ punto entrega"",""08840"",""14=Población punto entrega"",""Viladecans"",""14=Provincia punto entrega"",""Barcelona"",""14=País punto entrega"",""ES"","""&amp;"10=bultosP"",""1,00000000000000000000"",""14=No_ documento cliente"",""INPOST220426.1"",""14=Cód_ Servicio solicitado Fact_"",""STD"",""10=bultosE"",""1,00000000000000000000"",""10=Peso facturable"",""29,00000000000000000000"",""14=Cód_ operativa"",""053"",""14=Descripción"",""PRU"&amp;"EBA PILOTO INPOST"",""2=No_ línea"",""50000"",""14=No_ producto cliente"",""10-80-000197"",""14=Descripción ampliada"",""ACTUATOR WITH MUSHER+PIN HOLDER"",""10=Cantidad confirmada"",""2,00000000000000000000"",""2=numeroexpediciones"",""1"",""2=numeroalbaranes"",""1"",""10=manipula"&amp;"cion"",""8,42236500000000000000"",""10=embalaje"",""1,30000000000000000000"",""10=transporte"",""8,83487100000000000000"",""10=prima"",""0,00000000000000000000"",""10=reembolso"",""0,00000000000000000000"",""10=impuestos"",""0,00000000000000000000"",""10=gestion"",""0,105987000000"&amp;"00000000"",""10=franqueo"",""0,00000000000000000000"",""10=despacho"",""0,00000000000000000000"""</t>
  </si>
  <si>
    <t>="""SQL-NAVISION"","""",""SQL="",""14=Id_ Prefactura"",""PF26-00004176"",""2=Tipo documento"",""0"",""14=No_"",""PD260071471"",""14=No_ referencia transporte"",""INPOST220426.1"",""14=Familia pedido"","""",""15=Fecha confirmación SGA"",""23/04/2026"",""14=Nombre punto entrega"",""TIPSA SAN"&amp;"T BOI"",""14=Contacto punto entrega"",""DIEGO CASAGRANDE"",""14=Dirección punto entrega"",""CARRER DE LA CIENCIA, 26"",""14=C_P_ punto entrega"",""08840"",""14=Población punto entrega"",""Viladecans"",""14=Provincia punto entrega"",""Barcelona"",""14=País punto entrega"",""ES"","""&amp;"10=bultosP"",""1,00000000000000000000"",""14=No_ documento cliente"",""INPOST220426.1"",""14=Cód_ Servicio solicitado Fact_"",""STD"",""10=bultosE"",""1,00000000000000000000"",""10=Peso facturable"",""29,00000000000000000000"",""14=Cód_ operativa"",""053"",""14=Descripción"",""PRU"&amp;"EBA PILOTO INPOST"",""2=No_ línea"",""60000"",""14=No_ producto cliente"",""KIT-PC-USB"",""14=Descripción ampliada"",""KIT PC COMPACTO Y HDMI PC"",""10=Cantidad confirmada"",""2,00000000000000000000"",""2=numeroexpediciones"",""1"",""2=numeroalbaranes"",""1"",""10=manipulacion"",""8"&amp;",42236500000000000000"",""10=embalaje"",""1,30000000000000000000"",""10=transporte"",""8,83487100000000000000"",""10=prima"",""0,00000000000000000000"",""10=reembolso"",""0,00000000000000000000"",""10=impuestos"",""0,00000000000000000000"",""10=gestion"",""0,10598700000000000000"&amp;""",""10=franqueo"",""0,00000000000000000000"",""10=despacho"",""0,00000000000000000000"""</t>
  </si>
  <si>
    <t>="""SQL-NAVISION"","""",""SQL="",""14=Id_ Prefactura"",""PF26-00004176"",""2=Tipo documento"",""0"",""14=No_"",""PD260071471"",""14=No_ referencia transporte"",""INPOST220426.1"",""14=Familia pedido"","""",""15=Fecha confirmación SGA"",""23/04/2026"",""14=Nombre punto entrega"",""TIPSA SAN"&amp;"T BOI"",""14=Contacto punto entrega"",""DIEGO CASAGRANDE"",""14=Dirección punto entrega"",""CARRER DE LA CIENCIA, 26"",""14=C_P_ punto entrega"",""08840"",""14=Población punto entrega"",""Viladecans"",""14=Provincia punto entrega"",""Barcelona"",""14=País punto entrega"",""ES"","""&amp;"10=bultosP"",""1,00000000000000000000"",""14=No_ documento cliente"",""INPOST220426.1"",""14=Cód_ Servicio solicitado Fact_"",""STD"",""10=bultosE"",""1,00000000000000000000"",""10=Peso facturable"",""29,00000000000000000000"",""14=Cód_ operativa"",""053"",""14=Descripción"",""PRU"&amp;"EBA PILOTO INPOST"",""2=No_ línea"",""70000"",""14=No_ producto cliente"",""KIT-RE-SOBRE"",""14=Descripción ampliada"",""KIT REPUESTO COMPARTIMENTO SOBRE"",""10=Cantidad confirmada"",""2,00000000000000000000"",""2=numeroexpediciones"",""1"",""2=numeroalbaranes"",""1"",""10=manipul"&amp;"acion"",""8,42236500000000000000"",""10=embalaje"",""1,30000000000000000000"",""10=transporte"",""8,83487100000000000000"",""10=prima"",""0,00000000000000000000"",""10=reembolso"",""0,00000000000000000000"",""10=impuestos"",""0,00000000000000000000"",""10=gestion"",""0,10598700000"&amp;"000000000"",""10=franqueo"",""0,00000000000000000000"",""10=despacho"",""0,00000000000000000000"""</t>
  </si>
  <si>
    <t>="""SQL-NAVISION"","""",""SQL="",""14=Id_ Prefactura"",""PF26-00004176"",""2=Tipo documento"",""0"",""14=No_"",""PD260071471"",""14=No_ referencia transporte"",""INPOST220426.1"",""14=Familia pedido"","""",""15=Fecha confirmación SGA"",""23/04/2026"",""14=Nombre punto entrega"",""TIPSA SAN"&amp;"T BOI"",""14=Contacto punto entrega"",""DIEGO CASAGRANDE"",""14=Dirección punto entrega"",""CARRER DE LA CIENCIA, 26"",""14=C_P_ punto entrega"",""08840"",""14=Población punto entrega"",""Viladecans"",""14=Provincia punto entrega"",""Barcelona"",""14=País punto entrega"",""ES"","""&amp;"10=bultosP"",""1,00000000000000000000"",""14=No_ documento cliente"",""INPOST220426.1"",""14=Cód_ Servicio solicitado Fact_"",""STD"",""10=bultosE"",""1,00000000000000000000"",""10=Peso facturable"",""29,00000000000000000000"",""14=Cód_ operativa"",""053"",""14=Descripción"",""PRU"&amp;"EBA PILOTO INPOST"",""2=No_ línea"",""80000"",""14=No_ producto cliente"",""10-21-000927"",""14=Descripción ampliada"",""ANTENA INDOOR MAGNETICA DE 10.5 M."",""10=Cantidad confirmada"",""1,00000000000000000000"",""2=numeroexpediciones"",""1"",""2=numeroalbaranes"",""1"",""10=manip"&amp;"ulacion"",""8,42236500000000000000"",""10=embalaje"",""1,30000000000000000000"",""10=transporte"",""8,83487100000000000000"",""10=prima"",""0,00000000000000000000"",""10=reembolso"",""0,00000000000000000000"",""10=impuestos"",""0,00000000000000000000"",""10=gestion"",""0,105987000"&amp;"00000000000"",""10=franqueo"",""0,00000000000000000000"",""10=despacho"",""0,00000000000000000000"""</t>
  </si>
  <si>
    <t>="""SQL-NAVISION"","""",""SQL="",""14=Id_ Prefactura"",""PF26-00004176"",""2=Tipo documento"",""0"",""14=No_"",""PD260071471"",""14=No_ referencia transporte"",""INPOST220426.1"",""14=Familia pedido"","""",""15=Fecha confirmación SGA"",""23/04/2026"",""14=Nombre punto entrega"",""TIPSA SAN"&amp;"T BOI"",""14=Contacto punto entrega"",""DIEGO CASAGRANDE"",""14=Dirección punto entrega"",""CARRER DE LA CIENCIA, 26"",""14=C_P_ punto entrega"",""08840"",""14=Población punto entrega"",""Viladecans"",""14=Provincia punto entrega"",""Barcelona"",""14=País punto entrega"",""ES"","""&amp;"10=bultosP"",""1,00000000000000000000"",""14=No_ documento cliente"",""INPOST220426.1"",""14=Cód_ Servicio solicitado Fact_"",""STD"",""10=bultosE"",""1,00000000000000000000"",""10=Peso facturable"",""29,00000000000000000000"",""14=Cód_ operativa"",""053"",""14=Descripción"",""PRU"&amp;"EBA PILOTO INPOST"",""2=No_ línea"",""90000"",""14=No_ producto cliente"",""10-21-000944"",""14=Descripción ampliada"",""ESCANER NEWLAND"",""10=Cantidad confirmada"",""1,00000000000000000000"",""2=numeroexpediciones"",""1"",""2=numeroalbaranes"",""1"",""10=manipulacion"",""8,4223650"&amp;"0000000000000"",""10=embalaje"",""1,30000000000000000000"",""10=transporte"",""8,83487100000000000000"",""10=prima"",""0,00000000000000000000"",""10=reembolso"",""0,00000000000000000000"",""10=impuestos"",""0,00000000000000000000"",""10=gestion"",""0,10598700000000000000"",""10=fr"&amp;"anqueo"",""0,00000000000000000000"",""10=despacho"",""0,00000000000000000000"""</t>
  </si>
  <si>
    <t>="""SQL-NAVISION"","""",""SQL="",""14=Id_ Prefactura"",""PF26-00004176"",""2=Tipo documento"",""0"",""14=No_"",""PD260071472"",""14=No_ referencia transporte"",""INPOST220426.2"",""14=Familia pedido"","""",""15=Fecha confirmación SGA"",""23/04/2026"",""14=Nombre punto entrega"",""TIPSA BAD"&amp;"ALONA"",""14=Contacto punto entrega"",""HECTOR ALEJANDRO CARABAJAL"",""14=Dirección punto entrega"",""CARRER DE LA MAR JONICA, 5,LOCAL 14"",""14=C_P_ punto entrega"",""08918"",""14=Población punto entrega"",""BADALONA"",""14=Provincia punto entrega"",""Barcelona"",""14=País pu"&amp;"nto entrega"",""ES"",""10=bultosP"",""2,00000000000000000000"",""14=No_ documento cliente"",""INPOST220426.2"",""14=Cód_ Servicio solicitado Fact_"",""STD"",""10=bultosE"",""2,00000000000000000000"",""10=Peso facturable"",""36,00000000000000000000"",""14=Cód_ operativa"",""053"",""1"&amp;"4=Descripción"",""PRUEBA PILOTO INPOST"",""2=No_ línea"",""10000"",""14=No_ producto cliente"",""10-20-000064"",""14=Descripción ampliada"",""ACTUADOR CERRADURAS"",""10=Cantidad confirmada"",""20,00000000000000000000"",""2=numeroexpediciones"",""1"",""2=numeroalbaranes"",""1"",""10="&amp;"manipulacion"",""9,59233800000000000000"",""10=embalaje"",""1,30000000000000000000"",""10=transporte"",""12,35577900000000000000"",""10=prima"",""0,00000000000000000000"",""10=reembolso"",""0,00000000000000000000"",""10=impuestos"",""0,00000000000000000000"",""10=gestion"",""0,105"&amp;"98700000000000000"",""10=franqueo"",""0,00000000000000000000"",""10=despacho"",""0,00000000000000000000"""</t>
  </si>
  <si>
    <t>="""SQL-NAVISION"","""",""SQL="",""14=Id_ Prefactura"",""PF26-00004176"",""2=Tipo documento"",""0"",""14=No_"",""PD260071472"",""14=No_ referencia transporte"",""INPOST220426.2"",""14=Familia pedido"","""",""15=Fecha confirmación SGA"",""23/04/2026"",""14=Nombre punto entrega"",""TIPSA BAD"&amp;"ALONA"",""14=Contacto punto entrega"",""HECTOR ALEJANDRO CARABAJAL"",""14=Dirección punto entrega"",""CARRER DE LA MAR JONICA, 5,LOCAL 14"",""14=C_P_ punto entrega"",""08918"",""14=Población punto entrega"",""BADALONA"",""14=Provincia punto entrega"",""Barcelona"",""14=País pu"&amp;"nto entrega"",""ES"",""10=bultosP"",""2,00000000000000000000"",""14=No_ documento cliente"",""INPOST220426.2"",""14=Cód_ Servicio solicitado Fact_"",""STD"",""10=bultosE"",""2,00000000000000000000"",""10=Peso facturable"",""36,00000000000000000000"",""14=Cód_ operativa"",""053"",""1"&amp;"4=Descripción"",""PRUEBA PILOTO INPOST"",""2=No_ línea"",""20000"",""14=No_ producto cliente"",""10-21-000643"",""14=Descripción ampliada"",""ROUTER ALC"",""10=Cantidad confirmada"",""5,00000000000000000000"",""2=numeroexpediciones"",""1"",""2=numeroalbaranes"",""1"",""10=manipulaci"&amp;"on"",""9,59233800000000000000"",""10=embalaje"",""1,30000000000000000000"",""10=transporte"",""12,35577900000000000000"",""10=prima"",""0,00000000000000000000"",""10=reembolso"",""0,00000000000000000000"",""10=impuestos"",""0,00000000000000000000"",""10=gestion"",""0,1059870000000"&amp;"0000000"",""10=franqueo"",""0,00000000000000000000"",""10=despacho"",""0,00000000000000000000"""</t>
  </si>
  <si>
    <t>="""SQL-NAVISION"","""",""SQL="",""14=Id_ Prefactura"",""PF26-00004176"",""2=Tipo documento"",""0"",""14=No_"",""PD260071472"",""14=No_ referencia transporte"",""INPOST220426.2"",""14=Familia pedido"","""",""15=Fecha confirmación SGA"",""23/04/2026"",""14=Nombre punto entrega"",""TIPSA BAD"&amp;"ALONA"",""14=Contacto punto entrega"",""HECTOR ALEJANDRO CARABAJAL"",""14=Dirección punto entrega"",""CARRER DE LA MAR JONICA, 5,LOCAL 14"",""14=C_P_ punto entrega"",""08918"",""14=Población punto entrega"",""BADALONA"",""14=Provincia punto entrega"",""Barcelona"",""14=País pu"&amp;"nto entrega"",""ES"",""10=bultosP"",""2,00000000000000000000"",""14=No_ documento cliente"",""INPOST220426.2"",""14=Cód_ Servicio solicitado Fact_"",""STD"",""10=bultosE"",""2,00000000000000000000"",""10=Peso facturable"",""36,00000000000000000000"",""14=Cód_ operativa"",""053"",""1"&amp;"4=Descripción"",""PRUEBA PILOTO INPOST"",""2=No_ línea"",""30000"",""14=No_ producto cliente"",""10-50-000666"",""14=Descripción ampliada"",""CERRADURAS DE LOCKER"",""10=Cantidad confirmada"",""5,00000000000000000000"",""2=numeroexpediciones"",""1"",""2=numeroalbaranes"",""1"",""10="&amp;"manipulacion"",""9,59233800000000000000"",""10=embalaje"",""1,30000000000000000000"",""10=transporte"",""12,35577900000000000000"",""10=prima"",""0,00000000000000000000"",""10=reembolso"",""0,00000000000000000000"",""10=impuestos"",""0,00000000000000000000"",""10=gestion"",""0,105"&amp;"98700000000000000"",""10=franqueo"",""0,00000000000000000000"",""10=despacho"",""0,00000000000000000000"""</t>
  </si>
  <si>
    <t>="""SQL-NAVISION"","""",""SQL="",""14=Id_ Prefactura"",""PF26-00004176"",""2=Tipo documento"",""0"",""14=No_"",""PD260071472"",""14=No_ referencia transporte"",""INPOST220426.2"",""14=Familia pedido"","""",""15=Fecha confirmación SGA"",""23/04/2026"",""14=Nombre punto entrega"",""TIPSA BAD"&amp;"ALONA"",""14=Contacto punto entrega"",""HECTOR ALEJANDRO CARABAJAL"",""14=Dirección punto entrega"",""CARRER DE LA MAR JONICA, 5,LOCAL 14"",""14=C_P_ punto entrega"",""08918"",""14=Población punto entrega"",""BADALONA"",""14=Provincia punto entrega"",""Barcelona"",""14=País pu"&amp;"nto entrega"",""ES"",""10=bultosP"",""2,00000000000000000000"",""14=No_ documento cliente"",""INPOST220426.2"",""14=Cód_ Servicio solicitado Fact_"",""STD"",""10=bultosE"",""2,00000000000000000000"",""10=Peso facturable"",""36,00000000000000000000"",""14=Cód_ operativa"",""053"",""1"&amp;"4=Descripción"",""PRUEBA PILOTO INPOST"",""2=No_ línea"",""40000"",""14=No_ producto cliente"",""10-51-000600"",""14=Descripción ampliada"",""CABLE CONVERTIDOR ESCANER"",""10=Cantidad confirmada"",""5,00000000000000000000"",""2=numeroexpediciones"",""1"",""2=numeroalbaranes"",""1"""&amp;",""10=manipulacion"",""9,59233800000000000000"",""10=embalaje"",""1,30000000000000000000"",""10=transporte"",""12,35577900000000000000"",""10=prima"",""0,00000000000000000000"",""10=reembolso"",""0,00000000000000000000"",""10=impuestos"",""0,00000000000000000000"",""10=gestion"","""&amp;"0,10598700000000000000"",""10=franqueo"",""0,00000000000000000000"",""10=despacho"",""0,00000000000000000000"""</t>
  </si>
  <si>
    <t>="""SQL-NAVISION"","""",""SQL="",""14=Id_ Prefactura"",""PF26-00004176"",""2=Tipo documento"",""0"",""14=No_"",""PD260071472"",""14=No_ referencia transporte"",""INPOST220426.2"",""14=Familia pedido"","""",""15=Fecha confirmación SGA"",""23/04/2026"",""14=Nombre punto entrega"",""TIPSA BAD"&amp;"ALONA"",""14=Contacto punto entrega"",""HECTOR ALEJANDRO CARABAJAL"",""14=Dirección punto entrega"",""CARRER DE LA MAR JONICA, 5,LOCAL 14"",""14=C_P_ punto entrega"",""08918"",""14=Población punto entrega"",""BADALONA"",""14=Provincia punto entrega"",""Barcelona"",""14=País pu"&amp;"nto entrega"",""ES"",""10=bultosP"",""2,00000000000000000000"",""14=No_ documento cliente"",""INPOST220426.2"",""14=Cód_ Servicio solicitado Fact_"",""STD"",""10=bultosE"",""2,00000000000000000000"",""10=Peso facturable"",""36,00000000000000000000"",""14=Cód_ operativa"",""053"",""1"&amp;"4=Descripción"",""PRUEBA PILOTO INPOST"",""2=No_ línea"",""50000"",""14=No_ producto cliente"",""10-80-000197"",""14=Descripción ampliada"",""ACTUATOR WITH MUSHER+PIN HOLDER"",""10=Cantidad confirmada"",""2,00000000000000000000"",""2=numeroexpediciones"",""1"",""2=numeroalbarane"&amp;"s"",""1"",""10=manipulacion"",""9,59233800000000000000"",""10=embalaje"",""1,30000000000000000000"",""10=transporte"",""12,35577900000000000000"",""10=prima"",""0,00000000000000000000"",""10=reembolso"",""0,00000000000000000000"",""10=impuestos"",""0,00000000000000000000"",""10=gest"&amp;"ion"",""0,10598700000000000000"",""10=franqueo"",""0,00000000000000000000"",""10=despacho"",""0,00000000000000000000"""</t>
  </si>
  <si>
    <t>="""SQL-NAVISION"","""",""SQL="",""14=Id_ Prefactura"",""PF26-00004176"",""2=Tipo documento"",""0"",""14=No_"",""PD260071472"",""14=No_ referencia transporte"",""INPOST220426.2"",""14=Familia pedido"","""",""15=Fecha confirmación SGA"",""23/04/2026"",""14=Nombre punto entrega"",""TIPSA BAD"&amp;"ALONA"",""14=Contacto punto entrega"",""HECTOR ALEJANDRO CARABAJAL"",""14=Dirección punto entrega"",""CARRER DE LA MAR JONICA, 5,LOCAL 14"",""14=C_P_ punto entrega"",""08918"",""14=Población punto entrega"",""BADALONA"",""14=Provincia punto entrega"",""Barcelona"",""14=País pu"&amp;"nto entrega"",""ES"",""10=bultosP"",""2,00000000000000000000"",""14=No_ documento cliente"",""INPOST220426.2"",""14=Cód_ Servicio solicitado Fact_"",""STD"",""10=bultosE"",""2,00000000000000000000"",""10=Peso facturable"",""36,00000000000000000000"",""14=Cód_ operativa"",""053"",""1"&amp;"4=Descripción"",""PRUEBA PILOTO INPOST"",""2=No_ línea"",""60000"",""14=No_ producto cliente"",""KIT-PC-USB"",""14=Descripción ampliada"",""KIT PC COMPACTO Y HDMI PC"",""10=Cantidad confirmada"",""2,00000000000000000000"",""2=numeroexpediciones"",""1"",""2=numeroalbaranes"",""1"","""&amp;"10=manipulacion"",""9,59233800000000000000"",""10=embalaje"",""1,30000000000000000000"",""10=transporte"",""12,35577900000000000000"",""10=prima"",""0,00000000000000000000"",""10=reembolso"",""0,00000000000000000000"",""10=impuestos"",""0,00000000000000000000"",""10=gestion"",""0,"&amp;"10598700000000000000"",""10=franqueo"",""0,00000000000000000000"",""10=despacho"",""0,00000000000000000000"""</t>
  </si>
  <si>
    <t>="""SQL-NAVISION"","""",""SQL="",""14=Id_ Prefactura"",""PF26-00004176"",""2=Tipo documento"",""0"",""14=No_"",""PD260071472"",""14=No_ referencia transporte"",""INPOST220426.2"",""14=Familia pedido"","""",""15=Fecha confirmación SGA"",""23/04/2026"",""14=Nombre punto entrega"",""TIPSA BAD"&amp;"ALONA"",""14=Contacto punto entrega"",""HECTOR ALEJANDRO CARABAJAL"",""14=Dirección punto entrega"",""CARRER DE LA MAR JONICA, 5,LOCAL 14"",""14=C_P_ punto entrega"",""08918"",""14=Población punto entrega"",""BADALONA"",""14=Provincia punto entrega"",""Barcelona"",""14=País pu"&amp;"nto entrega"",""ES"",""10=bultosP"",""2,00000000000000000000"",""14=No_ documento cliente"",""INPOST220426.2"",""14=Cód_ Servicio solicitado Fact_"",""STD"",""10=bultosE"",""2,00000000000000000000"",""10=Peso facturable"",""36,00000000000000000000"",""14=Cód_ operativa"",""053"",""1"&amp;"4=Descripción"",""PRUEBA PILOTO INPOST"",""2=No_ línea"",""70000"",""14=No_ producto cliente"",""10-21-000927"",""14=Descripción ampliada"",""ANTENA INDOOR MAGNETICA DE 10.5 M."",""10=Cantidad confirmada"",""2,00000000000000000000"",""2=numeroexpediciones"",""1"",""2=numeroalbar"&amp;"anes"",""1"",""10=manipulacion"",""9,59233800000000000000"",""10=embalaje"",""1,30000000000000000000"",""10=transporte"",""12,35577900000000000000"",""10=prima"",""0,00000000000000000000"",""10=reembolso"",""0,00000000000000000000"",""10=impuestos"",""0,00000000000000000000"",""10=g"&amp;"estion"",""0,10598700000000000000"",""10=franqueo"",""0,00000000000000000000"",""10=despacho"",""0,00000000000000000000"""</t>
  </si>
  <si>
    <t>="""SQL-NAVISION"","""",""SQL="",""14=Id_ Prefactura"",""PF26-00004176"",""2=Tipo documento"",""0"",""14=No_"",""PD260071472"",""14=No_ referencia transporte"",""INPOST220426.2"",""14=Familia pedido"","""",""15=Fecha confirmación SGA"",""23/04/2026"",""14=Nombre punto entrega"",""TIPSA BAD"&amp;"ALONA"",""14=Contacto punto entrega"",""HECTOR ALEJANDRO CARABAJAL"",""14=Dirección punto entrega"",""CARRER DE LA MAR JONICA, 5,LOCAL 14"",""14=C_P_ punto entrega"",""08918"",""14=Población punto entrega"",""BADALONA"",""14=Provincia punto entrega"",""Barcelona"",""14=País pu"&amp;"nto entrega"",""ES"",""10=bultosP"",""2,00000000000000000000"",""14=No_ documento cliente"",""INPOST220426.2"",""14=Cód_ Servicio solicitado Fact_"",""STD"",""10=bultosE"",""2,00000000000000000000"",""10=Peso facturable"",""36,00000000000000000000"",""14=Cód_ operativa"",""053"",""1"&amp;"4=Descripción"",""PRUEBA PILOTO INPOST"",""2=No_ línea"",""80000"",""14=No_ producto cliente"",""10-21-000944"",""14=Descripción ampliada"",""ESCANER NEWLAND"",""10=Cantidad confirmada"",""5,00000000000000000000"",""2=numeroexpediciones"",""1"",""2=numeroalbaranes"",""1"",""10=manip"&amp;"ulacion"",""9,59233800000000000000"",""10=embalaje"",""1,30000000000000000000"",""10=transporte"",""12,35577900000000000000"",""10=prima"",""0,00000000000000000000"",""10=reembolso"",""0,00000000000000000000"",""10=impuestos"",""0,00000000000000000000"",""10=gestion"",""0,10598700"&amp;"000000000000"",""10=franqueo"",""0,00000000000000000000"",""10=despacho"",""0,00000000000000000000"""</t>
  </si>
  <si>
    <t>="""SQL-NAVISION"","""",""SQL="",""14=Id_ Prefactura"",""PF26-00004176"",""2=Tipo documento"",""0"",""14=No_"",""PD260071472"",""14=No_ referencia transporte"",""INPOST220426.2"",""14=Familia pedido"","""",""15=Fecha confirmación SGA"",""23/04/2026"",""14=Nombre punto entrega"",""TIPSA BAD"&amp;"ALONA"",""14=Contacto punto entrega"",""HECTOR ALEJANDRO CARABAJAL"",""14=Dirección punto entrega"",""CARRER DE LA MAR JONICA, 5,LOCAL 14"",""14=C_P_ punto entrega"",""08918"",""14=Población punto entrega"",""BADALONA"",""14=Provincia punto entrega"",""Barcelona"",""14=País pu"&amp;"nto entrega"",""ES"",""10=bultosP"",""2,00000000000000000000"",""14=No_ documento cliente"",""INPOST220426.2"",""14=Cód_ Servicio solicitado Fact_"",""STD"",""10=bultosE"",""2,00000000000000000000"",""10=Peso facturable"",""36,00000000000000000000"",""14=Cód_ operativa"",""053"",""1"&amp;"4=Descripción"",""PRUEBA PILOTO INPOST"",""2=No_ línea"",""90000"",""14=No_ producto cliente"",""10-21-000666"",""14=Descripción ampliada"",""CÁMARA DE SEGURIDAD - INDOOR LOCKER"",""10=Cantidad confirmada"",""2,00000000000000000000"",""2=numeroexpediciones"",""1"",""2=numeroalba"&amp;"ranes"",""1"",""10=manipulacion"",""9,59233800000000000000"",""10=embalaje"",""1,30000000000000000000"",""10=transporte"",""12,35577900000000000000"",""10=prima"",""0,00000000000000000000"",""10=reembolso"",""0,00000000000000000000"",""10=impuestos"",""0,00000000000000000000"",""10="&amp;"gestion"",""0,10598700000000000000"",""10=franqueo"",""0,00000000000000000000"",""10=despacho"",""0,00000000000000000000"""</t>
  </si>
  <si>
    <t>="""SQL-NAVISION"","""",""SQL="",""14=Id_ Prefactura"",""PF26-00004176"",""2=Tipo documento"",""0"",""14=No_"",""PD260071472"",""14=No_ referencia transporte"",""INPOST220426.2"",""14=Familia pedido"","""",""15=Fecha confirmación SGA"",""23/04/2026"",""14=Nombre punto entrega"",""TIPSA BAD"&amp;"ALONA"",""14=Contacto punto entrega"",""HECTOR ALEJANDRO CARABAJAL"",""14=Dirección punto entrega"",""CARRER DE LA MAR JONICA, 5,LOCAL 14"",""14=C_P_ punto entrega"",""08918"",""14=Población punto entrega"",""BADALONA"",""14=Provincia punto entrega"",""Barcelona"",""14=País pu"&amp;"nto entrega"",""ES"",""10=bultosP"",""2,00000000000000000000"",""14=No_ documento cliente"",""INPOST220426.2"",""14=Cód_ Servicio solicitado Fact_"",""STD"",""10=bultosE"",""2,00000000000000000000"",""10=Peso facturable"",""36,00000000000000000000"",""14=Cód_ operativa"",""053"",""1"&amp;"4=Descripción"",""PRUEBA PILOTO INPOST"",""2=No_ línea"",""100000"",""14=No_ producto cliente"",""10-21-000637"",""14=Descripción ampliada"",""BATERIA 12V."",""10=Cantidad confirmada"",""1,00000000000000000000"",""2=numeroexpediciones"",""1"",""2=numeroalbaranes"",""1"",""10=manipul"&amp;"acion"",""9,59233800000000000000"",""10=embalaje"",""1,30000000000000000000"",""10=transporte"",""12,35577900000000000000"",""10=prima"",""0,00000000000000000000"",""10=reembolso"",""0,00000000000000000000"",""10=impuestos"",""0,00000000000000000000"",""10=gestion"",""0,1059870000"&amp;"0000000000"",""10=franqueo"",""0,00000000000000000000"",""10=despacho"",""0,00000000000000000000"""</t>
  </si>
  <si>
    <t>="""SQL-NAVISION"","""",""SQL="",""14=Id_ Prefactura"",""PF26-00004176"",""2=Tipo documento"",""0"",""14=No_"",""PD260075039"",""14=No_ referencia transporte"",""X26023588"",""14=Familia pedido"","""",""15=Fecha confirmación SGA"",""28/04/2026"",""14=Nombre punto entrega"",""Adrián Alvarez"&amp;" Estopiña"",""14=Contacto punto entrega"",""Adrián Alvarez Estopiña"",""14=Dirección punto entrega"",""carrer pintor segrelles 1 puerta 1A "",""14=C_P_ punto entrega"",""46460"",""14=Población punto entrega"",""Silla"",""14=Provincia punto entrega"",""Valencia"",""14=País punt"&amp;"o entrega"",""ES"",""10=bultosP"",""2,00000000000000000000"",""14=No_ documento cliente"",""INPOST280426.1"",""14=Cód_ Servicio solicitado Fact_"",""STD"",""10=bultosE"",""2,00000000000000000000"",""10=Peso facturable"",""11,00000000000000000000"",""14=Cód_ operativa"",""053"",""14="&amp;"Descripción"",""PRUEBA PILOTO INPOST"",""2=No_ línea"",""10000"",""14=No_ producto cliente"",""11-50-000520"",""14=Descripción ampliada"",""PUERTA INDOOR - MEDIANA - DERECHA"",""10=Cantidad confirmada"",""1,00000000000000000000"",""2=numeroexpediciones"",""1"",""2=numeroalbarane"&amp;"s"",""1"",""10=manipulacion"",""4,46174400000000000000"",""10=embalaje"",""1,80000000000000000000"",""10=transporte"",""7,78077200000000000000"",""10=prima"",""0,00000000000000000000"",""10=reembolso"",""0,00000000000000000000"",""10=impuestos"",""0,00000000000000000000"",""10=gesti"&amp;"on"",""0,10598700000000000000"",""10=franqueo"",""0,00000000000000000000"",""10=despacho"",""0,00000000000000000000"""</t>
  </si>
  <si>
    <t>="""SQL-NAVISION"","""",""SQL="",""14=Id_ Prefactura"",""PF26-00004176"",""2=Tipo documento"",""0"",""14=No_"",""PD260075039"",""14=No_ referencia transporte"",""X26023588"",""14=Familia pedido"","""",""15=Fecha confirmación SGA"",""28/04/2026"",""14=Nombre punto entrega"",""Adrián Alvarez"&amp;" Estopiña"",""14=Contacto punto entrega"",""Adrián Alvarez Estopiña"",""14=Dirección punto entrega"",""carrer pintor segrelles 1 puerta 1A "",""14=C_P_ punto entrega"",""46460"",""14=Población punto entrega"",""Silla"",""14=Provincia punto entrega"",""Valencia"",""14=País punt"&amp;"o entrega"",""ES"",""10=bultosP"",""2,00000000000000000000"",""14=No_ documento cliente"",""INPOST280426.1"",""14=Cód_ Servicio solicitado Fact_"",""STD"",""10=bultosE"",""2,00000000000000000000"",""10=Peso facturable"",""11,00000000000000000000"",""14=Cód_ operativa"",""053"",""14="&amp;"Descripción"",""PRUEBA PILOTO INPOST"",""2=No_ línea"",""20000"",""14=No_ producto cliente"",""10-21-000869"",""14=Descripción ampliada"",""FUENTE DE ALIMENTACIàN COMPLETA"",""10=Cantidad confirmada"",""1,00000000000000000000"",""2=numeroexpediciones"",""1"",""2=numeroalbaranes"""&amp;",""1"",""10=manipulacion"",""4,46174400000000000000"",""10=embalaje"",""1,80000000000000000000"",""10=transporte"",""7,78077200000000000000"",""10=prima"",""0,00000000000000000000"",""10=reembolso"",""0,00000000000000000000"",""10=impuestos"",""0,00000000000000000000"",""10=gestion"&amp;""",""0,10598700000000000000"",""10=franqueo"",""0,00000000000000000000"",""10=despacho"",""0,00000000000000000000"""</t>
  </si>
  <si>
    <t>="""SQL-NAVISION"","""",""SQL="",""14=Id_ Prefactura"",""PF26-00004176"",""2=Tipo documento"",""0"",""14=No_"",""PD260075039"",""14=No_ referencia transporte"",""X26023588"",""14=Familia pedido"","""",""15=Fecha confirmación SGA"",""28/04/2026"",""14=Nombre punto entrega"",""Adrián Alvarez"&amp;" Estopiña"",""14=Contacto punto entrega"",""Adrián Alvarez Estopiña"",""14=Dirección punto entrega"",""carrer pintor segrelles 1 puerta 1A "",""14=C_P_ punto entrega"",""46460"",""14=Población punto entrega"",""Silla"",""14=Provincia punto entrega"",""Valencia"",""14=País punt"&amp;"o entrega"",""ES"",""10=bultosP"",""2,00000000000000000000"",""14=No_ documento cliente"",""INPOST280426.1"",""14=Cód_ Servicio solicitado Fact_"",""STD"",""10=bultosE"",""2,00000000000000000000"",""10=Peso facturable"",""11,00000000000000000000"",""14=Cód_ operativa"",""053"",""14="&amp;"Descripción"",""PRUEBA PILOTO INPOST"",""2=No_ línea"",""30000"",""14=No_ producto cliente"",""10-21-000640"",""14=Descripción ampliada"",""SENSOR DE LUZ - T2"",""10=Cantidad confirmada"",""1,00000000000000000000"",""2=numeroexpediciones"",""1"",""2=numeroalbaranes"",""1"",""10=mani"&amp;"pulacion"",""4,46174400000000000000"",""10=embalaje"",""1,80000000000000000000"",""10=transporte"",""7,78077200000000000000"",""10=prima"",""0,00000000000000000000"",""10=reembolso"",""0,00000000000000000000"",""10=impuestos"",""0,00000000000000000000"",""10=gestion"",""0,10598700"&amp;"000000000000"",""10=franqueo"",""0,00000000000000000000"",""10=despacho"",""0,00000000000000000000"""</t>
  </si>
  <si>
    <t>="""SQL-NAVISION"","""",""SQL="",""14=Id_ Prefactura"",""PF26-00004176"",""2=Tipo documento"",""0"",""14=No_"",""PD260075039"",""14=No_ referencia transporte"",""X26023588"",""14=Familia pedido"","""",""15=Fecha confirmación SGA"",""28/04/2026"",""14=Nombre punto entrega"",""Adrián Alvarez"&amp;" Estopiña"",""14=Contacto punto entrega"",""Adrián Alvarez Estopiña"",""14=Dirección punto entrega"",""carrer pintor segrelles 1 puerta 1A "",""14=C_P_ punto entrega"",""46460"",""14=Población punto entrega"",""Silla"",""14=Provincia punto entrega"",""Valencia"",""14=País punt"&amp;"o entrega"",""ES"",""10=bultosP"",""2,00000000000000000000"",""14=No_ documento cliente"",""INPOST280426.1"",""14=Cód_ Servicio solicitado Fact_"",""STD"",""10=bultosE"",""2,00000000000000000000"",""10=Peso facturable"",""11,00000000000000000000"",""14=Cód_ operativa"",""053"",""14="&amp;"Descripción"",""PRUEBA PILOTO INPOST"",""2=No_ línea"",""40000"",""14=No_ producto cliente"",""KIT CAPACITIVO"",""14=Descripción ampliada"",""MONITOR CAPACITIVO + USB + CONECTOR (1095) + SELLANTE + SENSOR"",""10=Cantidad confirmada"",""1,00000000000000000000"",""2=numeroexpe"&amp;"diciones"",""1"",""2=numeroalbaranes"",""1"",""10=manipulacion"",""4,46174400000000000000"",""10=embalaje"",""1,80000000000000000000"",""10=transporte"",""7,78077200000000000000"",""10=prima"",""0,00000000000000000000"",""10=reembolso"",""0,00000000000000000000"",""10=impuestos"",""0,"&amp;"00000000000000000000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</si>
  <si>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documento"",""0"",""14=No_"",""PD260075040"",""14=No_ referencia transporte"",""INPOST280426.2"",""14=Familia pedido"","""",""15=Fecha confirmación SGA"",""28/04/2026"",""14=Nombre punto entrega"",""Carlos Jo"&amp;"sé Carrasco"",""14=Contacto punto entrega"",""Carlos José Carrasco"",""14=Dirección punto entrega"",""Francisco Salzillo 7, pt 5, 4ºA "",""14=C_P_ punto entrega"",""28850"",""14=Población punto entrega"",""Torrejón de Ardoz 28"",""14=Provincia punto entrega"",""Madrid"",""14=P"&amp;"aís punto entrega"",""ES"",""10=bultosP"",""1,00000000000000000000"",""14=No_ documento cliente"",""INPOST280426.2"",""14=Cód_ Servicio solicitado Fact_"",""STD"",""10=bultosE"",""1,00000000000000000000"",""10=Peso facturable"",""46,00000000000000000000"",""14=Cód_ operativa"",""0"&amp;"53"",""14=Descripción"",""PRUEBA PILOTO INPOST"",""2=No_ línea"",""10000"",""14=No_ producto cliente"",""KIT CAPACITIVO"",""14=Descripción ampliada"",""MONITOR CAPACITIVO + USB + CONECTOR (1095) + SELLANTE + SENSOR"",""10=Cantidad confirmada"",""1,00000000000000000000"",""2=nu"&amp;"meroexpediciones"",""1"",""2=numeroalbaranes"",""1"",""10=manipulacion"",""8,35136400000000000000"",""10=embalaje"",""2,47000000000000000000"",""10=transporte"",""20,40822600000000000000"",""10=prima"",""0,00000000000000000000"",""10=reembolso"",""0,00000000000000000000"",""10=impue"&amp;"stos"",""0,00000000000000000000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</si>
  <si>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documento"",""0"",""14=No_"",""PD260075040"",""14=No_ referencia transporte"",""INPOST280426.2"",""14=Familia pedido"","""",""15=Fecha confirmación SGA"",""28/04/2026"",""14=Nombre punto entrega"",""Carlos Jo"&amp;"sé Carrasco"",""14=Contacto punto entrega"",""Carlos José Carrasco"",""14=Dirección punto entrega"",""Francisco Salzillo 7, pt 5, 4ºA "",""14=C_P_ punto entrega"",""28850"",""14=Población punto entrega"",""Torrejón de Ardoz 28"",""14=Provincia punto entrega"",""Madrid"",""14=P"&amp;"aís punto entrega"",""ES"",""10=bultosP"",""1,00000000000000000000"",""14=No_ documento cliente"",""INPOST280426.2"",""14=Cód_ Servicio solicitado Fact_"",""STD"",""10=bultosE"",""1,00000000000000000000"",""10=Peso facturable"",""46,00000000000000000000"",""14=Cód_ operativa"",""0"&amp;"53"",""14=Descripción"",""PRUEBA PILOTO INPOST"",""2=No_ línea"",""20000"",""14=No_ producto cliente"",""11-50-000521"",""14=Descripción ampliada"",""PUERTA INDOOR - GRANDE - DERECHA"",""10=Cantidad confirmada"",""1,00000000000000000000"",""2=numeroexpediciones"",""1"",""2=numeroa"&amp;"lbaranes"",""1"",""10=manipulacion"",""8,35136400000000000000"",""10=embalaje"",""2,47000000000000000000"",""10=transporte"",""20,40822600000000000000"",""10=prima"",""0,00000000000000000000"",""10=reembolso"",""0,00000000000000000000"",""10=impuestos"",""0,00000000000000000000"","""&amp;"10=gestion"",""0,10598700000000000000"",""10=franqueo"",""0,00000000000000000000"",""10=despacho"",""0,00000000000000000000"""</t>
  </si>
  <si>
    <t>="""SQL-NAVISION"","""",""SQL="",""14=Id_ Prefactura"",""PF26-00004176"",""2=Tipo documento"",""0"",""14=No_"",""PD260075040"",""14=No_ referencia transporte"",""INPOST280426.2"",""14=Familia pedido"","""",""15=Fecha confirmación SGA"",""28/04/2026"",""14=Nombre punto entrega"",""Carlos Jo"&amp;"sé Carrasco"",""14=Contacto punto entrega"",""Carlos José Carrasco"",""14=Dirección punto entrega"",""Francisco Salzillo 7, pt 5, 4ºA "",""14=C_P_ punto entrega"",""28850"",""14=Población punto entrega"",""Torrejón de Ardoz 28"",""14=Provincia punto entrega"",""Madrid"",""14=P"&amp;"aís punto entrega"",""ES"",""10=bultosP"",""1,00000000000000000000"",""14=No_ documento cliente"",""INPOST280426.2"",""14=Cód_ Servicio solicitado Fact_"",""STD"",""10=bultosE"",""1,00000000000000000000"",""10=Peso facturable"",""46,00000000000000000000"",""14=Cód_ operativa"",""0"&amp;"53"",""14=Descripción"",""PRUEBA PILOTO INPOST"",""2=No_ línea"",""30000"",""14=No_ producto cliente"",""10-21-000629"",""14=Descripción ampliada"",""PCB BOXLOCK300 VER 1.2. PLATE FOR"",""10=Cantidad confirmada"",""4,00000000000000000000"",""2=numeroexpediciones"",""1"",""2=numero"&amp;"albaranes"",""1"",""10=manipulacion"",""8,35136400000000000000"",""10=embalaje"",""2,47000000000000000000"",""10=transporte"",""20,40822600000000000000"",""10=prima"",""0,00000000000000000000"",""10=reembolso"",""0,00000000000000000000"",""10=impuestos"",""0,00000000000000000000"","&amp;"""10=gestion"",""0,10598700000000000000"",""10=franqueo"",""0,00000000000000000000"",""10=despacho"",""0,00000000000000000000"""</t>
  </si>
  <si>
    <t>="""SQL-NAVISION"","""",""SQL="",""14=Id_ Prefactura"",""PF26-00004176"",""2=Tipo documento"",""0"",""14=No_"",""PD260075040"",""14=No_ referencia transporte"",""INPOST280426.2"",""14=Familia pedido"","""",""15=Fecha confirmación SGA"",""28/04/2026"",""14=Nombre punto entrega"",""Carlos Jo"&amp;"sé Carrasco"",""14=Contacto punto entrega"",""Carlos José Carrasco"",""14=Dirección punto entrega"",""Francisco Salzillo 7, pt 5, 4ºA "",""14=C_P_ punto entrega"",""28850"",""14=Población punto entrega"",""Torrejón de Ardoz 28"",""14=Provincia punto entrega"",""Madrid"",""14=P"&amp;"aís punto entrega"",""ES"",""10=bultosP"",""1,00000000000000000000"",""14=No_ documento cliente"",""INPOST280426.2"",""14=Cód_ Servicio solicitado Fact_"",""STD"",""10=bultosE"",""1,00000000000000000000"",""10=Peso facturable"",""46,00000000000000000000"",""14=Cód_ operativa"",""0"&amp;"53"",""14=Descripción"",""PRUEBA PILOTO INPOST"",""2=No_ línea"",""40000"",""14=No_ producto cliente"",""10-20-000064"",""14=Descripción ampliada"",""ACTUADOR CERRADURAS"",""10=Cantidad confirmada"",""40,00000000000000000000"",""2=numeroexpediciones"",""1"",""2=numeroalbaranes"",""1"&amp;""",""10=manipulacion"",""8,35136400000000000000"",""10=embalaje"",""2,47000000000000000000"",""10=transporte"",""20,40822600000000000000"",""10=prima"",""0,00000000000000000000"",""10=reembolso"",""0,00000000000000000000"",""10=impuestos"",""0,00000000000000000000"",""10=gestion"","&amp;"""0,10598700000000000000"",""10=franqueo"",""0,00000000000000000000"",""10=despacho"",""0,00000000000000000000"""</t>
  </si>
  <si>
    <t>="""SQL-NAVISION"","""",""SQL="",""14=Id_ Prefactura"",""PF26-00004176"",""2=Tipo documento"",""0"",""14=No_"",""PD260075041"",""14=No_ referencia transporte"",""INPOST280426.3"",""14=Familia pedido"","""",""15=Fecha confirmación SGA"",""28/04/2026"",""14=Nombre punto entrega"",""Javier Co"&amp;"rtegoso Torres"",""14=Contacto punto entrega"",""Javier Cortegoso Torres"",""14=Dirección punto entrega"",""Plaza España 3-4 8i"",""14=C_P_ punto entrega"",""15403"",""14=Población punto entrega"",""Ferrol"",""14=Provincia punto entrega"",""A Coruña"",""14=País punto entrega"","&amp;"""ES"",""10=bultosP"",""1,00000000000000000000"",""14=No_ documento cliente"",""INPOST280426.3"",""14=Cód_ Servicio solicitado Fact_"",""STD"",""10=bultosE"",""1,00000000000000000000"",""10=Peso facturable"",""29,00000000000000000000"",""14=Cód_ operativa"",""053"",""14=Descripción"&amp;""",""PRUEBA PILOTO INPOST"",""2=No_ línea"",""10000"",""14=No_ producto cliente"",""11-50-000521"",""14=Descripción ampliada"",""PUERTA INDOOR - GRANDE - DERECHA"",""10=Cantidad confirmada"",""1,00000000000000000000"",""2=numeroexpediciones"",""1"",""2=numeroalbaranes"",""1"",""10=m"&amp;"anipulacion"",""8,03031600000000000000"",""10=embalaje"",""2,12000000000000000000"",""10=transporte"",""11,26907900000000000000"",""10=prima"",""0,00000000000000000000"",""10=reembolso"",""0,00000000000000000000"",""10=impuestos"",""0,00000000000000000000"",""10=gestion"",""0,1059"&amp;"8700000000000000"",""10=franqueo"",""0,00000000000000000000"",""10=despacho"",""0,00000000000000000000"""</t>
  </si>
  <si>
    <t>="""SQL-NAVISION"","""",""SQL="",""14=Id_ Prefactura"",""PF26-00004176"",""2=Tipo documento"",""0"",""14=No_"",""PD260075041"",""14=No_ referencia transporte"",""INPOST280426.3"",""14=Familia pedido"","""",""15=Fecha confirmación SGA"",""28/04/2026"",""14=Nombre punto entrega"",""Javier Co"&amp;"rtegoso Torres"",""14=Contacto punto entrega"",""Javier Cortegoso Torres"",""14=Dirección punto entrega"",""Plaza España 3-4 8i"",""14=C_P_ punto entrega"",""15403"",""14=Población punto entrega"",""Ferrol"",""14=Provincia punto entrega"",""A Coruña"",""14=País punto entrega"","&amp;"""ES"",""10=bultosP"",""1,00000000000000000000"",""14=No_ documento cliente"",""INPOST280426.3"",""14=Cód_ Servicio solicitado Fact_"",""STD"",""10=bultosE"",""1,00000000000000000000"",""10=Peso facturable"",""29,00000000000000000000"",""14=Cód_ operativa"",""053"",""14=Descripción"&amp;""",""PRUEBA PILOTO INPOST"",""2=No_ línea"",""20000"",""14=No_ producto cliente"",""10-20-000064"",""14=Descripción ampliada"",""ACTUADOR CERRADURAS"",""10=Cantidad confirmada"",""20,00000000000000000000"",""2=numeroexpediciones"",""1"",""2=numeroalbaranes"",""1"",""10=manipulacion"""&amp;",""8,03031600000000000000"",""10=embalaje"",""2,12000000000000000000"",""10=transporte"",""11,26907900000000000000"",""10=prima"",""0,00000000000000000000"",""10=reembolso"",""0,00000000000000000000"",""10=impuestos"",""0,00000000000000000000"",""10=gestion"",""0,1059870000000000"&amp;"0000"",""10=franqueo"",""0,00000000000000000000"",""10=despacho"",""0,00000000000000000000"""</t>
  </si>
  <si>
    <t>="""SQL-NAVISION"","""",""SQL="",""14=Id_ Prefactura"",""PF26-00004176"",""2=Tipo documento"",""0"",""14=No_"",""PD260075041"",""14=No_ referencia transporte"",""INPOST280426.3"",""14=Familia pedido"","""",""15=Fecha confirmación SGA"",""28/04/2026"",""14=Nombre punto entrega"",""Javier Co"&amp;"rtegoso Torres"",""14=Contacto punto entrega"",""Javier Cortegoso Torres"",""14=Dirección punto entrega"",""Plaza España 3-4 8i"",""14=C_P_ punto entrega"",""15403"",""14=Población punto entrega"",""Ferrol"",""14=Provincia punto entrega"",""A Coruña"",""14=País punto entrega"","&amp;"""ES"",""10=bultosP"",""1,00000000000000000000"",""14=No_ documento cliente"",""INPOST280426.3"",""14=Cód_ Servicio solicitado Fact_"",""STD"",""10=bultosE"",""1,00000000000000000000"",""10=Peso facturable"",""29,00000000000000000000"",""14=Cód_ operativa"",""053"",""14=Descripción"&amp;""",""PRUEBA PILOTO INPOST"",""2=No_ línea"",""30000"",""14=No_ producto cliente"",""KIT-PC-USB"",""14=Descripción ampliada"",""KIT PC COMPACTO Y HDMI PC"",""10=Cantidad confirmada"",""1,00000000000000000000"",""2=numeroexpediciones"",""1"",""2=numeroalbaranes"",""1"",""10=manipulaci"&amp;"on"",""8,03031600000000000000"",""10=embalaje"",""2,12000000000000000000"",""10=transporte"",""11,26907900000000000000"",""10=prima"",""0,00000000000000000000"",""10=reembolso"",""0,00000000000000000000"",""10=impuestos"",""0,00000000000000000000"",""10=gestion"",""0,1059870000000"&amp;"0000000"",""10=franqueo"",""0,00000000000000000000"",""10=despacho"",""0,00000000000000000000"""</t>
  </si>
  <si>
    <t>="""SQL-NAVISION"","""",""SQL="",""14=Id_ Prefactura"",""PF26-00004176"",""2=Tipo documento"",""0"",""14=No_"",""PD260075041"",""14=No_ referencia transporte"",""INPOST280426.3"",""14=Familia pedido"","""",""15=Fecha confirmación SGA"",""28/04/2026"",""14=Nombre punto entrega"",""Javier Co"&amp;"rtegoso Torres"",""14=Contacto punto entrega"",""Javier Cortegoso Torres"",""14=Dirección punto entrega"",""Plaza España 3-4 8i"",""14=C_P_ punto entrega"",""15403"",""14=Población punto entrega"",""Ferrol"",""14=Provincia punto entrega"",""A Coruña"",""14=País punto entrega"","&amp;"""ES"",""10=bultosP"",""1,00000000000000000000"",""14=No_ documento cliente"",""INPOST280426.3"",""14=Cód_ Servicio solicitado Fact_"",""STD"",""10=bultosE"",""1,00000000000000000000"",""10=Peso facturable"",""29,00000000000000000000"",""14=Cód_ operativa"",""053"",""14=Descripción"&amp;""",""PRUEBA PILOTO INPOST"",""2=No_ línea"",""40000"",""14=No_ producto cliente"",""11-50-000396"",""14=Descripción ampliada"",""DOOR XS"",""10=Cantidad confirmada"",""2,00000000000000000000"",""2=numeroexpediciones"",""1"",""2=numeroalbaranes"",""1"",""10=manipulacion"",""8,030316000"&amp;"00000000000"",""10=embalaje"",""2,12000000000000000000"",""10=transporte"",""11,26907900000000000000"",""10=prima"",""0,00000000000000000000"",""10=reembolso"",""0,00000000000000000000"",""10=impuestos"",""0,00000000000000000000"",""10=gestion"",""0,10598700000000000000"",""10=fra"&amp;"nqueo"",""0,00000000000000000000"",""10=despacho"",""0,00000000000000000000"""</t>
  </si>
  <si>
    <t>="""SQL-NAVISION"","""",""SQL="",""14=Id_ Prefactura"",""PF26-00004176"",""2=Tipo documento"",""0"",""14=No_"",""PD260075041"",""14=No_ referencia transporte"",""INPOST280426.3"",""14=Familia pedido"","""",""15=Fecha confirmación SGA"",""28/04/2026"",""14=Nombre punto entrega"",""Javier Co"&amp;"rtegoso Torres"",""14=Contacto punto entrega"",""Javier Cortegoso Torres"",""14=Dirección punto entrega"",""Plaza España 3-4 8i"",""14=C_P_ punto entrega"",""15403"",""14=Población punto entrega"",""Ferrol"",""14=Provincia punto entrega"",""A Coruña"",""14=País punto entrega"","&amp;"""ES"",""10=bultosP"",""1,00000000000000000000"",""14=No_ documento cliente"",""INPOST280426.3"",""14=Cód_ Servicio solicitado Fact_"",""STD"",""10=bultosE"",""1,00000000000000000000"",""10=Peso facturable"",""29,00000000000000000000"",""14=Cód_ operativa"",""053"",""14=Descripción"&amp;""",""PRUEBA PILOTO INPOST"",""2=No_ línea"",""50000"",""14=No_ producto cliente"",""10-80-000197"",""14=Descripción ampliada"",""ACTUATOR WITH MUSHER+PIN HOLDER"",""10=Cantidad confirmada"",""5,00000000000000000000"",""2=numeroexpediciones"",""1"",""2=numeroalbaranes"",""1"",""10=ma"&amp;"nipulacion"",""8,03031600000000000000"",""10=embalaje"",""2,12000000000000000000"",""10=transporte"",""11,26907900000000000000"",""10=prima"",""0,00000000000000000000"",""10=reembolso"",""0,00000000000000000000"",""10=impuestos"",""0,00000000000000000000"",""10=gestion"",""0,10598"&amp;"700000000000000"",""10=franqueo"",""0,00000000000000000000"",""10=despacho"",""0,00000000000000000000"""</t>
  </si>
  <si>
    <t>="""SQL-NAVISION"","""",""SQL="",""14=Id_ Prefactura"",""PF26-00004176"",""2=Tipo documento"",""0"",""14=No_"",""PD260075041"",""14=No_ referencia transporte"",""INPOST280426.3"",""14=Familia pedido"","""",""15=Fecha confirmación SGA"",""28/04/2026"",""14=Nombre punto entrega"",""Javier Co"&amp;"rtegoso Torres"",""14=Contacto punto entrega"",""Javier Cortegoso Torres"",""14=Dirección punto entrega"",""Plaza España 3-4 8i"",""14=C_P_ punto entrega"",""15403"",""14=Población punto entrega"",""Ferrol"",""14=Provincia punto entrega"",""A Coruña"",""14=País punto entrega"","&amp;"""ES"",""10=bultosP"",""1,00000000000000000000"",""14=No_ documento cliente"",""INPOST280426.3"",""14=Cód_ Servicio solicitado Fact_"",""STD"",""10=bultosE"",""1,00000000000000000000"",""10=Peso facturable"",""29,00000000000000000000"",""14=Cód_ operativa"",""053"",""14=Descripción"&amp;""",""PRUEBA PILOTO INPOST"",""2=No_ línea"",""60000"",""14=No_ producto cliente"",""10-50-000666"",""14=Descripción ampliada"",""CERRADURAS DE LOCKER"",""10=Cantidad confirmada"",""10,00000000000000000000"",""2=numeroexpediciones"",""1"",""2=numeroalbaranes"",""1"",""10=manipulacion"&amp;""",""8,03031600000000000000"",""10=embalaje"",""2,12000000000000000000"",""10=transporte"",""11,26907900000000000000"",""10=prima"",""0,00000000000000000000"",""10=reembolso"",""0,00000000000000000000"",""10=impuestos"",""0,00000000000000000000"",""10=gestion"",""0,105987000000000"&amp;"00000"",""10=franqueo"",""0,00000000000000000000"",""10=despacho"",""0,00000000000000000000"""</t>
  </si>
  <si>
    <t>="""SQL-NAVISION"","""",""SQL="",""14=Id_ Prefactura"",""PF26-00004176"",""2=Tipo documento"",""0"",""14=No_"",""PD260075041"",""14=No_ referencia transporte"",""INPOST280426.3"",""14=Familia pedido"","""",""15=Fecha confirmación SGA"",""28/04/2026"",""14=Nombre punto entrega"",""Javier Co"&amp;"rtegoso Torres"",""14=Contacto punto entrega"",""Javier Cortegoso Torres"",""14=Dirección punto entrega"",""Plaza España 3-4 8i"",""14=C_P_ punto entrega"",""15403"",""14=Población punto entrega"",""Ferrol"",""14=Provincia punto entrega"",""A Coruña"",""14=País punto entrega"","&amp;"""ES"",""10=bultosP"",""1,00000000000000000000"",""14=No_ documento cliente"",""INPOST280426.3"",""14=Cód_ Servicio solicitado Fact_"",""STD"",""10=bultosE"",""1,00000000000000000000"",""10=Peso facturable"",""29,00000000000000000000"",""14=Cód_ operativa"",""053"",""14=Descripción"&amp;""",""PRUEBA PILOTO INPOST"",""2=No_ línea"",""70000"",""14=No_ producto cliente"",""10-21-000680"",""14=Descripción ampliada"",""VIDEO GRABADOR"",""10=Cantidad confirmada"",""1,00000000000000000000"",""2=numeroexpediciones"",""1"",""2=numeroalbaranes"",""1"",""10=manipulacion"",""8,03"&amp;"031600000000000000"",""10=embalaje"",""2,12000000000000000000"",""10=transporte"",""11,26907900000000000000"",""10=prima"",""0,00000000000000000000"",""10=reembolso"",""0,00000000000000000000"",""10=impuestos"",""0,00000000000000000000"",""10=gestion"",""0,10598700000000000000"","&amp;"""10=franqueo"",""0,00000000000000000000"",""10=despacho"",""0,00000000000000000000"""</t>
  </si>
  <si>
    <t>="""SQL-NAVISION"","""",""SQL="",""14=Id_ Prefactura"",""PF26-00004176"",""2=Tipo documento"",""0"",""14=No_"",""PD260075041"",""14=No_ referencia transporte"",""INPOST280426.3"",""14=Familia pedido"","""",""15=Fecha confirmación SGA"",""28/04/2026"",""14=Nombre punto entrega"",""Javier Co"&amp;"rtegoso Torres"",""14=Contacto punto entrega"",""Javier Cortegoso Torres"",""14=Dirección punto entrega"",""Plaza España 3-4 8i"",""14=C_P_ punto entrega"",""15403"",""14=Población punto entrega"",""Ferrol"",""14=Provincia punto entrega"",""A Coruña"",""14=País punto entrega"","&amp;"""ES"",""10=bultosP"",""1,00000000000000000000"",""14=No_ documento cliente"",""INPOST280426.3"",""14=Cód_ Servicio solicitado Fact_"",""STD"",""10=bultosE"",""1,00000000000000000000"",""10=Peso facturable"",""29,00000000000000000000"",""14=Cód_ operativa"",""053"",""14=Descripción"&amp;""",""PRUEBA PILOTO INPOST"",""2=No_ línea"",""80000"",""14=No_ producto cliente"",""10-14-000010"",""14=Descripción ampliada"",""SELLANTE (SEAL FOR IR 12' 0000505326 DSPPCCP)"",""10=Cantidad confirmada"",""3,00000000000000000000"",""2=numeroexpediciones"",""1"",""2=numeroalbaran"&amp;"es"",""1"",""10=manipulacion"",""8,03031600000000000000"",""10=embalaje"",""2,12000000000000000000"",""10=transporte"",""11,26907900000000000000"",""10=prima"",""0,00000000000000000000"",""10=reembolso"",""0,00000000000000000000"",""10=impuestos"",""0,00000000000000000000"",""10=ges"&amp;"tion"",""0,10598700000000000000"",""10=franqueo"",""0,00000000000000000000"",""10=despacho"",""0,00000000000000000000"""</t>
  </si>
  <si>
    <t>="""SQL-NAVISION"","""",""SQL="",""14=Id_ Prefactura"",""PF26-00004176"",""2=Tipo documento"",""0"",""14=No_"",""PD260075042"",""14=No_ referencia transporte"",""X26023589"",""14=Familia pedido"","""",""15=Fecha confirmación SGA"",""28/04/2026"",""14=Nombre punto entrega"",""Bryan Silvera "&amp;"Yancari"",""14=Contacto punto entrega"",""Bryan Silvera Yancari"",""14=Dirección punto entrega"",""Avenida de Andalucía 34, Piso 3 Puerta A."",""14=C_P_ punto entrega"",""41006"",""14=Población punto entrega"",""Sevilla"",""14=Provincia punto entrega"",""Sevilla"",""14=País pu"&amp;"nto entrega"",""ES"",""10=bultosP"",""1,00000000000000000000"",""14=No_ documento cliente"",""INPOST280426.4"",""14=Cód_ Servicio solicitado Fact_"",""STD"",""10=bultosE"",""1,00000000000000000000"",""10=Peso facturable"",""17,00000000000000000000"",""14=Cód_ operativa"",""053"",""1"&amp;"4=Descripción"",""PRUEBA PILOTO INPOST"",""2=No_ línea"",""10000"",""14=No_ producto cliente"",""KIT CAPACITIVO"",""14=Descripción ampliada"",""MONITOR CAPACITIVO + USB + CONECTOR (1095) + SELLANTE + SENSOR"",""10=Cantidad confirmada"",""1,00000000000000000000"",""2=numeroex"&amp;"pediciones"",""1"",""2=numeroalbaranes"",""1"",""10=manipulacion"",""6,69673200000000000000"",""10=embalaje"",""2,12000000000000000000"",""10=transporte"",""8,25892000000000000000"",""10=prima"",""0,00000000000000000000"",""10=reembolso"",""0,00000000000000000000"",""10=impuestos"","""&amp;"0,00000000000000000000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</si>
  <si>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documento"",""0"",""14=No_"",""PD260075042"",""14=No_ referencia transporte"",""X26023589"",""14=Familia pedido"","""",""15=Fecha confirmación SGA"",""28/04/2026"",""14=Nombre punto entrega"",""Bryan Silvera "&amp;"Yancari"",""14=Contacto punto entrega"",""Bryan Silvera Yancari"",""14=Dirección punto entrega"",""Avenida de Andalucía 34, Piso 3 Puerta A."",""14=C_P_ punto entrega"",""41006"",""14=Población punto entrega"",""Sevilla"",""14=Provincia punto entrega"",""Sevilla"",""14=País pu"&amp;"nto entrega"",""ES"",""10=bultosP"",""1,00000000000000000000"",""14=No_ documento cliente"",""INPOST280426.4"",""14=Cód_ Servicio solicitado Fact_"",""STD"",""10=bultosE"",""1,00000000000000000000"",""10=Peso facturable"",""17,00000000000000000000"",""14=Cód_ operativa"",""053"",""1"&amp;"4=Descripción"",""PRUEBA PILOTO INPOST"",""2=No_ línea"",""20000"",""14=No_ producto cliente"",""11-50-000521"",""14=Descripción ampliada"",""PUERTA INDOOR - GRANDE - DERECHA"",""10=Cantidad confirmada"",""1,00000000000000000000"",""2=numeroexpediciones"",""1"",""2=numeroalbaran"&amp;"es"",""1"",""10=manipulacion"",""6,69673200000000000000"",""10=embalaje"",""2,12000000000000000000"",""10=transporte"",""8,25892000000000000000"",""10=prima"",""0,00000000000000000000"",""10=reembolso"",""0,00000000000000000000"",""10=impuestos"",""0,00000000000000000000"",""10=gest"&amp;"ion"",""0,10598700000000000000"",""10=franqueo"",""0,00000000000000000000"",""10=despacho"",""0,00000000000000000000"""</t>
  </si>
  <si>
    <t>="""SQL-NAVISION"","""",""SQL="",""14=Id_ Prefactura"",""PF26-00004176"",""2=Tipo documento"",""0"",""14=No_"",""PD260075042"",""14=No_ referencia transporte"",""X26023589"",""14=Familia pedido"","""",""15=Fecha confirmación SGA"",""28/04/2026"",""14=Nombre punto entrega"",""Bryan Silvera "&amp;"Yancari"",""14=Contacto punto entrega"",""Bryan Silvera Yancari"",""14=Dirección punto entrega"",""Avenida de Andalucía 34, Piso 3 Puerta A."",""14=C_P_ punto entrega"",""41006"",""14=Población punto entrega"",""Sevilla"",""14=Provincia punto entrega"",""Sevilla"",""14=País pu"&amp;"nto entrega"",""ES"",""10=bultosP"",""1,00000000000000000000"",""14=No_ documento cliente"",""INPOST280426.4"",""14=Cód_ Servicio solicitado Fact_"",""STD"",""10=bultosE"",""1,00000000000000000000"",""10=Peso facturable"",""17,00000000000000000000"",""14=Cód_ operativa"",""053"",""1"&amp;"4=Descripción"",""PRUEBA PILOTO INPOST"",""2=No_ línea"",""30000"",""14=No_ producto cliente"",""KIT-PC-USB"",""14=Descripción ampliada"",""KIT PC COMPACTO Y HDMI PC"",""10=Cantidad confirmada"",""1,00000000000000000000"",""2=numeroexpediciones"",""1"",""2=numeroalbaranes"",""1"","""&amp;"10=manipulacion"",""6,69673200000000000000"",""10=embalaje"",""2,12000000000000000000"",""10=transporte"",""8,25892000000000000000"",""10=prima"",""0,00000000000000000000"",""10=reembolso"",""0,00000000000000000000"",""10=impuestos"",""0,00000000000000000000"",""10=gestion"",""0,1"&amp;"0598700000000000000"",""10=franqueo"",""0,00000000000000000000"",""10=despacho"",""0,00000000000000000000"""</t>
  </si>
  <si>
    <t>="""SQL-NAVISION"","""",""SQL="",""14=Id_ Prefactura"",""PF26-00004176"",""2=Tipo documento"",""0"",""14=No_"",""PD260075042"",""14=No_ referencia transporte"",""X26023589"",""14=Familia pedido"","""",""15=Fecha confirmación SGA"",""28/04/2026"",""14=Nombre punto entrega"",""Bryan Silvera "&amp;"Yancari"",""14=Contacto punto entrega"",""Bryan Silvera Yancari"",""14=Dirección punto entrega"",""Avenida de Andalucía 34, Piso 3 Puerta A."",""14=C_P_ punto entrega"",""41006"",""14=Población punto entrega"",""Sevilla"",""14=Provincia punto entrega"",""Sevilla"",""14=País pu"&amp;"nto entrega"",""ES"",""10=bultosP"",""1,00000000000000000000"",""14=No_ documento cliente"",""INPOST280426.4"",""14=Cód_ Servicio solicitado Fact_"",""STD"",""10=bultosE"",""1,00000000000000000000"",""10=Peso facturable"",""17,00000000000000000000"",""14=Cód_ operativa"",""053"",""1"&amp;"4=Descripción"",""PRUEBA PILOTO INPOST"",""2=No_ línea"",""40000"",""14=No_ producto cliente"",""11-50-000522"",""14=Descripción ampliada"",""PUERTA INDOOR - PEQUE¥A - IZQUIERDA"",""10=Cantidad confirmada"",""1,00000000000000000000"",""2=numeroexpediciones"",""1"",""2=numeroalba"&amp;"ranes"",""1"",""10=manipulacion"",""6,69673200000000000000"",""10=embalaje"",""2,12000000000000000000"",""10=transporte"",""8,25892000000000000000"",""10=prima"",""0,00000000000000000000"",""10=reembolso"",""0,00000000000000000000"",""10=impuestos"",""0,00000000000000000000"",""10=g"&amp;"estion"",""0,10598700000000000000"",""10=franqueo"",""0,00000000000000000000"",""10=despacho"",""0,00000000000000000000"""</t>
  </si>
  <si>
    <t>="""SQL-NAVISION"","""",""SQL="",""14=Id_ Prefactura"",""PF26-00004176"",""2=Tipo documento"",""0"",""14=No_"",""PD260075042"",""14=No_ referencia transporte"",""X26023589"",""14=Familia pedido"","""",""15=Fecha confirmación SGA"",""28/04/2026"",""14=Nombre punto entrega"",""Bryan Silvera "&amp;"Yancari"",""14=Contacto punto entrega"",""Bryan Silvera Yancari"",""14=Dirección punto entrega"",""Avenida de Andalucía 34, Piso 3 Puerta A."",""14=C_P_ punto entrega"",""41006"",""14=Población punto entrega"",""Sevilla"",""14=Provincia punto entrega"",""Sevilla"",""14=País pu"&amp;"nto entrega"",""ES"",""10=bultosP"",""1,00000000000000000000"",""14=No_ documento cliente"",""INPOST280426.4"",""14=Cód_ Servicio solicitado Fact_"",""STD"",""10=bultosE"",""1,00000000000000000000"",""10=Peso facturable"",""17,00000000000000000000"",""14=Cód_ operativa"",""053"",""1"&amp;"4=Descripción"",""PRUEBA PILOTO INPOST"",""2=No_ línea"",""50000"",""14=No_ producto cliente"",""10-21-001029"",""14=Descripción ampliada"",""6-PIN 5.08MM (NUEVO CONECTOR EXPANDER 3.3)"",""10=Cantidad confirmada"",""2,00000000000000000000"",""2=numeroexpediciones"",""1"",""2=num"&amp;"eroalbaranes"",""1"",""10=manipulacion"",""6,69673200000000000000"",""10=embalaje"",""2,12000000000000000000"",""10=transporte"",""8,25892000000000000000"",""10=prima"",""0,00000000000000000000"",""10=reembolso"",""0,00000000000000000000"",""10=impuestos"",""0,00000000000000000000"&amp;""",""10=gestion"",""0,10598700000000000000"",""10=franqueo"",""0,00000000000000000000"",""10=despacho"",""0,00000000000000000000"""</t>
  </si>
  <si>
    <t>="""SQL-NAVISION"","""",""SQL="",""14=Id_ Prefactura"",""PF26-00004176"",""2=Tipo documento"",""0"",""14=No_"",""PD260075042"",""14=No_ referencia transporte"",""X26023589"",""14=Familia pedido"","""",""15=Fecha confirmación SGA"",""28/04/2026"",""14=Nombre punto entrega"",""Bryan Silvera "&amp;"Yancari"",""14=Contacto punto entrega"",""Bryan Silvera Yancari"",""14=Dirección punto entrega"",""Avenida de Andalucía 34, Piso 3 Puerta A."",""14=C_P_ punto entrega"",""41006"",""14=Población punto entrega"",""Sevilla"",""14=Provincia punto entrega"",""Sevilla"",""14=País pu"&amp;"nto entrega"",""ES"",""10=bultosP"",""1,00000000000000000000"",""14=No_ documento cliente"",""INPOST280426.4"",""14=Cód_ Servicio solicitado Fact_"",""STD"",""10=bultosE"",""1,00000000000000000000"",""10=Peso facturable"",""17,00000000000000000000"",""14=Cód_ operativa"",""053"",""1"&amp;"4=Descripción"",""PRUEBA PILOTO INPOST"",""2=No_ línea"",""60000"",""14=No_ producto cliente"",""10-21-000944"",""14=Descripción ampliada"",""ESCANER NEWLAND"",""10=Cantidad confirmada"",""2,00000000000000000000"",""2=numeroexpediciones"",""1"",""2=numeroalbaranes"",""1"",""10=manip"&amp;"ulacion"",""6,69673200000000000000"",""10=embalaje"",""2,12000000000000000000"",""10=transporte"",""8,25892000000000000000"",""10=prima"",""0,00000000000000000000"",""10=reembolso"",""0,00000000000000000000"",""10=impuestos"",""0,00000000000000000000"",""10=gestion"",""0,105987000"&amp;"00000000000"",""10=franqueo"",""0,00000000000000000000"",""10=despacho"",""0,00000000000000000000"""</t>
  </si>
  <si>
    <t>="""SQL-NAVISION"","""",""SQL="",""14=Id_ Prefactura"",""PF26-00004176"",""2=Tipo documento"",""0"",""14=No_"",""PD260075042"",""14=No_ referencia transporte"",""X26023589"",""14=Familia pedido"","""",""15=Fecha confirmación SGA"",""28/04/2026"",""14=Nombre punto entrega"",""Bryan Silvera "&amp;"Yancari"",""14=Contacto punto entrega"",""Bryan Silvera Yancari"",""14=Dirección punto entrega"",""Avenida de Andalucía 34, Piso 3 Puerta A."",""14=C_P_ punto entrega"",""41006"",""14=Población punto entrega"",""Sevilla"",""14=Provincia punto entrega"",""Sevilla"",""14=País pu"&amp;"nto entrega"",""ES"",""10=bultosP"",""1,00000000000000000000"",""14=No_ documento cliente"",""INPOST280426.4"",""14=Cód_ Servicio solicitado Fact_"",""STD"",""10=bultosE"",""1,00000000000000000000"",""10=Peso facturable"",""17,00000000000000000000"",""14=Cód_ operativa"",""053"",""1"&amp;"4=Descripción"",""PRUEBA PILOTO INPOST"",""2=No_ línea"",""70000"",""14=No_ producto cliente"",""MONITOR- IR TOUCH"",""14=Descripción ampliada"",""MONITOR 12"""" COMPATIBLE IR TOUCH + SELLANTE"",""10=Cantidad confirmada"",""1,00000000000000000000"",""2=numeroexpediciones"",""1"","&amp;"""2=numeroalbaranes"",""1"",""10=manipulacion"",""6,69673200000000000000"",""10=embalaje"",""2,12000000000000000000"",""10=transporte"",""8,25892000000000000000"",""10=prima"",""0,00000000000000000000"",""10=reembolso"",""0,00000000000000000000"",""10=impuestos"",""0,00000000000000"&amp;"000000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</si>
  <si>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documento"",""0"",""14=No_"",""PD260075042"",""14=No_ referencia transporte"",""X26023589"",""14=Familia pedido"","""",""15=Fecha confirmación SGA"",""28/04/2026"",""14=Nombre punto entrega"",""Bryan Silvera "&amp;"Yancari"",""14=Contacto punto entrega"",""Bryan Silvera Yancari"",""14=Dirección punto entrega"",""Avenida de Andalucía 34, Piso 3 Puerta A."",""14=C_P_ punto entrega"",""41006"",""14=Población punto entrega"",""Sevilla"",""14=Provincia punto entrega"",""Sevilla"",""14=País pu"&amp;"nto entrega"",""ES"",""10=bultosP"",""1,00000000000000000000"",""14=No_ documento cliente"",""INPOST280426.4"",""14=Cód_ Servicio solicitado Fact_"",""STD"",""10=bultosE"",""1,00000000000000000000"",""10=Peso facturable"",""17,00000000000000000000"",""14=Cód_ operativa"",""053"",""1"&amp;"4=Descripción"",""PRUEBA PILOTO INPOST"",""2=No_ línea"",""80000"",""14=No_ producto cliente"",""10-21-001094"",""14=Descripción ampliada"",""MONITOR CAPACITIVO (CAPACITIVE MONITOR 12,1 LCD 1024X7"",""10=Cantidad confirmada"",""1,00000000000000000000"",""2=numeroexpediciones"&amp;""",""1"",""2=numeroalbaranes"",""1"",""10=manipulacion"",""6,69673200000000000000"",""10=embalaje"",""2,12000000000000000000"",""10=transporte"",""8,25892000000000000000"",""10=prima"",""0,00000000000000000000"",""10=reembolso"",""0,00000000000000000000"",""10=impuestos"",""0,00000000"&amp;"000000000000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</si>
  <si>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documento"",""0"",""14=No_"",""PD260075043"",""14=No_ referencia transporte"",""INPOST280426.5"",""14=Familia pedido"","""",""15=Fecha confirmación SGA"",""28/04/2026"",""14=Nombre punto entrega"",""Joan Manu"&amp;"el Luque Figueras"",""14=Contacto punto entrega"",""Joan Manuel Luque Figueras"",""14=Dirección punto entrega"",""Avinguda Catalunya 76-78 1-1"",""14=C_P_ punto entrega"",""08880"",""14=Población punto entrega"",""Cubelles"",""14=Provincia punto entrega"",""Barcelona"",""14=Pa"&amp;"ís punto entrega"",""ES"",""10=bultosP"",""1,00000000000000000000"",""14=No_ documento cliente"",""INPOST280426.5"",""14=Cód_ Servicio solicitado Fact_"",""STD"",""10=bultosE"",""1,00000000000000000000"",""10=Peso facturable"",""34,00000000000000000000"",""14=Cód_ operativa"",""05"&amp;"3"",""14=Descripción"",""PRUEBA PILOTO INPOST"",""2=No_ línea"",""10000"",""14=No_ producto cliente"",""KIT CAPACITIVO"",""14=Descripción ampliada"",""MONITOR CAPACITIVO + USB + CONECTOR (1095) + SELLANTE + SENSOR"",""10=Cantidad confirmada"",""1,00000000000000000000"",""2=num"&amp;"eroexpediciones"",""1"",""2=numeroalbaranes"",""1"",""10=manipulacion"",""7,80187800000000000000"",""10=embalaje"",""1,97000000000000000000"",""10=transporte"",""12,35577900000000000000"",""10=prima"",""0,00000000000000000000"",""10=reembolso"",""0,00000000000000000000"",""10=impues"&amp;"tos"",""0,00000000000000000000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</si>
  <si>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documento"",""0"",""14=No_"",""PD260075043"",""14=No_ referencia transporte"",""INPOST280426.5"",""14=Familia pedido"","""",""15=Fecha confirmación SGA"",""28/04/2026"",""14=Nombre punto entrega"",""Joan Manu"&amp;"el Luque Figueras"",""14=Contacto punto entrega"",""Joan Manuel Luque Figueras"",""14=Dirección punto entrega"",""Avinguda Catalunya 76-78 1-1"",""14=C_P_ punto entrega"",""08880"",""14=Población punto entrega"",""Cubelles"",""14=Provincia punto entrega"",""Barcelona"",""14=Pa"&amp;"ís punto entrega"",""ES"",""10=bultosP"",""1,00000000000000000000"",""14=No_ documento cliente"",""INPOST280426.5"",""14=Cód_ Servicio solicitado Fact_"",""STD"",""10=bultosE"",""1,00000000000000000000"",""10=Peso facturable"",""34,00000000000000000000"",""14=Cód_ operativa"",""05"&amp;"3"",""14=Descripción"",""PRUEBA PILOTO INPOST"",""2=No_ línea"",""20000"",""14=No_ producto cliente"",""10-20-000064"",""14=Descripción ampliada"",""ACTUADOR CERRADURAS"",""10=Cantidad confirmada"",""20,00000000000000000000"",""2=numeroexpediciones"",""1"",""2=numeroalbaranes"",""1"""&amp;",""10=manipulacion"",""7,80187800000000000000"",""10=embalaje"",""1,97000000000000000000"",""10=transporte"",""12,35577900000000000000"",""10=prima"",""0,00000000000000000000"",""10=reembolso"",""0,00000000000000000000"",""10=impuestos"",""0,00000000000000000000"",""10=gestion"","""&amp;"0,10598700000000000000"",""10=franqueo"",""0,00000000000000000000"",""10=despacho"",""0,00000000000000000000"""</t>
  </si>
  <si>
    <t>="""SQL-NAVISION"","""",""SQL="",""14=Id_ Prefactura"",""PF26-00004176"",""2=Tipo documento"",""0"",""14=No_"",""PD260075043"",""14=No_ referencia transporte"",""INPOST280426.5"",""14=Familia pedido"","""",""15=Fecha confirmación SGA"",""28/04/2026"",""14=Nombre punto entrega"",""Joan Manu"&amp;"el Luque Figueras"",""14=Contacto punto entrega"",""Joan Manuel Luque Figueras"",""14=Dirección punto entrega"",""Avinguda Catalunya 76-78 1-1"",""14=C_P_ punto entrega"",""08880"",""14=Población punto entrega"",""Cubelles"",""14=Provincia punto entrega"",""Barcelona"",""14=Pa"&amp;"ís punto entrega"",""ES"",""10=bultosP"",""1,00000000000000000000"",""14=No_ documento cliente"",""INPOST280426.5"",""14=Cód_ Servicio solicitado Fact_"",""STD"",""10=bultosE"",""1,00000000000000000000"",""10=Peso facturable"",""34,00000000000000000000"",""14=Cód_ operativa"",""05"&amp;"3"",""14=Descripción"",""PRUEBA PILOTO INPOST"",""2=No_ línea"",""30000"",""14=No_ producto cliente"",""MONITOR- IR TOUCH"",""14=Descripción ampliada"",""MONITOR 12"""" COMPATIBLE IR TOUCH + SELLANTE"",""10=Cantidad confirmada"",""1,00000000000000000000"",""2=numeroexpediciones"""&amp;",""1"",""2=numeroalbaranes"",""1"",""10=manipulacion"",""7,80187800000000000000"",""10=embalaje"",""1,97000000000000000000"",""10=transporte"",""12,35577900000000000000"",""10=prima"",""0,00000000000000000000"",""10=reembolso"",""0,00000000000000000000"",""10=impuestos"",""0,00000000"&amp;"000000000000"",""10=gestion"",""0,10598700000000000000"",""10=franqueo"",""0,00000000000000000000"",""10=despacho"",""0,00000000000000000000"""</t>
  </si>
  <si>
    <t>="""SQL-NAVISION"","""",""SQL="",""14=Id_ Prefactura"",""PF26-00004176"",""2=Tipo documento"",""0"",""14=No_"",""PD260075043"",""14=No_ referencia transporte"",""INPOST280426.5"",""14=Familia pedido"","""",""15=Fecha confirmación SGA"",""28/04/2026"",""14=Nombre punto entrega"",""Joan Manu"&amp;"el Luque Figueras"",""14=Contacto punto entrega"",""Joan Manuel Luque Figueras"",""14=Dirección punto entrega"",""Avinguda Catalunya 76-78 1-1"",""14=C_P_ punto entrega"",""08880"",""14=Población punto entrega"",""Cubelles"",""14=Provincia punto entrega"",""Barcelona"",""14=Pa"&amp;"ís punto entrega"",""ES"",""10=bultosP"",""1,00000000000000000000"",""14=No_ documento cliente"",""INPOST280426.5"",""14=Cód_ Servicio solicitado Fact_"",""STD"",""10=bultosE"",""1,00000000000000000000"",""10=Peso facturable"",""34,00000000000000000000"",""14=Cód_ operativa"",""05"&amp;"3"",""14=Descripción"",""PRUEBA PILOTO INPOST"",""2=No_ línea"",""40000"",""14=No_ producto cliente"",""10-21-000637"",""14=Descripción ampliada"",""BATERIA 12V."",""10=Cantidad confirmada"",""2,00000000000000000000"",""2=numeroexpediciones"",""1"",""2=numeroalbaranes"",""1"",""10=man"&amp;"ipulacion"",""7,80187800000000000000"",""10=embalaje"",""1,97000000000000000000"",""10=transporte"",""12,35577900000000000000"",""10=prima"",""0,00000000000000000000"",""10=reembolso"",""0,00000000000000000000"",""10=impuestos"",""0,00000000000000000000"",""10=gestion"",""0,105987"&amp;"00000000000000"",""10=franqueo"",""0,00000000000000000000"",""10=despacho"",""0,00000000000000000000"""</t>
  </si>
  <si>
    <t>="""SQL-NAVISION"","""",""SQL="",""14=Id_ Prefactura"",""PF26-00004176"",""2=Tipo documento"",""0"",""14=No_"",""PD260075043"",""14=No_ referencia transporte"",""INPOST280426.5"",""14=Familia pedido"","""",""15=Fecha confirmación SGA"",""28/04/2026"",""14=Nombre punto entrega"",""Joan Manu"&amp;"el Luque Figueras"",""14=Contacto punto entrega"",""Joan Manuel Luque Figueras"",""14=Dirección punto entrega"",""Avinguda Catalunya 76-78 1-1"",""14=C_P_ punto entrega"",""08880"",""14=Población punto entrega"",""Cubelles"",""14=Provincia punto entrega"",""Barcelona"",""14=Pa"&amp;"ís punto entrega"",""ES"",""10=bultosP"",""1,00000000000000000000"",""14=No_ documento cliente"",""INPOST280426.5"",""14=Cód_ Servicio solicitado Fact_"",""STD"",""10=bultosE"",""1,00000000000000000000"",""10=Peso facturable"",""34,00000000000000000000"",""14=Cód_ operativa"",""05"&amp;"3"",""14=Descripción"",""PRUEBA PILOTO INPOST"",""2=No_ línea"",""50000"",""14=No_ producto cliente"",""10-21-000638"",""14=Descripción ampliada"",""DISCO DURO SSD"",""10=Cantidad confirmada"",""2,00000000000000000000"",""2=numeroexpediciones"",""1"",""2=numeroalbaranes"",""1"",""10=m"&amp;"anipulacion"",""7,80187800000000000000"",""10=embalaje"",""1,97000000000000000000"",""10=transporte"",""12,35577900000000000000"",""10=prima"",""0,00000000000000000000"",""10=reembolso"",""0,00000000000000000000"",""10=impuestos"",""0,00000000000000000000"",""10=gestion"",""0,1059"&amp;"8700000000000000"",""10=franqueo"",""0,00000000000000000000"",""10=despacho"",""0,00000000000000000000"""</t>
  </si>
  <si>
    <t>="""SQL-NAVISION"","""",""SQL="",""14=Id_ Prefactura"",""PF26-00004176"",""2=Tipo documento"",""0"",""14=No_"",""PD260075043"",""14=No_ referencia transporte"",""INPOST280426.5"",""14=Familia pedido"","""",""15=Fecha confirmación SGA"",""28/04/2026"",""14=Nombre punto entrega"",""Joan Manu"&amp;"el Luque Figueras"",""14=Contacto punto entrega"",""Joan Manuel Luque Figueras"",""14=Dirección punto entrega"",""Avinguda Catalunya 76-78 1-1"",""14=C_P_ punto entrega"",""08880"",""14=Población punto entrega"",""Cubelles"",""14=Provincia punto entrega"",""Barcelona"",""14=Pa"&amp;"ís punto entrega"",""ES"",""10=bultosP"",""1,00000000000000000000"",""14=No_ documento cliente"",""INPOST280426.5"",""14=Cód_ Servicio solicitado Fact_"",""STD"",""10=bultosE"",""1,00000000000000000000"",""10=Peso facturable"",""34,00000000000000000000"",""14=Cód_ operativa"",""05"&amp;"3"",""14=Descripción"",""PRUEBA PILOTO INPOST"",""2=No_ línea"",""60000"",""14=No_ producto cliente"",""10-21-000838"",""14=Descripción ampliada"",""CÁMARA DE SEGURIDAD - OUTDOOR LOCKER"",""10=Cantidad confirmada"",""1,00000000000000000000"",""2=numeroexpediciones"",""1"",""2=nume"&amp;"roalbaranes"",""1"",""10=manipulacion"",""7,80187800000000000000"",""10=embalaje"",""1,97000000000000000000"",""10=transporte"",""12,35577900000000000000"",""10=prima"",""0,00000000000000000000"",""10=reembolso"",""0,00000000000000000000"",""10=impuestos"",""0,00000000000000000000"&amp;""",""10=gestion"",""0,10598700000000000000"",""10=franqueo"",""0,00000000000000000000"",""10=despacho"",""0,00000000000000000000"""</t>
  </si>
  <si>
    <t>=SUM(Z4:Z109)</t>
  </si>
  <si>
    <t>=SUM(AA4:AA109)</t>
  </si>
  <si>
    <t>=SUM(AB4:AB109)</t>
  </si>
  <si>
    <t>=SUM(AC4:AC109)</t>
  </si>
  <si>
    <t>=SUM(AD4:AD109)</t>
  </si>
  <si>
    <t>=SUM(AE4:AE109)</t>
  </si>
  <si>
    <t>=SUM(AF4:AF109)</t>
  </si>
  <si>
    <t>=SUM(AG4:AG109)</t>
  </si>
  <si>
    <t>=SUM(AH4:AH109)</t>
  </si>
  <si>
    <t>=SUM(AI4:AI109)</t>
  </si>
  <si>
    <t>Auto+Ocultar+Valores+Formulas=Hoja116,Hoja28,Hoja29+FormulasOnly</t>
  </si>
  <si>
    <t>Auto+Ocultar+Valores+Formulas=Hoja117,Hoja30,Hoja31</t>
  </si>
  <si>
    <t>Auto+Ocultar+Valores+Formulas=Hoja117,Hoja30,Hoja31+FormulasOnly</t>
  </si>
  <si>
    <t>Auto+Ocultar+Valores+Formulas=Hoja118,Hoja32,Hoja33</t>
  </si>
  <si>
    <t>="""Navision"",""MEDIAPOST SPAIN"",""7098046"",""36"",""PF26-00004176"",""72"",""ETIQUETAR Y EMBOLSAR ENTRADA DRP260007896"",""67"",""22/04/2026"",""4"",""0632"",""5"",""053"",""41"",""1"",""17"",""66,65"",""65"",""5097942"""</t>
  </si>
  <si>
    <t>="""Navision"",""MEDIAPOST SPAIN"",""7098046"",""36"",""PF26-00004176"",""72"",""etiquetas y bolsas entrada drp260007896"",""67"",""22/04/2026"",""4"",""0632"",""5"",""053"",""41"",""1"",""17"",""7,27"",""65"",""5097943"""</t>
  </si>
  <si>
    <t>=IF(NF($B5,"Cod. operativa")="","",CONCATENATE(NF($B5,"Cod. operativa")," ",NL("Filas","Operativas","Descripción","No. cliente SGA",NF($B5,"Código cliente SGA"),"Código",NF($B5,"Cod. operativa"),"Datasource=","Navision")))</t>
  </si>
  <si>
    <t>=SUM(H3:H6)</t>
  </si>
  <si>
    <t>=NF($B5,"Id. Prefactura")</t>
  </si>
  <si>
    <t>=NF($B5,"Id. Campo fecha")</t>
  </si>
  <si>
    <t>=NF($B5,"Información para el cliente")</t>
  </si>
  <si>
    <t>=NF($B5,"Valor")</t>
  </si>
  <si>
    <t>Auto+Ocultar+Valores+Formulas=Hoja118,Hoja32,Hoja33+FormulasOnly</t>
  </si>
  <si>
    <t>Auto+Ocultar+Valores+Formulas=Hoja119,Hoja34,Hoja35</t>
  </si>
  <si>
    <t>Auto+Ocultar+Valores+Formulas=Hoja119,Hoja34,Hoja35+FormulasOnly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</si>
</sst>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ahoma"/>
      <family val="2"/>
    </font>
    <font>
      <sz val="11"/>
      <color rgb="FFC0C0C0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33">
    <xf numFmtId="0" fontId="0" fillId="0" borderId="0" xfId="0"/>
    <xf numFmtId="14" fontId="0" fillId="0" borderId="0" xfId="0" applyNumberFormat="1"/>
    <xf numFmtId="0" fontId="2" fillId="2" borderId="1" xfId="1" applyBorder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2" fillId="2" borderId="5" xfId="1" applyBorder="1"/>
    <xf numFmtId="0" fontId="2" fillId="2" borderId="6" xfId="1" applyBorder="1"/>
    <xf numFmtId="0" fontId="2" fillId="2" borderId="7" xfId="1" applyBorder="1"/>
    <xf numFmtId="0" fontId="2" fillId="2" borderId="8" xfId="1" applyBorder="1"/>
    <xf numFmtId="0" fontId="1" fillId="2" borderId="1" xfId="1" applyFont="1" applyBorder="1" applyAlignment="1">
      <alignment horizontal="right"/>
    </xf>
    <xf numFmtId="0" fontId="5" fillId="3" borderId="0" xfId="2" applyFont="1" applyAlignment="1">
      <alignment horizontal="right"/>
    </xf>
    <xf numFmtId="4" fontId="6" fillId="3" borderId="0" xfId="2" applyNumberFormat="1" applyFont="1"/>
    <xf numFmtId="0" fontId="2" fillId="2" borderId="9" xfId="1" applyBorder="1"/>
    <xf numFmtId="3" fontId="3" fillId="0" borderId="0" xfId="0" applyNumberFormat="1" applyFont="1"/>
    <xf numFmtId="3" fontId="5" fillId="0" borderId="0" xfId="0" applyNumberFormat="1" applyFont="1"/>
    <xf numFmtId="164" fontId="0" fillId="0" borderId="0" xfId="0" applyNumberFormat="1"/>
    <xf numFmtId="164" fontId="6" fillId="3" borderId="0" xfId="2" applyNumberFormat="1" applyFont="1"/>
    <xf numFmtId="164" fontId="3" fillId="0" borderId="0" xfId="0" applyNumberFormat="1" applyFont="1"/>
    <xf numFmtId="164" fontId="7" fillId="0" borderId="0" xfId="0" applyNumberFormat="1" applyFont="1"/>
    <xf numFmtId="0" fontId="1" fillId="2" borderId="9" xfId="1" applyFont="1" applyBorder="1" applyAlignment="1">
      <alignment horizontal="right"/>
    </xf>
    <xf numFmtId="2" fontId="0" fillId="0" borderId="0" xfId="0" applyNumberFormat="1"/>
    <xf numFmtId="164" fontId="6" fillId="4" borderId="0" xfId="2" applyNumberFormat="1" applyFont="1" applyFill="1"/>
    <xf numFmtId="0" fontId="0" fillId="0" borderId="0" xfId="0" quotePrefix="1"/>
    <xf numFmtId="0" fontId="0" fillId="0" borderId="0" xfId="0" quotePrefix="1" applyAlignment="1">
      <alignment wrapText="1"/>
    </xf>
    <xf numFmtId="4" fontId="0" fillId="0" borderId="0" xfId="0" applyNumberFormat="1"/>
    <xf numFmtId="4" fontId="2" fillId="2" borderId="1" xfId="1" applyNumberFormat="1" applyBorder="1"/>
    <xf numFmtId="4" fontId="3" fillId="0" borderId="0" xfId="0" applyNumberFormat="1" applyFont="1"/>
    <xf numFmtId="0" fontId="2" fillId="2" borderId="2" xfId="1" applyBorder="1" applyAlignment="1">
      <alignment horizontal="center"/>
    </xf>
    <xf numFmtId="0" fontId="2" fillId="2" borderId="3" xfId="1" applyBorder="1" applyAlignment="1">
      <alignment horizontal="center"/>
    </xf>
    <xf numFmtId="0" fontId="2" fillId="2" borderId="4" xfId="1" applyBorder="1" applyAlignment="1">
      <alignment horizontal="center"/>
    </xf>
    <xf numFmtId="0" fontId="2" fillId="2" borderId="10" xfId="1" applyBorder="1" applyAlignment="1">
      <alignment horizontal="center"/>
    </xf>
    <xf numFmtId="0" fontId="2" fillId="2" borderId="0" xfId="1" applyAlignment="1">
      <alignment horizontal="center"/>
    </xf>
  </cellXfs>
  <cellStyles count="3">
    <cellStyle name="60% - Énfasis2" xfId="1" builtinId="36"/>
    <cellStyle name="60% - Énfasis3" xfId="2" builtinId="4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etreports.mediapost.spain\JETREPORTS\Facturacion\JETREPORT%20informe%20facturacion%20facturas.xlsx" TargetMode="External"/><Relationship Id="rId1" Type="http://schemas.openxmlformats.org/officeDocument/2006/relationships/externalLinkPath" Target="file:///\\jetreports.mediapost.spain\JETREPORTS\Facturacion\JETREPORT%20informe%20facturacion%20factur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ámetros"/>
      <sheetName val="Almacenaje"/>
      <sheetName val="Recepciones"/>
      <sheetName val="Pedidos"/>
      <sheetName val="Servicios transporte"/>
      <sheetName val="Cargos manuales"/>
      <sheetName val="Fijos"/>
      <sheetName val="Resumen"/>
      <sheetName val="Hoja1"/>
      <sheetName val="Hoja2"/>
      <sheetName val="Hoja3"/>
      <sheetName val="Hoja4"/>
      <sheetName val="Hoja5"/>
      <sheetName val="Hoja6"/>
      <sheetName val="Hoja7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  <sheetName val="Hoja17"/>
      <sheetName val="Hoja18"/>
      <sheetName val="Hoja19"/>
      <sheetName val="Hoja20"/>
      <sheetName val="Hoja2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9"/>
  <sheetViews>
    <sheetView topLeftCell="B4" workbookViewId="0">
      <selection activeCell="C5" sqref="C5"/>
    </sheetView>
  </sheetViews>
  <sheetFormatPr baseColWidth="10" defaultRowHeight="14.4" x14ac:dyDescent="0.3"/>
  <cols>
    <col min="1" max="1" width="11.44140625" hidden="1" customWidth="1"/>
    <col min="5" max="5" width="11.6640625" bestFit="1" customWidth="1"/>
  </cols>
  <sheetData>
    <row r="1" spans="1:5" hidden="1" x14ac:dyDescent="0.3">
      <c r="A1" t="s">
        <v>4314</v>
      </c>
      <c r="B1" t="s">
        <v>0</v>
      </c>
      <c r="C1" t="s">
        <v>1</v>
      </c>
      <c r="D1" t="s">
        <v>2</v>
      </c>
      <c r="E1" t="s">
        <v>3</v>
      </c>
    </row>
    <row r="2" spans="1:5" hidden="1" x14ac:dyDescent="0.3">
      <c r="A2" t="s">
        <v>4</v>
      </c>
      <c r="B2" t="s">
        <v>5</v>
      </c>
      <c r="C2" t="s">
        <v>6</v>
      </c>
    </row>
    <row r="3" spans="1:5" hidden="1" x14ac:dyDescent="0.3">
      <c r="A3" t="s">
        <v>4</v>
      </c>
      <c r="B3" t="s">
        <v>7</v>
      </c>
      <c r="C3" t="s">
        <v>8</v>
      </c>
    </row>
    <row r="4" spans="1:5" x14ac:dyDescent="0.3">
      <c r="A4" t="s">
        <v>9</v>
      </c>
      <c r="B4" t="s">
        <v>10</v>
      </c>
      <c r="C4" t="str">
        <f>"C0007256"</f>
        <v>C0007256</v>
      </c>
      <c r="D4" t="str">
        <f>"Buscar"</f>
        <v>Buscar</v>
      </c>
    </row>
    <row r="5" spans="1:5" x14ac:dyDescent="0.3">
      <c r="A5" t="s">
        <v>9</v>
      </c>
      <c r="B5" t="s">
        <v>14</v>
      </c>
      <c r="C5" t="str">
        <f>"PF26-00004176"</f>
        <v>PF26-00004176</v>
      </c>
      <c r="D5" t="str">
        <f>"Buscar"</f>
        <v>Buscar</v>
      </c>
    </row>
    <row r="6" spans="1:5" x14ac:dyDescent="0.3">
      <c r="A6" t="s">
        <v>9</v>
      </c>
      <c r="B6" t="s">
        <v>11</v>
      </c>
    </row>
    <row r="7" spans="1:5" x14ac:dyDescent="0.3">
      <c r="A7" t="s">
        <v>9</v>
      </c>
      <c r="B7" t="s">
        <v>12</v>
      </c>
      <c r="C7" s="1"/>
    </row>
    <row r="8" spans="1:5" x14ac:dyDescent="0.3">
      <c r="A8" t="s">
        <v>9</v>
      </c>
      <c r="B8" t="s">
        <v>13</v>
      </c>
      <c r="C8" s="1"/>
      <c r="E8" t="b">
        <f>IF(fechafin&lt;fechaini,FALSE,TRUE)</f>
        <v>1</v>
      </c>
    </row>
    <row r="9" spans="1:5" hidden="1" x14ac:dyDescent="0.3">
      <c r="A9" t="s">
        <v>4</v>
      </c>
      <c r="B9" t="str">
        <f>"*"</f>
        <v>*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7"/>
  <dimension ref="A1:E6"/>
  <sheetViews>
    <sheetView topLeftCell="C2" workbookViewId="0">
      <selection activeCell="I23" sqref="I23"/>
    </sheetView>
  </sheetViews>
  <sheetFormatPr baseColWidth="10" defaultRowHeight="14.4" x14ac:dyDescent="0.3"/>
  <cols>
    <col min="1" max="2" width="11.44140625" hidden="1" customWidth="1"/>
    <col min="3" max="3" width="23.33203125" bestFit="1" customWidth="1"/>
    <col min="4" max="4" width="11.33203125" customWidth="1"/>
  </cols>
  <sheetData>
    <row r="1" spans="1:5" hidden="1" x14ac:dyDescent="0.3">
      <c r="A1" t="s">
        <v>4316</v>
      </c>
      <c r="B1" t="s">
        <v>4</v>
      </c>
      <c r="C1" t="s">
        <v>15</v>
      </c>
      <c r="D1" t="s">
        <v>15</v>
      </c>
    </row>
    <row r="2" spans="1:5" x14ac:dyDescent="0.3">
      <c r="C2" s="2" t="s">
        <v>74</v>
      </c>
      <c r="D2" s="2" t="s">
        <v>75</v>
      </c>
    </row>
    <row r="3" spans="1:5" x14ac:dyDescent="0.3">
      <c r="B3" t="str">
        <f>"""Navision"",""MEDIAPOST SPAIN"",""7098046"",""9"",""ALMACENAJE DIARIO"",""17"",""0,08823675"",""5"",""053"""</f>
        <v>"Navision","MEDIAPOST SPAIN","7098046","9","ALMACENAJE DIARIO","17","0,08823675","5","053"</v>
      </c>
      <c r="C3" t="str">
        <f>"ALMACENAJE DIARIO"</f>
        <v>ALMACENAJE DIARIO</v>
      </c>
      <c r="D3" s="21">
        <v>267.33999999999997</v>
      </c>
      <c r="E3" t="str">
        <f>"053"</f>
        <v>053</v>
      </c>
    </row>
    <row r="4" spans="1:5" x14ac:dyDescent="0.3">
      <c r="A4" t="s">
        <v>299</v>
      </c>
      <c r="B4" t="str">
        <f>"""Navision"",""MEDIAPOST SPAIN"",""7098046"",""9"",""SEGURO DE ALMACENAJE"",""17"",""27,604128"",""5"",""053"""</f>
        <v>"Navision","MEDIAPOST SPAIN","7098046","9","SEGURO DE ALMACENAJE","17","27,604128","5","053"</v>
      </c>
      <c r="C4" t="str">
        <f>"SEGURO DE ALMACENAJE"</f>
        <v>SEGURO DE ALMACENAJE</v>
      </c>
      <c r="D4" s="21">
        <v>27.604127999999999</v>
      </c>
      <c r="E4" t="str">
        <f>"053"</f>
        <v>053</v>
      </c>
    </row>
    <row r="6" spans="1:5" x14ac:dyDescent="0.3">
      <c r="C6" s="11" t="s">
        <v>43</v>
      </c>
      <c r="D6" s="12">
        <f>SUM($D3:D5)</f>
        <v>294.94412799999998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AG22"/>
  <sheetViews>
    <sheetView topLeftCell="M2" workbookViewId="0">
      <selection activeCell="Y4" sqref="Y4"/>
    </sheetView>
  </sheetViews>
  <sheetFormatPr baseColWidth="10" defaultRowHeight="14.4" x14ac:dyDescent="0.3"/>
  <cols>
    <col min="1" max="1" width="11.44140625" hidden="1" customWidth="1"/>
    <col min="2" max="3" width="6.6640625" hidden="1" customWidth="1"/>
    <col min="4" max="4" width="13.88671875" bestFit="1" customWidth="1"/>
    <col min="5" max="5" width="24.88671875" bestFit="1" customWidth="1"/>
    <col min="6" max="6" width="15.44140625" bestFit="1" customWidth="1"/>
    <col min="7" max="7" width="16.6640625" bestFit="1" customWidth="1"/>
    <col min="8" max="8" width="17.109375" bestFit="1" customWidth="1"/>
    <col min="9" max="9" width="16.6640625" bestFit="1" customWidth="1"/>
    <col min="10" max="10" width="17.44140625" bestFit="1" customWidth="1"/>
    <col min="11" max="11" width="15.6640625" bestFit="1" customWidth="1"/>
    <col min="12" max="12" width="23.6640625" bestFit="1" customWidth="1"/>
    <col min="13" max="13" width="9" bestFit="1" customWidth="1"/>
    <col min="14" max="14" width="9.33203125" bestFit="1" customWidth="1"/>
    <col min="15" max="15" width="8.5546875" bestFit="1" customWidth="1"/>
    <col min="16" max="16" width="9.6640625" bestFit="1" customWidth="1"/>
    <col min="17" max="17" width="9.109375" bestFit="1" customWidth="1"/>
    <col min="18" max="18" width="7.33203125" bestFit="1" customWidth="1"/>
    <col min="19" max="19" width="8" bestFit="1" customWidth="1"/>
    <col min="20" max="20" width="7.6640625" customWidth="1"/>
    <col min="21" max="21" width="14.33203125" bestFit="1" customWidth="1"/>
    <col min="22" max="22" width="13.88671875" bestFit="1" customWidth="1"/>
    <col min="23" max="23" width="12.44140625" bestFit="1" customWidth="1"/>
    <col min="24" max="24" width="28" customWidth="1"/>
    <col min="25" max="25" width="9.33203125" bestFit="1" customWidth="1"/>
    <col min="26" max="26" width="10.109375" bestFit="1" customWidth="1"/>
    <col min="27" max="27" width="11" bestFit="1" customWidth="1"/>
    <col min="28" max="28" width="7.88671875" bestFit="1" customWidth="1"/>
    <col min="29" max="29" width="9.44140625" bestFit="1" customWidth="1"/>
    <col min="30" max="30" width="10" customWidth="1"/>
    <col min="31" max="31" width="10.5546875" bestFit="1" customWidth="1"/>
    <col min="32" max="32" width="8.44140625" bestFit="1" customWidth="1"/>
    <col min="33" max="33" width="7" hidden="1" customWidth="1"/>
  </cols>
  <sheetData>
    <row r="1" spans="1:33" hidden="1" x14ac:dyDescent="0.3">
      <c r="A1" t="s">
        <v>4332</v>
      </c>
      <c r="B1" s="5" t="s">
        <v>4</v>
      </c>
      <c r="C1" s="5" t="s">
        <v>4</v>
      </c>
      <c r="D1" t="s">
        <v>15</v>
      </c>
      <c r="E1" t="s">
        <v>15</v>
      </c>
      <c r="F1" t="s">
        <v>15</v>
      </c>
      <c r="G1" t="s">
        <v>15</v>
      </c>
      <c r="H1" t="s">
        <v>15</v>
      </c>
      <c r="I1" t="s">
        <v>15</v>
      </c>
      <c r="J1" t="s">
        <v>15</v>
      </c>
      <c r="K1" t="s">
        <v>15</v>
      </c>
      <c r="L1" t="s">
        <v>15</v>
      </c>
      <c r="M1" t="s">
        <v>15</v>
      </c>
      <c r="N1" t="s">
        <v>15</v>
      </c>
      <c r="O1" t="s">
        <v>15</v>
      </c>
      <c r="P1" t="s">
        <v>15</v>
      </c>
      <c r="Q1" t="s">
        <v>15</v>
      </c>
      <c r="R1" t="s">
        <v>15</v>
      </c>
      <c r="S1" t="s">
        <v>15</v>
      </c>
      <c r="T1" t="s">
        <v>15</v>
      </c>
      <c r="U1" t="s">
        <v>15</v>
      </c>
      <c r="V1" t="s">
        <v>15</v>
      </c>
      <c r="W1" t="s">
        <v>15</v>
      </c>
      <c r="Y1" t="s">
        <v>15</v>
      </c>
      <c r="Z1" t="s">
        <v>15</v>
      </c>
      <c r="AA1" t="s">
        <v>15</v>
      </c>
      <c r="AB1" t="s">
        <v>15</v>
      </c>
      <c r="AC1" t="s">
        <v>15</v>
      </c>
      <c r="AE1" t="s">
        <v>15</v>
      </c>
      <c r="AF1" t="s">
        <v>15</v>
      </c>
      <c r="AG1" t="s">
        <v>4</v>
      </c>
    </row>
    <row r="2" spans="1:33" x14ac:dyDescent="0.3">
      <c r="B2" s="5"/>
      <c r="C2" s="5"/>
      <c r="D2" s="5"/>
      <c r="E2" s="5"/>
      <c r="F2" s="5"/>
      <c r="L2" s="28" t="s">
        <v>17</v>
      </c>
      <c r="M2" s="29"/>
      <c r="N2" s="29"/>
      <c r="O2" s="29"/>
      <c r="P2" s="29"/>
      <c r="Q2" s="29"/>
      <c r="R2" s="30"/>
      <c r="Z2" s="31" t="s">
        <v>18</v>
      </c>
      <c r="AA2" s="32"/>
      <c r="AB2" s="32"/>
      <c r="AC2" s="32"/>
      <c r="AD2" s="32"/>
      <c r="AE2" s="32"/>
    </row>
    <row r="3" spans="1:33" x14ac:dyDescent="0.3">
      <c r="B3" s="5"/>
      <c r="C3" s="5"/>
      <c r="D3" s="2" t="s">
        <v>19</v>
      </c>
      <c r="E3" s="2" t="s">
        <v>16</v>
      </c>
      <c r="F3" s="2" t="s">
        <v>20</v>
      </c>
      <c r="G3" s="2" t="s">
        <v>21</v>
      </c>
      <c r="H3" s="2" t="s">
        <v>22</v>
      </c>
      <c r="I3" s="2" t="s">
        <v>68</v>
      </c>
      <c r="J3" s="2" t="s">
        <v>23</v>
      </c>
      <c r="K3" s="6" t="s">
        <v>24</v>
      </c>
      <c r="L3" s="7" t="s">
        <v>25</v>
      </c>
      <c r="M3" s="8" t="s">
        <v>26</v>
      </c>
      <c r="N3" s="8" t="s">
        <v>27</v>
      </c>
      <c r="O3" s="8" t="s">
        <v>28</v>
      </c>
      <c r="P3" s="8" t="s">
        <v>29</v>
      </c>
      <c r="Q3" s="9" t="s">
        <v>30</v>
      </c>
      <c r="R3" s="9" t="s">
        <v>60</v>
      </c>
      <c r="S3" s="2" t="s">
        <v>31</v>
      </c>
      <c r="T3" s="2" t="s">
        <v>32</v>
      </c>
      <c r="U3" s="2" t="s">
        <v>33</v>
      </c>
      <c r="V3" s="2" t="s">
        <v>34</v>
      </c>
      <c r="W3" s="2" t="s">
        <v>35</v>
      </c>
      <c r="X3" s="2" t="s">
        <v>36</v>
      </c>
      <c r="Y3" s="2" t="s">
        <v>37</v>
      </c>
      <c r="Z3" s="7" t="s">
        <v>38</v>
      </c>
      <c r="AA3" s="8" t="s">
        <v>39</v>
      </c>
      <c r="AB3" s="8" t="s">
        <v>40</v>
      </c>
      <c r="AC3" s="8" t="s">
        <v>70</v>
      </c>
      <c r="AD3" s="8" t="s">
        <v>71</v>
      </c>
      <c r="AE3" s="8" t="s">
        <v>41</v>
      </c>
      <c r="AF3" s="20" t="s">
        <v>42</v>
      </c>
    </row>
    <row r="4" spans="1:33" x14ac:dyDescent="0.3">
      <c r="B4" t="str">
        <f>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línea"",""10000"",""14=Cód_ producto cliente"",""11-50-000522"",""14=Descripción ampliada"",""PUERTA INDOOR - PEQUE¥A - IZ"&amp;"QUIERDA"",""10=Cantidad confirmada por SGA"",""100,00000000000000000000"",""2=numeroexpediciones"",""1"",""10=recepcion"",""41,90458440000000000000"",""10=devolucion"",""0,00000000000000000000"",""10=gestion"",""0,00000000000000000000"",""10=franqueo"",""0,00000000000000000000"","&amp;"""10=prima"",""0,00000000000000000000"",""10=transporte"",""0,00000000000000000000"""</f>
        <v>"SQL-NAVISION","","SQL=","14=Id_ Prefactura","PF26-00004176","2=Tipo documento","0","14=Nº documento","RP260007584","14=Nº documento cliente","E7338256","14=No_ referencia transporte","","14=Familia pedido","","15=Fecha confirmación SGA","13/04/2026","14=Nombre proveedor","RICOH ESPAÑA","14=Contacto proveedor","","14=Dirección proveedor","","14=CP proveedor","","14=Población proveedor","","14=Provincia proveedor","","14=País Proveedor","","2=bultosP","36","10=palesP","12,00000000000000000000","14=Cód_ Servicio solicitado Fact_","","10=Peso facturable","1114,20000000000000000000","14=Operativa","053","14=Descripción","PRUEBA PILOTO INPOST","2=Nº línea","10000","14=Cód_ producto cliente","11-50-000522","14=Descripción ampliada","PUERTA INDOOR - PEQUE¥A - IZQUIERDA","10=Cantidad confirmada por SGA","100,00000000000000000000","2=numeroexpediciones","1","10=recepcion","41,90458440000000000000","10=devolucion","0,00000000000000000000","10=gestion","0,00000000000000000000","10=franqueo","0,00000000000000000000","10=prima","0,00000000000000000000","10=transporte","0,00000000000000000000"</v>
      </c>
      <c r="C4" t="str">
        <f t="shared" ref="C4:C18" si="0">"RP260007584"</f>
        <v>RP260007584</v>
      </c>
      <c r="D4" t="str">
        <f>"PF26-00004176"</f>
        <v>PF26-00004176</v>
      </c>
      <c r="E4" s="3" t="str">
        <f>"053 PRUEBA PILOTO INPOST"</f>
        <v>053 PRUEBA PILOTO INPOST</v>
      </c>
      <c r="F4" s="3" t="str">
        <f>"Recepción"</f>
        <v>Recepción</v>
      </c>
      <c r="G4" t="str">
        <f>"E7338256"</f>
        <v>E7338256</v>
      </c>
      <c r="H4" t="str">
        <f>""</f>
        <v/>
      </c>
      <c r="I4" t="str">
        <f>""</f>
        <v/>
      </c>
      <c r="J4" t="str">
        <f>"RP260007584"</f>
        <v>RP260007584</v>
      </c>
      <c r="K4" s="1">
        <v>46125</v>
      </c>
      <c r="L4" t="str">
        <f>"RICOH ESPAÑA"</f>
        <v>RICOH ESPAÑA</v>
      </c>
      <c r="M4" t="str">
        <f>""</f>
        <v/>
      </c>
      <c r="N4" t="str">
        <f>""</f>
        <v/>
      </c>
      <c r="O4" t="str">
        <f>""</f>
        <v/>
      </c>
      <c r="P4" t="str">
        <f>""</f>
        <v/>
      </c>
      <c r="Q4" t="str">
        <f>""</f>
        <v/>
      </c>
      <c r="R4" t="str">
        <f>""</f>
        <v/>
      </c>
      <c r="S4" t="str">
        <f>""</f>
        <v/>
      </c>
      <c r="T4">
        <v>36</v>
      </c>
      <c r="U4">
        <v>12</v>
      </c>
      <c r="V4">
        <v>1114.1999999999998</v>
      </c>
      <c r="W4" t="str">
        <f>"11-50-000522"</f>
        <v>11-50-000522</v>
      </c>
      <c r="X4" t="str">
        <f>"PUERTA INDOOR - PEQUE¥A - IZQUIERDA"</f>
        <v>PUERTA INDOOR - PEQUE¥A - IZQUIERDA</v>
      </c>
      <c r="Y4">
        <v>100</v>
      </c>
      <c r="Z4" s="16">
        <v>41.904584400000005</v>
      </c>
      <c r="AA4" s="16">
        <v>0</v>
      </c>
      <c r="AB4" s="16">
        <f t="shared" ref="AB4:AB20" si="1">IF(AG4="","",VALUE(AG4))</f>
        <v>0</v>
      </c>
      <c r="AC4" s="16">
        <v>0</v>
      </c>
      <c r="AD4" s="16">
        <v>0</v>
      </c>
      <c r="AE4" s="16">
        <v>0</v>
      </c>
      <c r="AF4" s="16">
        <f t="shared" ref="AF4:AF20" si="2">IF($G4="","",IFERROR(IF(ISBLANK(Z4),0,Z4)+IF(ISBLANK(AA4),0,AA4)+IF(ISBLANK(AB4),0,AB4)+IF(ISBLANK(AC4),0,AC4)+IF(ISBLANK(AD4),0,AD4)+IF(ISBLANK(AE4),0,AE4),0))</f>
        <v>41.904584400000005</v>
      </c>
      <c r="AG4">
        <v>0</v>
      </c>
    </row>
    <row r="5" spans="1:33" x14ac:dyDescent="0.3">
      <c r="A5" t="s">
        <v>299</v>
      </c>
      <c r="B5" t="str">
        <f>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línea"",""20000"",""14=Cód_ producto cliente"",""11-50-000519"",""14=Descripción ampliada"",""PUERTA INDOOR - PEQUE¥A - DE"&amp;"RECHA"",""10=Cantidad confirmada por SGA"",""100,00000000000000000000"",""2=numeroexpediciones"",""1"",""10=recepcion"",""41,90458440000000000000"",""10=devolucion"",""0,00000000000000000000"",""10=gestion"",""0,00000000000000000000"",""10=franqueo"",""0,00000000000000000000"",""1"&amp;"0=prima"",""0,00000000000000000000"",""10=transporte"",""0,00000000000000000000"""</f>
        <v>"SQL-NAVISION","","SQL=","14=Id_ Prefactura","PF26-00004176","2=Tipo documento","0","14=Nº documento","RP260007584","14=Nº documento cliente","E7338256","14=No_ referencia transporte","","14=Familia pedido","","15=Fecha confirmación SGA","13/04/2026","14=Nombre proveedor","RICOH ESPAÑA","14=Contacto proveedor","","14=Dirección proveedor","","14=CP proveedor","","14=Población proveedor","","14=Provincia proveedor","","14=País Proveedor","","2=bultosP","36","10=palesP","12,00000000000000000000","14=Cód_ Servicio solicitado Fact_","","10=Peso facturable","1114,20000000000000000000","14=Operativa","053","14=Descripción","PRUEBA PILOTO INPOST","2=Nº línea","20000","14=Cód_ producto cliente","11-50-000519","14=Descripción ampliada","PUERTA INDOOR - PEQUE¥A - DERECHA","10=Cantidad confirmada por SGA","100,00000000000000000000","2=numeroexpediciones","1","10=recepcion","41,90458440000000000000","10=devolucion","0,00000000000000000000","10=gestion","0,00000000000000000000","10=franqueo","0,00000000000000000000","10=prima","0,00000000000000000000","10=transporte","0,00000000000000000000"</v>
      </c>
      <c r="C5" t="str">
        <f t="shared" si="0"/>
        <v>RP260007584</v>
      </c>
      <c r="D5" t="str">
        <f>""</f>
        <v/>
      </c>
      <c r="E5" s="3" t="str">
        <f>""</f>
        <v/>
      </c>
      <c r="F5" s="3" t="str">
        <f>""</f>
        <v/>
      </c>
      <c r="G5" t="str">
        <f>""</f>
        <v/>
      </c>
      <c r="H5" t="str">
        <f>""</f>
        <v/>
      </c>
      <c r="I5" t="str">
        <f>""</f>
        <v/>
      </c>
      <c r="J5" t="str">
        <f>""</f>
        <v/>
      </c>
      <c r="K5" s="1" t="str">
        <f>""</f>
        <v/>
      </c>
      <c r="L5" t="str">
        <f>""</f>
        <v/>
      </c>
      <c r="M5" t="str">
        <f>""</f>
        <v/>
      </c>
      <c r="N5" t="str">
        <f>""</f>
        <v/>
      </c>
      <c r="O5" t="str">
        <f>""</f>
        <v/>
      </c>
      <c r="P5" t="str">
        <f>""</f>
        <v/>
      </c>
      <c r="Q5" t="str">
        <f>""</f>
        <v/>
      </c>
      <c r="R5" t="str">
        <f>""</f>
        <v/>
      </c>
      <c r="S5" t="str">
        <f>""</f>
        <v/>
      </c>
      <c r="T5" t="str">
        <f>""</f>
        <v/>
      </c>
      <c r="U5" t="str">
        <f>""</f>
        <v/>
      </c>
      <c r="V5" t="str">
        <f>""</f>
        <v/>
      </c>
      <c r="W5" t="str">
        <f>"11-50-000519"</f>
        <v>11-50-000519</v>
      </c>
      <c r="X5" t="str">
        <f>"PUERTA INDOOR - PEQUE¥A - DERECHA"</f>
        <v>PUERTA INDOOR - PEQUE¥A - DERECHA</v>
      </c>
      <c r="Y5">
        <v>100</v>
      </c>
      <c r="Z5" s="16" t="str">
        <f>""</f>
        <v/>
      </c>
      <c r="AA5" s="16" t="str">
        <f>""</f>
        <v/>
      </c>
      <c r="AB5" s="16" t="str">
        <f t="shared" si="1"/>
        <v/>
      </c>
      <c r="AC5" s="16" t="str">
        <f>""</f>
        <v/>
      </c>
      <c r="AD5" s="16" t="str">
        <f>""</f>
        <v/>
      </c>
      <c r="AE5" s="16" t="str">
        <f>""</f>
        <v/>
      </c>
      <c r="AF5" s="16" t="str">
        <f t="shared" si="2"/>
        <v/>
      </c>
      <c r="AG5" t="str">
        <f>""</f>
        <v/>
      </c>
    </row>
    <row r="6" spans="1:33" x14ac:dyDescent="0.3">
      <c r="A6" t="s">
        <v>299</v>
      </c>
      <c r="B6" t="str">
        <f>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línea"",""30000"",""14=Cód_ producto cliente"",""11-50-000523"",""14=Descripción ampliada"",""PUERTA INDOOR - MEDIANA - IZ"&amp;"QUIERDA"",""10=Cantidad confirmada por SGA"",""50,00000000000000000000"",""2=numeroexpediciones"",""1"",""10=recepcion"",""41,90458440000000000000"",""10=devolucion"",""0,00000000000000000000"",""10=gestion"",""0,00000000000000000000"",""10=franqueo"",""0,00000000000000000000"","""&amp;"10=prima"",""0,00000000000000000000"",""10=transporte"",""0,00000000000000000000"""</f>
        <v>"SQL-NAVISION","","SQL=","14=Id_ Prefactura","PF26-00004176","2=Tipo documento","0","14=Nº documento","RP260007584","14=Nº documento cliente","E7338256","14=No_ referencia transporte","","14=Familia pedido","","15=Fecha confirmación SGA","13/04/2026","14=Nombre proveedor","RICOH ESPAÑA","14=Contacto proveedor","","14=Dirección proveedor","","14=CP proveedor","","14=Población proveedor","","14=Provincia proveedor","","14=País Proveedor","","2=bultosP","36","10=palesP","12,00000000000000000000","14=Cód_ Servicio solicitado Fact_","","10=Peso facturable","1114,20000000000000000000","14=Operativa","053","14=Descripción","PRUEBA PILOTO INPOST","2=Nº línea","30000","14=Cód_ producto cliente","11-50-000523","14=Descripción ampliada","PUERTA INDOOR - MEDIANA - IZQUIERDA","10=Cantidad confirmada por SGA","50,00000000000000000000","2=numeroexpediciones","1","10=recepcion","41,90458440000000000000","10=devolucion","0,00000000000000000000","10=gestion","0,00000000000000000000","10=franqueo","0,00000000000000000000","10=prima","0,00000000000000000000","10=transporte","0,00000000000000000000"</v>
      </c>
      <c r="C6" t="str">
        <f t="shared" si="0"/>
        <v>RP260007584</v>
      </c>
      <c r="D6" t="str">
        <f>""</f>
        <v/>
      </c>
      <c r="E6" s="3" t="str">
        <f>""</f>
        <v/>
      </c>
      <c r="F6" s="3" t="str">
        <f>""</f>
        <v/>
      </c>
      <c r="G6" t="str">
        <f>""</f>
        <v/>
      </c>
      <c r="H6" t="str">
        <f>""</f>
        <v/>
      </c>
      <c r="I6" t="str">
        <f>""</f>
        <v/>
      </c>
      <c r="J6" t="str">
        <f>""</f>
        <v/>
      </c>
      <c r="K6" s="1" t="str">
        <f>""</f>
        <v/>
      </c>
      <c r="L6" t="str">
        <f>""</f>
        <v/>
      </c>
      <c r="M6" t="str">
        <f>""</f>
        <v/>
      </c>
      <c r="N6" t="str">
        <f>""</f>
        <v/>
      </c>
      <c r="O6" t="str">
        <f>""</f>
        <v/>
      </c>
      <c r="P6" t="str">
        <f>""</f>
        <v/>
      </c>
      <c r="Q6" t="str">
        <f>""</f>
        <v/>
      </c>
      <c r="R6" t="str">
        <f>""</f>
        <v/>
      </c>
      <c r="S6" t="str">
        <f>""</f>
        <v/>
      </c>
      <c r="T6" t="str">
        <f>""</f>
        <v/>
      </c>
      <c r="U6" t="str">
        <f>""</f>
        <v/>
      </c>
      <c r="V6" t="str">
        <f>""</f>
        <v/>
      </c>
      <c r="W6" t="str">
        <f>"11-50-000523"</f>
        <v>11-50-000523</v>
      </c>
      <c r="X6" t="str">
        <f>"PUERTA INDOOR - MEDIANA - IZQUIERDA"</f>
        <v>PUERTA INDOOR - MEDIANA - IZQUIERDA</v>
      </c>
      <c r="Y6">
        <v>50</v>
      </c>
      <c r="Z6" s="16" t="str">
        <f>""</f>
        <v/>
      </c>
      <c r="AA6" s="16" t="str">
        <f>""</f>
        <v/>
      </c>
      <c r="AB6" s="16" t="str">
        <f t="shared" si="1"/>
        <v/>
      </c>
      <c r="AC6" s="16" t="str">
        <f>""</f>
        <v/>
      </c>
      <c r="AD6" s="16" t="str">
        <f>""</f>
        <v/>
      </c>
      <c r="AE6" s="16" t="str">
        <f>""</f>
        <v/>
      </c>
      <c r="AF6" s="16" t="str">
        <f t="shared" si="2"/>
        <v/>
      </c>
      <c r="AG6" t="str">
        <f>""</f>
        <v/>
      </c>
    </row>
    <row r="7" spans="1:33" x14ac:dyDescent="0.3">
      <c r="A7" t="s">
        <v>299</v>
      </c>
      <c r="B7" t="str">
        <f>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línea"",""40000"",""14=Cód_ producto cliente"",""11-50-000520"",""14=Descripción ampliada"",""PUERTA INDOOR - MEDIANA - DE"&amp;"RECHA"",""10=Cantidad confirmada por SGA"",""50,00000000000000000000"",""2=numeroexpediciones"",""1"",""10=recepcion"",""41,90458440000000000000"",""10=devolucion"",""0,00000000000000000000"",""10=gestion"",""0,00000000000000000000"",""10=franqueo"",""0,00000000000000000000"",""10"&amp;"=prima"",""0,00000000000000000000"",""10=transporte"",""0,00000000000000000000"""</f>
        <v>"SQL-NAVISION","","SQL=","14=Id_ Prefactura","PF26-00004176","2=Tipo documento","0","14=Nº documento","RP260007584","14=Nº documento cliente","E7338256","14=No_ referencia transporte","","14=Familia pedido","","15=Fecha confirmación SGA","13/04/2026","14=Nombre proveedor","RICOH ESPAÑA","14=Contacto proveedor","","14=Dirección proveedor","","14=CP proveedor","","14=Población proveedor","","14=Provincia proveedor","","14=País Proveedor","","2=bultosP","36","10=palesP","12,00000000000000000000","14=Cód_ Servicio solicitado Fact_","","10=Peso facturable","1114,20000000000000000000","14=Operativa","053","14=Descripción","PRUEBA PILOTO INPOST","2=Nº línea","40000","14=Cód_ producto cliente","11-50-000520","14=Descripción ampliada","PUERTA INDOOR - MEDIANA - DERECHA","10=Cantidad confirmada por SGA","50,00000000000000000000","2=numeroexpediciones","1","10=recepcion","41,90458440000000000000","10=devolucion","0,00000000000000000000","10=gestion","0,00000000000000000000","10=franqueo","0,00000000000000000000","10=prima","0,00000000000000000000","10=transporte","0,00000000000000000000"</v>
      </c>
      <c r="C7" t="str">
        <f t="shared" si="0"/>
        <v>RP260007584</v>
      </c>
      <c r="D7" t="str">
        <f>""</f>
        <v/>
      </c>
      <c r="E7" s="3" t="str">
        <f>""</f>
        <v/>
      </c>
      <c r="F7" s="3" t="str">
        <f>""</f>
        <v/>
      </c>
      <c r="G7" t="str">
        <f>""</f>
        <v/>
      </c>
      <c r="H7" t="str">
        <f>""</f>
        <v/>
      </c>
      <c r="I7" t="str">
        <f>""</f>
        <v/>
      </c>
      <c r="J7" t="str">
        <f>""</f>
        <v/>
      </c>
      <c r="K7" s="1" t="str">
        <f>""</f>
        <v/>
      </c>
      <c r="L7" t="str">
        <f>""</f>
        <v/>
      </c>
      <c r="M7" t="str">
        <f>""</f>
        <v/>
      </c>
      <c r="N7" t="str">
        <f>""</f>
        <v/>
      </c>
      <c r="O7" t="str">
        <f>""</f>
        <v/>
      </c>
      <c r="P7" t="str">
        <f>""</f>
        <v/>
      </c>
      <c r="Q7" t="str">
        <f>""</f>
        <v/>
      </c>
      <c r="R7" t="str">
        <f>""</f>
        <v/>
      </c>
      <c r="S7" t="str">
        <f>""</f>
        <v/>
      </c>
      <c r="T7" t="str">
        <f>""</f>
        <v/>
      </c>
      <c r="U7" t="str">
        <f>""</f>
        <v/>
      </c>
      <c r="V7" t="str">
        <f>""</f>
        <v/>
      </c>
      <c r="W7" t="str">
        <f>"11-50-000520"</f>
        <v>11-50-000520</v>
      </c>
      <c r="X7" t="str">
        <f>"PUERTA INDOOR - MEDIANA - DERECHA"</f>
        <v>PUERTA INDOOR - MEDIANA - DERECHA</v>
      </c>
      <c r="Y7">
        <v>50</v>
      </c>
      <c r="Z7" s="16" t="str">
        <f>""</f>
        <v/>
      </c>
      <c r="AA7" s="16" t="str">
        <f>""</f>
        <v/>
      </c>
      <c r="AB7" s="16" t="str">
        <f t="shared" si="1"/>
        <v/>
      </c>
      <c r="AC7" s="16" t="str">
        <f>""</f>
        <v/>
      </c>
      <c r="AD7" s="16" t="str">
        <f>""</f>
        <v/>
      </c>
      <c r="AE7" s="16" t="str">
        <f>""</f>
        <v/>
      </c>
      <c r="AF7" s="16" t="str">
        <f t="shared" si="2"/>
        <v/>
      </c>
      <c r="AG7" t="str">
        <f>""</f>
        <v/>
      </c>
    </row>
    <row r="8" spans="1:33" x14ac:dyDescent="0.3">
      <c r="A8" t="s">
        <v>299</v>
      </c>
      <c r="B8" t="str">
        <f>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línea"",""50000"",""14=Cód_ producto cliente"",""11-50-000524"",""14=Descripción ampliada"",""PUERTA INDOOR - GRANDE - IZQ"&amp;"UIERDA"",""10=Cantidad confirmada por SGA"",""50,00000000000000000000"",""2=numeroexpediciones"",""1"",""10=recepcion"",""41,90458440000000000000"",""10=devolucion"",""0,00000000000000000000"",""10=gestion"",""0,00000000000000000000"",""10=franqueo"",""0,00000000000000000000"",""1"&amp;"0=prima"",""0,00000000000000000000"",""10=transporte"",""0,00000000000000000000"""</f>
        <v>"SQL-NAVISION","","SQL=","14=Id_ Prefactura","PF26-00004176","2=Tipo documento","0","14=Nº documento","RP260007584","14=Nº documento cliente","E7338256","14=No_ referencia transporte","","14=Familia pedido","","15=Fecha confirmación SGA","13/04/2026","14=Nombre proveedor","RICOH ESPAÑA","14=Contacto proveedor","","14=Dirección proveedor","","14=CP proveedor","","14=Población proveedor","","14=Provincia proveedor","","14=País Proveedor","","2=bultosP","36","10=palesP","12,00000000000000000000","14=Cód_ Servicio solicitado Fact_","","10=Peso facturable","1114,20000000000000000000","14=Operativa","053","14=Descripción","PRUEBA PILOTO INPOST","2=Nº línea","50000","14=Cód_ producto cliente","11-50-000524","14=Descripción ampliada","PUERTA INDOOR - GRANDE - IZQUIERDA","10=Cantidad confirmada por SGA","50,00000000000000000000","2=numeroexpediciones","1","10=recepcion","41,90458440000000000000","10=devolucion","0,00000000000000000000","10=gestion","0,00000000000000000000","10=franqueo","0,00000000000000000000","10=prima","0,00000000000000000000","10=transporte","0,00000000000000000000"</v>
      </c>
      <c r="C8" t="str">
        <f t="shared" si="0"/>
        <v>RP260007584</v>
      </c>
      <c r="D8" t="str">
        <f>""</f>
        <v/>
      </c>
      <c r="E8" s="3" t="str">
        <f>""</f>
        <v/>
      </c>
      <c r="F8" s="3" t="str">
        <f>""</f>
        <v/>
      </c>
      <c r="G8" t="str">
        <f>""</f>
        <v/>
      </c>
      <c r="H8" t="str">
        <f>""</f>
        <v/>
      </c>
      <c r="I8" t="str">
        <f>""</f>
        <v/>
      </c>
      <c r="J8" t="str">
        <f>""</f>
        <v/>
      </c>
      <c r="K8" s="1" t="str">
        <f>""</f>
        <v/>
      </c>
      <c r="L8" t="str">
        <f>""</f>
        <v/>
      </c>
      <c r="M8" t="str">
        <f>""</f>
        <v/>
      </c>
      <c r="N8" t="str">
        <f>""</f>
        <v/>
      </c>
      <c r="O8" t="str">
        <f>""</f>
        <v/>
      </c>
      <c r="P8" t="str">
        <f>""</f>
        <v/>
      </c>
      <c r="Q8" t="str">
        <f>""</f>
        <v/>
      </c>
      <c r="R8" t="str">
        <f>""</f>
        <v/>
      </c>
      <c r="S8" t="str">
        <f>""</f>
        <v/>
      </c>
      <c r="T8" t="str">
        <f>""</f>
        <v/>
      </c>
      <c r="U8" t="str">
        <f>""</f>
        <v/>
      </c>
      <c r="V8" t="str">
        <f>""</f>
        <v/>
      </c>
      <c r="W8" t="str">
        <f>"11-50-000524"</f>
        <v>11-50-000524</v>
      </c>
      <c r="X8" t="str">
        <f>"PUERTA INDOOR - GRANDE - IZQUIERDA"</f>
        <v>PUERTA INDOOR - GRANDE - IZQUIERDA</v>
      </c>
      <c r="Y8">
        <v>50</v>
      </c>
      <c r="Z8" s="16" t="str">
        <f>""</f>
        <v/>
      </c>
      <c r="AA8" s="16" t="str">
        <f>""</f>
        <v/>
      </c>
      <c r="AB8" s="16" t="str">
        <f t="shared" si="1"/>
        <v/>
      </c>
      <c r="AC8" s="16" t="str">
        <f>""</f>
        <v/>
      </c>
      <c r="AD8" s="16" t="str">
        <f>""</f>
        <v/>
      </c>
      <c r="AE8" s="16" t="str">
        <f>""</f>
        <v/>
      </c>
      <c r="AF8" s="16" t="str">
        <f t="shared" si="2"/>
        <v/>
      </c>
      <c r="AG8" t="str">
        <f>""</f>
        <v/>
      </c>
    </row>
    <row r="9" spans="1:33" x14ac:dyDescent="0.3">
      <c r="A9" t="s">
        <v>299</v>
      </c>
      <c r="B9" t="str">
        <f>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línea"",""60000"",""14=Cód_ producto cliente"",""11-50-000521"",""14=Descripción ampliada"",""PUERTA INDOOR - GRANDE - DER"&amp;"ECHA"",""10=Cantidad confirmada por SGA"",""50,00000000000000000000"",""2=numeroexpediciones"",""1"",""10=recepcion"",""41,90458440000000000000"",""10=devolucion"",""0,00000000000000000000"",""10=gestion"",""0,00000000000000000000"",""10=franqueo"",""0,00000000000000000000"",""10="&amp;"prima"",""0,00000000000000000000"",""10=transporte"",""0,00000000000000000000"""</f>
        <v>"SQL-NAVISION","","SQL=","14=Id_ Prefactura","PF26-00004176","2=Tipo documento","0","14=Nº documento","RP260007584","14=Nº documento cliente","E7338256","14=No_ referencia transporte","","14=Familia pedido","","15=Fecha confirmación SGA","13/04/2026","14=Nombre proveedor","RICOH ESPAÑA","14=Contacto proveedor","","14=Dirección proveedor","","14=CP proveedor","","14=Población proveedor","","14=Provincia proveedor","","14=País Proveedor","","2=bultosP","36","10=palesP","12,00000000000000000000","14=Cód_ Servicio solicitado Fact_","","10=Peso facturable","1114,20000000000000000000","14=Operativa","053","14=Descripción","PRUEBA PILOTO INPOST","2=Nº línea","60000","14=Cód_ producto cliente","11-50-000521","14=Descripción ampliada","PUERTA INDOOR - GRANDE - DERECHA","10=Cantidad confirmada por SGA","50,00000000000000000000","2=numeroexpediciones","1","10=recepcion","41,90458440000000000000","10=devolucion","0,00000000000000000000","10=gestion","0,00000000000000000000","10=franqueo","0,00000000000000000000","10=prima","0,00000000000000000000","10=transporte","0,00000000000000000000"</v>
      </c>
      <c r="C9" t="str">
        <f t="shared" si="0"/>
        <v>RP260007584</v>
      </c>
      <c r="D9" t="str">
        <f>""</f>
        <v/>
      </c>
      <c r="E9" s="3" t="str">
        <f>""</f>
        <v/>
      </c>
      <c r="F9" s="3" t="str">
        <f>""</f>
        <v/>
      </c>
      <c r="G9" t="str">
        <f>""</f>
        <v/>
      </c>
      <c r="H9" t="str">
        <f>""</f>
        <v/>
      </c>
      <c r="I9" t="str">
        <f>""</f>
        <v/>
      </c>
      <c r="J9" t="str">
        <f>""</f>
        <v/>
      </c>
      <c r="K9" s="1" t="str">
        <f>""</f>
        <v/>
      </c>
      <c r="L9" t="str">
        <f>""</f>
        <v/>
      </c>
      <c r="M9" t="str">
        <f>""</f>
        <v/>
      </c>
      <c r="N9" t="str">
        <f>""</f>
        <v/>
      </c>
      <c r="O9" t="str">
        <f>""</f>
        <v/>
      </c>
      <c r="P9" t="str">
        <f>""</f>
        <v/>
      </c>
      <c r="Q9" t="str">
        <f>""</f>
        <v/>
      </c>
      <c r="R9" t="str">
        <f>""</f>
        <v/>
      </c>
      <c r="S9" t="str">
        <f>""</f>
        <v/>
      </c>
      <c r="T9" t="str">
        <f>""</f>
        <v/>
      </c>
      <c r="U9" t="str">
        <f>""</f>
        <v/>
      </c>
      <c r="V9" t="str">
        <f>""</f>
        <v/>
      </c>
      <c r="W9" t="str">
        <f>"11-50-000521"</f>
        <v>11-50-000521</v>
      </c>
      <c r="X9" t="str">
        <f>"PUERTA INDOOR - GRANDE - DERECHA"</f>
        <v>PUERTA INDOOR - GRANDE - DERECHA</v>
      </c>
      <c r="Y9">
        <v>50</v>
      </c>
      <c r="Z9" s="16" t="str">
        <f>""</f>
        <v/>
      </c>
      <c r="AA9" s="16" t="str">
        <f>""</f>
        <v/>
      </c>
      <c r="AB9" s="16" t="str">
        <f t="shared" si="1"/>
        <v/>
      </c>
      <c r="AC9" s="16" t="str">
        <f>""</f>
        <v/>
      </c>
      <c r="AD9" s="16" t="str">
        <f>""</f>
        <v/>
      </c>
      <c r="AE9" s="16" t="str">
        <f>""</f>
        <v/>
      </c>
      <c r="AF9" s="16" t="str">
        <f t="shared" si="2"/>
        <v/>
      </c>
      <c r="AG9" t="str">
        <f>""</f>
        <v/>
      </c>
    </row>
    <row r="10" spans="1:33" x14ac:dyDescent="0.3">
      <c r="A10" t="s">
        <v>299</v>
      </c>
      <c r="B10" t="str">
        <f>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línea"",""70000"",""14=Cód_ producto cliente"",""11-50-000041"",""14=Descripción ampliada"",""PUERTA OUTDOOR - PEQUE¥A - I"&amp;"ZQUIERDA"",""10=Cantidad confirmada por SGA"",""50,00000000000000000000"",""2=numeroexpediciones"",""1"",""10=recepcion"",""41,90458440000000000000"",""10=devolucion"",""0,00000000000000000000"",""10=gestion"",""0,00000000000000000000"",""10=franqueo"",""0,00000000000000000000"","&amp;"""10=prima"",""0,00000000000000000000"",""10=transporte"",""0,00000000000000000000"""</f>
        <v>"SQL-NAVISION","","SQL=","14=Id_ Prefactura","PF26-00004176","2=Tipo documento","0","14=Nº documento","RP260007584","14=Nº documento cliente","E7338256","14=No_ referencia transporte","","14=Familia pedido","","15=Fecha confirmación SGA","13/04/2026","14=Nombre proveedor","RICOH ESPAÑA","14=Contacto proveedor","","14=Dirección proveedor","","14=CP proveedor","","14=Población proveedor","","14=Provincia proveedor","","14=País Proveedor","","2=bultosP","36","10=palesP","12,00000000000000000000","14=Cód_ Servicio solicitado Fact_","","10=Peso facturable","1114,20000000000000000000","14=Operativa","053","14=Descripción","PRUEBA PILOTO INPOST","2=Nº línea","70000","14=Cód_ producto cliente","11-50-000041","14=Descripción ampliada","PUERTA OUTDOOR - PEQUE¥A - IZQUIERDA","10=Cantidad confirmada por SGA","50,00000000000000000000","2=numeroexpediciones","1","10=recepcion","41,90458440000000000000","10=devolucion","0,00000000000000000000","10=gestion","0,00000000000000000000","10=franqueo","0,00000000000000000000","10=prima","0,00000000000000000000","10=transporte","0,00000000000000000000"</v>
      </c>
      <c r="C10" t="str">
        <f t="shared" si="0"/>
        <v>RP260007584</v>
      </c>
      <c r="D10" t="str">
        <f>""</f>
        <v/>
      </c>
      <c r="E10" s="3" t="str">
        <f>""</f>
        <v/>
      </c>
      <c r="F10" s="3" t="str">
        <f>""</f>
        <v/>
      </c>
      <c r="G10" t="str">
        <f>""</f>
        <v/>
      </c>
      <c r="H10" t="str">
        <f>""</f>
        <v/>
      </c>
      <c r="I10" t="str">
        <f>""</f>
        <v/>
      </c>
      <c r="J10" t="str">
        <f>""</f>
        <v/>
      </c>
      <c r="K10" s="1" t="str">
        <f>""</f>
        <v/>
      </c>
      <c r="L10" t="str">
        <f>""</f>
        <v/>
      </c>
      <c r="M10" t="str">
        <f>""</f>
        <v/>
      </c>
      <c r="N10" t="str">
        <f>""</f>
        <v/>
      </c>
      <c r="O10" t="str">
        <f>""</f>
        <v/>
      </c>
      <c r="P10" t="str">
        <f>""</f>
        <v/>
      </c>
      <c r="Q10" t="str">
        <f>""</f>
        <v/>
      </c>
      <c r="R10" t="str">
        <f>""</f>
        <v/>
      </c>
      <c r="S10" t="str">
        <f>""</f>
        <v/>
      </c>
      <c r="T10" t="str">
        <f>""</f>
        <v/>
      </c>
      <c r="U10" t="str">
        <f>""</f>
        <v/>
      </c>
      <c r="V10" t="str">
        <f>""</f>
        <v/>
      </c>
      <c r="W10" t="str">
        <f>"11-50-000041"</f>
        <v>11-50-000041</v>
      </c>
      <c r="X10" t="str">
        <f>"PUERTA OUTDOOR - PEQUE¥A - IZQUIERDA"</f>
        <v>PUERTA OUTDOOR - PEQUE¥A - IZQUIERDA</v>
      </c>
      <c r="Y10">
        <v>50</v>
      </c>
      <c r="Z10" s="16" t="str">
        <f>""</f>
        <v/>
      </c>
      <c r="AA10" s="16" t="str">
        <f>""</f>
        <v/>
      </c>
      <c r="AB10" s="16" t="str">
        <f t="shared" si="1"/>
        <v/>
      </c>
      <c r="AC10" s="16" t="str">
        <f>""</f>
        <v/>
      </c>
      <c r="AD10" s="16" t="str">
        <f>""</f>
        <v/>
      </c>
      <c r="AE10" s="16" t="str">
        <f>""</f>
        <v/>
      </c>
      <c r="AF10" s="16" t="str">
        <f t="shared" si="2"/>
        <v/>
      </c>
      <c r="AG10" t="str">
        <f>""</f>
        <v/>
      </c>
    </row>
    <row r="11" spans="1:33" x14ac:dyDescent="0.3">
      <c r="A11" t="s">
        <v>299</v>
      </c>
      <c r="B11" t="str">
        <f>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línea"",""80000"",""14=Cód_ producto cliente"",""11-50-000040"",""14=Descripción ampliada"",""PUERTA OUTDOOR - PEQUE¥A - D"&amp;"ERECHA"",""10=Cantidad confirmada por SGA"",""50,00000000000000000000"",""2=numeroexpediciones"",""1"",""10=recepcion"",""41,90458440000000000000"",""10=devolucion"",""0,00000000000000000000"",""10=gestion"",""0,00000000000000000000"",""10=franqueo"",""0,00000000000000000000"",""1"&amp;"0=prima"",""0,00000000000000000000"",""10=transporte"",""0,00000000000000000000"""</f>
        <v>"SQL-NAVISION","","SQL=","14=Id_ Prefactura","PF26-00004176","2=Tipo documento","0","14=Nº documento","RP260007584","14=Nº documento cliente","E7338256","14=No_ referencia transporte","","14=Familia pedido","","15=Fecha confirmación SGA","13/04/2026","14=Nombre proveedor","RICOH ESPAÑA","14=Contacto proveedor","","14=Dirección proveedor","","14=CP proveedor","","14=Población proveedor","","14=Provincia proveedor","","14=País Proveedor","","2=bultosP","36","10=palesP","12,00000000000000000000","14=Cód_ Servicio solicitado Fact_","","10=Peso facturable","1114,20000000000000000000","14=Operativa","053","14=Descripción","PRUEBA PILOTO INPOST","2=Nº línea","80000","14=Cód_ producto cliente","11-50-000040","14=Descripción ampliada","PUERTA OUTDOOR - PEQUE¥A - DERECHA","10=Cantidad confirmada por SGA","50,00000000000000000000","2=numeroexpediciones","1","10=recepcion","41,90458440000000000000","10=devolucion","0,00000000000000000000","10=gestion","0,00000000000000000000","10=franqueo","0,00000000000000000000","10=prima","0,00000000000000000000","10=transporte","0,00000000000000000000"</v>
      </c>
      <c r="C11" t="str">
        <f t="shared" si="0"/>
        <v>RP260007584</v>
      </c>
      <c r="D11" t="str">
        <f>""</f>
        <v/>
      </c>
      <c r="E11" s="3" t="str">
        <f>""</f>
        <v/>
      </c>
      <c r="F11" s="3" t="str">
        <f>""</f>
        <v/>
      </c>
      <c r="G11" t="str">
        <f>""</f>
        <v/>
      </c>
      <c r="H11" t="str">
        <f>""</f>
        <v/>
      </c>
      <c r="I11" t="str">
        <f>""</f>
        <v/>
      </c>
      <c r="J11" t="str">
        <f>""</f>
        <v/>
      </c>
      <c r="K11" s="1" t="str">
        <f>""</f>
        <v/>
      </c>
      <c r="L11" t="str">
        <f>""</f>
        <v/>
      </c>
      <c r="M11" t="str">
        <f>""</f>
        <v/>
      </c>
      <c r="N11" t="str">
        <f>""</f>
        <v/>
      </c>
      <c r="O11" t="str">
        <f>""</f>
        <v/>
      </c>
      <c r="P11" t="str">
        <f>""</f>
        <v/>
      </c>
      <c r="Q11" t="str">
        <f>""</f>
        <v/>
      </c>
      <c r="R11" t="str">
        <f>""</f>
        <v/>
      </c>
      <c r="S11" t="str">
        <f>""</f>
        <v/>
      </c>
      <c r="T11" t="str">
        <f>""</f>
        <v/>
      </c>
      <c r="U11" t="str">
        <f>""</f>
        <v/>
      </c>
      <c r="V11" t="str">
        <f>""</f>
        <v/>
      </c>
      <c r="W11" t="str">
        <f>"11-50-000040"</f>
        <v>11-50-000040</v>
      </c>
      <c r="X11" t="str">
        <f>"PUERTA OUTDOOR - PEQUE¥A - DERECHA"</f>
        <v>PUERTA OUTDOOR - PEQUE¥A - DERECHA</v>
      </c>
      <c r="Y11">
        <v>50</v>
      </c>
      <c r="Z11" s="16" t="str">
        <f>""</f>
        <v/>
      </c>
      <c r="AA11" s="16" t="str">
        <f>""</f>
        <v/>
      </c>
      <c r="AB11" s="16" t="str">
        <f t="shared" si="1"/>
        <v/>
      </c>
      <c r="AC11" s="16" t="str">
        <f>""</f>
        <v/>
      </c>
      <c r="AD11" s="16" t="str">
        <f>""</f>
        <v/>
      </c>
      <c r="AE11" s="16" t="str">
        <f>""</f>
        <v/>
      </c>
      <c r="AF11" s="16" t="str">
        <f t="shared" si="2"/>
        <v/>
      </c>
      <c r="AG11" t="str">
        <f>""</f>
        <v/>
      </c>
    </row>
    <row r="12" spans="1:33" x14ac:dyDescent="0.3">
      <c r="A12" t="s">
        <v>299</v>
      </c>
      <c r="B12" t="str">
        <f>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línea"",""90000"",""14=Cód_ producto cliente"",""11-50-000038"",""14=Descripción ampliada"",""PUERTA OUTDOOR - MEDIANA - I"&amp;"ZQUIERDA"",""10=Cantidad confirmada por SGA"",""50,00000000000000000000"",""2=numeroexpediciones"",""1"",""10=recepcion"",""41,90458440000000000000"",""10=devolucion"",""0,00000000000000000000"",""10=gestion"",""0,00000000000000000000"",""10=franqueo"",""0,00000000000000000000"","&amp;"""10=prima"",""0,00000000000000000000"",""10=transporte"",""0,00000000000000000000"""</f>
        <v>"SQL-NAVISION","","SQL=","14=Id_ Prefactura","PF26-00004176","2=Tipo documento","0","14=Nº documento","RP260007584","14=Nº documento cliente","E7338256","14=No_ referencia transporte","","14=Familia pedido","","15=Fecha confirmación SGA","13/04/2026","14=Nombre proveedor","RICOH ESPAÑA","14=Contacto proveedor","","14=Dirección proveedor","","14=CP proveedor","","14=Población proveedor","","14=Provincia proveedor","","14=País Proveedor","","2=bultosP","36","10=palesP","12,00000000000000000000","14=Cód_ Servicio solicitado Fact_","","10=Peso facturable","1114,20000000000000000000","14=Operativa","053","14=Descripción","PRUEBA PILOTO INPOST","2=Nº línea","90000","14=Cód_ producto cliente","11-50-000038","14=Descripción ampliada","PUERTA OUTDOOR - MEDIANA - IZQUIERDA","10=Cantidad confirmada por SGA","50,00000000000000000000","2=numeroexpediciones","1","10=recepcion","41,90458440000000000000","10=devolucion","0,00000000000000000000","10=gestion","0,00000000000000000000","10=franqueo","0,00000000000000000000","10=prima","0,00000000000000000000","10=transporte","0,00000000000000000000"</v>
      </c>
      <c r="C12" t="str">
        <f t="shared" si="0"/>
        <v>RP260007584</v>
      </c>
      <c r="D12" t="str">
        <f>""</f>
        <v/>
      </c>
      <c r="E12" s="3" t="str">
        <f>""</f>
        <v/>
      </c>
      <c r="F12" s="3" t="str">
        <f>""</f>
        <v/>
      </c>
      <c r="G12" t="str">
        <f>""</f>
        <v/>
      </c>
      <c r="H12" t="str">
        <f>""</f>
        <v/>
      </c>
      <c r="I12" t="str">
        <f>""</f>
        <v/>
      </c>
      <c r="J12" t="str">
        <f>""</f>
        <v/>
      </c>
      <c r="K12" s="1" t="str">
        <f>""</f>
        <v/>
      </c>
      <c r="L12" t="str">
        <f>""</f>
        <v/>
      </c>
      <c r="M12" t="str">
        <f>""</f>
        <v/>
      </c>
      <c r="N12" t="str">
        <f>""</f>
        <v/>
      </c>
      <c r="O12" t="str">
        <f>""</f>
        <v/>
      </c>
      <c r="P12" t="str">
        <f>""</f>
        <v/>
      </c>
      <c r="Q12" t="str">
        <f>""</f>
        <v/>
      </c>
      <c r="R12" t="str">
        <f>""</f>
        <v/>
      </c>
      <c r="S12" t="str">
        <f>""</f>
        <v/>
      </c>
      <c r="T12" t="str">
        <f>""</f>
        <v/>
      </c>
      <c r="U12" t="str">
        <f>""</f>
        <v/>
      </c>
      <c r="V12" t="str">
        <f>""</f>
        <v/>
      </c>
      <c r="W12" t="str">
        <f>"11-50-000038"</f>
        <v>11-50-000038</v>
      </c>
      <c r="X12" t="str">
        <f>"PUERTA OUTDOOR - MEDIANA - IZQUIERDA"</f>
        <v>PUERTA OUTDOOR - MEDIANA - IZQUIERDA</v>
      </c>
      <c r="Y12">
        <v>50</v>
      </c>
      <c r="Z12" s="16" t="str">
        <f>""</f>
        <v/>
      </c>
      <c r="AA12" s="16" t="str">
        <f>""</f>
        <v/>
      </c>
      <c r="AB12" s="16" t="str">
        <f t="shared" si="1"/>
        <v/>
      </c>
      <c r="AC12" s="16" t="str">
        <f>""</f>
        <v/>
      </c>
      <c r="AD12" s="16" t="str">
        <f>""</f>
        <v/>
      </c>
      <c r="AE12" s="16" t="str">
        <f>""</f>
        <v/>
      </c>
      <c r="AF12" s="16" t="str">
        <f t="shared" si="2"/>
        <v/>
      </c>
      <c r="AG12" t="str">
        <f>""</f>
        <v/>
      </c>
    </row>
    <row r="13" spans="1:33" x14ac:dyDescent="0.3">
      <c r="A13" t="s">
        <v>299</v>
      </c>
      <c r="B13" t="str">
        <f>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línea"",""100000"",""14=Cód_ producto cliente"",""11-50-000039"",""14=Descripción ampliada"",""PUERTA OUTDOOR - MEDIANA - "&amp;"DERECHA"",""10=Cantidad confirmada por SGA"",""50,00000000000000000000"",""2=numeroexpediciones"",""1"",""10=recepcion"",""41,90458440000000000000"",""10=devolucion"",""0,00000000000000000000"",""10=gestion"",""0,00000000000000000000"",""10=franqueo"",""0,00000000000000000000"","""&amp;"10=prima"",""0,00000000000000000000"",""10=transporte"",""0,00000000000000000000"""</f>
        <v>"SQL-NAVISION","","SQL=","14=Id_ Prefactura","PF26-00004176","2=Tipo documento","0","14=Nº documento","RP260007584","14=Nº documento cliente","E7338256","14=No_ referencia transporte","","14=Familia pedido","","15=Fecha confirmación SGA","13/04/2026","14=Nombre proveedor","RICOH ESPAÑA","14=Contacto proveedor","","14=Dirección proveedor","","14=CP proveedor","","14=Población proveedor","","14=Provincia proveedor","","14=País Proveedor","","2=bultosP","36","10=palesP","12,00000000000000000000","14=Cód_ Servicio solicitado Fact_","","10=Peso facturable","1114,20000000000000000000","14=Operativa","053","14=Descripción","PRUEBA PILOTO INPOST","2=Nº línea","100000","14=Cód_ producto cliente","11-50-000039","14=Descripción ampliada","PUERTA OUTDOOR - MEDIANA - DERECHA","10=Cantidad confirmada por SGA","50,00000000000000000000","2=numeroexpediciones","1","10=recepcion","41,90458440000000000000","10=devolucion","0,00000000000000000000","10=gestion","0,00000000000000000000","10=franqueo","0,00000000000000000000","10=prima","0,00000000000000000000","10=transporte","0,00000000000000000000"</v>
      </c>
      <c r="C13" t="str">
        <f t="shared" si="0"/>
        <v>RP260007584</v>
      </c>
      <c r="D13" t="str">
        <f>""</f>
        <v/>
      </c>
      <c r="E13" s="3" t="str">
        <f>""</f>
        <v/>
      </c>
      <c r="F13" s="3" t="str">
        <f>""</f>
        <v/>
      </c>
      <c r="G13" t="str">
        <f>""</f>
        <v/>
      </c>
      <c r="H13" t="str">
        <f>""</f>
        <v/>
      </c>
      <c r="I13" t="str">
        <f>""</f>
        <v/>
      </c>
      <c r="J13" t="str">
        <f>""</f>
        <v/>
      </c>
      <c r="K13" s="1" t="str">
        <f>""</f>
        <v/>
      </c>
      <c r="L13" t="str">
        <f>""</f>
        <v/>
      </c>
      <c r="M13" t="str">
        <f>""</f>
        <v/>
      </c>
      <c r="N13" t="str">
        <f>""</f>
        <v/>
      </c>
      <c r="O13" t="str">
        <f>""</f>
        <v/>
      </c>
      <c r="P13" t="str">
        <f>""</f>
        <v/>
      </c>
      <c r="Q13" t="str">
        <f>""</f>
        <v/>
      </c>
      <c r="R13" t="str">
        <f>""</f>
        <v/>
      </c>
      <c r="S13" t="str">
        <f>""</f>
        <v/>
      </c>
      <c r="T13" t="str">
        <f>""</f>
        <v/>
      </c>
      <c r="U13" t="str">
        <f>""</f>
        <v/>
      </c>
      <c r="V13" t="str">
        <f>""</f>
        <v/>
      </c>
      <c r="W13" t="str">
        <f>"11-50-000039"</f>
        <v>11-50-000039</v>
      </c>
      <c r="X13" t="str">
        <f>"PUERTA OUTDOOR - MEDIANA - DERECHA"</f>
        <v>PUERTA OUTDOOR - MEDIANA - DERECHA</v>
      </c>
      <c r="Y13">
        <v>50</v>
      </c>
      <c r="Z13" s="16" t="str">
        <f>""</f>
        <v/>
      </c>
      <c r="AA13" s="16" t="str">
        <f>""</f>
        <v/>
      </c>
      <c r="AB13" s="16" t="str">
        <f t="shared" si="1"/>
        <v/>
      </c>
      <c r="AC13" s="16" t="str">
        <f>""</f>
        <v/>
      </c>
      <c r="AD13" s="16" t="str">
        <f>""</f>
        <v/>
      </c>
      <c r="AE13" s="16" t="str">
        <f>""</f>
        <v/>
      </c>
      <c r="AF13" s="16" t="str">
        <f t="shared" si="2"/>
        <v/>
      </c>
      <c r="AG13" t="str">
        <f>""</f>
        <v/>
      </c>
    </row>
    <row r="14" spans="1:33" x14ac:dyDescent="0.3">
      <c r="A14" t="s">
        <v>299</v>
      </c>
      <c r="B14" t="str">
        <f>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línea"",""110000"",""14=Cód_ producto cliente"",""11-50-000037"",""14=Descripción ampliada"",""PUERTA OUTDOOR - GRANDE - I"&amp;"ZQUIERDA"",""10=Cantidad confirmada por SGA"",""50,00000000000000000000"",""2=numeroexpediciones"",""1"",""10=recepcion"",""41,90458440000000000000"",""10=devolucion"",""0,00000000000000000000"",""10=gestion"",""0,00000000000000000000"",""10=franqueo"",""0,00000000000000000000"","&amp;"""10=prima"",""0,00000000000000000000"",""10=transporte"",""0,00000000000000000000"""</f>
        <v>"SQL-NAVISION","","SQL=","14=Id_ Prefactura","PF26-00004176","2=Tipo documento","0","14=Nº documento","RP260007584","14=Nº documento cliente","E7338256","14=No_ referencia transporte","","14=Familia pedido","","15=Fecha confirmación SGA","13/04/2026","14=Nombre proveedor","RICOH ESPAÑA","14=Contacto proveedor","","14=Dirección proveedor","","14=CP proveedor","","14=Población proveedor","","14=Provincia proveedor","","14=País Proveedor","","2=bultosP","36","10=palesP","12,00000000000000000000","14=Cód_ Servicio solicitado Fact_","","10=Peso facturable","1114,20000000000000000000","14=Operativa","053","14=Descripción","PRUEBA PILOTO INPOST","2=Nº línea","110000","14=Cód_ producto cliente","11-50-000037","14=Descripción ampliada","PUERTA OUTDOOR - GRANDE - IZQUIERDA","10=Cantidad confirmada por SGA","50,00000000000000000000","2=numeroexpediciones","1","10=recepcion","41,90458440000000000000","10=devolucion","0,00000000000000000000","10=gestion","0,00000000000000000000","10=franqueo","0,00000000000000000000","10=prima","0,00000000000000000000","10=transporte","0,00000000000000000000"</v>
      </c>
      <c r="C14" t="str">
        <f t="shared" si="0"/>
        <v>RP260007584</v>
      </c>
      <c r="D14" t="str">
        <f>""</f>
        <v/>
      </c>
      <c r="E14" s="3" t="str">
        <f>""</f>
        <v/>
      </c>
      <c r="F14" s="3" t="str">
        <f>""</f>
        <v/>
      </c>
      <c r="G14" t="str">
        <f>""</f>
        <v/>
      </c>
      <c r="H14" t="str">
        <f>""</f>
        <v/>
      </c>
      <c r="I14" t="str">
        <f>""</f>
        <v/>
      </c>
      <c r="J14" t="str">
        <f>""</f>
        <v/>
      </c>
      <c r="K14" s="1" t="str">
        <f>""</f>
        <v/>
      </c>
      <c r="L14" t="str">
        <f>""</f>
        <v/>
      </c>
      <c r="M14" t="str">
        <f>""</f>
        <v/>
      </c>
      <c r="N14" t="str">
        <f>""</f>
        <v/>
      </c>
      <c r="O14" t="str">
        <f>""</f>
        <v/>
      </c>
      <c r="P14" t="str">
        <f>""</f>
        <v/>
      </c>
      <c r="Q14" t="str">
        <f>""</f>
        <v/>
      </c>
      <c r="R14" t="str">
        <f>""</f>
        <v/>
      </c>
      <c r="S14" t="str">
        <f>""</f>
        <v/>
      </c>
      <c r="T14" t="str">
        <f>""</f>
        <v/>
      </c>
      <c r="U14" t="str">
        <f>""</f>
        <v/>
      </c>
      <c r="V14" t="str">
        <f>""</f>
        <v/>
      </c>
      <c r="W14" t="str">
        <f>"11-50-000037"</f>
        <v>11-50-000037</v>
      </c>
      <c r="X14" t="str">
        <f>"PUERTA OUTDOOR - GRANDE - IZQUIERDA"</f>
        <v>PUERTA OUTDOOR - GRANDE - IZQUIERDA</v>
      </c>
      <c r="Y14">
        <v>50</v>
      </c>
      <c r="Z14" s="16" t="str">
        <f>""</f>
        <v/>
      </c>
      <c r="AA14" s="16" t="str">
        <f>""</f>
        <v/>
      </c>
      <c r="AB14" s="16" t="str">
        <f t="shared" si="1"/>
        <v/>
      </c>
      <c r="AC14" s="16" t="str">
        <f>""</f>
        <v/>
      </c>
      <c r="AD14" s="16" t="str">
        <f>""</f>
        <v/>
      </c>
      <c r="AE14" s="16" t="str">
        <f>""</f>
        <v/>
      </c>
      <c r="AF14" s="16" t="str">
        <f t="shared" si="2"/>
        <v/>
      </c>
      <c r="AG14" t="str">
        <f>""</f>
        <v/>
      </c>
    </row>
    <row r="15" spans="1:33" x14ac:dyDescent="0.3">
      <c r="A15" t="s">
        <v>299</v>
      </c>
      <c r="B15" t="str">
        <f>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línea"",""120000"",""14=Cód_ producto cliente"",""11-50-000011"",""14=Descripción ampliada"",""PUERTA OUTDOOR - GRANDE - D"&amp;"ERECHA"",""10=Cantidad confirmada por SGA"",""50,00000000000000000000"",""2=numeroexpediciones"",""1"",""10=recepcion"",""41,90458440000000000000"",""10=devolucion"",""0,00000000000000000000"",""10=gestion"",""0,00000000000000000000"",""10=franqueo"",""0,00000000000000000000"",""1"&amp;"0=prima"",""0,00000000000000000000"",""10=transporte"",""0,00000000000000000000"""</f>
        <v>"SQL-NAVISION","","SQL=","14=Id_ Prefactura","PF26-00004176","2=Tipo documento","0","14=Nº documento","RP260007584","14=Nº documento cliente","E7338256","14=No_ referencia transporte","","14=Familia pedido","","15=Fecha confirmación SGA","13/04/2026","14=Nombre proveedor","RICOH ESPAÑA","14=Contacto proveedor","","14=Dirección proveedor","","14=CP proveedor","","14=Población proveedor","","14=Provincia proveedor","","14=País Proveedor","","2=bultosP","36","10=palesP","12,00000000000000000000","14=Cód_ Servicio solicitado Fact_","","10=Peso facturable","1114,20000000000000000000","14=Operativa","053","14=Descripción","PRUEBA PILOTO INPOST","2=Nº línea","120000","14=Cód_ producto cliente","11-50-000011","14=Descripción ampliada","PUERTA OUTDOOR - GRANDE - DERECHA","10=Cantidad confirmada por SGA","50,00000000000000000000","2=numeroexpediciones","1","10=recepcion","41,90458440000000000000","10=devolucion","0,00000000000000000000","10=gestion","0,00000000000000000000","10=franqueo","0,00000000000000000000","10=prima","0,00000000000000000000","10=transporte","0,00000000000000000000"</v>
      </c>
      <c r="C15" t="str">
        <f t="shared" si="0"/>
        <v>RP260007584</v>
      </c>
      <c r="D15" t="str">
        <f>""</f>
        <v/>
      </c>
      <c r="E15" s="3" t="str">
        <f>""</f>
        <v/>
      </c>
      <c r="F15" s="3" t="str">
        <f>""</f>
        <v/>
      </c>
      <c r="G15" t="str">
        <f>""</f>
        <v/>
      </c>
      <c r="H15" t="str">
        <f>""</f>
        <v/>
      </c>
      <c r="I15" t="str">
        <f>""</f>
        <v/>
      </c>
      <c r="J15" t="str">
        <f>""</f>
        <v/>
      </c>
      <c r="K15" s="1" t="str">
        <f>""</f>
        <v/>
      </c>
      <c r="L15" t="str">
        <f>""</f>
        <v/>
      </c>
      <c r="M15" t="str">
        <f>""</f>
        <v/>
      </c>
      <c r="N15" t="str">
        <f>""</f>
        <v/>
      </c>
      <c r="O15" t="str">
        <f>""</f>
        <v/>
      </c>
      <c r="P15" t="str">
        <f>""</f>
        <v/>
      </c>
      <c r="Q15" t="str">
        <f>""</f>
        <v/>
      </c>
      <c r="R15" t="str">
        <f>""</f>
        <v/>
      </c>
      <c r="S15" t="str">
        <f>""</f>
        <v/>
      </c>
      <c r="T15" t="str">
        <f>""</f>
        <v/>
      </c>
      <c r="U15" t="str">
        <f>""</f>
        <v/>
      </c>
      <c r="V15" t="str">
        <f>""</f>
        <v/>
      </c>
      <c r="W15" t="str">
        <f>"11-50-000011"</f>
        <v>11-50-000011</v>
      </c>
      <c r="X15" t="str">
        <f>"PUERTA OUTDOOR - GRANDE - DERECHA"</f>
        <v>PUERTA OUTDOOR - GRANDE - DERECHA</v>
      </c>
      <c r="Y15">
        <v>50</v>
      </c>
      <c r="Z15" s="16" t="str">
        <f>""</f>
        <v/>
      </c>
      <c r="AA15" s="16" t="str">
        <f>""</f>
        <v/>
      </c>
      <c r="AB15" s="16" t="str">
        <f t="shared" si="1"/>
        <v/>
      </c>
      <c r="AC15" s="16" t="str">
        <f>""</f>
        <v/>
      </c>
      <c r="AD15" s="16" t="str">
        <f>""</f>
        <v/>
      </c>
      <c r="AE15" s="16" t="str">
        <f>""</f>
        <v/>
      </c>
      <c r="AF15" s="16" t="str">
        <f t="shared" si="2"/>
        <v/>
      </c>
      <c r="AG15" t="str">
        <f>""</f>
        <v/>
      </c>
    </row>
    <row r="16" spans="1:33" x14ac:dyDescent="0.3">
      <c r="A16" t="s">
        <v>299</v>
      </c>
      <c r="B16" t="str">
        <f>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línea"",""130000"",""14=Cód_ producto cliente"",""10-10-000566"",""14=Descripción ampliada"",""PASADORES DE PUERTAS"",""10=C"&amp;"antidad confirmada por SGA"",""300,00000000000000000000"",""2=numeroexpediciones"",""1"",""10=recepcion"",""41,90458440000000000000"",""10=devolucion"",""0,00000000000000000000"",""10=gestion"",""0,00000000000000000000"",""10=franqueo"",""0,00000000000000000000"",""10=prima"",""0,"&amp;"00000000000000000000"",""10=transporte"",""0,00000000000000000000"""</f>
        <v>"SQL-NAVISION","","SQL=","14=Id_ Prefactura","PF26-00004176","2=Tipo documento","0","14=Nº documento","RP260007584","14=Nº documento cliente","E7338256","14=No_ referencia transporte","","14=Familia pedido","","15=Fecha confirmación SGA","13/04/2026","14=Nombre proveedor","RICOH ESPAÑA","14=Contacto proveedor","","14=Dirección proveedor","","14=CP proveedor","","14=Población proveedor","","14=Provincia proveedor","","14=País Proveedor","","2=bultosP","36","10=palesP","12,00000000000000000000","14=Cód_ Servicio solicitado Fact_","","10=Peso facturable","1114,20000000000000000000","14=Operativa","053","14=Descripción","PRUEBA PILOTO INPOST","2=Nº línea","130000","14=Cód_ producto cliente","10-10-000566","14=Descripción ampliada","PASADORES DE PUERTAS","10=Cantidad confirmada por SGA","300,00000000000000000000","2=numeroexpediciones","1","10=recepcion","41,90458440000000000000","10=devolucion","0,00000000000000000000","10=gestion","0,00000000000000000000","10=franqueo","0,00000000000000000000","10=prima","0,00000000000000000000","10=transporte","0,00000000000000000000"</v>
      </c>
      <c r="C16" t="str">
        <f t="shared" si="0"/>
        <v>RP260007584</v>
      </c>
      <c r="D16" t="str">
        <f>""</f>
        <v/>
      </c>
      <c r="E16" s="3" t="str">
        <f>""</f>
        <v/>
      </c>
      <c r="F16" s="3" t="str">
        <f>""</f>
        <v/>
      </c>
      <c r="G16" t="str">
        <f>""</f>
        <v/>
      </c>
      <c r="H16" t="str">
        <f>""</f>
        <v/>
      </c>
      <c r="I16" t="str">
        <f>""</f>
        <v/>
      </c>
      <c r="J16" t="str">
        <f>""</f>
        <v/>
      </c>
      <c r="K16" s="1" t="str">
        <f>""</f>
        <v/>
      </c>
      <c r="L16" t="str">
        <f>""</f>
        <v/>
      </c>
      <c r="M16" t="str">
        <f>""</f>
        <v/>
      </c>
      <c r="N16" t="str">
        <f>""</f>
        <v/>
      </c>
      <c r="O16" t="str">
        <f>""</f>
        <v/>
      </c>
      <c r="P16" t="str">
        <f>""</f>
        <v/>
      </c>
      <c r="Q16" t="str">
        <f>""</f>
        <v/>
      </c>
      <c r="R16" t="str">
        <f>""</f>
        <v/>
      </c>
      <c r="S16" t="str">
        <f>""</f>
        <v/>
      </c>
      <c r="T16" t="str">
        <f>""</f>
        <v/>
      </c>
      <c r="U16" t="str">
        <f>""</f>
        <v/>
      </c>
      <c r="V16" t="str">
        <f>""</f>
        <v/>
      </c>
      <c r="W16" t="str">
        <f>"10-10-000566"</f>
        <v>10-10-000566</v>
      </c>
      <c r="X16" t="str">
        <f>"PASADORES DE PUERTAS"</f>
        <v>PASADORES DE PUERTAS</v>
      </c>
      <c r="Y16">
        <v>300</v>
      </c>
      <c r="Z16" s="16" t="str">
        <f>""</f>
        <v/>
      </c>
      <c r="AA16" s="16" t="str">
        <f>""</f>
        <v/>
      </c>
      <c r="AB16" s="16" t="str">
        <f t="shared" si="1"/>
        <v/>
      </c>
      <c r="AC16" s="16" t="str">
        <f>""</f>
        <v/>
      </c>
      <c r="AD16" s="16" t="str">
        <f>""</f>
        <v/>
      </c>
      <c r="AE16" s="16" t="str">
        <f>""</f>
        <v/>
      </c>
      <c r="AF16" s="16" t="str">
        <f t="shared" si="2"/>
        <v/>
      </c>
      <c r="AG16" t="str">
        <f>""</f>
        <v/>
      </c>
    </row>
    <row r="17" spans="1:33" x14ac:dyDescent="0.3">
      <c r="A17" t="s">
        <v>299</v>
      </c>
      <c r="B17" t="str">
        <f>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línea"",""140000"",""14=Cód_ producto cliente"",""10-10-000572"",""14=Descripción ampliada"",""PASADORES DE PUERTAS"",""10=C"&amp;"antidad confirmada por SGA"",""300,00000000000000000000"",""2=numeroexpediciones"",""1"",""10=recepcion"",""41,90458440000000000000"",""10=devolucion"",""0,00000000000000000000"",""10=gestion"",""0,00000000000000000000"",""10=franqueo"",""0,00000000000000000000"",""10=prima"",""0,"&amp;"00000000000000000000"",""10=transporte"",""0,00000000000000000000"""</f>
        <v>"SQL-NAVISION","","SQL=","14=Id_ Prefactura","PF26-00004176","2=Tipo documento","0","14=Nº documento","RP260007584","14=Nº documento cliente","E7338256","14=No_ referencia transporte","","14=Familia pedido","","15=Fecha confirmación SGA","13/04/2026","14=Nombre proveedor","RICOH ESPAÑA","14=Contacto proveedor","","14=Dirección proveedor","","14=CP proveedor","","14=Población proveedor","","14=Provincia proveedor","","14=País Proveedor","","2=bultosP","36","10=palesP","12,00000000000000000000","14=Cód_ Servicio solicitado Fact_","","10=Peso facturable","1114,20000000000000000000","14=Operativa","053","14=Descripción","PRUEBA PILOTO INPOST","2=Nº línea","140000","14=Cód_ producto cliente","10-10-000572","14=Descripción ampliada","PASADORES DE PUERTAS","10=Cantidad confirmada por SGA","300,00000000000000000000","2=numeroexpediciones","1","10=recepcion","41,90458440000000000000","10=devolucion","0,00000000000000000000","10=gestion","0,00000000000000000000","10=franqueo","0,00000000000000000000","10=prima","0,00000000000000000000","10=transporte","0,00000000000000000000"</v>
      </c>
      <c r="C17" t="str">
        <f t="shared" si="0"/>
        <v>RP260007584</v>
      </c>
      <c r="D17" t="str">
        <f>""</f>
        <v/>
      </c>
      <c r="E17" s="3" t="str">
        <f>""</f>
        <v/>
      </c>
      <c r="F17" s="3" t="str">
        <f>""</f>
        <v/>
      </c>
      <c r="G17" t="str">
        <f>""</f>
        <v/>
      </c>
      <c r="H17" t="str">
        <f>""</f>
        <v/>
      </c>
      <c r="I17" t="str">
        <f>""</f>
        <v/>
      </c>
      <c r="J17" t="str">
        <f>""</f>
        <v/>
      </c>
      <c r="K17" s="1" t="str">
        <f>""</f>
        <v/>
      </c>
      <c r="L17" t="str">
        <f>""</f>
        <v/>
      </c>
      <c r="M17" t="str">
        <f>""</f>
        <v/>
      </c>
      <c r="N17" t="str">
        <f>""</f>
        <v/>
      </c>
      <c r="O17" t="str">
        <f>""</f>
        <v/>
      </c>
      <c r="P17" t="str">
        <f>""</f>
        <v/>
      </c>
      <c r="Q17" t="str">
        <f>""</f>
        <v/>
      </c>
      <c r="R17" t="str">
        <f>""</f>
        <v/>
      </c>
      <c r="S17" t="str">
        <f>""</f>
        <v/>
      </c>
      <c r="T17" t="str">
        <f>""</f>
        <v/>
      </c>
      <c r="U17" t="str">
        <f>""</f>
        <v/>
      </c>
      <c r="V17" t="str">
        <f>""</f>
        <v/>
      </c>
      <c r="W17" t="str">
        <f>"10-10-000572"</f>
        <v>10-10-000572</v>
      </c>
      <c r="X17" t="str">
        <f>"PASADORES DE PUERTAS"</f>
        <v>PASADORES DE PUERTAS</v>
      </c>
      <c r="Y17">
        <v>300</v>
      </c>
      <c r="Z17" s="16" t="str">
        <f>""</f>
        <v/>
      </c>
      <c r="AA17" s="16" t="str">
        <f>""</f>
        <v/>
      </c>
      <c r="AB17" s="16" t="str">
        <f t="shared" si="1"/>
        <v/>
      </c>
      <c r="AC17" s="16" t="str">
        <f>""</f>
        <v/>
      </c>
      <c r="AD17" s="16" t="str">
        <f>""</f>
        <v/>
      </c>
      <c r="AE17" s="16" t="str">
        <f>""</f>
        <v/>
      </c>
      <c r="AF17" s="16" t="str">
        <f t="shared" si="2"/>
        <v/>
      </c>
      <c r="AG17" t="str">
        <f>""</f>
        <v/>
      </c>
    </row>
    <row r="18" spans="1:33" x14ac:dyDescent="0.3">
      <c r="A18" t="s">
        <v>299</v>
      </c>
      <c r="B18" t="str">
        <f>"""SQL-NAVISION"","""",""SQL="",""14=Id_ Prefactura"",""PF26-00004176"",""2=Tipo documento"",""0"",""14=Nº documento"",""RP260007584"",""14=Nº documento cliente"",""E7338256"",""14=No_ referencia transporte"","""",""14=Familia pedido"","""",""15=Fecha confirmación SGA"",""13/04/2026"",""14="&amp;"Nombre proveedor"",""RICOH ESPAÑA"",""14=Contacto proveedor"","""",""14=Dirección proveedor"","""",""14=CP proveedor"","""",""14=Población proveedor"","""",""14=Provincia proveedor"","""",""14=País Proveedor"","""",""2=bultosP"",""36"",""10=palesP"",""12,00000000000000000000"",""14=Cód_ Ser"&amp;"vicio solicitado Fact_"","""",""10=Peso facturable"",""1114,20000000000000000000"",""14=Operativa"",""053"",""14=Descripción"",""PRUEBA PILOTO INPOST"",""2=Nº línea"",""150000"",""14=Cód_ producto cliente"",""10-10-000811"",""14=Descripción ampliada"",""PASADORES DE PUERTAS"",""10=C"&amp;"antidad confirmada por SGA"",""300,00000000000000000000"",""2=numeroexpediciones"",""1"",""10=recepcion"",""41,90458440000000000000"",""10=devolucion"",""0,00000000000000000000"",""10=gestion"",""0,00000000000000000000"",""10=franqueo"",""0,00000000000000000000"",""10=prima"",""0,"&amp;"00000000000000000000"",""10=transporte"",""0,00000000000000000000"""</f>
        <v>"SQL-NAVISION","","SQL=","14=Id_ Prefactura","PF26-00004176","2=Tipo documento","0","14=Nº documento","RP260007584","14=Nº documento cliente","E7338256","14=No_ referencia transporte","","14=Familia pedido","","15=Fecha confirmación SGA","13/04/2026","14=Nombre proveedor","RICOH ESPAÑA","14=Contacto proveedor","","14=Dirección proveedor","","14=CP proveedor","","14=Población proveedor","","14=Provincia proveedor","","14=País Proveedor","","2=bultosP","36","10=palesP","12,00000000000000000000","14=Cód_ Servicio solicitado Fact_","","10=Peso facturable","1114,20000000000000000000","14=Operativa","053","14=Descripción","PRUEBA PILOTO INPOST","2=Nº línea","150000","14=Cód_ producto cliente","10-10-000811","14=Descripción ampliada","PASADORES DE PUERTAS","10=Cantidad confirmada por SGA","300,00000000000000000000","2=numeroexpediciones","1","10=recepcion","41,90458440000000000000","10=devolucion","0,00000000000000000000","10=gestion","0,00000000000000000000","10=franqueo","0,00000000000000000000","10=prima","0,00000000000000000000","10=transporte","0,00000000000000000000"</v>
      </c>
      <c r="C18" t="str">
        <f t="shared" si="0"/>
        <v>RP260007584</v>
      </c>
      <c r="D18" t="str">
        <f>""</f>
        <v/>
      </c>
      <c r="E18" s="3" t="str">
        <f>""</f>
        <v/>
      </c>
      <c r="F18" s="3" t="str">
        <f>""</f>
        <v/>
      </c>
      <c r="G18" t="str">
        <f>""</f>
        <v/>
      </c>
      <c r="H18" t="str">
        <f>""</f>
        <v/>
      </c>
      <c r="I18" t="str">
        <f>""</f>
        <v/>
      </c>
      <c r="J18" t="str">
        <f>""</f>
        <v/>
      </c>
      <c r="K18" s="1" t="str">
        <f>""</f>
        <v/>
      </c>
      <c r="L18" t="str">
        <f>""</f>
        <v/>
      </c>
      <c r="M18" t="str">
        <f>""</f>
        <v/>
      </c>
      <c r="N18" t="str">
        <f>""</f>
        <v/>
      </c>
      <c r="O18" t="str">
        <f>""</f>
        <v/>
      </c>
      <c r="P18" t="str">
        <f>""</f>
        <v/>
      </c>
      <c r="Q18" t="str">
        <f>""</f>
        <v/>
      </c>
      <c r="R18" t="str">
        <f>""</f>
        <v/>
      </c>
      <c r="S18" t="str">
        <f>""</f>
        <v/>
      </c>
      <c r="T18" t="str">
        <f>""</f>
        <v/>
      </c>
      <c r="U18" t="str">
        <f>""</f>
        <v/>
      </c>
      <c r="V18" t="str">
        <f>""</f>
        <v/>
      </c>
      <c r="W18" t="str">
        <f>"10-10-000811"</f>
        <v>10-10-000811</v>
      </c>
      <c r="X18" t="str">
        <f>"PASADORES DE PUERTAS"</f>
        <v>PASADORES DE PUERTAS</v>
      </c>
      <c r="Y18">
        <v>300</v>
      </c>
      <c r="Z18" s="16" t="str">
        <f>""</f>
        <v/>
      </c>
      <c r="AA18" s="16" t="str">
        <f>""</f>
        <v/>
      </c>
      <c r="AB18" s="16" t="str">
        <f t="shared" si="1"/>
        <v/>
      </c>
      <c r="AC18" s="16" t="str">
        <f>""</f>
        <v/>
      </c>
      <c r="AD18" s="16" t="str">
        <f>""</f>
        <v/>
      </c>
      <c r="AE18" s="16" t="str">
        <f>""</f>
        <v/>
      </c>
      <c r="AF18" s="16" t="str">
        <f t="shared" si="2"/>
        <v/>
      </c>
      <c r="AG18" t="str">
        <f>""</f>
        <v/>
      </c>
    </row>
    <row r="19" spans="1:33" x14ac:dyDescent="0.3">
      <c r="A19" t="s">
        <v>299</v>
      </c>
      <c r="B19" t="str">
        <f>"""SQL-NAVISION"","""",""SQL="",""14=Id_ Prefactura"",""PF26-00004176"",""2=Tipo documento"",""0"",""14=Nº documento"",""RP260007644"",""14=Nº documento cliente"",""717727"",""14=No_ referencia transporte"","""",""14=Familia pedido"","""",""15=Fecha confirmación SGA"",""14/04/2026"",""14=No"&amp;"mbre proveedor"",""SERVICE INN."",""14=Contacto proveedor"","""",""14=Dirección proveedor"","""",""14=CP proveedor"","""",""14=Población proveedor"","""",""14=Provincia proveedor"","""",""14=País Proveedor"","""",""2=bultosP"",""0"",""10=palesP"",""1,00000000000000000000"",""14=Cód_ Servici"&amp;"o solicitado Fact_"","""",""10=Peso facturable"",""0,65000000000000000000"",""14=Operativa"",""053"",""14=Descripción"",""PRUEBA PILOTO INPOST"",""2=Nº línea"",""10000"",""14=Cód_ producto cliente"",""10-21-001029"",""14=Descripción ampliada"",""6-PIN 5.08MM (NUEVO CONECTOR EXPAND"&amp;"ER 3.3)"",""10=Cantidad confirmada por SGA"",""50,00000000000000000000"",""2=numeroexpediciones"",""1"",""10=recepcion"",""2,21898705000000000000"",""10=devolucion"",""0,00000000000000000000"",""10=gestion"",""0,00000000000000000000"",""10=franqueo"",""0,00000000000000000000"",""1"&amp;"0=prima"",""0,00000000000000000000"",""10=transporte"",""0,00000000000000000000"""</f>
        <v>"SQL-NAVISION","","SQL=","14=Id_ Prefactura","PF26-00004176","2=Tipo documento","0","14=Nº documento","RP260007644","14=Nº documento cliente","717727","14=No_ referencia transporte","","14=Familia pedido","","15=Fecha confirmación SGA","14/04/2026","14=Nombre proveedor","SERVICE INN.","14=Contacto proveedor","","14=Dirección proveedor","","14=CP proveedor","","14=Población proveedor","","14=Provincia proveedor","","14=País Proveedor","","2=bultosP","0","10=palesP","1,00000000000000000000","14=Cód_ Servicio solicitado Fact_","","10=Peso facturable","0,65000000000000000000","14=Operativa","053","14=Descripción","PRUEBA PILOTO INPOST","2=Nº línea","10000","14=Cód_ producto cliente","10-21-001029","14=Descripción ampliada","6-PIN 5.08MM (NUEVO CONECTOR EXPANDER 3.3)","10=Cantidad confirmada por SGA","50,00000000000000000000","2=numeroexpediciones","1","10=recepcion","2,21898705000000000000","10=devolucion","0,00000000000000000000","10=gestion","0,00000000000000000000","10=franqueo","0,00000000000000000000","10=prima","0,00000000000000000000","10=transporte","0,00000000000000000000"</v>
      </c>
      <c r="C19" t="str">
        <f>"RP260007644"</f>
        <v>RP260007644</v>
      </c>
      <c r="D19" t="str">
        <f>"PF26-00004176"</f>
        <v>PF26-00004176</v>
      </c>
      <c r="E19" s="3" t="str">
        <f>"053 PRUEBA PILOTO INPOST"</f>
        <v>053 PRUEBA PILOTO INPOST</v>
      </c>
      <c r="F19" s="3" t="str">
        <f>"Recepción"</f>
        <v>Recepción</v>
      </c>
      <c r="G19" t="str">
        <f>"717727"</f>
        <v>717727</v>
      </c>
      <c r="H19" t="str">
        <f>""</f>
        <v/>
      </c>
      <c r="I19" t="str">
        <f>""</f>
        <v/>
      </c>
      <c r="J19" t="str">
        <f>"RP260007644"</f>
        <v>RP260007644</v>
      </c>
      <c r="K19" s="1">
        <v>46126</v>
      </c>
      <c r="L19" t="str">
        <f>"SERVICE INN."</f>
        <v>SERVICE INN.</v>
      </c>
      <c r="M19" t="str">
        <f>""</f>
        <v/>
      </c>
      <c r="N19" t="str">
        <f>""</f>
        <v/>
      </c>
      <c r="O19" t="str">
        <f>""</f>
        <v/>
      </c>
      <c r="P19" t="str">
        <f>""</f>
        <v/>
      </c>
      <c r="Q19" t="str">
        <f>""</f>
        <v/>
      </c>
      <c r="R19" t="str">
        <f>""</f>
        <v/>
      </c>
      <c r="S19" t="str">
        <f>""</f>
        <v/>
      </c>
      <c r="T19">
        <v>0</v>
      </c>
      <c r="U19">
        <v>1</v>
      </c>
      <c r="V19">
        <v>0.65</v>
      </c>
      <c r="W19" t="str">
        <f>"10-21-001029"</f>
        <v>10-21-001029</v>
      </c>
      <c r="X19" t="str">
        <f>"6-PIN 5.08MM (NUEVO CONECTOR EXPANDER 3.3)"</f>
        <v>6-PIN 5.08MM (NUEVO CONECTOR EXPANDER 3.3)</v>
      </c>
      <c r="Y19">
        <v>50</v>
      </c>
      <c r="Z19" s="16">
        <v>2.21898705</v>
      </c>
      <c r="AA19" s="16">
        <v>0</v>
      </c>
      <c r="AB19" s="16">
        <f t="shared" si="1"/>
        <v>0</v>
      </c>
      <c r="AC19" s="16">
        <v>0</v>
      </c>
      <c r="AD19" s="16">
        <v>0</v>
      </c>
      <c r="AE19" s="16">
        <v>0</v>
      </c>
      <c r="AF19" s="16">
        <f t="shared" si="2"/>
        <v>2.21898705</v>
      </c>
      <c r="AG19">
        <v>0</v>
      </c>
    </row>
    <row r="20" spans="1:33" x14ac:dyDescent="0.3">
      <c r="A20" t="s">
        <v>299</v>
      </c>
      <c r="B20" t="str">
        <f>"""SQL-NAVISION"","""",""SQL="",""14=Id_ Prefactura"",""PF26-00004176"",""2=Tipo documento"",""0"",""14=Nº documento"",""RP260007877"",""14=Nº documento cliente"",""34442720"",""14=No_ referencia transporte"","""",""14=Familia pedido"","""",""15=Fecha confirmación SGA"",""16/04/2026"",""14="&amp;"Nombre proveedor"",""ELECTRONIC COMPONETS"",""14=Contacto proveedor"","""",""14=Dirección proveedor"","""",""14=CP proveedor"","""",""14=Población proveedor"","""",""14=Provincia proveedor"","""",""14=País Proveedor"","""",""2=bultosP"",""0"",""10=palesP"",""1,00000000000000000000"",""14=Có"&amp;"d_ Servicio solicitado Fact_"","""",""10=Peso facturable"",""64,56000000000000000000"",""14=Operativa"",""053"",""14=Descripción"",""PRUEBA PILOTO INPOST"",""2=Nº línea"",""10000"",""14=Cód_ producto cliente"",""10-21-000637"",""14=Descripción ampliada"",""BATERIA 12V."",""10=Cantid"&amp;"ad confirmada por SGA"",""16,00000000000000000000"",""2=numeroexpediciones"",""1"",""10=recepcion"",""4,38917892000000000000"",""10=devolucion"",""0,00000000000000000000"",""10=gestion"",""0,00000000000000000000"",""10=franqueo"",""0,00000000000000000000"",""10=prima"",""0,0000000"&amp;"0000000000000"",""10=transporte"",""0,00000000000000000000"""</f>
        <v>"SQL-NAVISION","","SQL=","14=Id_ Prefactura","PF26-00004176","2=Tipo documento","0","14=Nº documento","RP260007877","14=Nº documento cliente","34442720","14=No_ referencia transporte","","14=Familia pedido","","15=Fecha confirmación SGA","16/04/2026","14=Nombre proveedor","ELECTRONIC COMPONETS","14=Contacto proveedor","","14=Dirección proveedor","","14=CP proveedor","","14=Población proveedor","","14=Provincia proveedor","","14=País Proveedor","","2=bultosP","0","10=palesP","1,00000000000000000000","14=Cód_ Servicio solicitado Fact_","","10=Peso facturable","64,56000000000000000000","14=Operativa","053","14=Descripción","PRUEBA PILOTO INPOST","2=Nº línea","10000","14=Cód_ producto cliente","10-21-000637","14=Descripción ampliada","BATERIA 12V.","10=Cantidad confirmada por SGA","16,00000000000000000000","2=numeroexpediciones","1","10=recepcion","4,38917892000000000000","10=devolucion","0,00000000000000000000","10=gestion","0,00000000000000000000","10=franqueo","0,00000000000000000000","10=prima","0,00000000000000000000","10=transporte","0,00000000000000000000"</v>
      </c>
      <c r="C20" t="str">
        <f>"RP260007877"</f>
        <v>RP260007877</v>
      </c>
      <c r="D20" t="str">
        <f>"PF26-00004176"</f>
        <v>PF26-00004176</v>
      </c>
      <c r="E20" s="3" t="str">
        <f>"053 PRUEBA PILOTO INPOST"</f>
        <v>053 PRUEBA PILOTO INPOST</v>
      </c>
      <c r="F20" s="3" t="str">
        <f>"Recepción"</f>
        <v>Recepción</v>
      </c>
      <c r="G20" t="str">
        <f>"34442720"</f>
        <v>34442720</v>
      </c>
      <c r="H20" t="str">
        <f>""</f>
        <v/>
      </c>
      <c r="I20" t="str">
        <f>""</f>
        <v/>
      </c>
      <c r="J20" t="str">
        <f>"RP260007877"</f>
        <v>RP260007877</v>
      </c>
      <c r="K20" s="1">
        <v>46128</v>
      </c>
      <c r="L20" t="str">
        <f>"ELECTRONIC COMPONETS"</f>
        <v>ELECTRONIC COMPONETS</v>
      </c>
      <c r="M20" t="str">
        <f>""</f>
        <v/>
      </c>
      <c r="N20" t="str">
        <f>""</f>
        <v/>
      </c>
      <c r="O20" t="str">
        <f>""</f>
        <v/>
      </c>
      <c r="P20" t="str">
        <f>""</f>
        <v/>
      </c>
      <c r="Q20" t="str">
        <f>""</f>
        <v/>
      </c>
      <c r="R20" t="str">
        <f>""</f>
        <v/>
      </c>
      <c r="S20" t="str">
        <f>""</f>
        <v/>
      </c>
      <c r="T20">
        <v>0</v>
      </c>
      <c r="U20">
        <v>1</v>
      </c>
      <c r="V20">
        <v>64.56</v>
      </c>
      <c r="W20" t="str">
        <f>"10-21-000637"</f>
        <v>10-21-000637</v>
      </c>
      <c r="X20" t="str">
        <f>"BATERIA 12V."</f>
        <v>BATERIA 12V.</v>
      </c>
      <c r="Y20">
        <v>16</v>
      </c>
      <c r="Z20" s="16">
        <v>4.38917892</v>
      </c>
      <c r="AA20" s="16">
        <v>0</v>
      </c>
      <c r="AB20" s="16">
        <f t="shared" si="1"/>
        <v>0</v>
      </c>
      <c r="AC20" s="16">
        <v>0</v>
      </c>
      <c r="AD20" s="16">
        <v>0</v>
      </c>
      <c r="AE20" s="16">
        <v>0</v>
      </c>
      <c r="AF20" s="16">
        <f t="shared" si="2"/>
        <v>4.38917892</v>
      </c>
      <c r="AG20">
        <v>0</v>
      </c>
    </row>
    <row r="22" spans="1:33" x14ac:dyDescent="0.3">
      <c r="Y22" s="11" t="s">
        <v>43</v>
      </c>
      <c r="Z22" s="17">
        <f t="shared" ref="Z22:AF22" si="3">SUM(Z4:Z21)</f>
        <v>48.512750370000006</v>
      </c>
      <c r="AA22" s="17">
        <f t="shared" si="3"/>
        <v>0</v>
      </c>
      <c r="AB22" s="17">
        <f t="shared" si="3"/>
        <v>0</v>
      </c>
      <c r="AC22" s="17">
        <f t="shared" si="3"/>
        <v>0</v>
      </c>
      <c r="AD22" s="17">
        <f t="shared" si="3"/>
        <v>0</v>
      </c>
      <c r="AE22" s="17">
        <f t="shared" si="3"/>
        <v>0</v>
      </c>
      <c r="AF22" s="17">
        <f t="shared" si="3"/>
        <v>48.512750370000006</v>
      </c>
    </row>
  </sheetData>
  <autoFilter ref="A3:AG20" xr:uid="{00000000-0001-0000-0200-000000000000}"/>
  <mergeCells count="2">
    <mergeCell ref="L2:R2"/>
    <mergeCell ref="Z2:AE2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AJ110"/>
  <sheetViews>
    <sheetView topLeftCell="T1" workbookViewId="0">
      <pane ySplit="3" topLeftCell="A4" activePane="bottomLeft" state="frozen"/>
      <selection activeCell="O2" sqref="O2"/>
      <selection pane="bottomLeft" activeCell="L1" sqref="L1:AI1048576"/>
    </sheetView>
  </sheetViews>
  <sheetFormatPr baseColWidth="10" defaultRowHeight="14.4" x14ac:dyDescent="0.3"/>
  <cols>
    <col min="1" max="1" width="11.44140625" hidden="1" customWidth="1"/>
    <col min="2" max="3" width="7.6640625" hidden="1" customWidth="1"/>
    <col min="4" max="4" width="13.6640625" bestFit="1" customWidth="1"/>
    <col min="5" max="5" width="24.88671875" bestFit="1" customWidth="1"/>
    <col min="6" max="6" width="15.44140625" bestFit="1" customWidth="1"/>
    <col min="7" max="7" width="17.44140625" bestFit="1" customWidth="1"/>
    <col min="8" max="8" width="16.6640625" bestFit="1" customWidth="1"/>
    <col min="9" max="9" width="17.109375" bestFit="1" customWidth="1"/>
    <col min="10" max="10" width="14.109375" bestFit="1" customWidth="1"/>
    <col min="11" max="11" width="11.44140625" bestFit="1" customWidth="1"/>
    <col min="12" max="12" width="24.44140625" bestFit="1" customWidth="1"/>
    <col min="13" max="13" width="28.44140625" customWidth="1"/>
    <col min="14" max="14" width="48.88671875" customWidth="1"/>
    <col min="15" max="15" width="8.5546875" customWidth="1"/>
    <col min="16" max="16" width="20.5546875" customWidth="1"/>
    <col min="17" max="17" width="9.88671875" customWidth="1"/>
    <col min="18" max="18" width="7.33203125" customWidth="1"/>
    <col min="19" max="19" width="8" customWidth="1"/>
    <col min="20" max="20" width="13.33203125" customWidth="1"/>
    <col min="21" max="21" width="17" customWidth="1"/>
    <col min="22" max="22" width="15.44140625" customWidth="1"/>
    <col min="23" max="23" width="18.5546875" customWidth="1"/>
    <col min="24" max="24" width="23.6640625" customWidth="1"/>
    <col min="25" max="25" width="9.33203125" customWidth="1"/>
    <col min="26" max="26" width="13" customWidth="1"/>
    <col min="27" max="27" width="9.109375" customWidth="1"/>
    <col min="28" max="28" width="10.5546875" customWidth="1"/>
    <col min="29" max="29" width="12.6640625" customWidth="1"/>
    <col min="30" max="30" width="11.88671875" customWidth="1"/>
    <col min="31" max="31" width="10.33203125" customWidth="1"/>
    <col min="32" max="32" width="7.88671875" customWidth="1"/>
    <col min="33" max="33" width="9.44140625" customWidth="1"/>
    <col min="34" max="34" width="9.5546875" customWidth="1"/>
    <col min="35" max="35" width="15.33203125" customWidth="1"/>
    <col min="36" max="36" width="7" hidden="1" customWidth="1"/>
  </cols>
  <sheetData>
    <row r="1" spans="1:36" hidden="1" x14ac:dyDescent="0.3">
      <c r="A1" t="s">
        <v>4357</v>
      </c>
      <c r="B1" t="s">
        <v>4</v>
      </c>
      <c r="C1" t="s">
        <v>4</v>
      </c>
      <c r="D1" t="s">
        <v>15</v>
      </c>
      <c r="E1" t="s">
        <v>15</v>
      </c>
      <c r="F1" t="s">
        <v>15</v>
      </c>
      <c r="G1" t="s">
        <v>15</v>
      </c>
      <c r="H1" t="s">
        <v>15</v>
      </c>
      <c r="I1" t="s">
        <v>15</v>
      </c>
      <c r="J1" t="s">
        <v>15</v>
      </c>
      <c r="K1" t="s">
        <v>15</v>
      </c>
      <c r="L1" t="s">
        <v>15</v>
      </c>
      <c r="M1" t="s">
        <v>15</v>
      </c>
      <c r="N1" t="s">
        <v>15</v>
      </c>
      <c r="O1" t="s">
        <v>15</v>
      </c>
      <c r="P1" t="s">
        <v>15</v>
      </c>
      <c r="Q1" t="s">
        <v>15</v>
      </c>
      <c r="R1" t="s">
        <v>15</v>
      </c>
      <c r="S1" t="s">
        <v>15</v>
      </c>
      <c r="T1" t="s">
        <v>15</v>
      </c>
      <c r="U1" t="s">
        <v>15</v>
      </c>
      <c r="V1" t="s">
        <v>15</v>
      </c>
      <c r="W1" t="s">
        <v>15</v>
      </c>
      <c r="Y1" t="s">
        <v>15</v>
      </c>
      <c r="Z1" t="s">
        <v>15</v>
      </c>
      <c r="AA1" t="s">
        <v>15</v>
      </c>
      <c r="AB1" t="s">
        <v>15</v>
      </c>
      <c r="AC1" t="s">
        <v>15</v>
      </c>
      <c r="AD1" t="s">
        <v>15</v>
      </c>
      <c r="AE1" t="s">
        <v>15</v>
      </c>
      <c r="AF1" t="s">
        <v>15</v>
      </c>
      <c r="AG1" t="s">
        <v>15</v>
      </c>
      <c r="AH1" t="s">
        <v>15</v>
      </c>
      <c r="AI1" t="s">
        <v>15</v>
      </c>
      <c r="AJ1" t="s">
        <v>4</v>
      </c>
    </row>
    <row r="2" spans="1:36" x14ac:dyDescent="0.3">
      <c r="D2" s="5"/>
      <c r="E2" s="5"/>
      <c r="F2" s="5"/>
      <c r="L2" s="28" t="s">
        <v>17</v>
      </c>
      <c r="M2" s="29"/>
      <c r="N2" s="29"/>
      <c r="O2" s="29"/>
      <c r="P2" s="29"/>
      <c r="Q2" s="29"/>
      <c r="R2" s="30"/>
      <c r="Z2" s="28" t="s">
        <v>18</v>
      </c>
      <c r="AA2" s="29"/>
      <c r="AB2" s="29"/>
      <c r="AC2" s="29"/>
      <c r="AD2" s="29"/>
      <c r="AE2" s="29"/>
      <c r="AF2" s="29"/>
      <c r="AG2" s="29"/>
      <c r="AH2" s="30"/>
    </row>
    <row r="3" spans="1:36" x14ac:dyDescent="0.3">
      <c r="D3" s="2" t="s">
        <v>19</v>
      </c>
      <c r="E3" s="2" t="s">
        <v>16</v>
      </c>
      <c r="F3" s="2" t="s">
        <v>20</v>
      </c>
      <c r="G3" s="2" t="s">
        <v>23</v>
      </c>
      <c r="H3" s="2" t="s">
        <v>21</v>
      </c>
      <c r="I3" s="2" t="s">
        <v>22</v>
      </c>
      <c r="J3" s="2" t="s">
        <v>44</v>
      </c>
      <c r="K3" s="6" t="s">
        <v>45</v>
      </c>
      <c r="L3" s="7" t="s">
        <v>25</v>
      </c>
      <c r="M3" s="8" t="s">
        <v>26</v>
      </c>
      <c r="N3" s="8" t="s">
        <v>27</v>
      </c>
      <c r="O3" s="8" t="s">
        <v>28</v>
      </c>
      <c r="P3" s="8" t="s">
        <v>29</v>
      </c>
      <c r="Q3" s="9" t="s">
        <v>30</v>
      </c>
      <c r="R3" s="9" t="s">
        <v>60</v>
      </c>
      <c r="S3" s="13" t="s">
        <v>31</v>
      </c>
      <c r="T3" s="2" t="s">
        <v>46</v>
      </c>
      <c r="U3" s="2" t="s">
        <v>47</v>
      </c>
      <c r="V3" s="6" t="s">
        <v>48</v>
      </c>
      <c r="W3" s="2" t="s">
        <v>35</v>
      </c>
      <c r="X3" s="6" t="s">
        <v>36</v>
      </c>
      <c r="Y3" s="6" t="s">
        <v>37</v>
      </c>
      <c r="Z3" s="7" t="s">
        <v>49</v>
      </c>
      <c r="AA3" s="8" t="s">
        <v>50</v>
      </c>
      <c r="AB3" s="8" t="s">
        <v>41</v>
      </c>
      <c r="AC3" s="8" t="s">
        <v>51</v>
      </c>
      <c r="AD3" s="8" t="s">
        <v>52</v>
      </c>
      <c r="AE3" s="8" t="s">
        <v>53</v>
      </c>
      <c r="AF3" s="8" t="s">
        <v>40</v>
      </c>
      <c r="AG3" s="8" t="s">
        <v>70</v>
      </c>
      <c r="AH3" s="9" t="s">
        <v>54</v>
      </c>
      <c r="AI3" s="10" t="s">
        <v>42</v>
      </c>
    </row>
    <row r="4" spans="1:36" x14ac:dyDescent="0.3">
      <c r="A4" t="s">
        <v>299</v>
      </c>
      <c r="B4" t="str">
        <f>"""SQL-NAVISION"","""",""SQL="",""14=Id_ Prefactura"",""PF26-00004176"",""2=Tipo documento"",""0"",""14=No_"",""PD260062561"",""14=No_ referencia transporte"",""X26020232"",""14=Familia pedido"","""",""15=Fecha confirmación SGA"",""08/04/2026"",""14=Nombre punto entrega"",""Javier Cortego"&amp;"so Torres"",""14=Contacto punto entrega"",""Javier Cortegoso Torres"",""14=Dirección punto entrega"",""Plaza España 3-4 8i"",""14=C_P_ punto entrega"",""15403"",""14=Población punto entrega"",""Ferrol"",""14=Provincia punto entrega"",""A Coruña"",""14=País punto entrega"",""ES"","&amp;"""10=bultosP"",""1,00000000000000000000"",""14=No_ documento cliente"",""INPOST070426.2"",""14=Cód_ Servicio solicitado Fact_"",""STD"",""10=bultosE"",""1,00000000000000000000"",""10=Peso facturable"",""1,00000000000000000000"",""14=Cód_ operativa"",""053"",""14=Descripción"",""PRU"&amp;"EBA PILOTO INPOST"",""2=No_ línea"",""10000"",""14=No_ producto cliente"",""10-21-000638"",""14=Descripción ampliada"",""DISCO DURO SSD"",""10=Cantidad confirmada"",""2,00000000000000000000"",""2=numeroexpediciones"",""1"",""2=numeroalbaranes"",""1"",""10=manipulacion"",""2,17427700"&amp;"000000000000"",""10=embalaje"",""0,45000000000000000000"",""10=transporte"",""4,55327300000000000000"",""10=prima"",""0,00000000000000000000"",""10=reembolso"",""0,00000000000000000000"",""10=impuestos"",""0,00000000000000000000"",""10=gestion"",""0,10598700000000000000"",""10=fra"&amp;"nqueo"",""0,00000000000000000000"",""10=despacho"",""0,00000000000000000000"""</f>
        <v>"SQL-NAVISION","","SQL=","14=Id_ Prefactura","PF26-00004176","2=Tipo documento","0","14=No_","PD260062561","14=No_ referencia transporte","X26020232","14=Familia pedido","","15=Fecha confirmación SGA","08/04/2026","14=Nombre punto entrega","Javier Cortegoso Torres","14=Contacto punto entrega","Javier Cortegoso Torres","14=Dirección punto entrega","Plaza España 3-4 8i","14=C_P_ punto entrega","15403","14=Población punto entrega","Ferrol","14=Provincia punto entrega","A Coruña","14=País punto entrega","ES","10=bultosP","1,00000000000000000000","14=No_ documento cliente","INPOST070426.2","14=Cód_ Servicio solicitado Fact_","STD","10=bultosE","1,00000000000000000000","10=Peso facturable","1,00000000000000000000","14=Cód_ operativa","053","14=Descripción","PRUEBA PILOTO INPOST","2=No_ línea","10000","14=No_ producto cliente","10-21-000638","14=Descripción ampliada","DISCO DURO SSD","10=Cantidad confirmada","2,00000000000000000000","2=numeroexpediciones","1","2=numeroalbaranes","1","10=manipulacion","2,17427700000000000000","10=embalaje","0,45000000000000000000","10=transporte","4,55327300000000000000","10=prima","0,00000000000000000000","10=reembolso","0,00000000000000000000","10=impuestos","0,00000000000000000000","10=gestion","0,10598700000000000000","10=franqueo","0,00000000000000000000","10=despacho","0,00000000000000000000"</v>
      </c>
      <c r="C4" t="str">
        <f>"PD260062561"</f>
        <v>PD260062561</v>
      </c>
      <c r="D4" s="3" t="str">
        <f t="shared" ref="D4:D14" si="0">"PF26-00004176"</f>
        <v>PF26-00004176</v>
      </c>
      <c r="E4" s="3" t="str">
        <f t="shared" ref="E4:E14" si="1">"053 PRUEBA PILOTO INPOST"</f>
        <v>053 PRUEBA PILOTO INPOST</v>
      </c>
      <c r="F4" s="3" t="str">
        <f t="shared" ref="F4:F14" si="2">"Pedido"</f>
        <v>Pedido</v>
      </c>
      <c r="G4" s="3" t="str">
        <f>"PD260062561"</f>
        <v>PD260062561</v>
      </c>
      <c r="H4" s="3" t="str">
        <f>"INPOST070426.2"</f>
        <v>INPOST070426.2</v>
      </c>
      <c r="I4" s="3" t="str">
        <f>"X26020232"</f>
        <v>X26020232</v>
      </c>
      <c r="J4" s="3" t="str">
        <f>""</f>
        <v/>
      </c>
      <c r="K4" s="4">
        <v>46120</v>
      </c>
      <c r="L4" s="3" t="str">
        <f>"Javier Cortegoso Torres"</f>
        <v>Javier Cortegoso Torres</v>
      </c>
      <c r="M4" s="3" t="str">
        <f>"Javier Cortegoso Torres"</f>
        <v>Javier Cortegoso Torres</v>
      </c>
      <c r="N4" s="3" t="str">
        <f>"Plaza España 3-4 8i"</f>
        <v>Plaza España 3-4 8i</v>
      </c>
      <c r="O4" s="3" t="str">
        <f>"15403"</f>
        <v>15403</v>
      </c>
      <c r="P4" s="3" t="str">
        <f>"Ferrol"</f>
        <v>Ferrol</v>
      </c>
      <c r="Q4" s="3" t="str">
        <f>"A Coruña"</f>
        <v>A Coruña</v>
      </c>
      <c r="R4" s="3" t="str">
        <f>"ES"</f>
        <v>ES</v>
      </c>
      <c r="S4" s="3" t="str">
        <f t="shared" ref="S4:S14" si="3">"STD"</f>
        <v>STD</v>
      </c>
      <c r="T4" s="14">
        <v>1</v>
      </c>
      <c r="U4" s="14">
        <v>1</v>
      </c>
      <c r="V4" s="15">
        <v>1</v>
      </c>
      <c r="W4" s="15" t="str">
        <f>"10-21-000638"</f>
        <v>10-21-000638</v>
      </c>
      <c r="X4" s="15" t="str">
        <f>"DISCO DURO SSD"</f>
        <v>DISCO DURO SSD</v>
      </c>
      <c r="Y4" s="14">
        <v>2</v>
      </c>
      <c r="Z4" s="18">
        <v>2.174277</v>
      </c>
      <c r="AA4" s="18">
        <v>0.45</v>
      </c>
      <c r="AB4" s="18">
        <v>4.5532729999999999</v>
      </c>
      <c r="AC4" s="18">
        <v>0</v>
      </c>
      <c r="AD4" s="18">
        <v>0</v>
      </c>
      <c r="AE4" s="18">
        <v>0</v>
      </c>
      <c r="AF4" s="18">
        <f t="shared" ref="AF4:AF35" si="4">IF(AJ4="","",VALUE(AJ4))</f>
        <v>0.105987</v>
      </c>
      <c r="AG4" s="18">
        <v>0</v>
      </c>
      <c r="AH4" s="18">
        <v>0</v>
      </c>
      <c r="AI4" s="19">
        <f t="shared" ref="AI4:AI35" si="5">IF($G4="","",IFERROR(IF(ISBLANK(Z4),0,Z4)+IF(ISBLANK(AA4),0,AA4)+IF(ISBLANK(AB4),0,AB4)+IF(ISBLANK(AC4),0,AC4)+IF(ISBLANK(AD4),0,AD4)+IF(ISBLANK(AE4),0,AE4)+IF(ISBLANK(AF4),0,AF4)+IF(ISBLANK(AG4),0,AG4)+IF(ISBLANK(AH4),0,AH4),0))</f>
        <v>7.2835369999999999</v>
      </c>
      <c r="AJ4">
        <v>0.105987</v>
      </c>
    </row>
    <row r="5" spans="1:36" x14ac:dyDescent="0.3">
      <c r="B5" t="str">
        <f>"""SQL-NAVISION"","""",""SQL="",""14=Id_ Prefactura"",""PF26-00004176"",""2=Tipo documento"",""0"",""14=No_"",""PD260062454"",""14=No_ referencia transporte"",""X26020194"",""14=Familia pedido"","""",""15=Fecha confirmación SGA"",""08/04/2026"",""14=Nombre punto entrega"",""TIPSA LAS ROZA"&amp;"S"",""14=Contacto punto entrega"",""PIOTR PINCZURA"",""14=Dirección punto entrega"",""CALLE MUNICH, 2B"",""14=C_P_ punto entrega"",""28232"",""14=Población punto entrega"",""Las Rozas de Madrid"",""14=Provincia punto entrega"",""Madrid"",""14=País punto entrega"",""ES"",""10=bulto"&amp;"sP"",""1,00000000000000000000"",""14=No_ documento cliente"",""INPOST070426.1"",""14=Cód_ Servicio solicitado Fact_"",""STD"",""10=bultosE"",""1,00000000000000000000"",""10=Peso facturable"",""7,00000000000000000000"",""14=Cód_ operativa"",""053"",""14=Descripción"",""PRUEBA PILOT"&amp;"O INPOST"",""2=No_ línea"",""10000"",""14=No_ producto cliente"",""10-21-000643"",""14=Descripción ampliada"",""ROUTER ALC"",""10=Cantidad confirmada"",""3,00000000000000000000"",""2=numeroexpediciones"",""1"",""2=numeroalbaranes"",""1"",""10=manipulacion"",""3,23311800000000000000"""&amp;",""10=embalaje"",""1,61000000000000000000"",""10=transporte"",""6,58540200000000000000"",""10=prima"",""0,00000000000000000000"",""10=reembolso"",""0,00000000000000000000"",""10=impuestos"",""0,00000000000000000000"",""10=gestion"",""0,10598700000000000000"",""10=franqueo"",""0,000"&amp;"00000000000000000"",""10=despacho"",""0,00000000000000000000"""</f>
        <v>"SQL-NAVISION","","SQL=","14=Id_ Prefactura","PF26-00004176","2=Tipo documento","0","14=No_","PD260062454","14=No_ referencia transporte","X26020194","14=Familia pedido","","15=Fecha confirmación SGA","08/04/2026","14=Nombre punto entrega","TIPSA LAS ROZAS","14=Contacto punto entrega","PIOTR PINCZURA","14=Dirección punto entrega","CALLE MUNICH, 2B","14=C_P_ punto entrega","28232","14=Población punto entrega","Las Rozas de Madrid","14=Provincia punto entrega","Madrid","14=País punto entrega","ES","10=bultosP","1,00000000000000000000","14=No_ documento cliente","INPOST070426.1","14=Cód_ Servicio solicitado Fact_","STD","10=bultosE","1,00000000000000000000","10=Peso facturable","7,00000000000000000000","14=Cód_ operativa","053","14=Descripción","PRUEBA PILOTO INPOST","2=No_ línea","10000","14=No_ producto cliente","10-21-000643","14=Descripción ampliada","ROUTER ALC","10=Cantidad confirmada","3,00000000000000000000","2=numeroexpediciones","1","2=numeroalbaranes","1","10=manipulacion","3,23311800000000000000","10=embalaje","1,61000000000000000000","10=transporte","6,58540200000000000000","10=prima","0,00000000000000000000","10=reembolso","0,00000000000000000000","10=impuestos","0,00000000000000000000","10=gestion","0,10598700000000000000","10=franqueo","0,00000000000000000000","10=despacho","0,00000000000000000000"</v>
      </c>
      <c r="C5" t="str">
        <f>"PD260062454"</f>
        <v>PD260062454</v>
      </c>
      <c r="D5" s="3" t="str">
        <f t="shared" si="0"/>
        <v>PF26-00004176</v>
      </c>
      <c r="E5" s="3" t="str">
        <f t="shared" si="1"/>
        <v>053 PRUEBA PILOTO INPOST</v>
      </c>
      <c r="F5" s="3" t="str">
        <f t="shared" si="2"/>
        <v>Pedido</v>
      </c>
      <c r="G5" s="3" t="str">
        <f>"PD260062454"</f>
        <v>PD260062454</v>
      </c>
      <c r="H5" s="3" t="str">
        <f>"INPOST070426.1"</f>
        <v>INPOST070426.1</v>
      </c>
      <c r="I5" s="3" t="str">
        <f>"X26020194"</f>
        <v>X26020194</v>
      </c>
      <c r="J5" s="3" t="str">
        <f>""</f>
        <v/>
      </c>
      <c r="K5" s="4">
        <v>46120</v>
      </c>
      <c r="L5" s="3" t="str">
        <f>"TIPSA LAS ROZAS"</f>
        <v>TIPSA LAS ROZAS</v>
      </c>
      <c r="M5" s="3" t="str">
        <f>"PIOTR PINCZURA"</f>
        <v>PIOTR PINCZURA</v>
      </c>
      <c r="N5" s="3" t="str">
        <f>"CALLE MUNICH, 2B"</f>
        <v>CALLE MUNICH, 2B</v>
      </c>
      <c r="O5" s="3" t="str">
        <f>"28232"</f>
        <v>28232</v>
      </c>
      <c r="P5" s="3" t="str">
        <f>"Las Rozas de Madrid"</f>
        <v>Las Rozas de Madrid</v>
      </c>
      <c r="Q5" s="3" t="str">
        <f>"Madrid"</f>
        <v>Madrid</v>
      </c>
      <c r="R5" s="3" t="str">
        <f>"ES"</f>
        <v>ES</v>
      </c>
      <c r="S5" s="3" t="str">
        <f t="shared" si="3"/>
        <v>STD</v>
      </c>
      <c r="T5" s="14">
        <v>1</v>
      </c>
      <c r="U5" s="14">
        <v>1</v>
      </c>
      <c r="V5" s="15">
        <v>7</v>
      </c>
      <c r="W5" s="15" t="str">
        <f>"10-21-000643"</f>
        <v>10-21-000643</v>
      </c>
      <c r="X5" s="15" t="str">
        <f>"ROUTER ALC"</f>
        <v>ROUTER ALC</v>
      </c>
      <c r="Y5" s="14">
        <v>3</v>
      </c>
      <c r="Z5" s="18">
        <v>3.2331180000000002</v>
      </c>
      <c r="AA5" s="18">
        <v>1.61</v>
      </c>
      <c r="AB5" s="18">
        <v>6.5854019999999993</v>
      </c>
      <c r="AC5" s="18">
        <v>0</v>
      </c>
      <c r="AD5" s="18">
        <v>0</v>
      </c>
      <c r="AE5" s="18">
        <v>0</v>
      </c>
      <c r="AF5" s="18">
        <f t="shared" si="4"/>
        <v>0.105987</v>
      </c>
      <c r="AG5" s="18">
        <v>0</v>
      </c>
      <c r="AH5" s="18">
        <v>0</v>
      </c>
      <c r="AI5" s="19">
        <f t="shared" si="5"/>
        <v>11.534507</v>
      </c>
      <c r="AJ5">
        <v>0.105987</v>
      </c>
    </row>
    <row r="6" spans="1:36" x14ac:dyDescent="0.3">
      <c r="A6" t="s">
        <v>299</v>
      </c>
      <c r="B6" t="str">
        <f>"""SQL-NAVISION"","""",""SQL="",""14=Id_ Prefactura"",""PF26-00004176"",""2=Tipo documento"",""0"",""14=No_"",""PD260064487"",""14=No_ referencia transporte"",""INPOST100426.1"",""14=Familia pedido"","""",""15=Fecha confirmación SGA"",""10/04/2026"",""14=Nombre punto entrega"",""FLOWBEST "&amp;"LDA"",""14=Contacto punto entrega"",""TIAGO RIBEIRO"",""14=Dirección punto entrega"",""Estrada Nacional 10 – Km 127,2 Cruz das Almas, Alagoas"",""14=C_P_ punto entrega"",""2615"",""14=Población punto entrega"",""133 Alverca do Ribatejo"",""14=Provincia punto entrega"",""PORT"&amp;"UGAL"",""14=País punto entrega"",""PT"",""10=bultosP"",""1,00000000000000000000"",""14=No_ documento cliente"",""INPOST100426.1"",""14=Cód_ Servicio solicitado Fact_"",""STD"",""10=bultosE"",""1,00000000000000000000"",""10=Peso facturable"",""3,00000000000000000000"",""14=Cód_ ope"&amp;"rativa"",""053"",""14=Descripción"",""PRUEBA PILOTO INPOST"",""2=No_ línea"",""10000"",""14=No_ producto cliente"",""10-11-001202"",""14=Descripción ampliada"",""EMERGENCY KEY TO THE XS MODULE( COMPARTMENT)"",""10=Cantidad confirmada"",""5,00000000000000000000"",""2=numeroexpedi"&amp;"ciones"",""1"",""2=numeroalbaranes"",""1"",""10=manipulacion"",""2,39654100000000000000"",""10=embalaje"",""0,54000000000000000000"",""10=transporte"",""9,00874300000000000000"",""10=prima"",""0,00000000000000000000"",""10=reembolso"",""0,00000000000000000000"",""10=impuestos"",""0,00"&amp;"000000000000000000"",""10=gestion"",""0,10598700000000000000"",""10=franqueo"",""0,00000000000000000000"",""10=despacho"",""0,00000000000000000000"""</f>
        <v>"SQL-NAVISION","","SQL=","14=Id_ Prefactura","PF26-00004176","2=Tipo documento","0","14=No_","PD260064487","14=No_ referencia transporte","INPOST100426.1","14=Familia pedido","","15=Fecha confirmación SGA","10/04/2026","14=Nombre punto entrega","FLOWBEST LDA","14=Contacto punto entrega","TIAGO RIBEIRO","14=Dirección punto entrega","Estrada Nacional 10 – Km 127,2 Cruz das Almas, Alagoas","14=C_P_ punto entrega","2615","14=Población punto entrega","133 Alverca do Ribatejo","14=Provincia punto entrega","PORTUGAL","14=País punto entrega","PT","10=bultosP","1,00000000000000000000","14=No_ documento cliente","INPOST100426.1","14=Cód_ Servicio solicitado Fact_","STD","10=bultosE","1,00000000000000000000","10=Peso facturable","3,00000000000000000000","14=Cód_ operativa","053","14=Descripción","PRUEBA PILOTO INPOST","2=No_ línea","10000","14=No_ producto cliente","10-11-001202","14=Descripción ampliada","EMERGENCY KEY TO THE XS MODULE( COMPARTMENT)","10=Cantidad confirmada","5,00000000000000000000","2=numeroexpediciones","1","2=numeroalbaranes","1","10=manipulacion","2,39654100000000000000","10=embalaje","0,54000000000000000000","10=transporte","9,00874300000000000000","10=prima","0,00000000000000000000","10=reembolso","0,00000000000000000000","10=impuestos","0,00000000000000000000","10=gestion","0,10598700000000000000","10=franqueo","0,00000000000000000000","10=despacho","0,00000000000000000000"</v>
      </c>
      <c r="C6" t="str">
        <f>"PD260064487"</f>
        <v>PD260064487</v>
      </c>
      <c r="D6" s="3" t="str">
        <f t="shared" si="0"/>
        <v>PF26-00004176</v>
      </c>
      <c r="E6" s="3" t="str">
        <f t="shared" si="1"/>
        <v>053 PRUEBA PILOTO INPOST</v>
      </c>
      <c r="F6" s="3" t="str">
        <f t="shared" si="2"/>
        <v>Pedido</v>
      </c>
      <c r="G6" s="3" t="str">
        <f>"PD260064487"</f>
        <v>PD260064487</v>
      </c>
      <c r="H6" s="3" t="str">
        <f>"INPOST100426.1"</f>
        <v>INPOST100426.1</v>
      </c>
      <c r="I6" s="3" t="str">
        <f>"INPOST100426.1"</f>
        <v>INPOST100426.1</v>
      </c>
      <c r="J6" s="3" t="str">
        <f>""</f>
        <v/>
      </c>
      <c r="K6" s="4">
        <v>46122</v>
      </c>
      <c r="L6" s="3" t="str">
        <f>"FLOWBEST LDA"</f>
        <v>FLOWBEST LDA</v>
      </c>
      <c r="M6" s="3" t="str">
        <f>"TIAGO RIBEIRO"</f>
        <v>TIAGO RIBEIRO</v>
      </c>
      <c r="N6" s="3" t="str">
        <f>"Estrada Nacional 10 – Km 127,2 Cruz das Almas, Alagoas"</f>
        <v>Estrada Nacional 10 – Km 127,2 Cruz das Almas, Alagoas</v>
      </c>
      <c r="O6" s="3" t="str">
        <f>"2615"</f>
        <v>2615</v>
      </c>
      <c r="P6" s="3" t="str">
        <f>"133 Alverca do Ribatejo"</f>
        <v>133 Alverca do Ribatejo</v>
      </c>
      <c r="Q6" s="3" t="str">
        <f>"PORTUGAL"</f>
        <v>PORTUGAL</v>
      </c>
      <c r="R6" s="3" t="str">
        <f>"PT"</f>
        <v>PT</v>
      </c>
      <c r="S6" s="3" t="str">
        <f t="shared" si="3"/>
        <v>STD</v>
      </c>
      <c r="T6" s="14">
        <v>1</v>
      </c>
      <c r="U6" s="14">
        <v>1</v>
      </c>
      <c r="V6" s="15">
        <v>3</v>
      </c>
      <c r="W6" s="15" t="str">
        <f>"10-11-001202"</f>
        <v>10-11-001202</v>
      </c>
      <c r="X6" s="15" t="str">
        <f>"EMERGENCY KEY TO THE XS MODULE( COMPARTMENT)"</f>
        <v>EMERGENCY KEY TO THE XS MODULE( COMPARTMENT)</v>
      </c>
      <c r="Y6" s="14">
        <v>5</v>
      </c>
      <c r="Z6" s="18">
        <v>2.396541</v>
      </c>
      <c r="AA6" s="18">
        <v>0.54</v>
      </c>
      <c r="AB6" s="18">
        <v>9.0087430000000008</v>
      </c>
      <c r="AC6" s="18">
        <v>0</v>
      </c>
      <c r="AD6" s="18">
        <v>0</v>
      </c>
      <c r="AE6" s="18">
        <v>0</v>
      </c>
      <c r="AF6" s="18">
        <f t="shared" si="4"/>
        <v>0.105987</v>
      </c>
      <c r="AG6" s="18">
        <v>0</v>
      </c>
      <c r="AH6" s="18">
        <v>0</v>
      </c>
      <c r="AI6" s="19">
        <f t="shared" si="5"/>
        <v>12.051271000000002</v>
      </c>
      <c r="AJ6">
        <v>0.105987</v>
      </c>
    </row>
    <row r="7" spans="1:36" x14ac:dyDescent="0.3">
      <c r="A7" t="s">
        <v>299</v>
      </c>
      <c r="B7" t="str">
        <f>"""SQL-NAVISION"","""",""SQL="",""14=Id_ Prefactura"",""PF26-00004176"",""2=Tipo documento"",""0"",""14=No_"",""PD260075039"",""14=No_ referencia transporte"",""X26023588"",""14=Familia pedido"","""",""15=Fecha confirmación SGA"",""28/04/2026"",""14=Nombre punto entrega"",""Adrián Alvarez"&amp;" Estopiña"",""14=Contacto punto entrega"",""Adrián Alvarez Estopiña"",""14=Dirección punto entrega"",""carrer pintor segrelles 1 puerta 1A "",""14=C_P_ punto entrega"",""46460"",""14=Población punto entrega"",""Silla"",""14=Provincia punto entrega"",""Valencia"",""14=País punt"&amp;"o entrega"",""ES"",""10=bultosP"",""2,00000000000000000000"",""14=No_ documento cliente"",""INPOST280426.1"",""14=Cód_ Servicio solicitado Fact_"",""STD"",""10=bultosE"",""2,00000000000000000000"",""10=Peso facturable"",""11,00000000000000000000"",""14=Cód_ operativa"",""053"",""14="&amp;"Descripción"",""PRUEBA PILOTO INPOST"",""2=No_ línea"",""10000"",""14=No_ producto cliente"",""11-50-000520"",""14=Descripción ampliada"",""PUERTA INDOOR - MEDIANA - DERECHA"",""10=Cantidad confirmada"",""1,00000000000000000000"",""2=numeroexpediciones"",""1"",""2=numeroalbarane"&amp;"s"",""1"",""10=manipulacion"",""4,46174400000000000000"",""10=embalaje"",""1,80000000000000000000"",""10=transporte"",""7,78077200000000000000"",""10=prima"",""0,00000000000000000000"",""10=reembolso"",""0,00000000000000000000"",""10=impuestos"",""0,00000000000000000000"",""10=gesti"&amp;"on"",""0,10598700000000000000"",""10=franqueo"",""0,00000000000000000000"",""10=despacho"",""0,00000000000000000000"""</f>
        <v>"SQL-NAVISION","","SQL=","14=Id_ Prefactura","PF26-00004176","2=Tipo documento","0","14=No_","PD260075039","14=No_ referencia transporte","X26023588","14=Familia pedido","","15=Fecha confirmación SGA","28/04/2026","14=Nombre punto entrega","Adrián Alvarez Estopiña","14=Contacto punto entrega","Adrián Alvarez Estopiña","14=Dirección punto entrega","carrer pintor segrelles 1 puerta 1A ","14=C_P_ punto entrega","46460","14=Población punto entrega","Silla","14=Provincia punto entrega","Valencia","14=País punto entrega","ES","10=bultosP","2,00000000000000000000","14=No_ documento cliente","INPOST280426.1","14=Cód_ Servicio solicitado Fact_","STD","10=bultosE","2,00000000000000000000","10=Peso facturable","11,00000000000000000000","14=Cód_ operativa","053","14=Descripción","PRUEBA PILOTO INPOST","2=No_ línea","10000","14=No_ producto cliente","11-50-000520","14=Descripción ampliada","PUERTA INDOOR - MEDIANA - DERECHA","10=Cantidad confirmada","1,00000000000000000000","2=numeroexpediciones","1","2=numeroalbaranes","1","10=manipulacion","4,46174400000000000000","10=embalaje","1,80000000000000000000","10=transporte","7,78077200000000000000","10=prima","0,00000000000000000000","10=reembolso","0,00000000000000000000","10=impuestos","0,00000000000000000000","10=gestion","0,10598700000000000000","10=franqueo","0,00000000000000000000","10=despacho","0,00000000000000000000"</v>
      </c>
      <c r="C7" t="str">
        <f>"PD260075039"</f>
        <v>PD260075039</v>
      </c>
      <c r="D7" s="3" t="str">
        <f t="shared" si="0"/>
        <v>PF26-00004176</v>
      </c>
      <c r="E7" s="3" t="str">
        <f t="shared" si="1"/>
        <v>053 PRUEBA PILOTO INPOST</v>
      </c>
      <c r="F7" s="3" t="str">
        <f t="shared" si="2"/>
        <v>Pedido</v>
      </c>
      <c r="G7" s="3" t="str">
        <f>"PD260075039"</f>
        <v>PD260075039</v>
      </c>
      <c r="H7" s="3" t="str">
        <f>"INPOST280426.1"</f>
        <v>INPOST280426.1</v>
      </c>
      <c r="I7" s="3" t="str">
        <f>"X26023588"</f>
        <v>X26023588</v>
      </c>
      <c r="J7" s="3" t="str">
        <f>""</f>
        <v/>
      </c>
      <c r="K7" s="4">
        <v>46140</v>
      </c>
      <c r="L7" s="3" t="str">
        <f>"Adrián Alvarez Estopiña"</f>
        <v>Adrián Alvarez Estopiña</v>
      </c>
      <c r="M7" s="3" t="str">
        <f>"Adrián Alvarez Estopiña"</f>
        <v>Adrián Alvarez Estopiña</v>
      </c>
      <c r="N7" s="3" t="str">
        <f>"carrer pintor segrelles 1 puerta 1A "</f>
        <v>carrer pintor segrelles 1 puerta 1A </v>
      </c>
      <c r="O7" s="3" t="str">
        <f>"46460"</f>
        <v>46460</v>
      </c>
      <c r="P7" s="3" t="str">
        <f>"Silla"</f>
        <v>Silla</v>
      </c>
      <c r="Q7" s="3" t="str">
        <f>"Valencia"</f>
        <v>Valencia</v>
      </c>
      <c r="R7" s="3" t="str">
        <f t="shared" ref="R7:R14" si="6">"ES"</f>
        <v>ES</v>
      </c>
      <c r="S7" s="3" t="str">
        <f t="shared" si="3"/>
        <v>STD</v>
      </c>
      <c r="T7" s="14">
        <v>2</v>
      </c>
      <c r="U7" s="14">
        <v>2</v>
      </c>
      <c r="V7" s="15">
        <v>11</v>
      </c>
      <c r="W7" s="15" t="str">
        <f>"11-50-000520"</f>
        <v>11-50-000520</v>
      </c>
      <c r="X7" s="15" t="str">
        <f>"PUERTA INDOOR - MEDIANA - DERECHA"</f>
        <v>PUERTA INDOOR - MEDIANA - DERECHA</v>
      </c>
      <c r="Y7" s="14">
        <v>1</v>
      </c>
      <c r="Z7" s="18">
        <v>4.4617440000000004</v>
      </c>
      <c r="AA7" s="18">
        <v>1.8</v>
      </c>
      <c r="AB7" s="18">
        <v>7.7807719999999989</v>
      </c>
      <c r="AC7" s="18">
        <v>0</v>
      </c>
      <c r="AD7" s="18">
        <v>0</v>
      </c>
      <c r="AE7" s="18">
        <v>0</v>
      </c>
      <c r="AF7" s="18">
        <f t="shared" si="4"/>
        <v>0.105987</v>
      </c>
      <c r="AG7" s="18">
        <v>0</v>
      </c>
      <c r="AH7" s="18">
        <v>0</v>
      </c>
      <c r="AI7" s="19">
        <f t="shared" si="5"/>
        <v>14.148503</v>
      </c>
      <c r="AJ7">
        <v>0.105987</v>
      </c>
    </row>
    <row r="8" spans="1:36" x14ac:dyDescent="0.3">
      <c r="A8" t="s">
        <v>299</v>
      </c>
      <c r="B8" t="str">
        <f>"""SQL-NAVISION"","""",""SQL="",""14=Id_ Prefactura"",""PF26-00004176"",""2=Tipo documento"",""0"",""14=No_"",""PD260075042"",""14=No_ referencia transporte"",""X26023589"",""14=Familia pedido"","""",""15=Fecha confirmación SGA"",""28/04/2026"",""14=Nombre punto entrega"",""Bryan Silvera "&amp;"Yancari"",""14=Contacto punto entrega"",""Bryan Silvera Yancari"",""14=Dirección punto entrega"",""Avenida de Andalucía 34, Piso 3 Puerta A."",""14=C_P_ punto entrega"",""41006"",""14=Población punto entrega"",""Sevilla"",""14=Provincia punto entrega"",""Sevilla"",""14=País pu"&amp;"nto entrega"",""ES"",""10=bultosP"",""1,00000000000000000000"",""14=No_ documento cliente"",""INPOST280426.4"",""14=Cód_ Servicio solicitado Fact_"",""STD"",""10=bultosE"",""1,00000000000000000000"",""10=Peso facturable"",""17,00000000000000000000"",""14=Cód_ operativa"",""053"",""1"&amp;"4=Descripción"",""PRUEBA PILOTO INPOST"",""2=No_ línea"",""10000"",""14=No_ producto cliente"",""KIT CAPACITIVO"",""14=Descripción ampliada"",""MONITOR CAPACITIVO + USB + CONECTOR (1095) + SELLANTE + SENSOR"",""10=Cantidad confirmada"",""1,00000000000000000000"",""2=numeroex"&amp;"pediciones"",""1"",""2=numeroalbaranes"",""1"",""10=manipulacion"",""6,69673200000000000000"",""10=embalaje"",""2,12000000000000000000"",""10=transporte"",""8,25892000000000000000"",""10=prima"",""0,00000000000000000000"",""10=reembolso"",""0,00000000000000000000"",""10=impuestos"","""&amp;"0,00000000000000000000"",""10=gestion"",""0,10598700000000000000"",""10=franqueo"",""0,00000000000000000000"",""10=despacho"",""0,00000000000000000000"""</f>
        <v>"SQL-NAVISION","","SQL=","14=Id_ Prefactura","PF26-00004176","2=Tipo documento","0","14=No_","PD260075042","14=No_ referencia transporte","X26023589","14=Familia pedido","","15=Fecha confirmación SGA","28/04/2026","14=Nombre punto entrega","Bryan Silvera Yancari","14=Contacto punto entrega","Bryan Silvera Yancari","14=Dirección punto entrega","Avenida de Andalucía 34, Piso 3 Puerta A.","14=C_P_ punto entrega","41006","14=Población punto entrega","Sevilla","14=Provincia punto entrega","Sevilla","14=País punto entrega","ES","10=bultosP","1,00000000000000000000","14=No_ documento cliente","INPOST280426.4","14=Cód_ Servicio solicitado Fact_","STD","10=bultosE","1,00000000000000000000","10=Peso facturable","17,00000000000000000000","14=Cód_ operativa","053","14=Descripción","PRUEBA PILOTO INPOST","2=No_ línea","10000","14=No_ producto cliente","KIT CAPACITIVO","14=Descripción ampliada","MONITOR CAPACITIVO + USB + CONECTOR (1095) + SELLANTE + SENSOR","10=Cantidad confirmada","1,00000000000000000000","2=numeroexpediciones","1","2=numeroalbaranes","1","10=manipulacion","6,69673200000000000000","10=embalaje","2,12000000000000000000","10=transporte","8,25892000000000000000","10=prima","0,00000000000000000000","10=reembolso","0,00000000000000000000","10=impuestos","0,00000000000000000000","10=gestion","0,10598700000000000000","10=franqueo","0,00000000000000000000","10=despacho","0,00000000000000000000"</v>
      </c>
      <c r="C8" t="str">
        <f>"PD260075042"</f>
        <v>PD260075042</v>
      </c>
      <c r="D8" s="3" t="str">
        <f t="shared" si="0"/>
        <v>PF26-00004176</v>
      </c>
      <c r="E8" s="3" t="str">
        <f t="shared" si="1"/>
        <v>053 PRUEBA PILOTO INPOST</v>
      </c>
      <c r="F8" s="3" t="str">
        <f t="shared" si="2"/>
        <v>Pedido</v>
      </c>
      <c r="G8" s="3" t="str">
        <f>"PD260075042"</f>
        <v>PD260075042</v>
      </c>
      <c r="H8" s="3" t="str">
        <f>"INPOST280426.4"</f>
        <v>INPOST280426.4</v>
      </c>
      <c r="I8" s="3" t="str">
        <f>"X26023589"</f>
        <v>X26023589</v>
      </c>
      <c r="J8" s="3" t="str">
        <f>""</f>
        <v/>
      </c>
      <c r="K8" s="4">
        <v>46140</v>
      </c>
      <c r="L8" s="3" t="str">
        <f>"Bryan Silvera Yancari"</f>
        <v>Bryan Silvera Yancari</v>
      </c>
      <c r="M8" s="3" t="str">
        <f>"Bryan Silvera Yancari"</f>
        <v>Bryan Silvera Yancari</v>
      </c>
      <c r="N8" s="3" t="str">
        <f>"Avenida de Andalucía 34, Piso 3 Puerta A."</f>
        <v>Avenida de Andalucía 34, Piso 3 Puerta A.</v>
      </c>
      <c r="O8" s="3" t="str">
        <f>"41006"</f>
        <v>41006</v>
      </c>
      <c r="P8" s="3" t="str">
        <f>"Sevilla"</f>
        <v>Sevilla</v>
      </c>
      <c r="Q8" s="3" t="str">
        <f>"Sevilla"</f>
        <v>Sevilla</v>
      </c>
      <c r="R8" s="3" t="str">
        <f t="shared" si="6"/>
        <v>ES</v>
      </c>
      <c r="S8" s="3" t="str">
        <f t="shared" si="3"/>
        <v>STD</v>
      </c>
      <c r="T8" s="14">
        <v>1</v>
      </c>
      <c r="U8" s="14">
        <v>1</v>
      </c>
      <c r="V8" s="15">
        <v>17</v>
      </c>
      <c r="W8" s="15" t="str">
        <f>"KIT CAPACITIVO"</f>
        <v>KIT CAPACITIVO</v>
      </c>
      <c r="X8" s="15" t="str">
        <f>"MONITOR CAPACITIVO + USB + CONECTOR (1095) + SELLANTE + SENSOR"</f>
        <v>MONITOR CAPACITIVO + USB + CONECTOR (1095) + SELLANTE + SENSOR</v>
      </c>
      <c r="Y8" s="14">
        <v>1</v>
      </c>
      <c r="Z8" s="18">
        <v>6.6967320000000008</v>
      </c>
      <c r="AA8" s="18">
        <v>2.12</v>
      </c>
      <c r="AB8" s="18">
        <v>8.2589199999999998</v>
      </c>
      <c r="AC8" s="18">
        <v>0</v>
      </c>
      <c r="AD8" s="18">
        <v>0</v>
      </c>
      <c r="AE8" s="18">
        <v>0</v>
      </c>
      <c r="AF8" s="18">
        <f t="shared" si="4"/>
        <v>0.105987</v>
      </c>
      <c r="AG8" s="18">
        <v>0</v>
      </c>
      <c r="AH8" s="18">
        <v>0</v>
      </c>
      <c r="AI8" s="19">
        <f t="shared" si="5"/>
        <v>17.181639000000001</v>
      </c>
      <c r="AJ8">
        <v>0.105987</v>
      </c>
    </row>
    <row r="9" spans="1:36" x14ac:dyDescent="0.3">
      <c r="A9" t="s">
        <v>299</v>
      </c>
      <c r="B9" t="str">
        <f>"""SQL-NAVISION"","""",""SQL="",""14=Id_ Prefactura"",""PF26-00004176"",""2=Tipo documento"",""0"",""14=No_"",""PD260071471"",""14=No_ referencia transporte"",""INPOST220426.1"",""14=Familia pedido"","""",""15=Fecha confirmación SGA"",""23/04/2026"",""14=Nombre punto entrega"",""TIPSA SAN"&amp;"T BOI"",""14=Contacto punto entrega"",""DIEGO CASAGRANDE"",""14=Dirección punto entrega"",""CARRER DE LA CIENCIA, 26"",""14=C_P_ punto entrega"",""08840"",""14=Población punto entrega"",""Viladecans"",""14=Provincia punto entrega"",""Barcelona"",""14=País punto entrega"",""ES"","""&amp;"10=bultosP"",""1,00000000000000000000"",""14=No_ documento cliente"",""INPOST220426.1"",""14=Cód_ Servicio solicitado Fact_"",""STD"",""10=bultosE"",""1,00000000000000000000"",""10=Peso facturable"",""29,00000000000000000000"",""14=Cód_ operativa"",""053"",""14=Descripción"",""PRU"&amp;"EBA PILOTO INPOST"",""2=No_ línea"",""10000"",""14=No_ producto cliente"",""10-20-000064"",""14=Descripción ampliada"",""ACTUADOR CERRADURAS"",""10=Cantidad confirmada"",""20,00000000000000000000"",""2=numeroexpediciones"",""1"",""2=numeroalbaranes"",""1"",""10=manipulacion"",""8,42"&amp;"236500000000000000"",""10=embalaje"",""1,30000000000000000000"",""10=transporte"",""8,83487100000000000000"",""10=prima"",""0,00000000000000000000"",""10=reembolso"",""0,00000000000000000000"",""10=impuestos"",""0,00000000000000000000"",""10=gestion"",""0,10598700000000000000"","""&amp;"10=franqueo"",""0,00000000000000000000"",""10=despacho"",""0,00000000000000000000"""</f>
        <v>"SQL-NAVISION","","SQL=","14=Id_ Prefactura","PF26-00004176","2=Tipo documento","0","14=No_","PD260071471","14=No_ referencia transporte","INPOST220426.1","14=Familia pedido","","15=Fecha confirmación SGA","23/04/2026","14=Nombre punto entrega","TIPSA SANT BOI","14=Contacto punto entrega","DIEGO CASAGRANDE","14=Dirección punto entrega","CARRER DE LA CIENCIA, 26","14=C_P_ punto entrega","08840","14=Población punto entrega","Viladecans","14=Provincia punto entrega","Barcelona","14=País punto entrega","ES","10=bultosP","1,00000000000000000000","14=No_ documento cliente","INPOST220426.1","14=Cód_ Servicio solicitado Fact_","STD","10=bultosE","1,00000000000000000000","10=Peso facturable","29,00000000000000000000","14=Cód_ operativa","053","14=Descripción","PRUEBA PILOTO INPOST","2=No_ línea","10000","14=No_ producto cliente","10-20-000064","14=Descripción ampliada","ACTUADOR CERRADURAS","10=Cantidad confirmada","20,00000000000000000000","2=numeroexpediciones","1","2=numeroalbaranes","1","10=manipulacion","8,42236500000000000000","10=embalaje","1,30000000000000000000","10=transporte","8,83487100000000000000","10=prima","0,00000000000000000000","10=reembolso","0,00000000000000000000","10=impuestos","0,00000000000000000000","10=gestion","0,10598700000000000000","10=franqueo","0,00000000000000000000","10=despacho","0,00000000000000000000"</v>
      </c>
      <c r="C9" t="str">
        <f>"PD260071471"</f>
        <v>PD260071471</v>
      </c>
      <c r="D9" s="3" t="str">
        <f t="shared" si="0"/>
        <v>PF26-00004176</v>
      </c>
      <c r="E9" s="3" t="str">
        <f t="shared" si="1"/>
        <v>053 PRUEBA PILOTO INPOST</v>
      </c>
      <c r="F9" s="3" t="str">
        <f t="shared" si="2"/>
        <v>Pedido</v>
      </c>
      <c r="G9" s="3" t="str">
        <f>"PD260071471"</f>
        <v>PD260071471</v>
      </c>
      <c r="H9" s="3" t="str">
        <f>"INPOST220426.1"</f>
        <v>INPOST220426.1</v>
      </c>
      <c r="I9" s="3" t="str">
        <f>"INPOST220426.1"</f>
        <v>INPOST220426.1</v>
      </c>
      <c r="J9" s="3" t="str">
        <f>""</f>
        <v/>
      </c>
      <c r="K9" s="4">
        <v>46135</v>
      </c>
      <c r="L9" s="3" t="str">
        <f>"TIPSA SANT BOI"</f>
        <v>TIPSA SANT BOI</v>
      </c>
      <c r="M9" s="3" t="str">
        <f>"DIEGO CASAGRANDE"</f>
        <v>DIEGO CASAGRANDE</v>
      </c>
      <c r="N9" s="3" t="str">
        <f>"CARRER DE LA CIENCIA, 26"</f>
        <v>CARRER DE LA CIENCIA, 26</v>
      </c>
      <c r="O9" s="3" t="str">
        <f>"08840"</f>
        <v>08840</v>
      </c>
      <c r="P9" s="3" t="str">
        <f>"Viladecans"</f>
        <v>Viladecans</v>
      </c>
      <c r="Q9" s="3" t="str">
        <f>"Barcelona"</f>
        <v>Barcelona</v>
      </c>
      <c r="R9" s="3" t="str">
        <f t="shared" si="6"/>
        <v>ES</v>
      </c>
      <c r="S9" s="3" t="str">
        <f t="shared" si="3"/>
        <v>STD</v>
      </c>
      <c r="T9" s="14">
        <v>1</v>
      </c>
      <c r="U9" s="14">
        <v>1</v>
      </c>
      <c r="V9" s="15">
        <v>29</v>
      </c>
      <c r="W9" s="15" t="str">
        <f>"10-20-000064"</f>
        <v>10-20-000064</v>
      </c>
      <c r="X9" s="15" t="str">
        <f>"ACTUADOR CERRADURAS"</f>
        <v>ACTUADOR CERRADURAS</v>
      </c>
      <c r="Y9" s="14">
        <v>20</v>
      </c>
      <c r="Z9" s="18">
        <v>8.422365000000001</v>
      </c>
      <c r="AA9" s="18">
        <v>1.3</v>
      </c>
      <c r="AB9" s="18">
        <v>8.8348709999999997</v>
      </c>
      <c r="AC9" s="18">
        <v>0</v>
      </c>
      <c r="AD9" s="18">
        <v>0</v>
      </c>
      <c r="AE9" s="18">
        <v>0</v>
      </c>
      <c r="AF9" s="18">
        <f t="shared" si="4"/>
        <v>0.105987</v>
      </c>
      <c r="AG9" s="18">
        <v>0</v>
      </c>
      <c r="AH9" s="18">
        <v>0</v>
      </c>
      <c r="AI9" s="19">
        <f t="shared" si="5"/>
        <v>18.663223000000002</v>
      </c>
      <c r="AJ9">
        <v>0.105987</v>
      </c>
    </row>
    <row r="10" spans="1:36" x14ac:dyDescent="0.3">
      <c r="A10" t="s">
        <v>299</v>
      </c>
      <c r="B10" t="str">
        <f>"""SQL-NAVISION"","""",""SQL="",""14=Id_ Prefactura"",""PF26-00004176"",""2=Tipo documento"",""0"",""14=No_"",""PD260075041"",""14=No_ referencia transporte"",""INPOST280426.3"",""14=Familia pedido"","""",""15=Fecha confirmación SGA"",""28/04/2026"",""14=Nombre punto entrega"",""Javier Co"&amp;"rtegoso Torres"",""14=Contacto punto entrega"",""Javier Cortegoso Torres"",""14=Dirección punto entrega"",""Plaza España 3-4 8i"",""14=C_P_ punto entrega"",""15403"",""14=Población punto entrega"",""Ferrol"",""14=Provincia punto entrega"",""A Coruña"",""14=País punto entrega"","&amp;"""ES"",""10=bultosP"",""1,00000000000000000000"",""14=No_ documento cliente"",""INPOST280426.3"",""14=Cód_ Servicio solicitado Fact_"",""STD"",""10=bultosE"",""1,00000000000000000000"",""10=Peso facturable"",""29,00000000000000000000"",""14=Cód_ operativa"",""053"",""14=Descripción"&amp;""",""PRUEBA PILOTO INPOST"",""2=No_ línea"",""10000"",""14=No_ producto cliente"",""11-50-000521"",""14=Descripción ampliada"",""PUERTA INDOOR - GRANDE - DERECHA"",""10=Cantidad confirmada"",""1,00000000000000000000"",""2=numeroexpediciones"",""1"",""2=numeroalbaranes"",""1"",""10=m"&amp;"anipulacion"",""8,03031600000000000000"",""10=embalaje"",""2,12000000000000000000"",""10=transporte"",""11,26907900000000000000"",""10=prima"",""0,00000000000000000000"",""10=reembolso"",""0,00000000000000000000"",""10=impuestos"",""0,00000000000000000000"",""10=gestion"",""0,1059"&amp;"8700000000000000"",""10=franqueo"",""0,00000000000000000000"",""10=despacho"",""0,00000000000000000000"""</f>
        <v>"SQL-NAVISION","","SQL=","14=Id_ Prefactura","PF26-00004176","2=Tipo documento","0","14=No_","PD260075041","14=No_ referencia transporte","INPOST280426.3","14=Familia pedido","","15=Fecha confirmación SGA","28/04/2026","14=Nombre punto entrega","Javier Cortegoso Torres","14=Contacto punto entrega","Javier Cortegoso Torres","14=Dirección punto entrega","Plaza España 3-4 8i","14=C_P_ punto entrega","15403","14=Población punto entrega","Ferrol","14=Provincia punto entrega","A Coruña","14=País punto entrega","ES","10=bultosP","1,00000000000000000000","14=No_ documento cliente","INPOST280426.3","14=Cód_ Servicio solicitado Fact_","STD","10=bultosE","1,00000000000000000000","10=Peso facturable","29,00000000000000000000","14=Cód_ operativa","053","14=Descripción","PRUEBA PILOTO INPOST","2=No_ línea","10000","14=No_ producto cliente","11-50-000521","14=Descripción ampliada","PUERTA INDOOR - GRANDE - DERECHA","10=Cantidad confirmada","1,00000000000000000000","2=numeroexpediciones","1","2=numeroalbaranes","1","10=manipulacion","8,03031600000000000000","10=embalaje","2,12000000000000000000","10=transporte","11,26907900000000000000","10=prima","0,00000000000000000000","10=reembolso","0,00000000000000000000","10=impuestos","0,00000000000000000000","10=gestion","0,10598700000000000000","10=franqueo","0,00000000000000000000","10=despacho","0,00000000000000000000"</v>
      </c>
      <c r="C10" t="str">
        <f>"PD260075041"</f>
        <v>PD260075041</v>
      </c>
      <c r="D10" s="3" t="str">
        <f t="shared" si="0"/>
        <v>PF26-00004176</v>
      </c>
      <c r="E10" s="3" t="str">
        <f t="shared" si="1"/>
        <v>053 PRUEBA PILOTO INPOST</v>
      </c>
      <c r="F10" s="3" t="str">
        <f t="shared" si="2"/>
        <v>Pedido</v>
      </c>
      <c r="G10" s="3" t="str">
        <f>"PD260075041"</f>
        <v>PD260075041</v>
      </c>
      <c r="H10" s="3" t="str">
        <f>"INPOST280426.3"</f>
        <v>INPOST280426.3</v>
      </c>
      <c r="I10" s="3" t="str">
        <f>"INPOST280426.3"</f>
        <v>INPOST280426.3</v>
      </c>
      <c r="J10" s="3" t="str">
        <f>""</f>
        <v/>
      </c>
      <c r="K10" s="4">
        <v>46140</v>
      </c>
      <c r="L10" s="3" t="str">
        <f>"Javier Cortegoso Torres"</f>
        <v>Javier Cortegoso Torres</v>
      </c>
      <c r="M10" s="3" t="str">
        <f>"Javier Cortegoso Torres"</f>
        <v>Javier Cortegoso Torres</v>
      </c>
      <c r="N10" s="3" t="str">
        <f>"Plaza España 3-4 8i"</f>
        <v>Plaza España 3-4 8i</v>
      </c>
      <c r="O10" s="3" t="str">
        <f>"15403"</f>
        <v>15403</v>
      </c>
      <c r="P10" s="3" t="str">
        <f>"Ferrol"</f>
        <v>Ferrol</v>
      </c>
      <c r="Q10" s="3" t="str">
        <f>"A Coruña"</f>
        <v>A Coruña</v>
      </c>
      <c r="R10" s="3" t="str">
        <f t="shared" si="6"/>
        <v>ES</v>
      </c>
      <c r="S10" s="3" t="str">
        <f t="shared" si="3"/>
        <v>STD</v>
      </c>
      <c r="T10" s="14">
        <v>1</v>
      </c>
      <c r="U10" s="14">
        <v>1</v>
      </c>
      <c r="V10" s="15">
        <v>29</v>
      </c>
      <c r="W10" s="15" t="str">
        <f>"11-50-000521"</f>
        <v>11-50-000521</v>
      </c>
      <c r="X10" s="15" t="str">
        <f>"PUERTA INDOOR - GRANDE - DERECHA"</f>
        <v>PUERTA INDOOR - GRANDE - DERECHA</v>
      </c>
      <c r="Y10" s="14">
        <v>1</v>
      </c>
      <c r="Z10" s="18">
        <v>8.0303160000000009</v>
      </c>
      <c r="AA10" s="18">
        <v>2.12</v>
      </c>
      <c r="AB10" s="18">
        <v>11.269079</v>
      </c>
      <c r="AC10" s="18">
        <v>0</v>
      </c>
      <c r="AD10" s="18">
        <v>0</v>
      </c>
      <c r="AE10" s="18">
        <v>0</v>
      </c>
      <c r="AF10" s="18">
        <f t="shared" si="4"/>
        <v>0.105987</v>
      </c>
      <c r="AG10" s="18">
        <v>0</v>
      </c>
      <c r="AH10" s="18">
        <v>0</v>
      </c>
      <c r="AI10" s="19">
        <f t="shared" si="5"/>
        <v>21.525382</v>
      </c>
      <c r="AJ10">
        <v>0.105987</v>
      </c>
    </row>
    <row r="11" spans="1:36" x14ac:dyDescent="0.3">
      <c r="A11" t="s">
        <v>299</v>
      </c>
      <c r="B11" t="str">
        <f>"""SQL-NAVISION"","""",""SQL="",""14=Id_ Prefactura"",""PF26-00004176"",""2=Tipo documento"",""0"",""14=No_"",""PD260075043"",""14=No_ referencia transporte"",""INPOST280426.5"",""14=Familia pedido"","""",""15=Fecha confirmación SGA"",""28/04/2026"",""14=Nombre punto entrega"",""Joan Manu"&amp;"el Luque Figueras"",""14=Contacto punto entrega"",""Joan Manuel Luque Figueras"",""14=Dirección punto entrega"",""Avinguda Catalunya 76-78 1-1"",""14=C_P_ punto entrega"",""08880"",""14=Población punto entrega"",""Cubelles"",""14=Provincia punto entrega"",""Barcelona"",""14=Pa"&amp;"ís punto entrega"",""ES"",""10=bultosP"",""1,00000000000000000000"",""14=No_ documento cliente"",""INPOST280426.5"",""14=Cód_ Servicio solicitado Fact_"",""STD"",""10=bultosE"",""1,00000000000000000000"",""10=Peso facturable"",""34,00000000000000000000"",""14=Cód_ operativa"",""05"&amp;"3"",""14=Descripción"",""PRUEBA PILOTO INPOST"",""2=No_ línea"",""10000"",""14=No_ producto cliente"",""KIT CAPACITIVO"",""14=Descripción ampliada"",""MONITOR CAPACITIVO + USB + CONECTOR (1095) + SELLANTE + SENSOR"",""10=Cantidad confirmada"",""1,00000000000000000000"",""2=num"&amp;"eroexpediciones"",""1"",""2=numeroalbaranes"",""1"",""10=manipulacion"",""7,80187800000000000000"",""10=embalaje"",""1,97000000000000000000"",""10=transporte"",""12,35577900000000000000"",""10=prima"",""0,00000000000000000000"",""10=reembolso"",""0,00000000000000000000"",""10=impues"&amp;"tos"",""0,00000000000000000000"",""10=gestion"",""0,10598700000000000000"",""10=franqueo"",""0,00000000000000000000"",""10=despacho"",""0,00000000000000000000"""</f>
        <v>"SQL-NAVISION","","SQL=","14=Id_ Prefactura","PF26-00004176","2=Tipo documento","0","14=No_","PD260075043","14=No_ referencia transporte","INPOST280426.5","14=Familia pedido","","15=Fecha confirmación SGA","28/04/2026","14=Nombre punto entrega","Joan Manuel Luque Figueras","14=Contacto punto entrega","Joan Manuel Luque Figueras","14=Dirección punto entrega","Avinguda Catalunya 76-78 1-1","14=C_P_ punto entrega","08880","14=Población punto entrega","Cubelles","14=Provincia punto entrega","Barcelona","14=País punto entrega","ES","10=bultosP","1,00000000000000000000","14=No_ documento cliente","INPOST280426.5","14=Cód_ Servicio solicitado Fact_","STD","10=bultosE","1,00000000000000000000","10=Peso facturable","34,00000000000000000000","14=Cód_ operativa","053","14=Descripción","PRUEBA PILOTO INPOST","2=No_ línea","10000","14=No_ producto cliente","KIT CAPACITIVO","14=Descripción ampliada","MONITOR CAPACITIVO + USB + CONECTOR (1095) + SELLANTE + SENSOR","10=Cantidad confirmada","1,00000000000000000000","2=numeroexpediciones","1","2=numeroalbaranes","1","10=manipulacion","7,80187800000000000000","10=embalaje","1,97000000000000000000","10=transporte","12,35577900000000000000","10=prima","0,00000000000000000000","10=reembolso","0,00000000000000000000","10=impuestos","0,00000000000000000000","10=gestion","0,10598700000000000000","10=franqueo","0,00000000000000000000","10=despacho","0,00000000000000000000"</v>
      </c>
      <c r="C11" t="str">
        <f>"PD260075043"</f>
        <v>PD260075043</v>
      </c>
      <c r="D11" s="3" t="str">
        <f t="shared" si="0"/>
        <v>PF26-00004176</v>
      </c>
      <c r="E11" s="3" t="str">
        <f t="shared" si="1"/>
        <v>053 PRUEBA PILOTO INPOST</v>
      </c>
      <c r="F11" s="3" t="str">
        <f t="shared" si="2"/>
        <v>Pedido</v>
      </c>
      <c r="G11" s="3" t="str">
        <f>"PD260075043"</f>
        <v>PD260075043</v>
      </c>
      <c r="H11" s="3" t="str">
        <f>"INPOST280426.5"</f>
        <v>INPOST280426.5</v>
      </c>
      <c r="I11" s="3" t="str">
        <f>"INPOST280426.5"</f>
        <v>INPOST280426.5</v>
      </c>
      <c r="J11" s="3" t="str">
        <f>""</f>
        <v/>
      </c>
      <c r="K11" s="4">
        <v>46140</v>
      </c>
      <c r="L11" s="3" t="str">
        <f>"Joan Manuel Luque Figueras"</f>
        <v>Joan Manuel Luque Figueras</v>
      </c>
      <c r="M11" s="3" t="str">
        <f>"Joan Manuel Luque Figueras"</f>
        <v>Joan Manuel Luque Figueras</v>
      </c>
      <c r="N11" s="3" t="str">
        <f>"Avinguda Catalunya 76-78 1-1"</f>
        <v>Avinguda Catalunya 76-78 1-1</v>
      </c>
      <c r="O11" s="3" t="str">
        <f>"08880"</f>
        <v>08880</v>
      </c>
      <c r="P11" s="3" t="str">
        <f>"Cubelles"</f>
        <v>Cubelles</v>
      </c>
      <c r="Q11" s="3" t="str">
        <f>"Barcelona"</f>
        <v>Barcelona</v>
      </c>
      <c r="R11" s="3" t="str">
        <f t="shared" si="6"/>
        <v>ES</v>
      </c>
      <c r="S11" s="3" t="str">
        <f t="shared" si="3"/>
        <v>STD</v>
      </c>
      <c r="T11" s="14">
        <v>1</v>
      </c>
      <c r="U11" s="14">
        <v>1</v>
      </c>
      <c r="V11" s="15">
        <v>34</v>
      </c>
      <c r="W11" s="15" t="str">
        <f>"KIT CAPACITIVO"</f>
        <v>KIT CAPACITIVO</v>
      </c>
      <c r="X11" s="15" t="str">
        <f>"MONITOR CAPACITIVO + USB + CONECTOR (1095) + SELLANTE + SENSOR"</f>
        <v>MONITOR CAPACITIVO + USB + CONECTOR (1095) + SELLANTE + SENSOR</v>
      </c>
      <c r="Y11" s="14">
        <v>1</v>
      </c>
      <c r="Z11" s="18">
        <v>7.8018780000000003</v>
      </c>
      <c r="AA11" s="18">
        <v>1.97</v>
      </c>
      <c r="AB11" s="18">
        <v>12.355779</v>
      </c>
      <c r="AC11" s="18">
        <v>0</v>
      </c>
      <c r="AD11" s="18">
        <v>0</v>
      </c>
      <c r="AE11" s="18">
        <v>0</v>
      </c>
      <c r="AF11" s="18">
        <f t="shared" si="4"/>
        <v>0.105987</v>
      </c>
      <c r="AG11" s="18">
        <v>0</v>
      </c>
      <c r="AH11" s="18">
        <v>0</v>
      </c>
      <c r="AI11" s="19">
        <f t="shared" si="5"/>
        <v>22.233643999999998</v>
      </c>
      <c r="AJ11">
        <v>0.105987</v>
      </c>
    </row>
    <row r="12" spans="1:36" x14ac:dyDescent="0.3">
      <c r="A12" t="s">
        <v>299</v>
      </c>
      <c r="B12" t="str">
        <f>"""SQL-NAVISION"","""",""SQL="",""14=Id_ Prefactura"",""PF26-00004176"",""2=Tipo documento"",""0"",""14=No_"",""PD260071472"",""14=No_ referencia transporte"",""INPOST220426.2"",""14=Familia pedido"","""",""15=Fecha confirmación SGA"",""23/04/2026"",""14=Nombre punto entrega"",""TIPSA BAD"&amp;"ALONA"",""14=Contacto punto entrega"",""HECTOR ALEJANDRO CARABAJAL"",""14=Dirección punto entrega"",""CARRER DE LA MAR JONICA, 5,LOCAL 14"",""14=C_P_ punto entrega"",""08918"",""14=Población punto entrega"",""BADALONA"",""14=Provincia punto entrega"",""Barcelona"",""14=País pu"&amp;"nto entrega"",""ES"",""10=bultosP"",""2,00000000000000000000"",""14=No_ documento cliente"",""INPOST220426.2"",""14=Cód_ Servicio solicitado Fact_"",""STD"",""10=bultosE"",""2,00000000000000000000"",""10=Peso facturable"",""36,00000000000000000000"",""14=Cód_ operativa"",""053"",""1"&amp;"4=Descripción"",""PRUEBA PILOTO INPOST"",""2=No_ línea"",""10000"",""14=No_ producto cliente"",""10-20-000064"",""14=Descripción ampliada"",""ACTUADOR CERRADURAS"",""10=Cantidad confirmada"",""20,00000000000000000000"",""2=numeroexpediciones"",""1"",""2=numeroalbaranes"",""1"",""10="&amp;"manipulacion"",""9,59233800000000000000"",""10=embalaje"",""1,30000000000000000000"",""10=transporte"",""12,35577900000000000000"",""10=prima"",""0,00000000000000000000"",""10=reembolso"",""0,00000000000000000000"",""10=impuestos"",""0,00000000000000000000"",""10=gestion"",""0,105"&amp;"98700000000000000"",""10=franqueo"",""0,00000000000000000000"",""10=despacho"",""0,00000000000000000000"""</f>
        <v>"SQL-NAVISION","","SQL=","14=Id_ Prefactura","PF26-00004176","2=Tipo documento","0","14=No_","PD260071472","14=No_ referencia transporte","INPOST220426.2","14=Familia pedido","","15=Fecha confirmación SGA","23/04/2026","14=Nombre punto entrega","TIPSA BADALONA","14=Contacto punto entrega","HECTOR ALEJANDRO CARABAJAL","14=Dirección punto entrega","CARRER DE LA MAR JONICA, 5,LOCAL 14","14=C_P_ punto entrega","08918","14=Población punto entrega","BADALONA","14=Provincia punto entrega","Barcelona","14=País punto entrega","ES","10=bultosP","2,00000000000000000000","14=No_ documento cliente","INPOST220426.2","14=Cód_ Servicio solicitado Fact_","STD","10=bultosE","2,00000000000000000000","10=Peso facturable","36,00000000000000000000","14=Cód_ operativa","053","14=Descripción","PRUEBA PILOTO INPOST","2=No_ línea","10000","14=No_ producto cliente","10-20-000064","14=Descripción ampliada","ACTUADOR CERRADURAS","10=Cantidad confirmada","20,00000000000000000000","2=numeroexpediciones","1","2=numeroalbaranes","1","10=manipulacion","9,59233800000000000000","10=embalaje","1,30000000000000000000","10=transporte","12,35577900000000000000","10=prima","0,00000000000000000000","10=reembolso","0,00000000000000000000","10=impuestos","0,00000000000000000000","10=gestion","0,10598700000000000000","10=franqueo","0,00000000000000000000","10=despacho","0,00000000000000000000"</v>
      </c>
      <c r="C12" t="str">
        <f>"PD260071472"</f>
        <v>PD260071472</v>
      </c>
      <c r="D12" s="3" t="str">
        <f t="shared" si="0"/>
        <v>PF26-00004176</v>
      </c>
      <c r="E12" s="3" t="str">
        <f t="shared" si="1"/>
        <v>053 PRUEBA PILOTO INPOST</v>
      </c>
      <c r="F12" s="3" t="str">
        <f t="shared" si="2"/>
        <v>Pedido</v>
      </c>
      <c r="G12" s="3" t="str">
        <f>"PD260071472"</f>
        <v>PD260071472</v>
      </c>
      <c r="H12" s="3" t="str">
        <f>"INPOST220426.2"</f>
        <v>INPOST220426.2</v>
      </c>
      <c r="I12" s="3" t="str">
        <f>"INPOST220426.2"</f>
        <v>INPOST220426.2</v>
      </c>
      <c r="J12" s="3" t="str">
        <f>""</f>
        <v/>
      </c>
      <c r="K12" s="4">
        <v>46135</v>
      </c>
      <c r="L12" s="3" t="str">
        <f>"TIPSA BADALONA"</f>
        <v>TIPSA BADALONA</v>
      </c>
      <c r="M12" s="3" t="str">
        <f>"HECTOR ALEJANDRO CARABAJAL"</f>
        <v>HECTOR ALEJANDRO CARABAJAL</v>
      </c>
      <c r="N12" s="3" t="str">
        <f>"CARRER DE LA MAR JONICA, 5,LOCAL 14"</f>
        <v>CARRER DE LA MAR JONICA, 5,LOCAL 14</v>
      </c>
      <c r="O12" s="3" t="str">
        <f>"08918"</f>
        <v>08918</v>
      </c>
      <c r="P12" s="3" t="str">
        <f>"BADALONA"</f>
        <v>BADALONA</v>
      </c>
      <c r="Q12" s="3" t="str">
        <f>"Barcelona"</f>
        <v>Barcelona</v>
      </c>
      <c r="R12" s="3" t="str">
        <f t="shared" si="6"/>
        <v>ES</v>
      </c>
      <c r="S12" s="3" t="str">
        <f t="shared" si="3"/>
        <v>STD</v>
      </c>
      <c r="T12" s="14">
        <v>2</v>
      </c>
      <c r="U12" s="14">
        <v>2</v>
      </c>
      <c r="V12" s="15">
        <v>36</v>
      </c>
      <c r="W12" s="15" t="str">
        <f>"10-20-000064"</f>
        <v>10-20-000064</v>
      </c>
      <c r="X12" s="15" t="str">
        <f>"ACTUADOR CERRADURAS"</f>
        <v>ACTUADOR CERRADURAS</v>
      </c>
      <c r="Y12" s="14">
        <v>20</v>
      </c>
      <c r="Z12" s="18">
        <v>9.5923379999999998</v>
      </c>
      <c r="AA12" s="18">
        <v>1.3</v>
      </c>
      <c r="AB12" s="18">
        <v>12.355779</v>
      </c>
      <c r="AC12" s="18">
        <v>0</v>
      </c>
      <c r="AD12" s="18">
        <v>0</v>
      </c>
      <c r="AE12" s="18">
        <v>0</v>
      </c>
      <c r="AF12" s="18">
        <f t="shared" si="4"/>
        <v>0.105987</v>
      </c>
      <c r="AG12" s="18">
        <v>0</v>
      </c>
      <c r="AH12" s="18">
        <v>0</v>
      </c>
      <c r="AI12" s="19">
        <f t="shared" si="5"/>
        <v>23.354104</v>
      </c>
      <c r="AJ12">
        <v>0.105987</v>
      </c>
    </row>
    <row r="13" spans="1:36" x14ac:dyDescent="0.3">
      <c r="A13" t="s">
        <v>299</v>
      </c>
      <c r="B13" t="str">
        <f>"""SQL-NAVISION"","""",""SQL="",""14=Id_ Prefactura"",""PF26-00004176"",""2=Tipo documento"",""0"",""14=No_"",""PD260075040"",""14=No_ referencia transporte"",""INPOST280426.2"",""14=Familia pedido"","""",""15=Fecha confirmación SGA"",""28/04/2026"",""14=Nombre punto entrega"",""Carlos Jo"&amp;"sé Carrasco"",""14=Contacto punto entrega"",""Carlos José Carrasco"",""14=Dirección punto entrega"",""Francisco Salzillo 7, pt 5, 4ºA "",""14=C_P_ punto entrega"",""28850"",""14=Población punto entrega"",""Torrejón de Ardoz 28"",""14=Provincia punto entrega"",""Madrid"",""14=P"&amp;"aís punto entrega"",""ES"",""10=bultosP"",""1,00000000000000000000"",""14=No_ documento cliente"",""INPOST280426.2"",""14=Cód_ Servicio solicitado Fact_"",""STD"",""10=bultosE"",""1,00000000000000000000"",""10=Peso facturable"",""46,00000000000000000000"",""14=Cód_ operativa"",""0"&amp;"53"",""14=Descripción"",""PRUEBA PILOTO INPOST"",""2=No_ línea"",""10000"",""14=No_ producto cliente"",""KIT CAPACITIVO"",""14=Descripción ampliada"",""MONITOR CAPACITIVO + USB + CONECTOR (1095) + SELLANTE + SENSOR"",""10=Cantidad confirmada"",""1,00000000000000000000"",""2=nu"&amp;"meroexpediciones"",""1"",""2=numeroalbaranes"",""1"",""10=manipulacion"",""8,35136400000000000000"",""10=embalaje"",""2,47000000000000000000"",""10=transporte"",""20,40822600000000000000"",""10=prima"",""0,00000000000000000000"",""10=reembolso"",""0,00000000000000000000"",""10=impue"&amp;"stos"",""0,00000000000000000000"",""10=gestion"",""0,10598700000000000000"",""10=franqueo"",""0,00000000000000000000"",""10=despacho"",""0,00000000000000000000"""</f>
        <v>"SQL-NAVISION","","SQL=","14=Id_ Prefactura","PF26-00004176","2=Tipo documento","0","14=No_","PD260075040","14=No_ referencia transporte","INPOST280426.2","14=Familia pedido","","15=Fecha confirmación SGA","28/04/2026","14=Nombre punto entrega","Carlos José Carrasco","14=Contacto punto entrega","Carlos José Carrasco","14=Dirección punto entrega","Francisco Salzillo 7, pt 5, 4ºA ","14=C_P_ punto entrega","28850","14=Población punto entrega","Torrejón de Ardoz 28","14=Provincia punto entrega","Madrid","14=País punto entrega","ES","10=bultosP","1,00000000000000000000","14=No_ documento cliente","INPOST280426.2","14=Cód_ Servicio solicitado Fact_","STD","10=bultosE","1,00000000000000000000","10=Peso facturable","46,00000000000000000000","14=Cód_ operativa","053","14=Descripción","PRUEBA PILOTO INPOST","2=No_ línea","10000","14=No_ producto cliente","KIT CAPACITIVO","14=Descripción ampliada","MONITOR CAPACITIVO + USB + CONECTOR (1095) + SELLANTE + SENSOR","10=Cantidad confirmada","1,00000000000000000000","2=numeroexpediciones","1","2=numeroalbaranes","1","10=manipulacion","8,35136400000000000000","10=embalaje","2,47000000000000000000","10=transporte","20,40822600000000000000","10=prima","0,00000000000000000000","10=reembolso","0,00000000000000000000","10=impuestos","0,00000000000000000000","10=gestion","0,10598700000000000000","10=franqueo","0,00000000000000000000","10=despacho","0,00000000000000000000"</v>
      </c>
      <c r="C13" t="str">
        <f>"PD260075040"</f>
        <v>PD260075040</v>
      </c>
      <c r="D13" s="3" t="str">
        <f t="shared" si="0"/>
        <v>PF26-00004176</v>
      </c>
      <c r="E13" s="3" t="str">
        <f t="shared" si="1"/>
        <v>053 PRUEBA PILOTO INPOST</v>
      </c>
      <c r="F13" s="3" t="str">
        <f t="shared" si="2"/>
        <v>Pedido</v>
      </c>
      <c r="G13" s="3" t="str">
        <f>"PD260075040"</f>
        <v>PD260075040</v>
      </c>
      <c r="H13" s="3" t="str">
        <f>"INPOST280426.2"</f>
        <v>INPOST280426.2</v>
      </c>
      <c r="I13" s="3" t="str">
        <f>"INPOST280426.2"</f>
        <v>INPOST280426.2</v>
      </c>
      <c r="J13" s="3" t="str">
        <f>""</f>
        <v/>
      </c>
      <c r="K13" s="4">
        <v>46140</v>
      </c>
      <c r="L13" s="3" t="str">
        <f>"Carlos José Carrasco"</f>
        <v>Carlos José Carrasco</v>
      </c>
      <c r="M13" s="3" t="str">
        <f>"Carlos José Carrasco"</f>
        <v>Carlos José Carrasco</v>
      </c>
      <c r="N13" s="3" t="str">
        <f>"Francisco Salzillo 7, pt 5, 4ºA "</f>
        <v>Francisco Salzillo 7, pt 5, 4ºA </v>
      </c>
      <c r="O13" s="3" t="str">
        <f>"28850"</f>
        <v>28850</v>
      </c>
      <c r="P13" s="3" t="str">
        <f>"Torrejón de Ardoz 28"</f>
        <v>Torrejón de Ardoz 28</v>
      </c>
      <c r="Q13" s="3" t="str">
        <f>"Madrid"</f>
        <v>Madrid</v>
      </c>
      <c r="R13" s="3" t="str">
        <f t="shared" si="6"/>
        <v>ES</v>
      </c>
      <c r="S13" s="3" t="str">
        <f t="shared" si="3"/>
        <v>STD</v>
      </c>
      <c r="T13" s="14">
        <v>1</v>
      </c>
      <c r="U13" s="14">
        <v>1</v>
      </c>
      <c r="V13" s="15">
        <v>46</v>
      </c>
      <c r="W13" s="15" t="str">
        <f>"KIT CAPACITIVO"</f>
        <v>KIT CAPACITIVO</v>
      </c>
      <c r="X13" s="15" t="str">
        <f>"MONITOR CAPACITIVO + USB + CONECTOR (1095) + SELLANTE + SENSOR"</f>
        <v>MONITOR CAPACITIVO + USB + CONECTOR (1095) + SELLANTE + SENSOR</v>
      </c>
      <c r="Y13" s="14">
        <v>1</v>
      </c>
      <c r="Z13" s="18">
        <v>8.3513640000000002</v>
      </c>
      <c r="AA13" s="18">
        <v>2.4700000000000002</v>
      </c>
      <c r="AB13" s="18">
        <v>20.408225999999999</v>
      </c>
      <c r="AC13" s="18">
        <v>0</v>
      </c>
      <c r="AD13" s="18">
        <v>0</v>
      </c>
      <c r="AE13" s="18">
        <v>0</v>
      </c>
      <c r="AF13" s="18">
        <f t="shared" si="4"/>
        <v>0.105987</v>
      </c>
      <c r="AG13" s="18">
        <v>0</v>
      </c>
      <c r="AH13" s="18">
        <v>0</v>
      </c>
      <c r="AI13" s="19">
        <f t="shared" si="5"/>
        <v>31.335577000000001</v>
      </c>
      <c r="AJ13">
        <v>0.105987</v>
      </c>
    </row>
    <row r="14" spans="1:36" x14ac:dyDescent="0.3">
      <c r="A14" t="s">
        <v>299</v>
      </c>
      <c r="B14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línea"",""10000"",""14=No_ producto cliente"",""11-50-000011"",""14=Descripción ampliada"",""PUERTA OUTDOOR - GRANDE - DERECHA"",""10=Cantidad confirmada"",""2,00000000000000000000"",""2=numeroexpediciones"",""1"",""2=nume"&amp;"roalbaranes"",""1"",""10=manipulacion"",""47,72913600000000000000"",""10=embalaje"",""21,26000000000000000000"",""10=transporte"",""63,47414700000000000000"",""10=prima"",""0,00000000000000000000"",""10=reembolso"",""0,00000000000000000000"",""10=impuestos"",""0,000000000000000000"&amp;"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línea","10000","14=No_ producto cliente","11-50-000011","14=Descripción ampliada","PUERTA OUTDOOR - GRANDE - DERECHA","10=Cantidad confirmada","2,00000000000000000000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14" t="str">
        <f>"PD260065553"</f>
        <v>PD260065553</v>
      </c>
      <c r="D14" s="3" t="str">
        <f t="shared" si="0"/>
        <v>PF26-00004176</v>
      </c>
      <c r="E14" s="3" t="str">
        <f t="shared" si="1"/>
        <v>053 PRUEBA PILOTO INPOST</v>
      </c>
      <c r="F14" s="3" t="str">
        <f t="shared" si="2"/>
        <v>Pedido</v>
      </c>
      <c r="G14" s="3" t="str">
        <f>"PD260065553"</f>
        <v>PD260065553</v>
      </c>
      <c r="H14" s="3" t="str">
        <f>"INPOST100426.2"</f>
        <v>INPOST100426.2</v>
      </c>
      <c r="I14" s="3" t="str">
        <f>"INPOST100426.2"</f>
        <v>INPOST100426.2</v>
      </c>
      <c r="J14" s="3" t="str">
        <f>""</f>
        <v/>
      </c>
      <c r="K14" s="4">
        <v>46126</v>
      </c>
      <c r="L14" s="3" t="str">
        <f>"Fede Acedo Becerra"</f>
        <v>Fede Acedo Becerra</v>
      </c>
      <c r="M14" s="3" t="str">
        <f>"Fede Acedo Becerra"</f>
        <v>Fede Acedo Becerra</v>
      </c>
      <c r="N14" s="3" t="str">
        <f>"Galtzaraborda Hiribidea 85, piso 3, Izquierda"</f>
        <v>Galtzaraborda Hiribidea 85, piso 3, Izquierda</v>
      </c>
      <c r="O14" s="3" t="str">
        <f>"20100"</f>
        <v>20100</v>
      </c>
      <c r="P14" s="3" t="str">
        <f>"Errenteria"</f>
        <v>Errenteria</v>
      </c>
      <c r="Q14" s="3" t="str">
        <f>"Gipuzkoa"</f>
        <v>Gipuzkoa</v>
      </c>
      <c r="R14" s="3" t="str">
        <f t="shared" si="6"/>
        <v>ES</v>
      </c>
      <c r="S14" s="3" t="str">
        <f t="shared" si="3"/>
        <v>STD</v>
      </c>
      <c r="T14" s="14">
        <v>1</v>
      </c>
      <c r="U14" s="14">
        <v>1</v>
      </c>
      <c r="V14" s="15">
        <v>231</v>
      </c>
      <c r="W14" s="15" t="str">
        <f>"11-50-000011"</f>
        <v>11-50-000011</v>
      </c>
      <c r="X14" s="15" t="str">
        <f>"PUERTA OUTDOOR - GRANDE - DERECHA"</f>
        <v>PUERTA OUTDOOR - GRANDE - DERECHA</v>
      </c>
      <c r="Y14" s="14">
        <v>2</v>
      </c>
      <c r="Z14" s="18">
        <v>47.729136000000004</v>
      </c>
      <c r="AA14" s="18">
        <v>21.26</v>
      </c>
      <c r="AB14" s="18">
        <v>63.474146999999995</v>
      </c>
      <c r="AC14" s="18">
        <v>0</v>
      </c>
      <c r="AD14" s="18">
        <v>0</v>
      </c>
      <c r="AE14" s="18">
        <v>0</v>
      </c>
      <c r="AF14" s="18">
        <f t="shared" si="4"/>
        <v>0.105987</v>
      </c>
      <c r="AG14" s="18">
        <v>0</v>
      </c>
      <c r="AH14" s="18">
        <v>0</v>
      </c>
      <c r="AI14" s="19">
        <f t="shared" si="5"/>
        <v>132.56926999999999</v>
      </c>
      <c r="AJ14">
        <v>0.105987</v>
      </c>
    </row>
    <row r="15" spans="1:36" x14ac:dyDescent="0.3">
      <c r="A15" t="s">
        <v>299</v>
      </c>
      <c r="B15" t="str">
        <f>"""SQL-NAVISION"","""",""SQL="",""14=Id_ Prefactura"",""PF26-00004176"",""2=Tipo documento"",""0"",""14=No_"",""PD260062454"",""14=No_ referencia transporte"",""X26020194"",""14=Familia pedido"","""",""15=Fecha confirmación SGA"",""08/04/2026"",""14=Nombre punto entrega"",""TIPSA LAS ROZA"&amp;"S"",""14=Contacto punto entrega"",""PIOTR PINCZURA"",""14=Dirección punto entrega"",""CALLE MUNICH, 2B"",""14=C_P_ punto entrega"",""28232"",""14=Población punto entrega"",""Las Rozas de Madrid"",""14=Provincia punto entrega"",""Madrid"",""14=País punto entrega"",""ES"",""10=bulto"&amp;"sP"",""1,00000000000000000000"",""14=No_ documento cliente"",""INPOST070426.1"",""14=Cód_ Servicio solicitado Fact_"",""STD"",""10=bultosE"",""1,00000000000000000000"",""10=Peso facturable"",""7,00000000000000000000"",""14=Cód_ operativa"",""053"",""14=Descripción"",""PRUEBA PILOT"&amp;"O INPOST"",""2=No_ línea"",""20000"",""14=No_ producto cliente"",""10-21-000879"",""14=Descripción ampliada"",""ROUTER ALC NDVR"",""10=Cantidad confirmada"",""3,00000000000000000000"",""2=numeroexpediciones"",""1"",""2=numeroalbaranes"",""1"",""10=manipulacion"",""3,2331180000000000"&amp;"0000"",""10=embalaje"",""1,61000000000000000000"",""10=transporte"",""6,58540200000000000000"",""10=prima"",""0,00000000000000000000"",""10=reembolso"",""0,00000000000000000000"",""10=impuestos"",""0,00000000000000000000"",""10=gestion"",""0,10598700000000000000"",""10=franqueo"","""&amp;"0,00000000000000000000"",""10=despacho"",""0,00000000000000000000"""</f>
        <v>"SQL-NAVISION","","SQL=","14=Id_ Prefactura","PF26-00004176","2=Tipo documento","0","14=No_","PD260062454","14=No_ referencia transporte","X26020194","14=Familia pedido","","15=Fecha confirmación SGA","08/04/2026","14=Nombre punto entrega","TIPSA LAS ROZAS","14=Contacto punto entrega","PIOTR PINCZURA","14=Dirección punto entrega","CALLE MUNICH, 2B","14=C_P_ punto entrega","28232","14=Población punto entrega","Las Rozas de Madrid","14=Provincia punto entrega","Madrid","14=País punto entrega","ES","10=bultosP","1,00000000000000000000","14=No_ documento cliente","INPOST070426.1","14=Cód_ Servicio solicitado Fact_","STD","10=bultosE","1,00000000000000000000","10=Peso facturable","7,00000000000000000000","14=Cód_ operativa","053","14=Descripción","PRUEBA PILOTO INPOST","2=No_ línea","20000","14=No_ producto cliente","10-21-000879","14=Descripción ampliada","ROUTER ALC NDVR","10=Cantidad confirmada","3,00000000000000000000","2=numeroexpediciones","1","2=numeroalbaranes","1","10=manipulacion","3,23311800000000000000","10=embalaje","1,61000000000000000000","10=transporte","6,58540200000000000000","10=prima","0,00000000000000000000","10=reembolso","0,00000000000000000000","10=impuestos","0,00000000000000000000","10=gestion","0,10598700000000000000","10=franqueo","0,00000000000000000000","10=despacho","0,00000000000000000000"</v>
      </c>
      <c r="C15" t="str">
        <f>"PD260062454"</f>
        <v>PD260062454</v>
      </c>
      <c r="D15" s="3" t="str">
        <f>""</f>
        <v/>
      </c>
      <c r="E15" s="3" t="str">
        <f>""</f>
        <v/>
      </c>
      <c r="F15" s="3" t="str">
        <f>""</f>
        <v/>
      </c>
      <c r="G15" s="3" t="str">
        <f>""</f>
        <v/>
      </c>
      <c r="H15" s="3" t="str">
        <f>""</f>
        <v/>
      </c>
      <c r="I15" s="3" t="str">
        <f>""</f>
        <v/>
      </c>
      <c r="J15" s="3" t="str">
        <f>""</f>
        <v/>
      </c>
      <c r="K15" s="4" t="str">
        <f>""</f>
        <v/>
      </c>
      <c r="L15" s="3" t="str">
        <f>""</f>
        <v/>
      </c>
      <c r="M15" s="3" t="str">
        <f>""</f>
        <v/>
      </c>
      <c r="N15" s="3" t="str">
        <f>""</f>
        <v/>
      </c>
      <c r="O15" s="3" t="str">
        <f>""</f>
        <v/>
      </c>
      <c r="P15" s="3" t="str">
        <f>""</f>
        <v/>
      </c>
      <c r="Q15" s="3" t="str">
        <f>""</f>
        <v/>
      </c>
      <c r="R15" s="3" t="str">
        <f>""</f>
        <v/>
      </c>
      <c r="S15" s="3" t="str">
        <f>""</f>
        <v/>
      </c>
      <c r="T15" s="14" t="str">
        <f>""</f>
        <v/>
      </c>
      <c r="U15" s="14" t="str">
        <f>""</f>
        <v/>
      </c>
      <c r="V15" s="15">
        <v>7</v>
      </c>
      <c r="W15" s="15" t="str">
        <f>"10-21-000879"</f>
        <v>10-21-000879</v>
      </c>
      <c r="X15" s="15" t="str">
        <f>"ROUTER ALC NDVR"</f>
        <v>ROUTER ALC NDVR</v>
      </c>
      <c r="Y15" s="14">
        <v>3</v>
      </c>
      <c r="Z15" s="18" t="str">
        <f>""</f>
        <v/>
      </c>
      <c r="AA15" s="18">
        <v>0</v>
      </c>
      <c r="AB15" s="18" t="str">
        <f>""</f>
        <v/>
      </c>
      <c r="AC15" s="18" t="str">
        <f>""</f>
        <v/>
      </c>
      <c r="AD15" s="18" t="str">
        <f>""</f>
        <v/>
      </c>
      <c r="AE15" s="18" t="str">
        <f>""</f>
        <v/>
      </c>
      <c r="AF15" s="18" t="str">
        <f t="shared" si="4"/>
        <v/>
      </c>
      <c r="AG15" s="18" t="str">
        <f>""</f>
        <v/>
      </c>
      <c r="AH15" s="18" t="str">
        <f>""</f>
        <v/>
      </c>
      <c r="AI15" s="19" t="str">
        <f t="shared" si="5"/>
        <v/>
      </c>
      <c r="AJ15" t="str">
        <f>""</f>
        <v/>
      </c>
    </row>
    <row r="16" spans="1:36" x14ac:dyDescent="0.3">
      <c r="A16" t="s">
        <v>299</v>
      </c>
      <c r="B16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línea"",""20000"",""14=No_ producto cliente"",""11-50-000037"",""14=Descripción ampliada"",""PUERTA OUTDOOR - GRANDE - IZQUIERDA"",""10=Cantidad confirmada"",""2,00000000000000000000"",""2=numeroexpediciones"",""1"",""2=nu"&amp;"meroalbaranes"",""1"",""10=manipulacion"",""47,72913600000000000000"",""10=embalaje"",""21,26000000000000000000"",""10=transporte"",""63,47414700000000000000"",""10=prima"",""0,00000000000000000000"",""10=reembolso"",""0,00000000000000000000"",""10=impuestos"",""0,0000000000000000"&amp;"0000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línea","20000","14=No_ producto cliente","11-50-000037","14=Descripción ampliada","PUERTA OUTDOOR - GRANDE - IZQUIERDA","10=Cantidad confirmada","2,00000000000000000000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16" t="str">
        <f t="shared" ref="C16:C47" si="7">"PD260065553"</f>
        <v>PD260065553</v>
      </c>
      <c r="D16" s="3" t="str">
        <f>""</f>
        <v/>
      </c>
      <c r="E16" s="3" t="str">
        <f>""</f>
        <v/>
      </c>
      <c r="F16" s="3" t="str">
        <f>""</f>
        <v/>
      </c>
      <c r="G16" s="3" t="str">
        <f>""</f>
        <v/>
      </c>
      <c r="H16" s="3" t="str">
        <f>""</f>
        <v/>
      </c>
      <c r="I16" s="3" t="str">
        <f>""</f>
        <v/>
      </c>
      <c r="J16" s="3" t="str">
        <f>""</f>
        <v/>
      </c>
      <c r="K16" s="4" t="str">
        <f>""</f>
        <v/>
      </c>
      <c r="L16" s="3" t="str">
        <f>""</f>
        <v/>
      </c>
      <c r="M16" s="3" t="str">
        <f>""</f>
        <v/>
      </c>
      <c r="N16" s="3" t="str">
        <f>""</f>
        <v/>
      </c>
      <c r="O16" s="3" t="str">
        <f>""</f>
        <v/>
      </c>
      <c r="P16" s="3" t="str">
        <f>""</f>
        <v/>
      </c>
      <c r="Q16" s="3" t="str">
        <f>""</f>
        <v/>
      </c>
      <c r="R16" s="3" t="str">
        <f>""</f>
        <v/>
      </c>
      <c r="S16" s="3" t="str">
        <f>""</f>
        <v/>
      </c>
      <c r="T16" s="14" t="str">
        <f>""</f>
        <v/>
      </c>
      <c r="U16" s="14" t="str">
        <f>""</f>
        <v/>
      </c>
      <c r="V16" s="15">
        <v>231</v>
      </c>
      <c r="W16" s="15" t="str">
        <f>"11-50-000037"</f>
        <v>11-50-000037</v>
      </c>
      <c r="X16" s="15" t="str">
        <f>"PUERTA OUTDOOR - GRANDE - IZQUIERDA"</f>
        <v>PUERTA OUTDOOR - GRANDE - IZQUIERDA</v>
      </c>
      <c r="Y16" s="14">
        <v>2</v>
      </c>
      <c r="Z16" s="18" t="str">
        <f>""</f>
        <v/>
      </c>
      <c r="AA16" s="18">
        <v>0</v>
      </c>
      <c r="AB16" s="18" t="str">
        <f>""</f>
        <v/>
      </c>
      <c r="AC16" s="18" t="str">
        <f>""</f>
        <v/>
      </c>
      <c r="AD16" s="18" t="str">
        <f>""</f>
        <v/>
      </c>
      <c r="AE16" s="18" t="str">
        <f>""</f>
        <v/>
      </c>
      <c r="AF16" s="18" t="str">
        <f t="shared" si="4"/>
        <v/>
      </c>
      <c r="AG16" s="18" t="str">
        <f>""</f>
        <v/>
      </c>
      <c r="AH16" s="18" t="str">
        <f>""</f>
        <v/>
      </c>
      <c r="AI16" s="19" t="str">
        <f t="shared" si="5"/>
        <v/>
      </c>
      <c r="AJ16" t="str">
        <f>""</f>
        <v/>
      </c>
    </row>
    <row r="17" spans="1:36" x14ac:dyDescent="0.3">
      <c r="A17" t="s">
        <v>299</v>
      </c>
      <c r="B17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línea"",""30000"",""14=No_ producto cliente"",""11-50-000038"",""14=Descripción ampliada"",""PUERTA OUTDOOR - MEDIANA - IZQUIERDA"",""10=Cantidad confirmada"",""2,00000000000000000000"",""2=numeroexpediciones"",""1"",""2=n"&amp;"umeroalbaranes"",""1"",""10=manipulacion"",""47,72913600000000000000"",""10=embalaje"",""21,26000000000000000000"",""10=transporte"",""63,47414700000000000000"",""10=prima"",""0,00000000000000000000"",""10=reembolso"",""0,00000000000000000000"",""10=impuestos"",""0,000000000000000"&amp;"00000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línea","30000","14=No_ producto cliente","11-50-000038","14=Descripción ampliada","PUERTA OUTDOOR - MEDIANA - IZQUIERDA","10=Cantidad confirmada","2,00000000000000000000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17" t="str">
        <f t="shared" si="7"/>
        <v>PD260065553</v>
      </c>
      <c r="D17" s="3" t="str">
        <f>""</f>
        <v/>
      </c>
      <c r="E17" s="3" t="str">
        <f>""</f>
        <v/>
      </c>
      <c r="F17" s="3" t="str">
        <f>""</f>
        <v/>
      </c>
      <c r="G17" s="3" t="str">
        <f>""</f>
        <v/>
      </c>
      <c r="H17" s="3" t="str">
        <f>""</f>
        <v/>
      </c>
      <c r="I17" s="3" t="str">
        <f>""</f>
        <v/>
      </c>
      <c r="J17" s="3" t="str">
        <f>""</f>
        <v/>
      </c>
      <c r="K17" s="4" t="str">
        <f>""</f>
        <v/>
      </c>
      <c r="L17" s="3" t="str">
        <f>""</f>
        <v/>
      </c>
      <c r="M17" s="3" t="str">
        <f>""</f>
        <v/>
      </c>
      <c r="N17" s="3" t="str">
        <f>""</f>
        <v/>
      </c>
      <c r="O17" s="3" t="str">
        <f>""</f>
        <v/>
      </c>
      <c r="P17" s="3" t="str">
        <f>""</f>
        <v/>
      </c>
      <c r="Q17" s="3" t="str">
        <f>""</f>
        <v/>
      </c>
      <c r="R17" s="3" t="str">
        <f>""</f>
        <v/>
      </c>
      <c r="S17" s="3" t="str">
        <f>""</f>
        <v/>
      </c>
      <c r="T17" s="14" t="str">
        <f>""</f>
        <v/>
      </c>
      <c r="U17" s="14" t="str">
        <f>""</f>
        <v/>
      </c>
      <c r="V17" s="15">
        <v>231</v>
      </c>
      <c r="W17" s="15" t="str">
        <f>"11-50-000038"</f>
        <v>11-50-000038</v>
      </c>
      <c r="X17" s="15" t="str">
        <f>"PUERTA OUTDOOR - MEDIANA - IZQUIERDA"</f>
        <v>PUERTA OUTDOOR - MEDIANA - IZQUIERDA</v>
      </c>
      <c r="Y17" s="14">
        <v>2</v>
      </c>
      <c r="Z17" s="18" t="str">
        <f>""</f>
        <v/>
      </c>
      <c r="AA17" s="18">
        <v>0</v>
      </c>
      <c r="AB17" s="18" t="str">
        <f>""</f>
        <v/>
      </c>
      <c r="AC17" s="18" t="str">
        <f>""</f>
        <v/>
      </c>
      <c r="AD17" s="18" t="str">
        <f>""</f>
        <v/>
      </c>
      <c r="AE17" s="18" t="str">
        <f>""</f>
        <v/>
      </c>
      <c r="AF17" s="18" t="str">
        <f t="shared" si="4"/>
        <v/>
      </c>
      <c r="AG17" s="18" t="str">
        <f>""</f>
        <v/>
      </c>
      <c r="AH17" s="18" t="str">
        <f>""</f>
        <v/>
      </c>
      <c r="AI17" s="19" t="str">
        <f t="shared" si="5"/>
        <v/>
      </c>
      <c r="AJ17" t="str">
        <f>""</f>
        <v/>
      </c>
    </row>
    <row r="18" spans="1:36" x14ac:dyDescent="0.3">
      <c r="A18" t="s">
        <v>299</v>
      </c>
      <c r="B18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línea"",""40000"",""14=No_ producto cliente"",""11-50-000039"",""14=Descripción ampliada"",""PUERTA OUTDOOR - MEDIANA - DERECHA"",""10=Cantidad confirmada"",""2,00000000000000000000"",""2=numeroexpediciones"",""1"",""2=num"&amp;"eroalbaranes"",""1"",""10=manipulacion"",""47,72913600000000000000"",""10=embalaje"",""21,26000000000000000000"",""10=transporte"",""63,47414700000000000000"",""10=prima"",""0,00000000000000000000"",""10=reembolso"",""0,00000000000000000000"",""10=impuestos"",""0,00000000000000000"&amp;"000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línea","40000","14=No_ producto cliente","11-50-000039","14=Descripción ampliada","PUERTA OUTDOOR - MEDIANA - DERECHA","10=Cantidad confirmada","2,00000000000000000000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18" t="str">
        <f t="shared" si="7"/>
        <v>PD260065553</v>
      </c>
      <c r="D18" s="3" t="str">
        <f>""</f>
        <v/>
      </c>
      <c r="E18" s="3" t="str">
        <f>""</f>
        <v/>
      </c>
      <c r="F18" s="3" t="str">
        <f>""</f>
        <v/>
      </c>
      <c r="G18" s="3" t="str">
        <f>""</f>
        <v/>
      </c>
      <c r="H18" s="3" t="str">
        <f>""</f>
        <v/>
      </c>
      <c r="I18" s="3" t="str">
        <f>""</f>
        <v/>
      </c>
      <c r="J18" s="3" t="str">
        <f>""</f>
        <v/>
      </c>
      <c r="K18" s="4" t="str">
        <f>""</f>
        <v/>
      </c>
      <c r="L18" s="3" t="str">
        <f>""</f>
        <v/>
      </c>
      <c r="M18" s="3" t="str">
        <f>""</f>
        <v/>
      </c>
      <c r="N18" s="3" t="str">
        <f>""</f>
        <v/>
      </c>
      <c r="O18" s="3" t="str">
        <f>""</f>
        <v/>
      </c>
      <c r="P18" s="3" t="str">
        <f>""</f>
        <v/>
      </c>
      <c r="Q18" s="3" t="str">
        <f>""</f>
        <v/>
      </c>
      <c r="R18" s="3" t="str">
        <f>""</f>
        <v/>
      </c>
      <c r="S18" s="3" t="str">
        <f>""</f>
        <v/>
      </c>
      <c r="T18" s="14" t="str">
        <f>""</f>
        <v/>
      </c>
      <c r="U18" s="14" t="str">
        <f>""</f>
        <v/>
      </c>
      <c r="V18" s="15">
        <v>231</v>
      </c>
      <c r="W18" s="15" t="str">
        <f>"11-50-000039"</f>
        <v>11-50-000039</v>
      </c>
      <c r="X18" s="15" t="str">
        <f>"PUERTA OUTDOOR - MEDIANA - DERECHA"</f>
        <v>PUERTA OUTDOOR - MEDIANA - DERECHA</v>
      </c>
      <c r="Y18" s="14">
        <v>2</v>
      </c>
      <c r="Z18" s="18" t="str">
        <f>""</f>
        <v/>
      </c>
      <c r="AA18" s="18">
        <v>0</v>
      </c>
      <c r="AB18" s="18" t="str">
        <f>""</f>
        <v/>
      </c>
      <c r="AC18" s="18" t="str">
        <f>""</f>
        <v/>
      </c>
      <c r="AD18" s="18" t="str">
        <f>""</f>
        <v/>
      </c>
      <c r="AE18" s="18" t="str">
        <f>""</f>
        <v/>
      </c>
      <c r="AF18" s="18" t="str">
        <f t="shared" si="4"/>
        <v/>
      </c>
      <c r="AG18" s="18" t="str">
        <f>""</f>
        <v/>
      </c>
      <c r="AH18" s="18" t="str">
        <f>""</f>
        <v/>
      </c>
      <c r="AI18" s="19" t="str">
        <f t="shared" si="5"/>
        <v/>
      </c>
      <c r="AJ18" t="str">
        <f>""</f>
        <v/>
      </c>
    </row>
    <row r="19" spans="1:36" x14ac:dyDescent="0.3">
      <c r="A19" t="s">
        <v>299</v>
      </c>
      <c r="B19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línea"",""50000"",""14=No_ producto cliente"",""11-50-000040"",""14=Descripción ampliada"",""PUERTA OUTDOOR - PEQUE¥A - DERECHA"",""10=Cantidad confirmada"",""4,00000000000000000000"",""2=numeroexpediciones"",""1"",""2=num"&amp;"eroalbaranes"",""1"",""10=manipulacion"",""47,72913600000000000000"",""10=embalaje"",""21,26000000000000000000"",""10=transporte"",""63,47414700000000000000"",""10=prima"",""0,00000000000000000000"",""10=reembolso"",""0,00000000000000000000"",""10=impuestos"",""0,00000000000000000"&amp;"000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línea","50000","14=No_ producto cliente","11-50-000040","14=Descripción ampliada","PUERTA OUTDOOR - PEQUE¥A - DERECHA","10=Cantidad confirmada","4,00000000000000000000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19" t="str">
        <f t="shared" si="7"/>
        <v>PD260065553</v>
      </c>
      <c r="D19" s="3" t="str">
        <f>""</f>
        <v/>
      </c>
      <c r="E19" s="3" t="str">
        <f>""</f>
        <v/>
      </c>
      <c r="F19" s="3" t="str">
        <f>""</f>
        <v/>
      </c>
      <c r="G19" s="3" t="str">
        <f>""</f>
        <v/>
      </c>
      <c r="H19" s="3" t="str">
        <f>""</f>
        <v/>
      </c>
      <c r="I19" s="3" t="str">
        <f>""</f>
        <v/>
      </c>
      <c r="J19" s="3" t="str">
        <f>""</f>
        <v/>
      </c>
      <c r="K19" s="4" t="str">
        <f>""</f>
        <v/>
      </c>
      <c r="L19" s="3" t="str">
        <f>""</f>
        <v/>
      </c>
      <c r="M19" s="3" t="str">
        <f>""</f>
        <v/>
      </c>
      <c r="N19" s="3" t="str">
        <f>""</f>
        <v/>
      </c>
      <c r="O19" s="3" t="str">
        <f>""</f>
        <v/>
      </c>
      <c r="P19" s="3" t="str">
        <f>""</f>
        <v/>
      </c>
      <c r="Q19" s="3" t="str">
        <f>""</f>
        <v/>
      </c>
      <c r="R19" s="3" t="str">
        <f>""</f>
        <v/>
      </c>
      <c r="S19" s="3" t="str">
        <f>""</f>
        <v/>
      </c>
      <c r="T19" s="14" t="str">
        <f>""</f>
        <v/>
      </c>
      <c r="U19" s="14" t="str">
        <f>""</f>
        <v/>
      </c>
      <c r="V19" s="15">
        <v>231</v>
      </c>
      <c r="W19" s="15" t="str">
        <f>"11-50-000040"</f>
        <v>11-50-000040</v>
      </c>
      <c r="X19" s="15" t="str">
        <f>"PUERTA OUTDOOR - PEQUE¥A - DERECHA"</f>
        <v>PUERTA OUTDOOR - PEQUE¥A - DERECHA</v>
      </c>
      <c r="Y19" s="14">
        <v>4</v>
      </c>
      <c r="Z19" s="18" t="str">
        <f>""</f>
        <v/>
      </c>
      <c r="AA19" s="18">
        <v>0</v>
      </c>
      <c r="AB19" s="18" t="str">
        <f>""</f>
        <v/>
      </c>
      <c r="AC19" s="18" t="str">
        <f>""</f>
        <v/>
      </c>
      <c r="AD19" s="18" t="str">
        <f>""</f>
        <v/>
      </c>
      <c r="AE19" s="18" t="str">
        <f>""</f>
        <v/>
      </c>
      <c r="AF19" s="18" t="str">
        <f t="shared" si="4"/>
        <v/>
      </c>
      <c r="AG19" s="18" t="str">
        <f>""</f>
        <v/>
      </c>
      <c r="AH19" s="18" t="str">
        <f>""</f>
        <v/>
      </c>
      <c r="AI19" s="19" t="str">
        <f t="shared" si="5"/>
        <v/>
      </c>
      <c r="AJ19" t="str">
        <f>""</f>
        <v/>
      </c>
    </row>
    <row r="20" spans="1:36" x14ac:dyDescent="0.3">
      <c r="A20" t="s">
        <v>299</v>
      </c>
      <c r="B20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línea"",""60000"",""14=No_ producto cliente"",""11-50-000041"",""14=Descripción ampliada"",""PUERTA OUTDOOR - PEQUE¥A - IZQUIERDA"",""10=Cantidad confirmada"",""2,00000000000000000000"",""2=numeroexpediciones"",""1"",""2=n"&amp;"umeroalbaranes"",""1"",""10=manipulacion"",""47,72913600000000000000"",""10=embalaje"",""21,26000000000000000000"",""10=transporte"",""63,47414700000000000000"",""10=prima"",""0,00000000000000000000"",""10=reembolso"",""0,00000000000000000000"",""10=impuestos"",""0,000000000000000"&amp;"00000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línea","60000","14=No_ producto cliente","11-50-000041","14=Descripción ampliada","PUERTA OUTDOOR - PEQUE¥A - IZQUIERDA","10=Cantidad confirmada","2,00000000000000000000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20" t="str">
        <f t="shared" si="7"/>
        <v>PD260065553</v>
      </c>
      <c r="D20" s="3" t="str">
        <f>""</f>
        <v/>
      </c>
      <c r="E20" s="3" t="str">
        <f>""</f>
        <v/>
      </c>
      <c r="F20" s="3" t="str">
        <f>""</f>
        <v/>
      </c>
      <c r="G20" s="3" t="str">
        <f>""</f>
        <v/>
      </c>
      <c r="H20" s="3" t="str">
        <f>""</f>
        <v/>
      </c>
      <c r="I20" s="3" t="str">
        <f>""</f>
        <v/>
      </c>
      <c r="J20" s="3" t="str">
        <f>""</f>
        <v/>
      </c>
      <c r="K20" s="4" t="str">
        <f>""</f>
        <v/>
      </c>
      <c r="L20" s="3" t="str">
        <f>""</f>
        <v/>
      </c>
      <c r="M20" s="3" t="str">
        <f>""</f>
        <v/>
      </c>
      <c r="N20" s="3" t="str">
        <f>""</f>
        <v/>
      </c>
      <c r="O20" s="3" t="str">
        <f>""</f>
        <v/>
      </c>
      <c r="P20" s="3" t="str">
        <f>""</f>
        <v/>
      </c>
      <c r="Q20" s="3" t="str">
        <f>""</f>
        <v/>
      </c>
      <c r="R20" s="3" t="str">
        <f>""</f>
        <v/>
      </c>
      <c r="S20" s="3" t="str">
        <f>""</f>
        <v/>
      </c>
      <c r="T20" s="14" t="str">
        <f>""</f>
        <v/>
      </c>
      <c r="U20" s="14" t="str">
        <f>""</f>
        <v/>
      </c>
      <c r="V20" s="15">
        <v>231</v>
      </c>
      <c r="W20" s="15" t="str">
        <f>"11-50-000041"</f>
        <v>11-50-000041</v>
      </c>
      <c r="X20" s="15" t="str">
        <f>"PUERTA OUTDOOR - PEQUE¥A - IZQUIERDA"</f>
        <v>PUERTA OUTDOOR - PEQUE¥A - IZQUIERDA</v>
      </c>
      <c r="Y20" s="14">
        <v>2</v>
      </c>
      <c r="Z20" s="18" t="str">
        <f>""</f>
        <v/>
      </c>
      <c r="AA20" s="18">
        <v>0</v>
      </c>
      <c r="AB20" s="18" t="str">
        <f>""</f>
        <v/>
      </c>
      <c r="AC20" s="18" t="str">
        <f>""</f>
        <v/>
      </c>
      <c r="AD20" s="18" t="str">
        <f>""</f>
        <v/>
      </c>
      <c r="AE20" s="18" t="str">
        <f>""</f>
        <v/>
      </c>
      <c r="AF20" s="18" t="str">
        <f t="shared" si="4"/>
        <v/>
      </c>
      <c r="AG20" s="18" t="str">
        <f>""</f>
        <v/>
      </c>
      <c r="AH20" s="18" t="str">
        <f>""</f>
        <v/>
      </c>
      <c r="AI20" s="19" t="str">
        <f t="shared" si="5"/>
        <v/>
      </c>
      <c r="AJ20" t="str">
        <f>""</f>
        <v/>
      </c>
    </row>
    <row r="21" spans="1:36" x14ac:dyDescent="0.3">
      <c r="A21" t="s">
        <v>299</v>
      </c>
      <c r="B21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línea"",""70000"",""14=No_ producto cliente"",""11-50-000519"",""14=Descripción ampliada"",""PUERTA INDOOR - PEQUE¥A - DERECHA"",""10=Cantidad confirmada"",""2,00000000000000000000"",""2=numeroexpediciones"",""1"",""2=nume"&amp;"roalbaranes"",""1"",""10=manipulacion"",""47,72913600000000000000"",""10=embalaje"",""21,26000000000000000000"",""10=transporte"",""63,47414700000000000000"",""10=prima"",""0,00000000000000000000"",""10=reembolso"",""0,00000000000000000000"",""10=impuestos"",""0,000000000000000000"&amp;"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línea","70000","14=No_ producto cliente","11-50-000519","14=Descripción ampliada","PUERTA INDOOR - PEQUE¥A - DERECHA","10=Cantidad confirmada","2,00000000000000000000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21" t="str">
        <f t="shared" si="7"/>
        <v>PD260065553</v>
      </c>
      <c r="D21" s="3" t="str">
        <f>""</f>
        <v/>
      </c>
      <c r="E21" s="3" t="str">
        <f>""</f>
        <v/>
      </c>
      <c r="F21" s="3" t="str">
        <f>""</f>
        <v/>
      </c>
      <c r="G21" s="3" t="str">
        <f>""</f>
        <v/>
      </c>
      <c r="H21" s="3" t="str">
        <f>""</f>
        <v/>
      </c>
      <c r="I21" s="3" t="str">
        <f>""</f>
        <v/>
      </c>
      <c r="J21" s="3" t="str">
        <f>""</f>
        <v/>
      </c>
      <c r="K21" s="4" t="str">
        <f>""</f>
        <v/>
      </c>
      <c r="L21" s="3" t="str">
        <f>""</f>
        <v/>
      </c>
      <c r="M21" s="3" t="str">
        <f>""</f>
        <v/>
      </c>
      <c r="N21" s="3" t="str">
        <f>""</f>
        <v/>
      </c>
      <c r="O21" s="3" t="str">
        <f>""</f>
        <v/>
      </c>
      <c r="P21" s="3" t="str">
        <f>""</f>
        <v/>
      </c>
      <c r="Q21" s="3" t="str">
        <f>""</f>
        <v/>
      </c>
      <c r="R21" s="3" t="str">
        <f>""</f>
        <v/>
      </c>
      <c r="S21" s="3" t="str">
        <f>""</f>
        <v/>
      </c>
      <c r="T21" s="14" t="str">
        <f>""</f>
        <v/>
      </c>
      <c r="U21" s="14" t="str">
        <f>""</f>
        <v/>
      </c>
      <c r="V21" s="15">
        <v>231</v>
      </c>
      <c r="W21" s="15" t="str">
        <f>"11-50-000519"</f>
        <v>11-50-000519</v>
      </c>
      <c r="X21" s="15" t="str">
        <f>"PUERTA INDOOR - PEQUE¥A - DERECHA"</f>
        <v>PUERTA INDOOR - PEQUE¥A - DERECHA</v>
      </c>
      <c r="Y21" s="14">
        <v>2</v>
      </c>
      <c r="Z21" s="18" t="str">
        <f>""</f>
        <v/>
      </c>
      <c r="AA21" s="18">
        <v>0</v>
      </c>
      <c r="AB21" s="18" t="str">
        <f>""</f>
        <v/>
      </c>
      <c r="AC21" s="18" t="str">
        <f>""</f>
        <v/>
      </c>
      <c r="AD21" s="18" t="str">
        <f>""</f>
        <v/>
      </c>
      <c r="AE21" s="18" t="str">
        <f>""</f>
        <v/>
      </c>
      <c r="AF21" s="18" t="str">
        <f t="shared" si="4"/>
        <v/>
      </c>
      <c r="AG21" s="18" t="str">
        <f>""</f>
        <v/>
      </c>
      <c r="AH21" s="18" t="str">
        <f>""</f>
        <v/>
      </c>
      <c r="AI21" s="19" t="str">
        <f t="shared" si="5"/>
        <v/>
      </c>
      <c r="AJ21" t="str">
        <f>""</f>
        <v/>
      </c>
    </row>
    <row r="22" spans="1:36" x14ac:dyDescent="0.3">
      <c r="A22" t="s">
        <v>299</v>
      </c>
      <c r="B22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línea"",""80000"",""14=No_ producto cliente"",""11-50-000520"",""14=Descripción ampliada"",""PUERTA INDOOR - MEDIANA - DERECHA"",""10=Cantidad confirmada"",""2,00000000000000000000"",""2=numeroexpediciones"",""1"",""2=nume"&amp;"roalbaranes"",""1"",""10=manipulacion"",""47,72913600000000000000"",""10=embalaje"",""21,26000000000000000000"",""10=transporte"",""63,47414700000000000000"",""10=prima"",""0,00000000000000000000"",""10=reembolso"",""0,00000000000000000000"",""10=impuestos"",""0,000000000000000000"&amp;"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línea","80000","14=No_ producto cliente","11-50-000520","14=Descripción ampliada","PUERTA INDOOR - MEDIANA - DERECHA","10=Cantidad confirmada","2,00000000000000000000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22" t="str">
        <f t="shared" si="7"/>
        <v>PD260065553</v>
      </c>
      <c r="D22" s="3" t="str">
        <f>""</f>
        <v/>
      </c>
      <c r="E22" s="3" t="str">
        <f>""</f>
        <v/>
      </c>
      <c r="F22" s="3" t="str">
        <f>""</f>
        <v/>
      </c>
      <c r="G22" s="3" t="str">
        <f>""</f>
        <v/>
      </c>
      <c r="H22" s="3" t="str">
        <f>""</f>
        <v/>
      </c>
      <c r="I22" s="3" t="str">
        <f>""</f>
        <v/>
      </c>
      <c r="J22" s="3" t="str">
        <f>""</f>
        <v/>
      </c>
      <c r="K22" s="4" t="str">
        <f>""</f>
        <v/>
      </c>
      <c r="L22" s="3" t="str">
        <f>""</f>
        <v/>
      </c>
      <c r="M22" s="3" t="str">
        <f>""</f>
        <v/>
      </c>
      <c r="N22" s="3" t="str">
        <f>""</f>
        <v/>
      </c>
      <c r="O22" s="3" t="str">
        <f>""</f>
        <v/>
      </c>
      <c r="P22" s="3" t="str">
        <f>""</f>
        <v/>
      </c>
      <c r="Q22" s="3" t="str">
        <f>""</f>
        <v/>
      </c>
      <c r="R22" s="3" t="str">
        <f>""</f>
        <v/>
      </c>
      <c r="S22" s="3" t="str">
        <f>""</f>
        <v/>
      </c>
      <c r="T22" s="14" t="str">
        <f>""</f>
        <v/>
      </c>
      <c r="U22" s="14" t="str">
        <f>""</f>
        <v/>
      </c>
      <c r="V22" s="15">
        <v>231</v>
      </c>
      <c r="W22" s="15" t="str">
        <f>"11-50-000520"</f>
        <v>11-50-000520</v>
      </c>
      <c r="X22" s="15" t="str">
        <f>"PUERTA INDOOR - MEDIANA - DERECHA"</f>
        <v>PUERTA INDOOR - MEDIANA - DERECHA</v>
      </c>
      <c r="Y22" s="14">
        <v>2</v>
      </c>
      <c r="Z22" s="18" t="str">
        <f>""</f>
        <v/>
      </c>
      <c r="AA22" s="18">
        <v>0</v>
      </c>
      <c r="AB22" s="18" t="str">
        <f>""</f>
        <v/>
      </c>
      <c r="AC22" s="18" t="str">
        <f>""</f>
        <v/>
      </c>
      <c r="AD22" s="18" t="str">
        <f>""</f>
        <v/>
      </c>
      <c r="AE22" s="18" t="str">
        <f>""</f>
        <v/>
      </c>
      <c r="AF22" s="18" t="str">
        <f t="shared" si="4"/>
        <v/>
      </c>
      <c r="AG22" s="18" t="str">
        <f>""</f>
        <v/>
      </c>
      <c r="AH22" s="18" t="str">
        <f>""</f>
        <v/>
      </c>
      <c r="AI22" s="19" t="str">
        <f t="shared" si="5"/>
        <v/>
      </c>
      <c r="AJ22" t="str">
        <f>""</f>
        <v/>
      </c>
    </row>
    <row r="23" spans="1:36" x14ac:dyDescent="0.3">
      <c r="A23" t="s">
        <v>299</v>
      </c>
      <c r="B23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línea"",""90000"",""14=No_ producto cliente"",""11-50-000521"",""14=Descripción ampliada"",""PUERTA INDOOR - GRANDE - DERECHA"",""10=Cantidad confirmada"",""1,00000000000000000000"",""2=numeroexpediciones"",""1"",""2=numer"&amp;"oalbaranes"",""1"",""10=manipulacion"",""47,72913600000000000000"",""10=embalaje"",""21,26000000000000000000"",""10=transporte"",""63,47414700000000000000"",""10=prima"",""0,00000000000000000000"",""10=reembolso"",""0,00000000000000000000"",""10=impuestos"",""0,0000000000000000000"&amp;"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línea","90000","14=No_ producto cliente","11-50-000521","14=Descripción ampliada","PUERTA INDOOR - GRANDE - DERECHA","10=Cantidad confirmada","1,00000000000000000000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23" t="str">
        <f t="shared" si="7"/>
        <v>PD260065553</v>
      </c>
      <c r="D23" s="3" t="str">
        <f>""</f>
        <v/>
      </c>
      <c r="E23" s="3" t="str">
        <f>""</f>
        <v/>
      </c>
      <c r="F23" s="3" t="str">
        <f>""</f>
        <v/>
      </c>
      <c r="G23" s="3" t="str">
        <f>""</f>
        <v/>
      </c>
      <c r="H23" s="3" t="str">
        <f>""</f>
        <v/>
      </c>
      <c r="I23" s="3" t="str">
        <f>""</f>
        <v/>
      </c>
      <c r="J23" s="3" t="str">
        <f>""</f>
        <v/>
      </c>
      <c r="K23" s="4" t="str">
        <f>""</f>
        <v/>
      </c>
      <c r="L23" s="3" t="str">
        <f>""</f>
        <v/>
      </c>
      <c r="M23" s="3" t="str">
        <f>""</f>
        <v/>
      </c>
      <c r="N23" s="3" t="str">
        <f>""</f>
        <v/>
      </c>
      <c r="O23" s="3" t="str">
        <f>""</f>
        <v/>
      </c>
      <c r="P23" s="3" t="str">
        <f>""</f>
        <v/>
      </c>
      <c r="Q23" s="3" t="str">
        <f>""</f>
        <v/>
      </c>
      <c r="R23" s="3" t="str">
        <f>""</f>
        <v/>
      </c>
      <c r="S23" s="3" t="str">
        <f>""</f>
        <v/>
      </c>
      <c r="T23" s="14" t="str">
        <f>""</f>
        <v/>
      </c>
      <c r="U23" s="14" t="str">
        <f>""</f>
        <v/>
      </c>
      <c r="V23" s="15">
        <v>231</v>
      </c>
      <c r="W23" s="15" t="str">
        <f>"11-50-000521"</f>
        <v>11-50-000521</v>
      </c>
      <c r="X23" s="15" t="str">
        <f>"PUERTA INDOOR - GRANDE - DERECHA"</f>
        <v>PUERTA INDOOR - GRANDE - DERECHA</v>
      </c>
      <c r="Y23" s="14">
        <v>1</v>
      </c>
      <c r="Z23" s="18" t="str">
        <f>""</f>
        <v/>
      </c>
      <c r="AA23" s="18">
        <v>0</v>
      </c>
      <c r="AB23" s="18" t="str">
        <f>""</f>
        <v/>
      </c>
      <c r="AC23" s="18" t="str">
        <f>""</f>
        <v/>
      </c>
      <c r="AD23" s="18" t="str">
        <f>""</f>
        <v/>
      </c>
      <c r="AE23" s="18" t="str">
        <f>""</f>
        <v/>
      </c>
      <c r="AF23" s="18" t="str">
        <f t="shared" si="4"/>
        <v/>
      </c>
      <c r="AG23" s="18" t="str">
        <f>""</f>
        <v/>
      </c>
      <c r="AH23" s="18" t="str">
        <f>""</f>
        <v/>
      </c>
      <c r="AI23" s="19" t="str">
        <f t="shared" si="5"/>
        <v/>
      </c>
      <c r="AJ23" t="str">
        <f>""</f>
        <v/>
      </c>
    </row>
    <row r="24" spans="1:36" x14ac:dyDescent="0.3">
      <c r="A24" t="s">
        <v>299</v>
      </c>
      <c r="B24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línea"",""100000"",""14=No_ producto cliente"",""11-50-000522"",""14=Descripción ampliada"",""PUERTA INDOOR - PEQUE¥A - IZQUIERDA"",""10=Cantidad confirmada"",""1,00000000000000000000"",""2=numeroexpediciones"",""1"",""2=n"&amp;"umeroalbaranes"",""1"",""10=manipulacion"",""47,72913600000000000000"",""10=embalaje"",""21,26000000000000000000"",""10=transporte"",""63,47414700000000000000"",""10=prima"",""0,00000000000000000000"",""10=reembolso"",""0,00000000000000000000"",""10=impuestos"",""0,000000000000000"&amp;"00000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línea","100000","14=No_ producto cliente","11-50-000522","14=Descripción ampliada","PUERTA INDOOR - PEQUE¥A - IZQUIERDA","10=Cantidad confirmada","1,00000000000000000000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24" t="str">
        <f t="shared" si="7"/>
        <v>PD260065553</v>
      </c>
      <c r="D24" s="3" t="str">
        <f>""</f>
        <v/>
      </c>
      <c r="E24" s="3" t="str">
        <f>""</f>
        <v/>
      </c>
      <c r="F24" s="3" t="str">
        <f>""</f>
        <v/>
      </c>
      <c r="G24" s="3" t="str">
        <f>""</f>
        <v/>
      </c>
      <c r="H24" s="3" t="str">
        <f>""</f>
        <v/>
      </c>
      <c r="I24" s="3" t="str">
        <f>""</f>
        <v/>
      </c>
      <c r="J24" s="3" t="str">
        <f>""</f>
        <v/>
      </c>
      <c r="K24" s="4" t="str">
        <f>""</f>
        <v/>
      </c>
      <c r="L24" s="3" t="str">
        <f>""</f>
        <v/>
      </c>
      <c r="M24" s="3" t="str">
        <f>""</f>
        <v/>
      </c>
      <c r="N24" s="3" t="str">
        <f>""</f>
        <v/>
      </c>
      <c r="O24" s="3" t="str">
        <f>""</f>
        <v/>
      </c>
      <c r="P24" s="3" t="str">
        <f>""</f>
        <v/>
      </c>
      <c r="Q24" s="3" t="str">
        <f>""</f>
        <v/>
      </c>
      <c r="R24" s="3" t="str">
        <f>""</f>
        <v/>
      </c>
      <c r="S24" s="3" t="str">
        <f>""</f>
        <v/>
      </c>
      <c r="T24" s="14" t="str">
        <f>""</f>
        <v/>
      </c>
      <c r="U24" s="14" t="str">
        <f>""</f>
        <v/>
      </c>
      <c r="V24" s="15">
        <v>231</v>
      </c>
      <c r="W24" s="15" t="str">
        <f>"11-50-000522"</f>
        <v>11-50-000522</v>
      </c>
      <c r="X24" s="15" t="str">
        <f>"PUERTA INDOOR - PEQUE¥A - IZQUIERDA"</f>
        <v>PUERTA INDOOR - PEQUE¥A - IZQUIERDA</v>
      </c>
      <c r="Y24" s="14">
        <v>1</v>
      </c>
      <c r="Z24" s="18" t="str">
        <f>""</f>
        <v/>
      </c>
      <c r="AA24" s="18">
        <v>0</v>
      </c>
      <c r="AB24" s="18" t="str">
        <f>""</f>
        <v/>
      </c>
      <c r="AC24" s="18" t="str">
        <f>""</f>
        <v/>
      </c>
      <c r="AD24" s="18" t="str">
        <f>""</f>
        <v/>
      </c>
      <c r="AE24" s="18" t="str">
        <f>""</f>
        <v/>
      </c>
      <c r="AF24" s="18" t="str">
        <f t="shared" si="4"/>
        <v/>
      </c>
      <c r="AG24" s="18" t="str">
        <f>""</f>
        <v/>
      </c>
      <c r="AH24" s="18" t="str">
        <f>""</f>
        <v/>
      </c>
      <c r="AI24" s="19" t="str">
        <f t="shared" si="5"/>
        <v/>
      </c>
      <c r="AJ24" t="str">
        <f>""</f>
        <v/>
      </c>
    </row>
    <row r="25" spans="1:36" x14ac:dyDescent="0.3">
      <c r="A25" t="s">
        <v>299</v>
      </c>
      <c r="B25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línea"",""110000"",""14=No_ producto cliente"",""11-50-000523"",""14=Descripción ampliada"",""PUERTA INDOOR - MEDIANA - IZQUIERDA"",""10=Cantidad confirmada"",""2,00000000000000000000"",""2=numeroexpediciones"",""1"",""2=n"&amp;"umeroalbaranes"",""1"",""10=manipulacion"",""47,72913600000000000000"",""10=embalaje"",""21,26000000000000000000"",""10=transporte"",""63,47414700000000000000"",""10=prima"",""0,00000000000000000000"",""10=reembolso"",""0,00000000000000000000"",""10=impuestos"",""0,000000000000000"&amp;"00000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línea","110000","14=No_ producto cliente","11-50-000523","14=Descripción ampliada","PUERTA INDOOR - MEDIANA - IZQUIERDA","10=Cantidad confirmada","2,00000000000000000000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25" t="str">
        <f t="shared" si="7"/>
        <v>PD260065553</v>
      </c>
      <c r="D25" s="3" t="str">
        <f>""</f>
        <v/>
      </c>
      <c r="E25" s="3" t="str">
        <f>""</f>
        <v/>
      </c>
      <c r="F25" s="3" t="str">
        <f>""</f>
        <v/>
      </c>
      <c r="G25" s="3" t="str">
        <f>""</f>
        <v/>
      </c>
      <c r="H25" s="3" t="str">
        <f>""</f>
        <v/>
      </c>
      <c r="I25" s="3" t="str">
        <f>""</f>
        <v/>
      </c>
      <c r="J25" s="3" t="str">
        <f>""</f>
        <v/>
      </c>
      <c r="K25" s="4" t="str">
        <f>""</f>
        <v/>
      </c>
      <c r="L25" s="3" t="str">
        <f>""</f>
        <v/>
      </c>
      <c r="M25" s="3" t="str">
        <f>""</f>
        <v/>
      </c>
      <c r="N25" s="3" t="str">
        <f>""</f>
        <v/>
      </c>
      <c r="O25" s="3" t="str">
        <f>""</f>
        <v/>
      </c>
      <c r="P25" s="3" t="str">
        <f>""</f>
        <v/>
      </c>
      <c r="Q25" s="3" t="str">
        <f>""</f>
        <v/>
      </c>
      <c r="R25" s="3" t="str">
        <f>""</f>
        <v/>
      </c>
      <c r="S25" s="3" t="str">
        <f>""</f>
        <v/>
      </c>
      <c r="T25" s="14" t="str">
        <f>""</f>
        <v/>
      </c>
      <c r="U25" s="14" t="str">
        <f>""</f>
        <v/>
      </c>
      <c r="V25" s="15">
        <v>231</v>
      </c>
      <c r="W25" s="15" t="str">
        <f>"11-50-000523"</f>
        <v>11-50-000523</v>
      </c>
      <c r="X25" s="15" t="str">
        <f>"PUERTA INDOOR - MEDIANA - IZQUIERDA"</f>
        <v>PUERTA INDOOR - MEDIANA - IZQUIERDA</v>
      </c>
      <c r="Y25" s="14">
        <v>2</v>
      </c>
      <c r="Z25" s="18" t="str">
        <f>""</f>
        <v/>
      </c>
      <c r="AA25" s="18">
        <v>0</v>
      </c>
      <c r="AB25" s="18" t="str">
        <f>""</f>
        <v/>
      </c>
      <c r="AC25" s="18" t="str">
        <f>""</f>
        <v/>
      </c>
      <c r="AD25" s="18" t="str">
        <f>""</f>
        <v/>
      </c>
      <c r="AE25" s="18" t="str">
        <f>""</f>
        <v/>
      </c>
      <c r="AF25" s="18" t="str">
        <f t="shared" si="4"/>
        <v/>
      </c>
      <c r="AG25" s="18" t="str">
        <f>""</f>
        <v/>
      </c>
      <c r="AH25" s="18" t="str">
        <f>""</f>
        <v/>
      </c>
      <c r="AI25" s="19" t="str">
        <f t="shared" si="5"/>
        <v/>
      </c>
      <c r="AJ25" t="str">
        <f>""</f>
        <v/>
      </c>
    </row>
    <row r="26" spans="1:36" x14ac:dyDescent="0.3">
      <c r="A26" t="s">
        <v>299</v>
      </c>
      <c r="B26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línea"",""120000"",""14=No_ producto cliente"",""11-50-000524"",""14=Descripción ampliada"",""PUERTA INDOOR - GRANDE - IZQUIERDA"",""10=Cantidad confirmada"",""1,00000000000000000000"",""2=numeroexpediciones"",""1"",""2=nu"&amp;"meroalbaranes"",""1"",""10=manipulacion"",""47,72913600000000000000"",""10=embalaje"",""21,26000000000000000000"",""10=transporte"",""63,47414700000000000000"",""10=prima"",""0,00000000000000000000"",""10=reembolso"",""0,00000000000000000000"",""10=impuestos"",""0,0000000000000000"&amp;"0000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línea","120000","14=No_ producto cliente","11-50-000524","14=Descripción ampliada","PUERTA INDOOR - GRANDE - IZQUIERDA","10=Cantidad confirmada","1,00000000000000000000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26" t="str">
        <f t="shared" si="7"/>
        <v>PD260065553</v>
      </c>
      <c r="D26" s="3" t="str">
        <f>""</f>
        <v/>
      </c>
      <c r="E26" s="3" t="str">
        <f>""</f>
        <v/>
      </c>
      <c r="F26" s="3" t="str">
        <f>""</f>
        <v/>
      </c>
      <c r="G26" s="3" t="str">
        <f>""</f>
        <v/>
      </c>
      <c r="H26" s="3" t="str">
        <f>""</f>
        <v/>
      </c>
      <c r="I26" s="3" t="str">
        <f>""</f>
        <v/>
      </c>
      <c r="J26" s="3" t="str">
        <f>""</f>
        <v/>
      </c>
      <c r="K26" s="4" t="str">
        <f>""</f>
        <v/>
      </c>
      <c r="L26" s="3" t="str">
        <f>""</f>
        <v/>
      </c>
      <c r="M26" s="3" t="str">
        <f>""</f>
        <v/>
      </c>
      <c r="N26" s="3" t="str">
        <f>""</f>
        <v/>
      </c>
      <c r="O26" s="3" t="str">
        <f>""</f>
        <v/>
      </c>
      <c r="P26" s="3" t="str">
        <f>""</f>
        <v/>
      </c>
      <c r="Q26" s="3" t="str">
        <f>""</f>
        <v/>
      </c>
      <c r="R26" s="3" t="str">
        <f>""</f>
        <v/>
      </c>
      <c r="S26" s="3" t="str">
        <f>""</f>
        <v/>
      </c>
      <c r="T26" s="14" t="str">
        <f>""</f>
        <v/>
      </c>
      <c r="U26" s="14" t="str">
        <f>""</f>
        <v/>
      </c>
      <c r="V26" s="15">
        <v>231</v>
      </c>
      <c r="W26" s="15" t="str">
        <f>"11-50-000524"</f>
        <v>11-50-000524</v>
      </c>
      <c r="X26" s="15" t="str">
        <f>"PUERTA INDOOR - GRANDE - IZQUIERDA"</f>
        <v>PUERTA INDOOR - GRANDE - IZQUIERDA</v>
      </c>
      <c r="Y26" s="14">
        <v>1</v>
      </c>
      <c r="Z26" s="18" t="str">
        <f>""</f>
        <v/>
      </c>
      <c r="AA26" s="18">
        <v>0</v>
      </c>
      <c r="AB26" s="18" t="str">
        <f>""</f>
        <v/>
      </c>
      <c r="AC26" s="18" t="str">
        <f>""</f>
        <v/>
      </c>
      <c r="AD26" s="18" t="str">
        <f>""</f>
        <v/>
      </c>
      <c r="AE26" s="18" t="str">
        <f>""</f>
        <v/>
      </c>
      <c r="AF26" s="18" t="str">
        <f t="shared" si="4"/>
        <v/>
      </c>
      <c r="AG26" s="18" t="str">
        <f>""</f>
        <v/>
      </c>
      <c r="AH26" s="18" t="str">
        <f>""</f>
        <v/>
      </c>
      <c r="AI26" s="19" t="str">
        <f t="shared" si="5"/>
        <v/>
      </c>
      <c r="AJ26" t="str">
        <f>""</f>
        <v/>
      </c>
    </row>
    <row r="27" spans="1:36" x14ac:dyDescent="0.3">
      <c r="A27" t="s">
        <v>299</v>
      </c>
      <c r="B27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línea"",""130000"",""14=No_ producto cliente"",""10-10-000566"",""14=Descripción ampliada"",""PASADORES DE PUERTAS"",""10=Cantidad confirmada"",""150,00000000000000000000"",""2=numeroexpediciones"",""1"",""2=numeroalbarane"&amp;"s"",""1"",""10=manipulacion"",""47,72913600000000000000"",""10=embalaje"",""21,26000000000000000000"",""10=transporte"",""63,47414700000000000000"",""10=prima"",""0,00000000000000000000"",""10=reembolso"",""0,00000000000000000000"",""10=impuestos"",""0,00000000000000000000"",""10=ge"&amp;"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línea","130000","14=No_ producto cliente","10-10-000566","14=Descripción ampliada","PASADORES DE PUERTAS","10=Cantidad confirmada","150,00000000000000000000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27" t="str">
        <f t="shared" si="7"/>
        <v>PD260065553</v>
      </c>
      <c r="D27" s="3" t="str">
        <f>""</f>
        <v/>
      </c>
      <c r="E27" s="3" t="str">
        <f>""</f>
        <v/>
      </c>
      <c r="F27" s="3" t="str">
        <f>""</f>
        <v/>
      </c>
      <c r="G27" s="3" t="str">
        <f>""</f>
        <v/>
      </c>
      <c r="H27" s="3" t="str">
        <f>""</f>
        <v/>
      </c>
      <c r="I27" s="3" t="str">
        <f>""</f>
        <v/>
      </c>
      <c r="J27" s="3" t="str">
        <f>""</f>
        <v/>
      </c>
      <c r="K27" s="4" t="str">
        <f>""</f>
        <v/>
      </c>
      <c r="L27" s="3" t="str">
        <f>""</f>
        <v/>
      </c>
      <c r="M27" s="3" t="str">
        <f>""</f>
        <v/>
      </c>
      <c r="N27" s="3" t="str">
        <f>""</f>
        <v/>
      </c>
      <c r="O27" s="3" t="str">
        <f>""</f>
        <v/>
      </c>
      <c r="P27" s="3" t="str">
        <f>""</f>
        <v/>
      </c>
      <c r="Q27" s="3" t="str">
        <f>""</f>
        <v/>
      </c>
      <c r="R27" s="3" t="str">
        <f>""</f>
        <v/>
      </c>
      <c r="S27" s="3" t="str">
        <f>""</f>
        <v/>
      </c>
      <c r="T27" s="14" t="str">
        <f>""</f>
        <v/>
      </c>
      <c r="U27" s="14" t="str">
        <f>""</f>
        <v/>
      </c>
      <c r="V27" s="15">
        <v>231</v>
      </c>
      <c r="W27" s="15" t="str">
        <f>"10-10-000566"</f>
        <v>10-10-000566</v>
      </c>
      <c r="X27" s="15" t="str">
        <f>"PASADORES DE PUERTAS"</f>
        <v>PASADORES DE PUERTAS</v>
      </c>
      <c r="Y27" s="14">
        <v>150</v>
      </c>
      <c r="Z27" s="18" t="str">
        <f>""</f>
        <v/>
      </c>
      <c r="AA27" s="18">
        <v>0</v>
      </c>
      <c r="AB27" s="18" t="str">
        <f>""</f>
        <v/>
      </c>
      <c r="AC27" s="18" t="str">
        <f>""</f>
        <v/>
      </c>
      <c r="AD27" s="18" t="str">
        <f>""</f>
        <v/>
      </c>
      <c r="AE27" s="18" t="str">
        <f>""</f>
        <v/>
      </c>
      <c r="AF27" s="18" t="str">
        <f t="shared" si="4"/>
        <v/>
      </c>
      <c r="AG27" s="18" t="str">
        <f>""</f>
        <v/>
      </c>
      <c r="AH27" s="18" t="str">
        <f>""</f>
        <v/>
      </c>
      <c r="AI27" s="19" t="str">
        <f t="shared" si="5"/>
        <v/>
      </c>
      <c r="AJ27" t="str">
        <f>""</f>
        <v/>
      </c>
    </row>
    <row r="28" spans="1:36" x14ac:dyDescent="0.3">
      <c r="A28" t="s">
        <v>299</v>
      </c>
      <c r="B28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línea"",""140000"",""14=No_ producto cliente"",""10-10-000572"",""14=Descripción ampliada"",""PASADORES DE PUERTAS"",""10=Cantidad confirmada"",""150,00000000000000000000"",""2=numeroexpediciones"",""1"",""2=numeroalbarane"&amp;"s"",""1"",""10=manipulacion"",""47,72913600000000000000"",""10=embalaje"",""21,26000000000000000000"",""10=transporte"",""63,47414700000000000000"",""10=prima"",""0,00000000000000000000"",""10=reembolso"",""0,00000000000000000000"",""10=impuestos"",""0,00000000000000000000"",""10=ge"&amp;"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línea","140000","14=No_ producto cliente","10-10-000572","14=Descripción ampliada","PASADORES DE PUERTAS","10=Cantidad confirmada","150,00000000000000000000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28" t="str">
        <f t="shared" si="7"/>
        <v>PD260065553</v>
      </c>
      <c r="D28" s="3" t="str">
        <f>""</f>
        <v/>
      </c>
      <c r="E28" s="3" t="str">
        <f>""</f>
        <v/>
      </c>
      <c r="F28" s="3" t="str">
        <f>""</f>
        <v/>
      </c>
      <c r="G28" s="3" t="str">
        <f>""</f>
        <v/>
      </c>
      <c r="H28" s="3" t="str">
        <f>""</f>
        <v/>
      </c>
      <c r="I28" s="3" t="str">
        <f>""</f>
        <v/>
      </c>
      <c r="J28" s="3" t="str">
        <f>""</f>
        <v/>
      </c>
      <c r="K28" s="4" t="str">
        <f>""</f>
        <v/>
      </c>
      <c r="L28" s="3" t="str">
        <f>""</f>
        <v/>
      </c>
      <c r="M28" s="3" t="str">
        <f>""</f>
        <v/>
      </c>
      <c r="N28" s="3" t="str">
        <f>""</f>
        <v/>
      </c>
      <c r="O28" s="3" t="str">
        <f>""</f>
        <v/>
      </c>
      <c r="P28" s="3" t="str">
        <f>""</f>
        <v/>
      </c>
      <c r="Q28" s="3" t="str">
        <f>""</f>
        <v/>
      </c>
      <c r="R28" s="3" t="str">
        <f>""</f>
        <v/>
      </c>
      <c r="S28" s="3" t="str">
        <f>""</f>
        <v/>
      </c>
      <c r="T28" s="14" t="str">
        <f>""</f>
        <v/>
      </c>
      <c r="U28" s="14" t="str">
        <f>""</f>
        <v/>
      </c>
      <c r="V28" s="15">
        <v>231</v>
      </c>
      <c r="W28" s="15" t="str">
        <f>"10-10-000572"</f>
        <v>10-10-000572</v>
      </c>
      <c r="X28" s="15" t="str">
        <f>"PASADORES DE PUERTAS"</f>
        <v>PASADORES DE PUERTAS</v>
      </c>
      <c r="Y28" s="14">
        <v>150</v>
      </c>
      <c r="Z28" s="18" t="str">
        <f>""</f>
        <v/>
      </c>
      <c r="AA28" s="18">
        <v>0</v>
      </c>
      <c r="AB28" s="18" t="str">
        <f>""</f>
        <v/>
      </c>
      <c r="AC28" s="18" t="str">
        <f>""</f>
        <v/>
      </c>
      <c r="AD28" s="18" t="str">
        <f>""</f>
        <v/>
      </c>
      <c r="AE28" s="18" t="str">
        <f>""</f>
        <v/>
      </c>
      <c r="AF28" s="18" t="str">
        <f t="shared" si="4"/>
        <v/>
      </c>
      <c r="AG28" s="18" t="str">
        <f>""</f>
        <v/>
      </c>
      <c r="AH28" s="18" t="str">
        <f>""</f>
        <v/>
      </c>
      <c r="AI28" s="19" t="str">
        <f t="shared" si="5"/>
        <v/>
      </c>
      <c r="AJ28" t="str">
        <f>""</f>
        <v/>
      </c>
    </row>
    <row r="29" spans="1:36" x14ac:dyDescent="0.3">
      <c r="A29" t="s">
        <v>299</v>
      </c>
      <c r="B29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línea"",""150000"",""14=No_ producto cliente"",""10-10-000811"",""14=Descripción ampliada"",""PASADORES DE PUERTAS"",""10=Cantidad confirmada"",""150,00000000000000000000"",""2=numeroexpediciones"",""1"",""2=numeroalbarane"&amp;"s"",""1"",""10=manipulacion"",""47,72913600000000000000"",""10=embalaje"",""21,26000000000000000000"",""10=transporte"",""63,47414700000000000000"",""10=prima"",""0,00000000000000000000"",""10=reembolso"",""0,00000000000000000000"",""10=impuestos"",""0,00000000000000000000"",""10=ge"&amp;"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línea","150000","14=No_ producto cliente","10-10-000811","14=Descripción ampliada","PASADORES DE PUERTAS","10=Cantidad confirmada","150,00000000000000000000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29" t="str">
        <f t="shared" si="7"/>
        <v>PD260065553</v>
      </c>
      <c r="D29" s="3" t="str">
        <f>""</f>
        <v/>
      </c>
      <c r="E29" s="3" t="str">
        <f>""</f>
        <v/>
      </c>
      <c r="F29" s="3" t="str">
        <f>""</f>
        <v/>
      </c>
      <c r="G29" s="3" t="str">
        <f>""</f>
        <v/>
      </c>
      <c r="H29" s="3" t="str">
        <f>""</f>
        <v/>
      </c>
      <c r="I29" s="3" t="str">
        <f>""</f>
        <v/>
      </c>
      <c r="J29" s="3" t="str">
        <f>""</f>
        <v/>
      </c>
      <c r="K29" s="4" t="str">
        <f>""</f>
        <v/>
      </c>
      <c r="L29" s="3" t="str">
        <f>""</f>
        <v/>
      </c>
      <c r="M29" s="3" t="str">
        <f>""</f>
        <v/>
      </c>
      <c r="N29" s="3" t="str">
        <f>""</f>
        <v/>
      </c>
      <c r="O29" s="3" t="str">
        <f>""</f>
        <v/>
      </c>
      <c r="P29" s="3" t="str">
        <f>""</f>
        <v/>
      </c>
      <c r="Q29" s="3" t="str">
        <f>""</f>
        <v/>
      </c>
      <c r="R29" s="3" t="str">
        <f>""</f>
        <v/>
      </c>
      <c r="S29" s="3" t="str">
        <f>""</f>
        <v/>
      </c>
      <c r="T29" s="14" t="str">
        <f>""</f>
        <v/>
      </c>
      <c r="U29" s="14" t="str">
        <f>""</f>
        <v/>
      </c>
      <c r="V29" s="15">
        <v>231</v>
      </c>
      <c r="W29" s="15" t="str">
        <f>"10-10-000811"</f>
        <v>10-10-000811</v>
      </c>
      <c r="X29" s="15" t="str">
        <f>"PASADORES DE PUERTAS"</f>
        <v>PASADORES DE PUERTAS</v>
      </c>
      <c r="Y29" s="14">
        <v>150</v>
      </c>
      <c r="Z29" s="18" t="str">
        <f>""</f>
        <v/>
      </c>
      <c r="AA29" s="18">
        <v>0</v>
      </c>
      <c r="AB29" s="18" t="str">
        <f>""</f>
        <v/>
      </c>
      <c r="AC29" s="18" t="str">
        <f>""</f>
        <v/>
      </c>
      <c r="AD29" s="18" t="str">
        <f>""</f>
        <v/>
      </c>
      <c r="AE29" s="18" t="str">
        <f>""</f>
        <v/>
      </c>
      <c r="AF29" s="18" t="str">
        <f t="shared" si="4"/>
        <v/>
      </c>
      <c r="AG29" s="18" t="str">
        <f>""</f>
        <v/>
      </c>
      <c r="AH29" s="18" t="str">
        <f>""</f>
        <v/>
      </c>
      <c r="AI29" s="19" t="str">
        <f t="shared" si="5"/>
        <v/>
      </c>
      <c r="AJ29" t="str">
        <f>""</f>
        <v/>
      </c>
    </row>
    <row r="30" spans="1:36" x14ac:dyDescent="0.3">
      <c r="A30" t="s">
        <v>299</v>
      </c>
      <c r="B30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línea"",""160000"",""14=No_ producto cliente"",""10-10-001379"",""14=Descripción ampliada"",""TAPONES DE PLASTICO PUERTA"",""10=Cantidad confirmada"",""500,00000000000000000000"",""2=numeroexpediciones"",""1"",""2=numeroal"&amp;"baranes"",""1"",""10=manipulacion"",""47,72913600000000000000"",""10=embalaje"",""21,26000000000000000000"",""10=transporte"",""63,47414700000000000000"",""10=prima"",""0,00000000000000000000"",""10=reembolso"",""0,00000000000000000000"",""10=impuestos"",""0,00000000000000000000"","&amp;"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línea","160000","14=No_ producto cliente","10-10-001379","14=Descripción ampliada","TAPONES DE PLASTICO PUERTA","10=Cantidad confirmada","500,00000000000000000000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30" t="str">
        <f t="shared" si="7"/>
        <v>PD260065553</v>
      </c>
      <c r="D30" s="3" t="str">
        <f>""</f>
        <v/>
      </c>
      <c r="E30" s="3" t="str">
        <f>""</f>
        <v/>
      </c>
      <c r="F30" s="3" t="str">
        <f>""</f>
        <v/>
      </c>
      <c r="G30" s="3" t="str">
        <f>""</f>
        <v/>
      </c>
      <c r="H30" s="3" t="str">
        <f>""</f>
        <v/>
      </c>
      <c r="I30" s="3" t="str">
        <f>""</f>
        <v/>
      </c>
      <c r="J30" s="3" t="str">
        <f>""</f>
        <v/>
      </c>
      <c r="K30" s="4" t="str">
        <f>""</f>
        <v/>
      </c>
      <c r="L30" s="3" t="str">
        <f>""</f>
        <v/>
      </c>
      <c r="M30" s="3" t="str">
        <f>""</f>
        <v/>
      </c>
      <c r="N30" s="3" t="str">
        <f>""</f>
        <v/>
      </c>
      <c r="O30" s="3" t="str">
        <f>""</f>
        <v/>
      </c>
      <c r="P30" s="3" t="str">
        <f>""</f>
        <v/>
      </c>
      <c r="Q30" s="3" t="str">
        <f>""</f>
        <v/>
      </c>
      <c r="R30" s="3" t="str">
        <f>""</f>
        <v/>
      </c>
      <c r="S30" s="3" t="str">
        <f>""</f>
        <v/>
      </c>
      <c r="T30" s="14" t="str">
        <f>""</f>
        <v/>
      </c>
      <c r="U30" s="14" t="str">
        <f>""</f>
        <v/>
      </c>
      <c r="V30" s="15">
        <v>231</v>
      </c>
      <c r="W30" s="15" t="str">
        <f>"10-10-001379"</f>
        <v>10-10-001379</v>
      </c>
      <c r="X30" s="15" t="str">
        <f>"TAPONES DE PLASTICO PUERTA"</f>
        <v>TAPONES DE PLASTICO PUERTA</v>
      </c>
      <c r="Y30" s="14">
        <v>500</v>
      </c>
      <c r="Z30" s="18" t="str">
        <f>""</f>
        <v/>
      </c>
      <c r="AA30" s="18">
        <v>0</v>
      </c>
      <c r="AB30" s="18" t="str">
        <f>""</f>
        <v/>
      </c>
      <c r="AC30" s="18" t="str">
        <f>""</f>
        <v/>
      </c>
      <c r="AD30" s="18" t="str">
        <f>""</f>
        <v/>
      </c>
      <c r="AE30" s="18" t="str">
        <f>""</f>
        <v/>
      </c>
      <c r="AF30" s="18" t="str">
        <f t="shared" si="4"/>
        <v/>
      </c>
      <c r="AG30" s="18" t="str">
        <f>""</f>
        <v/>
      </c>
      <c r="AH30" s="18" t="str">
        <f>""</f>
        <v/>
      </c>
      <c r="AI30" s="19" t="str">
        <f t="shared" si="5"/>
        <v/>
      </c>
      <c r="AJ30" t="str">
        <f>""</f>
        <v/>
      </c>
    </row>
    <row r="31" spans="1:36" x14ac:dyDescent="0.3">
      <c r="A31" t="s">
        <v>299</v>
      </c>
      <c r="B31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línea"",""170000"",""14=No_ producto cliente"",""10-10-000129"",""14=Descripción ampliada"",""IMANES"",""10=Cantidad confirmada"",""50,00000000000000000000"",""2=numeroexpediciones"",""1"",""2=numeroalbaranes"",""1"",""10=mani"&amp;"pulacion"",""47,72913600000000000000"",""10=embalaje"",""21,26000000000000000000"",""10=transporte"",""63,47414700000000000000"",""10=prima"",""0,00000000000000000000"",""10=reembolso"",""0,00000000000000000000"",""10=impuestos"",""0,00000000000000000000"",""10=gestion"",""0,10598"&amp;"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línea","170000","14=No_ producto cliente","10-10-000129","14=Descripción ampliada","IMANES","10=Cantidad confirmada","50,00000000000000000000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31" t="str">
        <f t="shared" si="7"/>
        <v>PD260065553</v>
      </c>
      <c r="D31" s="3" t="str">
        <f>""</f>
        <v/>
      </c>
      <c r="E31" s="3" t="str">
        <f>""</f>
        <v/>
      </c>
      <c r="F31" s="3" t="str">
        <f>""</f>
        <v/>
      </c>
      <c r="G31" s="3" t="str">
        <f>""</f>
        <v/>
      </c>
      <c r="H31" s="3" t="str">
        <f>""</f>
        <v/>
      </c>
      <c r="I31" s="3" t="str">
        <f>""</f>
        <v/>
      </c>
      <c r="J31" s="3" t="str">
        <f>""</f>
        <v/>
      </c>
      <c r="K31" s="4" t="str">
        <f>""</f>
        <v/>
      </c>
      <c r="L31" s="3" t="str">
        <f>""</f>
        <v/>
      </c>
      <c r="M31" s="3" t="str">
        <f>""</f>
        <v/>
      </c>
      <c r="N31" s="3" t="str">
        <f>""</f>
        <v/>
      </c>
      <c r="O31" s="3" t="str">
        <f>""</f>
        <v/>
      </c>
      <c r="P31" s="3" t="str">
        <f>""</f>
        <v/>
      </c>
      <c r="Q31" s="3" t="str">
        <f>""</f>
        <v/>
      </c>
      <c r="R31" s="3" t="str">
        <f>""</f>
        <v/>
      </c>
      <c r="S31" s="3" t="str">
        <f>""</f>
        <v/>
      </c>
      <c r="T31" s="14" t="str">
        <f>""</f>
        <v/>
      </c>
      <c r="U31" s="14" t="str">
        <f>""</f>
        <v/>
      </c>
      <c r="V31" s="15">
        <v>231</v>
      </c>
      <c r="W31" s="15" t="str">
        <f>"10-10-000129"</f>
        <v>10-10-000129</v>
      </c>
      <c r="X31" s="15" t="str">
        <f>"IMANES"</f>
        <v>IMANES</v>
      </c>
      <c r="Y31" s="14">
        <v>50</v>
      </c>
      <c r="Z31" s="18" t="str">
        <f>""</f>
        <v/>
      </c>
      <c r="AA31" s="18">
        <v>0</v>
      </c>
      <c r="AB31" s="18" t="str">
        <f>""</f>
        <v/>
      </c>
      <c r="AC31" s="18" t="str">
        <f>""</f>
        <v/>
      </c>
      <c r="AD31" s="18" t="str">
        <f>""</f>
        <v/>
      </c>
      <c r="AE31" s="18" t="str">
        <f>""</f>
        <v/>
      </c>
      <c r="AF31" s="18" t="str">
        <f t="shared" si="4"/>
        <v/>
      </c>
      <c r="AG31" s="18" t="str">
        <f>""</f>
        <v/>
      </c>
      <c r="AH31" s="18" t="str">
        <f>""</f>
        <v/>
      </c>
      <c r="AI31" s="19" t="str">
        <f t="shared" si="5"/>
        <v/>
      </c>
      <c r="AJ31" t="str">
        <f>""</f>
        <v/>
      </c>
    </row>
    <row r="32" spans="1:36" x14ac:dyDescent="0.3">
      <c r="A32" t="s">
        <v>299</v>
      </c>
      <c r="B32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línea"",""180000"",""14=No_ producto cliente"",""10-10-000888"",""14=Descripción ampliada"",""TAPONES PARA IMANES"",""10=Cantidad confirmada"",""50,00000000000000000000"",""2=numeroexpediciones"",""1"",""2=numeroalbaranes"""&amp;",""1"",""10=manipulacion"",""47,72913600000000000000"",""10=embalaje"",""21,26000000000000000000"",""10=transporte"",""63,47414700000000000000"",""10=prima"",""0,00000000000000000000"",""10=reembolso"",""0,00000000000000000000"",""10=impuestos"",""0,00000000000000000000"",""10=gest"&amp;"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línea","180000","14=No_ producto cliente","10-10-000888","14=Descripción ampliada","TAPONES PARA IMANES","10=Cantidad confirmada","50,00000000000000000000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32" t="str">
        <f t="shared" si="7"/>
        <v>PD260065553</v>
      </c>
      <c r="D32" s="3" t="str">
        <f>""</f>
        <v/>
      </c>
      <c r="E32" s="3" t="str">
        <f>""</f>
        <v/>
      </c>
      <c r="F32" s="3" t="str">
        <f>""</f>
        <v/>
      </c>
      <c r="G32" s="3" t="str">
        <f>""</f>
        <v/>
      </c>
      <c r="H32" s="3" t="str">
        <f>""</f>
        <v/>
      </c>
      <c r="I32" s="3" t="str">
        <f>""</f>
        <v/>
      </c>
      <c r="J32" s="3" t="str">
        <f>""</f>
        <v/>
      </c>
      <c r="K32" s="4" t="str">
        <f>""</f>
        <v/>
      </c>
      <c r="L32" s="3" t="str">
        <f>""</f>
        <v/>
      </c>
      <c r="M32" s="3" t="str">
        <f>""</f>
        <v/>
      </c>
      <c r="N32" s="3" t="str">
        <f>""</f>
        <v/>
      </c>
      <c r="O32" s="3" t="str">
        <f>""</f>
        <v/>
      </c>
      <c r="P32" s="3" t="str">
        <f>""</f>
        <v/>
      </c>
      <c r="Q32" s="3" t="str">
        <f>""</f>
        <v/>
      </c>
      <c r="R32" s="3" t="str">
        <f>""</f>
        <v/>
      </c>
      <c r="S32" s="3" t="str">
        <f>""</f>
        <v/>
      </c>
      <c r="T32" s="14" t="str">
        <f>""</f>
        <v/>
      </c>
      <c r="U32" s="14" t="str">
        <f>""</f>
        <v/>
      </c>
      <c r="V32" s="15">
        <v>231</v>
      </c>
      <c r="W32" s="15" t="str">
        <f>"10-10-000888"</f>
        <v>10-10-000888</v>
      </c>
      <c r="X32" s="15" t="str">
        <f>"TAPONES PARA IMANES"</f>
        <v>TAPONES PARA IMANES</v>
      </c>
      <c r="Y32" s="14">
        <v>50</v>
      </c>
      <c r="Z32" s="18" t="str">
        <f>""</f>
        <v/>
      </c>
      <c r="AA32" s="18">
        <v>0</v>
      </c>
      <c r="AB32" s="18" t="str">
        <f>""</f>
        <v/>
      </c>
      <c r="AC32" s="18" t="str">
        <f>""</f>
        <v/>
      </c>
      <c r="AD32" s="18" t="str">
        <f>""</f>
        <v/>
      </c>
      <c r="AE32" s="18" t="str">
        <f>""</f>
        <v/>
      </c>
      <c r="AF32" s="18" t="str">
        <f t="shared" si="4"/>
        <v/>
      </c>
      <c r="AG32" s="18" t="str">
        <f>""</f>
        <v/>
      </c>
      <c r="AH32" s="18" t="str">
        <f>""</f>
        <v/>
      </c>
      <c r="AI32" s="19" t="str">
        <f t="shared" si="5"/>
        <v/>
      </c>
      <c r="AJ32" t="str">
        <f>""</f>
        <v/>
      </c>
    </row>
    <row r="33" spans="1:36" x14ac:dyDescent="0.3">
      <c r="A33" t="s">
        <v>299</v>
      </c>
      <c r="B33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línea"",""190000"",""14=No_ producto cliente"",""10-21-000056"",""14=Descripción ampliada"",""CONTROLADOR DE CERRADURAS"",""10=Cantidad confirmada"",""10,00000000000000000000"",""2=numeroexpediciones"",""1"",""2=numeroalba"&amp;"ranes"",""1"",""10=manipulacion"",""47,72913600000000000000"",""10=embalaje"",""21,26000000000000000000"",""10=transporte"",""63,47414700000000000000"",""10=prima"",""0,00000000000000000000"",""10=reembolso"",""0,00000000000000000000"",""10=impuestos"",""0,00000000000000000000"",""1"&amp;"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línea","190000","14=No_ producto cliente","10-21-000056","14=Descripción ampliada","CONTROLADOR DE CERRADURAS","10=Cantidad confirmada","10,00000000000000000000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33" t="str">
        <f t="shared" si="7"/>
        <v>PD260065553</v>
      </c>
      <c r="D33" s="3" t="str">
        <f>""</f>
        <v/>
      </c>
      <c r="E33" s="3" t="str">
        <f>""</f>
        <v/>
      </c>
      <c r="F33" s="3" t="str">
        <f>""</f>
        <v/>
      </c>
      <c r="G33" s="3" t="str">
        <f>""</f>
        <v/>
      </c>
      <c r="H33" s="3" t="str">
        <f>""</f>
        <v/>
      </c>
      <c r="I33" s="3" t="str">
        <f>""</f>
        <v/>
      </c>
      <c r="J33" s="3" t="str">
        <f>""</f>
        <v/>
      </c>
      <c r="K33" s="4" t="str">
        <f>""</f>
        <v/>
      </c>
      <c r="L33" s="3" t="str">
        <f>""</f>
        <v/>
      </c>
      <c r="M33" s="3" t="str">
        <f>""</f>
        <v/>
      </c>
      <c r="N33" s="3" t="str">
        <f>""</f>
        <v/>
      </c>
      <c r="O33" s="3" t="str">
        <f>""</f>
        <v/>
      </c>
      <c r="P33" s="3" t="str">
        <f>""</f>
        <v/>
      </c>
      <c r="Q33" s="3" t="str">
        <f>""</f>
        <v/>
      </c>
      <c r="R33" s="3" t="str">
        <f>""</f>
        <v/>
      </c>
      <c r="S33" s="3" t="str">
        <f>""</f>
        <v/>
      </c>
      <c r="T33" s="14" t="str">
        <f>""</f>
        <v/>
      </c>
      <c r="U33" s="14" t="str">
        <f>""</f>
        <v/>
      </c>
      <c r="V33" s="15">
        <v>231</v>
      </c>
      <c r="W33" s="15" t="str">
        <f>"10-21-000056"</f>
        <v>10-21-000056</v>
      </c>
      <c r="X33" s="15" t="str">
        <f>"CONTROLADOR DE CERRADURAS"</f>
        <v>CONTROLADOR DE CERRADURAS</v>
      </c>
      <c r="Y33" s="14">
        <v>10</v>
      </c>
      <c r="Z33" s="18" t="str">
        <f>""</f>
        <v/>
      </c>
      <c r="AA33" s="18">
        <v>0</v>
      </c>
      <c r="AB33" s="18" t="str">
        <f>""</f>
        <v/>
      </c>
      <c r="AC33" s="18" t="str">
        <f>""</f>
        <v/>
      </c>
      <c r="AD33" s="18" t="str">
        <f>""</f>
        <v/>
      </c>
      <c r="AE33" s="18" t="str">
        <f>""</f>
        <v/>
      </c>
      <c r="AF33" s="18" t="str">
        <f t="shared" si="4"/>
        <v/>
      </c>
      <c r="AG33" s="18" t="str">
        <f>""</f>
        <v/>
      </c>
      <c r="AH33" s="18" t="str">
        <f>""</f>
        <v/>
      </c>
      <c r="AI33" s="19" t="str">
        <f t="shared" si="5"/>
        <v/>
      </c>
      <c r="AJ33" t="str">
        <f>""</f>
        <v/>
      </c>
    </row>
    <row r="34" spans="1:36" x14ac:dyDescent="0.3">
      <c r="A34" t="s">
        <v>299</v>
      </c>
      <c r="B34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línea"",""200000"",""14=No_ producto cliente"",""10-21-001028"",""14=Descripción ampliada"",""CONTROLADOR DE CERRADURAS"",""10=Cantidad confirmada"",""2,00000000000000000000"",""2=numeroexpediciones"",""1"",""2=numeroalbar"&amp;"anes"",""1"",""10=manipulacion"",""47,72913600000000000000"",""10=embalaje"",""21,26000000000000000000"",""10=transporte"",""63,47414700000000000000"",""10=prima"",""0,00000000000000000000"",""10=reembolso"",""0,00000000000000000000"",""10=impuestos"",""0,00000000000000000000"",""10"&amp;"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línea","200000","14=No_ producto cliente","10-21-001028","14=Descripción ampliada","CONTROLADOR DE CERRADURAS","10=Cantidad confirmada","2,00000000000000000000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34" t="str">
        <f t="shared" si="7"/>
        <v>PD260065553</v>
      </c>
      <c r="D34" s="3" t="str">
        <f>""</f>
        <v/>
      </c>
      <c r="E34" s="3" t="str">
        <f>""</f>
        <v/>
      </c>
      <c r="F34" s="3" t="str">
        <f>""</f>
        <v/>
      </c>
      <c r="G34" s="3" t="str">
        <f>""</f>
        <v/>
      </c>
      <c r="H34" s="3" t="str">
        <f>""</f>
        <v/>
      </c>
      <c r="I34" s="3" t="str">
        <f>""</f>
        <v/>
      </c>
      <c r="J34" s="3" t="str">
        <f>""</f>
        <v/>
      </c>
      <c r="K34" s="4" t="str">
        <f>""</f>
        <v/>
      </c>
      <c r="L34" s="3" t="str">
        <f>""</f>
        <v/>
      </c>
      <c r="M34" s="3" t="str">
        <f>""</f>
        <v/>
      </c>
      <c r="N34" s="3" t="str">
        <f>""</f>
        <v/>
      </c>
      <c r="O34" s="3" t="str">
        <f>""</f>
        <v/>
      </c>
      <c r="P34" s="3" t="str">
        <f>""</f>
        <v/>
      </c>
      <c r="Q34" s="3" t="str">
        <f>""</f>
        <v/>
      </c>
      <c r="R34" s="3" t="str">
        <f>""</f>
        <v/>
      </c>
      <c r="S34" s="3" t="str">
        <f>""</f>
        <v/>
      </c>
      <c r="T34" s="14" t="str">
        <f>""</f>
        <v/>
      </c>
      <c r="U34" s="14" t="str">
        <f>""</f>
        <v/>
      </c>
      <c r="V34" s="15">
        <v>231</v>
      </c>
      <c r="W34" s="15" t="str">
        <f>"10-21-001028"</f>
        <v>10-21-001028</v>
      </c>
      <c r="X34" s="15" t="str">
        <f>"CONTROLADOR DE CERRADURAS"</f>
        <v>CONTROLADOR DE CERRADURAS</v>
      </c>
      <c r="Y34" s="14">
        <v>2</v>
      </c>
      <c r="Z34" s="18" t="str">
        <f>""</f>
        <v/>
      </c>
      <c r="AA34" s="18">
        <v>0</v>
      </c>
      <c r="AB34" s="18" t="str">
        <f>""</f>
        <v/>
      </c>
      <c r="AC34" s="18" t="str">
        <f>""</f>
        <v/>
      </c>
      <c r="AD34" s="18" t="str">
        <f>""</f>
        <v/>
      </c>
      <c r="AE34" s="18" t="str">
        <f>""</f>
        <v/>
      </c>
      <c r="AF34" s="18" t="str">
        <f t="shared" si="4"/>
        <v/>
      </c>
      <c r="AG34" s="18" t="str">
        <f>""</f>
        <v/>
      </c>
      <c r="AH34" s="18" t="str">
        <f>""</f>
        <v/>
      </c>
      <c r="AI34" s="19" t="str">
        <f t="shared" si="5"/>
        <v/>
      </c>
      <c r="AJ34" t="str">
        <f>""</f>
        <v/>
      </c>
    </row>
    <row r="35" spans="1:36" x14ac:dyDescent="0.3">
      <c r="A35" t="s">
        <v>299</v>
      </c>
      <c r="B35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línea"",""210000"",""14=No_ producto cliente"",""11-50-000396"",""14=Descripción ampliada"",""DOOR XS"",""10=Cantidad confirmada"",""2,00000000000000000000"",""2=numeroexpediciones"",""1"",""2=numeroalbaranes"",""1"",""10=mani"&amp;"pulacion"",""47,72913600000000000000"",""10=embalaje"",""21,26000000000000000000"",""10=transporte"",""63,47414700000000000000"",""10=prima"",""0,00000000000000000000"",""10=reembolso"",""0,00000000000000000000"",""10=impuestos"",""0,00000000000000000000"",""10=gestion"",""0,10598"&amp;"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línea","210000","14=No_ producto cliente","11-50-000396","14=Descripción ampliada","DOOR XS","10=Cantidad confirmada","2,00000000000000000000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35" t="str">
        <f t="shared" si="7"/>
        <v>PD260065553</v>
      </c>
      <c r="D35" s="3" t="str">
        <f>""</f>
        <v/>
      </c>
      <c r="E35" s="3" t="str">
        <f>""</f>
        <v/>
      </c>
      <c r="F35" s="3" t="str">
        <f>""</f>
        <v/>
      </c>
      <c r="G35" s="3" t="str">
        <f>""</f>
        <v/>
      </c>
      <c r="H35" s="3" t="str">
        <f>""</f>
        <v/>
      </c>
      <c r="I35" s="3" t="str">
        <f>""</f>
        <v/>
      </c>
      <c r="J35" s="3" t="str">
        <f>""</f>
        <v/>
      </c>
      <c r="K35" s="4" t="str">
        <f>""</f>
        <v/>
      </c>
      <c r="L35" s="3" t="str">
        <f>""</f>
        <v/>
      </c>
      <c r="M35" s="3" t="str">
        <f>""</f>
        <v/>
      </c>
      <c r="N35" s="3" t="str">
        <f>""</f>
        <v/>
      </c>
      <c r="O35" s="3" t="str">
        <f>""</f>
        <v/>
      </c>
      <c r="P35" s="3" t="str">
        <f>""</f>
        <v/>
      </c>
      <c r="Q35" s="3" t="str">
        <f>""</f>
        <v/>
      </c>
      <c r="R35" s="3" t="str">
        <f>""</f>
        <v/>
      </c>
      <c r="S35" s="3" t="str">
        <f>""</f>
        <v/>
      </c>
      <c r="T35" s="14" t="str">
        <f>""</f>
        <v/>
      </c>
      <c r="U35" s="14" t="str">
        <f>""</f>
        <v/>
      </c>
      <c r="V35" s="15">
        <v>231</v>
      </c>
      <c r="W35" s="15" t="str">
        <f>"11-50-000396"</f>
        <v>11-50-000396</v>
      </c>
      <c r="X35" s="15" t="str">
        <f>"DOOR XS"</f>
        <v>DOOR XS</v>
      </c>
      <c r="Y35" s="14">
        <v>2</v>
      </c>
      <c r="Z35" s="18" t="str">
        <f>""</f>
        <v/>
      </c>
      <c r="AA35" s="18">
        <v>0</v>
      </c>
      <c r="AB35" s="18" t="str">
        <f>""</f>
        <v/>
      </c>
      <c r="AC35" s="18" t="str">
        <f>""</f>
        <v/>
      </c>
      <c r="AD35" s="18" t="str">
        <f>""</f>
        <v/>
      </c>
      <c r="AE35" s="18" t="str">
        <f>""</f>
        <v/>
      </c>
      <c r="AF35" s="18" t="str">
        <f t="shared" si="4"/>
        <v/>
      </c>
      <c r="AG35" s="18" t="str">
        <f>""</f>
        <v/>
      </c>
      <c r="AH35" s="18" t="str">
        <f>""</f>
        <v/>
      </c>
      <c r="AI35" s="19" t="str">
        <f t="shared" si="5"/>
        <v/>
      </c>
      <c r="AJ35" t="str">
        <f>""</f>
        <v/>
      </c>
    </row>
    <row r="36" spans="1:36" x14ac:dyDescent="0.3">
      <c r="A36" t="s">
        <v>299</v>
      </c>
      <c r="B36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línea"",""220000"",""14=No_ producto cliente"",""10-21-000629"",""14=Descripción ampliada"",""PCB BOXLOCK300 VER 1.2. PLATE FOR"",""10=Cantidad confirmada"",""15,00000000000000000000"",""2=numeroexpediciones"",""1"",""2=nu"&amp;"meroalbaranes"",""1"",""10=manipulacion"",""47,72913600000000000000"",""10=embalaje"",""21,26000000000000000000"",""10=transporte"",""63,47414700000000000000"",""10=prima"",""0,00000000000000000000"",""10=reembolso"",""0,00000000000000000000"",""10=impuestos"",""0,0000000000000000"&amp;"0000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línea","220000","14=No_ producto cliente","10-21-000629","14=Descripción ampliada","PCB BOXLOCK300 VER 1.2. PLATE FOR","10=Cantidad confirmada","15,00000000000000000000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36" t="str">
        <f t="shared" si="7"/>
        <v>PD260065553</v>
      </c>
      <c r="D36" s="3" t="str">
        <f>""</f>
        <v/>
      </c>
      <c r="E36" s="3" t="str">
        <f>""</f>
        <v/>
      </c>
      <c r="F36" s="3" t="str">
        <f>""</f>
        <v/>
      </c>
      <c r="G36" s="3" t="str">
        <f>""</f>
        <v/>
      </c>
      <c r="H36" s="3" t="str">
        <f>""</f>
        <v/>
      </c>
      <c r="I36" s="3" t="str">
        <f>""</f>
        <v/>
      </c>
      <c r="J36" s="3" t="str">
        <f>""</f>
        <v/>
      </c>
      <c r="K36" s="4" t="str">
        <f>""</f>
        <v/>
      </c>
      <c r="L36" s="3" t="str">
        <f>""</f>
        <v/>
      </c>
      <c r="M36" s="3" t="str">
        <f>""</f>
        <v/>
      </c>
      <c r="N36" s="3" t="str">
        <f>""</f>
        <v/>
      </c>
      <c r="O36" s="3" t="str">
        <f>""</f>
        <v/>
      </c>
      <c r="P36" s="3" t="str">
        <f>""</f>
        <v/>
      </c>
      <c r="Q36" s="3" t="str">
        <f>""</f>
        <v/>
      </c>
      <c r="R36" s="3" t="str">
        <f>""</f>
        <v/>
      </c>
      <c r="S36" s="3" t="str">
        <f>""</f>
        <v/>
      </c>
      <c r="T36" s="14" t="str">
        <f>""</f>
        <v/>
      </c>
      <c r="U36" s="14" t="str">
        <f>""</f>
        <v/>
      </c>
      <c r="V36" s="15">
        <v>231</v>
      </c>
      <c r="W36" s="15" t="str">
        <f>"10-21-000629"</f>
        <v>10-21-000629</v>
      </c>
      <c r="X36" s="15" t="str">
        <f>"PCB BOXLOCK300 VER 1.2. PLATE FOR"</f>
        <v>PCB BOXLOCK300 VER 1.2. PLATE FOR</v>
      </c>
      <c r="Y36" s="14">
        <v>15</v>
      </c>
      <c r="Z36" s="18" t="str">
        <f>""</f>
        <v/>
      </c>
      <c r="AA36" s="18">
        <v>0</v>
      </c>
      <c r="AB36" s="18" t="str">
        <f>""</f>
        <v/>
      </c>
      <c r="AC36" s="18" t="str">
        <f>""</f>
        <v/>
      </c>
      <c r="AD36" s="18" t="str">
        <f>""</f>
        <v/>
      </c>
      <c r="AE36" s="18" t="str">
        <f>""</f>
        <v/>
      </c>
      <c r="AF36" s="18" t="str">
        <f t="shared" ref="AF36:AF67" si="8">IF(AJ36="","",VALUE(AJ36))</f>
        <v/>
      </c>
      <c r="AG36" s="18" t="str">
        <f>""</f>
        <v/>
      </c>
      <c r="AH36" s="18" t="str">
        <f>""</f>
        <v/>
      </c>
      <c r="AI36" s="19" t="str">
        <f t="shared" ref="AI36:AI67" si="9">IF($G36="","",IFERROR(IF(ISBLANK(Z36),0,Z36)+IF(ISBLANK(AA36),0,AA36)+IF(ISBLANK(AB36),0,AB36)+IF(ISBLANK(AC36),0,AC36)+IF(ISBLANK(AD36),0,AD36)+IF(ISBLANK(AE36),0,AE36)+IF(ISBLANK(AF36),0,AF36)+IF(ISBLANK(AG36),0,AG36)+IF(ISBLANK(AH36),0,AH36),0))</f>
        <v/>
      </c>
      <c r="AJ36" t="str">
        <f>""</f>
        <v/>
      </c>
    </row>
    <row r="37" spans="1:36" x14ac:dyDescent="0.3">
      <c r="A37" t="s">
        <v>299</v>
      </c>
      <c r="B37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línea"",""230000"",""14=No_ producto cliente"",""10-80-000197"",""14=Descripción ampliada"",""ACTUATOR WITH MUSHER+PIN HOLDER"",""10=Cantidad confirmada"",""50,00000000000000000000"",""2=numeroexpediciones"",""1"",""2=nume"&amp;"roalbaranes"",""1"",""10=manipulacion"",""47,72913600000000000000"",""10=embalaje"",""21,26000000000000000000"",""10=transporte"",""63,47414700000000000000"",""10=prima"",""0,00000000000000000000"",""10=reembolso"",""0,00000000000000000000"",""10=impuestos"",""0,000000000000000000"&amp;"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línea","230000","14=No_ producto cliente","10-80-000197","14=Descripción ampliada","ACTUATOR WITH MUSHER+PIN HOLDER","10=Cantidad confirmada","50,00000000000000000000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37" t="str">
        <f t="shared" si="7"/>
        <v>PD260065553</v>
      </c>
      <c r="D37" s="3" t="str">
        <f>""</f>
        <v/>
      </c>
      <c r="E37" s="3" t="str">
        <f>""</f>
        <v/>
      </c>
      <c r="F37" s="3" t="str">
        <f>""</f>
        <v/>
      </c>
      <c r="G37" s="3" t="str">
        <f>""</f>
        <v/>
      </c>
      <c r="H37" s="3" t="str">
        <f>""</f>
        <v/>
      </c>
      <c r="I37" s="3" t="str">
        <f>""</f>
        <v/>
      </c>
      <c r="J37" s="3" t="str">
        <f>""</f>
        <v/>
      </c>
      <c r="K37" s="4" t="str">
        <f>""</f>
        <v/>
      </c>
      <c r="L37" s="3" t="str">
        <f>""</f>
        <v/>
      </c>
      <c r="M37" s="3" t="str">
        <f>""</f>
        <v/>
      </c>
      <c r="N37" s="3" t="str">
        <f>""</f>
        <v/>
      </c>
      <c r="O37" s="3" t="str">
        <f>""</f>
        <v/>
      </c>
      <c r="P37" s="3" t="str">
        <f>""</f>
        <v/>
      </c>
      <c r="Q37" s="3" t="str">
        <f>""</f>
        <v/>
      </c>
      <c r="R37" s="3" t="str">
        <f>""</f>
        <v/>
      </c>
      <c r="S37" s="3" t="str">
        <f>""</f>
        <v/>
      </c>
      <c r="T37" s="14" t="str">
        <f>""</f>
        <v/>
      </c>
      <c r="U37" s="14" t="str">
        <f>""</f>
        <v/>
      </c>
      <c r="V37" s="15">
        <v>231</v>
      </c>
      <c r="W37" s="15" t="str">
        <f>"10-80-000197"</f>
        <v>10-80-000197</v>
      </c>
      <c r="X37" s="15" t="str">
        <f>"ACTUATOR WITH MUSHER+PIN HOLDER"</f>
        <v>ACTUATOR WITH MUSHER+PIN HOLDER</v>
      </c>
      <c r="Y37" s="14">
        <v>50</v>
      </c>
      <c r="Z37" s="18" t="str">
        <f>""</f>
        <v/>
      </c>
      <c r="AA37" s="18">
        <v>0</v>
      </c>
      <c r="AB37" s="18" t="str">
        <f>""</f>
        <v/>
      </c>
      <c r="AC37" s="18" t="str">
        <f>""</f>
        <v/>
      </c>
      <c r="AD37" s="18" t="str">
        <f>""</f>
        <v/>
      </c>
      <c r="AE37" s="18" t="str">
        <f>""</f>
        <v/>
      </c>
      <c r="AF37" s="18" t="str">
        <f t="shared" si="8"/>
        <v/>
      </c>
      <c r="AG37" s="18" t="str">
        <f>""</f>
        <v/>
      </c>
      <c r="AH37" s="18" t="str">
        <f>""</f>
        <v/>
      </c>
      <c r="AI37" s="19" t="str">
        <f t="shared" si="9"/>
        <v/>
      </c>
      <c r="AJ37" t="str">
        <f>""</f>
        <v/>
      </c>
    </row>
    <row r="38" spans="1:36" x14ac:dyDescent="0.3">
      <c r="A38" t="s">
        <v>299</v>
      </c>
      <c r="B38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línea"",""240000"",""14=No_ producto cliente"",""10-50-000666"",""14=Descripción ampliada"",""CERRADURAS DE LOCKER"",""10=Cantidad confirmada"",""50,00000000000000000000"",""2=numeroexpediciones"",""1"",""2=numeroalbaranes"&amp;""",""1"",""10=manipulacion"",""47,72913600000000000000"",""10=embalaje"",""21,26000000000000000000"",""10=transporte"",""63,47414700000000000000"",""10=prima"",""0,00000000000000000000"",""10=reembolso"",""0,00000000000000000000"",""10=impuestos"",""0,00000000000000000000"",""10=ges"&amp;"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línea","240000","14=No_ producto cliente","10-50-000666","14=Descripción ampliada","CERRADURAS DE LOCKER","10=Cantidad confirmada","50,00000000000000000000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38" t="str">
        <f t="shared" si="7"/>
        <v>PD260065553</v>
      </c>
      <c r="D38" s="3" t="str">
        <f>""</f>
        <v/>
      </c>
      <c r="E38" s="3" t="str">
        <f>""</f>
        <v/>
      </c>
      <c r="F38" s="3" t="str">
        <f>""</f>
        <v/>
      </c>
      <c r="G38" s="3" t="str">
        <f>""</f>
        <v/>
      </c>
      <c r="H38" s="3" t="str">
        <f>""</f>
        <v/>
      </c>
      <c r="I38" s="3" t="str">
        <f>""</f>
        <v/>
      </c>
      <c r="J38" s="3" t="str">
        <f>""</f>
        <v/>
      </c>
      <c r="K38" s="4" t="str">
        <f>""</f>
        <v/>
      </c>
      <c r="L38" s="3" t="str">
        <f>""</f>
        <v/>
      </c>
      <c r="M38" s="3" t="str">
        <f>""</f>
        <v/>
      </c>
      <c r="N38" s="3" t="str">
        <f>""</f>
        <v/>
      </c>
      <c r="O38" s="3" t="str">
        <f>""</f>
        <v/>
      </c>
      <c r="P38" s="3" t="str">
        <f>""</f>
        <v/>
      </c>
      <c r="Q38" s="3" t="str">
        <f>""</f>
        <v/>
      </c>
      <c r="R38" s="3" t="str">
        <f>""</f>
        <v/>
      </c>
      <c r="S38" s="3" t="str">
        <f>""</f>
        <v/>
      </c>
      <c r="T38" s="14" t="str">
        <f>""</f>
        <v/>
      </c>
      <c r="U38" s="14" t="str">
        <f>""</f>
        <v/>
      </c>
      <c r="V38" s="15">
        <v>231</v>
      </c>
      <c r="W38" s="15" t="str">
        <f>"10-50-000666"</f>
        <v>10-50-000666</v>
      </c>
      <c r="X38" s="15" t="str">
        <f>"CERRADURAS DE LOCKER"</f>
        <v>CERRADURAS DE LOCKER</v>
      </c>
      <c r="Y38" s="14">
        <v>50</v>
      </c>
      <c r="Z38" s="18" t="str">
        <f>""</f>
        <v/>
      </c>
      <c r="AA38" s="18">
        <v>0</v>
      </c>
      <c r="AB38" s="18" t="str">
        <f>""</f>
        <v/>
      </c>
      <c r="AC38" s="18" t="str">
        <f>""</f>
        <v/>
      </c>
      <c r="AD38" s="18" t="str">
        <f>""</f>
        <v/>
      </c>
      <c r="AE38" s="18" t="str">
        <f>""</f>
        <v/>
      </c>
      <c r="AF38" s="18" t="str">
        <f t="shared" si="8"/>
        <v/>
      </c>
      <c r="AG38" s="18" t="str">
        <f>""</f>
        <v/>
      </c>
      <c r="AH38" s="18" t="str">
        <f>""</f>
        <v/>
      </c>
      <c r="AI38" s="19" t="str">
        <f t="shared" si="9"/>
        <v/>
      </c>
      <c r="AJ38" t="str">
        <f>""</f>
        <v/>
      </c>
    </row>
    <row r="39" spans="1:36" x14ac:dyDescent="0.3">
      <c r="A39" t="s">
        <v>299</v>
      </c>
      <c r="B39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línea"",""250000"",""14=No_ producto cliente"",""10-20-000064"",""14=Descripción ampliada"",""ACTUADOR CERRADURAS"",""10=Cantidad confirmada"",""60,00000000000000000000"",""2=numeroexpediciones"",""1"",""2=numeroalbaranes"""&amp;",""1"",""10=manipulacion"",""47,72913600000000000000"",""10=embalaje"",""21,26000000000000000000"",""10=transporte"",""63,47414700000000000000"",""10=prima"",""0,00000000000000000000"",""10=reembolso"",""0,00000000000000000000"",""10=impuestos"",""0,00000000000000000000"",""10=gest"&amp;"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línea","250000","14=No_ producto cliente","10-20-000064","14=Descripción ampliada","ACTUADOR CERRADURAS","10=Cantidad confirmada","60,00000000000000000000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39" t="str">
        <f t="shared" si="7"/>
        <v>PD260065553</v>
      </c>
      <c r="D39" s="3" t="str">
        <f>""</f>
        <v/>
      </c>
      <c r="E39" s="3" t="str">
        <f>""</f>
        <v/>
      </c>
      <c r="F39" s="3" t="str">
        <f>""</f>
        <v/>
      </c>
      <c r="G39" s="3" t="str">
        <f>""</f>
        <v/>
      </c>
      <c r="H39" s="3" t="str">
        <f>""</f>
        <v/>
      </c>
      <c r="I39" s="3" t="str">
        <f>""</f>
        <v/>
      </c>
      <c r="J39" s="3" t="str">
        <f>""</f>
        <v/>
      </c>
      <c r="K39" s="4" t="str">
        <f>""</f>
        <v/>
      </c>
      <c r="L39" s="3" t="str">
        <f>""</f>
        <v/>
      </c>
      <c r="M39" s="3" t="str">
        <f>""</f>
        <v/>
      </c>
      <c r="N39" s="3" t="str">
        <f>""</f>
        <v/>
      </c>
      <c r="O39" s="3" t="str">
        <f>""</f>
        <v/>
      </c>
      <c r="P39" s="3" t="str">
        <f>""</f>
        <v/>
      </c>
      <c r="Q39" s="3" t="str">
        <f>""</f>
        <v/>
      </c>
      <c r="R39" s="3" t="str">
        <f>""</f>
        <v/>
      </c>
      <c r="S39" s="3" t="str">
        <f>""</f>
        <v/>
      </c>
      <c r="T39" s="14" t="str">
        <f>""</f>
        <v/>
      </c>
      <c r="U39" s="14" t="str">
        <f>""</f>
        <v/>
      </c>
      <c r="V39" s="15">
        <v>231</v>
      </c>
      <c r="W39" s="15" t="str">
        <f>"10-20-000064"</f>
        <v>10-20-000064</v>
      </c>
      <c r="X39" s="15" t="str">
        <f>"ACTUADOR CERRADURAS"</f>
        <v>ACTUADOR CERRADURAS</v>
      </c>
      <c r="Y39" s="14">
        <v>60</v>
      </c>
      <c r="Z39" s="18" t="str">
        <f>""</f>
        <v/>
      </c>
      <c r="AA39" s="18">
        <v>0</v>
      </c>
      <c r="AB39" s="18" t="str">
        <f>""</f>
        <v/>
      </c>
      <c r="AC39" s="18" t="str">
        <f>""</f>
        <v/>
      </c>
      <c r="AD39" s="18" t="str">
        <f>""</f>
        <v/>
      </c>
      <c r="AE39" s="18" t="str">
        <f>""</f>
        <v/>
      </c>
      <c r="AF39" s="18" t="str">
        <f t="shared" si="8"/>
        <v/>
      </c>
      <c r="AG39" s="18" t="str">
        <f>""</f>
        <v/>
      </c>
      <c r="AH39" s="18" t="str">
        <f>""</f>
        <v/>
      </c>
      <c r="AI39" s="19" t="str">
        <f t="shared" si="9"/>
        <v/>
      </c>
      <c r="AJ39" t="str">
        <f>""</f>
        <v/>
      </c>
    </row>
    <row r="40" spans="1:36" x14ac:dyDescent="0.3">
      <c r="A40" t="s">
        <v>299</v>
      </c>
      <c r="B40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línea"",""260000"",""14=No_ producto cliente"",""10-21-000879"",""14=Descripción ampliada"",""ROUTER ALC NDVR"",""10=Cantidad confirmada"",""10,00000000000000000000"",""2=numeroexpediciones"",""1"",""2=numeroalbaranes"",""1"""&amp;",""10=manipulacion"",""47,72913600000000000000"",""10=embalaje"",""21,26000000000000000000"",""10=transporte"",""63,47414700000000000000"",""10=prima"",""0,00000000000000000000"",""10=reembolso"",""0,00000000000000000000"",""10=impuestos"",""0,00000000000000000000"",""10=gestion"""&amp;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línea","260000","14=No_ producto cliente","10-21-000879","14=Descripción ampliada","ROUTER ALC NDVR","10=Cantidad confirmada","10,00000000000000000000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40" t="str">
        <f t="shared" si="7"/>
        <v>PD260065553</v>
      </c>
      <c r="D40" s="3" t="str">
        <f>""</f>
        <v/>
      </c>
      <c r="E40" s="3" t="str">
        <f>""</f>
        <v/>
      </c>
      <c r="F40" s="3" t="str">
        <f>""</f>
        <v/>
      </c>
      <c r="G40" s="3" t="str">
        <f>""</f>
        <v/>
      </c>
      <c r="H40" s="3" t="str">
        <f>""</f>
        <v/>
      </c>
      <c r="I40" s="3" t="str">
        <f>""</f>
        <v/>
      </c>
      <c r="J40" s="3" t="str">
        <f>""</f>
        <v/>
      </c>
      <c r="K40" s="4" t="str">
        <f>""</f>
        <v/>
      </c>
      <c r="L40" s="3" t="str">
        <f>""</f>
        <v/>
      </c>
      <c r="M40" s="3" t="str">
        <f>""</f>
        <v/>
      </c>
      <c r="N40" s="3" t="str">
        <f>""</f>
        <v/>
      </c>
      <c r="O40" s="3" t="str">
        <f>""</f>
        <v/>
      </c>
      <c r="P40" s="3" t="str">
        <f>""</f>
        <v/>
      </c>
      <c r="Q40" s="3" t="str">
        <f>""</f>
        <v/>
      </c>
      <c r="R40" s="3" t="str">
        <f>""</f>
        <v/>
      </c>
      <c r="S40" s="3" t="str">
        <f>""</f>
        <v/>
      </c>
      <c r="T40" s="14" t="str">
        <f>""</f>
        <v/>
      </c>
      <c r="U40" s="14" t="str">
        <f>""</f>
        <v/>
      </c>
      <c r="V40" s="15">
        <v>231</v>
      </c>
      <c r="W40" s="15" t="str">
        <f>"10-21-000879"</f>
        <v>10-21-000879</v>
      </c>
      <c r="X40" s="15" t="str">
        <f>"ROUTER ALC NDVR"</f>
        <v>ROUTER ALC NDVR</v>
      </c>
      <c r="Y40" s="14">
        <v>10</v>
      </c>
      <c r="Z40" s="18" t="str">
        <f>""</f>
        <v/>
      </c>
      <c r="AA40" s="18">
        <v>0</v>
      </c>
      <c r="AB40" s="18" t="str">
        <f>""</f>
        <v/>
      </c>
      <c r="AC40" s="18" t="str">
        <f>""</f>
        <v/>
      </c>
      <c r="AD40" s="18" t="str">
        <f>""</f>
        <v/>
      </c>
      <c r="AE40" s="18" t="str">
        <f>""</f>
        <v/>
      </c>
      <c r="AF40" s="18" t="str">
        <f t="shared" si="8"/>
        <v/>
      </c>
      <c r="AG40" s="18" t="str">
        <f>""</f>
        <v/>
      </c>
      <c r="AH40" s="18" t="str">
        <f>""</f>
        <v/>
      </c>
      <c r="AI40" s="19" t="str">
        <f t="shared" si="9"/>
        <v/>
      </c>
      <c r="AJ40" t="str">
        <f>""</f>
        <v/>
      </c>
    </row>
    <row r="41" spans="1:36" x14ac:dyDescent="0.3">
      <c r="A41" t="s">
        <v>299</v>
      </c>
      <c r="B41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línea"",""270000"",""14=No_ producto cliente"",""10-21-000643"",""14=Descripción ampliada"",""ROUTER ALC"",""10=Cantidad confirmada"",""20,00000000000000000000"",""2=numeroexpediciones"",""1"",""2=numeroalbaranes"",""1"",""10="&amp;"manipulacion"",""47,72913600000000000000"",""10=embalaje"",""21,26000000000000000000"",""10=transporte"",""63,47414700000000000000"",""10=prima"",""0,00000000000000000000"",""10=reembolso"",""0,00000000000000000000"",""10=impuestos"",""0,00000000000000000000"",""10=gestion"",""0,1"&amp;"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línea","270000","14=No_ producto cliente","10-21-000643","14=Descripción ampliada","ROUTER ALC","10=Cantidad confirmada","20,00000000000000000000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41" t="str">
        <f t="shared" si="7"/>
        <v>PD260065553</v>
      </c>
      <c r="D41" s="3" t="str">
        <f>""</f>
        <v/>
      </c>
      <c r="E41" s="3" t="str">
        <f>""</f>
        <v/>
      </c>
      <c r="F41" s="3" t="str">
        <f>""</f>
        <v/>
      </c>
      <c r="G41" s="3" t="str">
        <f>""</f>
        <v/>
      </c>
      <c r="H41" s="3" t="str">
        <f>""</f>
        <v/>
      </c>
      <c r="I41" s="3" t="str">
        <f>""</f>
        <v/>
      </c>
      <c r="J41" s="3" t="str">
        <f>""</f>
        <v/>
      </c>
      <c r="K41" s="4" t="str">
        <f>""</f>
        <v/>
      </c>
      <c r="L41" s="3" t="str">
        <f>""</f>
        <v/>
      </c>
      <c r="M41" s="3" t="str">
        <f>""</f>
        <v/>
      </c>
      <c r="N41" s="3" t="str">
        <f>""</f>
        <v/>
      </c>
      <c r="O41" s="3" t="str">
        <f>""</f>
        <v/>
      </c>
      <c r="P41" s="3" t="str">
        <f>""</f>
        <v/>
      </c>
      <c r="Q41" s="3" t="str">
        <f>""</f>
        <v/>
      </c>
      <c r="R41" s="3" t="str">
        <f>""</f>
        <v/>
      </c>
      <c r="S41" s="3" t="str">
        <f>""</f>
        <v/>
      </c>
      <c r="T41" s="14" t="str">
        <f>""</f>
        <v/>
      </c>
      <c r="U41" s="14" t="str">
        <f>""</f>
        <v/>
      </c>
      <c r="V41" s="15">
        <v>231</v>
      </c>
      <c r="W41" s="15" t="str">
        <f>"10-21-000643"</f>
        <v>10-21-000643</v>
      </c>
      <c r="X41" s="15" t="str">
        <f>"ROUTER ALC"</f>
        <v>ROUTER ALC</v>
      </c>
      <c r="Y41" s="14">
        <v>20</v>
      </c>
      <c r="Z41" s="18" t="str">
        <f>""</f>
        <v/>
      </c>
      <c r="AA41" s="18">
        <v>0</v>
      </c>
      <c r="AB41" s="18" t="str">
        <f>""</f>
        <v/>
      </c>
      <c r="AC41" s="18" t="str">
        <f>""</f>
        <v/>
      </c>
      <c r="AD41" s="18" t="str">
        <f>""</f>
        <v/>
      </c>
      <c r="AE41" s="18" t="str">
        <f>""</f>
        <v/>
      </c>
      <c r="AF41" s="18" t="str">
        <f t="shared" si="8"/>
        <v/>
      </c>
      <c r="AG41" s="18" t="str">
        <f>""</f>
        <v/>
      </c>
      <c r="AH41" s="18" t="str">
        <f>""</f>
        <v/>
      </c>
      <c r="AI41" s="19" t="str">
        <f t="shared" si="9"/>
        <v/>
      </c>
      <c r="AJ41" t="str">
        <f>""</f>
        <v/>
      </c>
    </row>
    <row r="42" spans="1:36" x14ac:dyDescent="0.3">
      <c r="A42" t="s">
        <v>299</v>
      </c>
      <c r="B42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línea"",""280000"",""14=No_ producto cliente"",""10-21-000930"",""14=Descripción ampliada"",""ANTENNA MIMO 2J7024Ma - INDOOR - MAGNET 10.5M"",""10=Cantidad confirmada"",""5,00000000000000000000"",""2=numeroexpediciones"&amp;""",""1"",""2=numeroalbaranes"",""1"",""10=manipulacion"",""47,72913600000000000000"",""10=embalaje"",""21,26000000000000000000"",""10=transporte"",""63,47414700000000000000"",""10=prima"",""0,00000000000000000000"",""10=reembolso"",""0,00000000000000000000"",""10=impuestos"",""0,00000"&amp;"000000000000000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línea","280000","14=No_ producto cliente","10-21-000930","14=Descripción ampliada","ANTENNA MIMO 2J7024Ma - INDOOR - MAGNET 10.5M","10=Cantidad confirmada","5,00000000000000000000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42" t="str">
        <f t="shared" si="7"/>
        <v>PD260065553</v>
      </c>
      <c r="D42" s="3" t="str">
        <f>""</f>
        <v/>
      </c>
      <c r="E42" s="3" t="str">
        <f>""</f>
        <v/>
      </c>
      <c r="F42" s="3" t="str">
        <f>""</f>
        <v/>
      </c>
      <c r="G42" s="3" t="str">
        <f>""</f>
        <v/>
      </c>
      <c r="H42" s="3" t="str">
        <f>""</f>
        <v/>
      </c>
      <c r="I42" s="3" t="str">
        <f>""</f>
        <v/>
      </c>
      <c r="J42" s="3" t="str">
        <f>""</f>
        <v/>
      </c>
      <c r="K42" s="4" t="str">
        <f>""</f>
        <v/>
      </c>
      <c r="L42" s="3" t="str">
        <f>""</f>
        <v/>
      </c>
      <c r="M42" s="3" t="str">
        <f>""</f>
        <v/>
      </c>
      <c r="N42" s="3" t="str">
        <f>""</f>
        <v/>
      </c>
      <c r="O42" s="3" t="str">
        <f>""</f>
        <v/>
      </c>
      <c r="P42" s="3" t="str">
        <f>""</f>
        <v/>
      </c>
      <c r="Q42" s="3" t="str">
        <f>""</f>
        <v/>
      </c>
      <c r="R42" s="3" t="str">
        <f>""</f>
        <v/>
      </c>
      <c r="S42" s="3" t="str">
        <f>""</f>
        <v/>
      </c>
      <c r="T42" s="14" t="str">
        <f>""</f>
        <v/>
      </c>
      <c r="U42" s="14" t="str">
        <f>""</f>
        <v/>
      </c>
      <c r="V42" s="15">
        <v>231</v>
      </c>
      <c r="W42" s="15" t="str">
        <f>"10-21-000930"</f>
        <v>10-21-000930</v>
      </c>
      <c r="X42" s="15" t="str">
        <f>"ANTENNA MIMO 2J7024Ma - INDOOR - MAGNET 10.5M"</f>
        <v>ANTENNA MIMO 2J7024Ma - INDOOR - MAGNET 10.5M</v>
      </c>
      <c r="Y42" s="14">
        <v>5</v>
      </c>
      <c r="Z42" s="18" t="str">
        <f>""</f>
        <v/>
      </c>
      <c r="AA42" s="18">
        <v>0</v>
      </c>
      <c r="AB42" s="18" t="str">
        <f>""</f>
        <v/>
      </c>
      <c r="AC42" s="18" t="str">
        <f>""</f>
        <v/>
      </c>
      <c r="AD42" s="18" t="str">
        <f>""</f>
        <v/>
      </c>
      <c r="AE42" s="18" t="str">
        <f>""</f>
        <v/>
      </c>
      <c r="AF42" s="18" t="str">
        <f t="shared" si="8"/>
        <v/>
      </c>
      <c r="AG42" s="18" t="str">
        <f>""</f>
        <v/>
      </c>
      <c r="AH42" s="18" t="str">
        <f>""</f>
        <v/>
      </c>
      <c r="AI42" s="19" t="str">
        <f t="shared" si="9"/>
        <v/>
      </c>
      <c r="AJ42" t="str">
        <f>""</f>
        <v/>
      </c>
    </row>
    <row r="43" spans="1:36" x14ac:dyDescent="0.3">
      <c r="A43" t="s">
        <v>299</v>
      </c>
      <c r="B43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línea"",""290000"",""14=No_ producto cliente"",""10-21-000637"",""14=Descripción ampliada"",""BATERIA 12V."",""10=Cantidad confirmada"",""2,00000000000000000000"",""2=numeroexpediciones"",""1"",""2=numeroalbaranes"",""1"",""10"&amp;"=manipulacion"",""47,72913600000000000000"",""10=embalaje"",""21,26000000000000000000"",""10=transporte"",""63,47414700000000000000"",""10=prima"",""0,00000000000000000000"",""10=reembolso"",""0,00000000000000000000"",""10=impuestos"",""0,00000000000000000000"",""10=gestion"",""0,"&amp;"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línea","290000","14=No_ producto cliente","10-21-000637","14=Descripción ampliada","BATERIA 12V.","10=Cantidad confirmada","2,00000000000000000000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43" t="str">
        <f t="shared" si="7"/>
        <v>PD260065553</v>
      </c>
      <c r="D43" s="3" t="str">
        <f>""</f>
        <v/>
      </c>
      <c r="E43" s="3" t="str">
        <f>""</f>
        <v/>
      </c>
      <c r="F43" s="3" t="str">
        <f>""</f>
        <v/>
      </c>
      <c r="G43" s="3" t="str">
        <f>""</f>
        <v/>
      </c>
      <c r="H43" s="3" t="str">
        <f>""</f>
        <v/>
      </c>
      <c r="I43" s="3" t="str">
        <f>""</f>
        <v/>
      </c>
      <c r="J43" s="3" t="str">
        <f>""</f>
        <v/>
      </c>
      <c r="K43" s="4" t="str">
        <f>""</f>
        <v/>
      </c>
      <c r="L43" s="3" t="str">
        <f>""</f>
        <v/>
      </c>
      <c r="M43" s="3" t="str">
        <f>""</f>
        <v/>
      </c>
      <c r="N43" s="3" t="str">
        <f>""</f>
        <v/>
      </c>
      <c r="O43" s="3" t="str">
        <f>""</f>
        <v/>
      </c>
      <c r="P43" s="3" t="str">
        <f>""</f>
        <v/>
      </c>
      <c r="Q43" s="3" t="str">
        <f>""</f>
        <v/>
      </c>
      <c r="R43" s="3" t="str">
        <f>""</f>
        <v/>
      </c>
      <c r="S43" s="3" t="str">
        <f>""</f>
        <v/>
      </c>
      <c r="T43" s="14" t="str">
        <f>""</f>
        <v/>
      </c>
      <c r="U43" s="14" t="str">
        <f>""</f>
        <v/>
      </c>
      <c r="V43" s="15">
        <v>231</v>
      </c>
      <c r="W43" s="15" t="str">
        <f>"10-21-000637"</f>
        <v>10-21-000637</v>
      </c>
      <c r="X43" s="15" t="str">
        <f>"BATERIA 12V."</f>
        <v>BATERIA 12V.</v>
      </c>
      <c r="Y43" s="14">
        <v>2</v>
      </c>
      <c r="Z43" s="18" t="str">
        <f>""</f>
        <v/>
      </c>
      <c r="AA43" s="18">
        <v>0</v>
      </c>
      <c r="AB43" s="18" t="str">
        <f>""</f>
        <v/>
      </c>
      <c r="AC43" s="18" t="str">
        <f>""</f>
        <v/>
      </c>
      <c r="AD43" s="18" t="str">
        <f>""</f>
        <v/>
      </c>
      <c r="AE43" s="18" t="str">
        <f>""</f>
        <v/>
      </c>
      <c r="AF43" s="18" t="str">
        <f t="shared" si="8"/>
        <v/>
      </c>
      <c r="AG43" s="18" t="str">
        <f>""</f>
        <v/>
      </c>
      <c r="AH43" s="18" t="str">
        <f>""</f>
        <v/>
      </c>
      <c r="AI43" s="19" t="str">
        <f t="shared" si="9"/>
        <v/>
      </c>
      <c r="AJ43" t="str">
        <f>""</f>
        <v/>
      </c>
    </row>
    <row r="44" spans="1:36" x14ac:dyDescent="0.3">
      <c r="A44" t="s">
        <v>299</v>
      </c>
      <c r="B44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línea"",""300000"",""14=No_ producto cliente"",""10-21-000644"",""14=Descripción ampliada"",""PLACA PRINCIPAL DEL LOCKER"",""10=Cantidad confirmada"",""1,00000000000000000000"",""2=numeroexpediciones"",""1"",""2=numeroalba"&amp;"ranes"",""1"",""10=manipulacion"",""47,72913600000000000000"",""10=embalaje"",""21,26000000000000000000"",""10=transporte"",""63,47414700000000000000"",""10=prima"",""0,00000000000000000000"",""10=reembolso"",""0,00000000000000000000"",""10=impuestos"",""0,00000000000000000000"",""1"&amp;"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línea","300000","14=No_ producto cliente","10-21-000644","14=Descripción ampliada","PLACA PRINCIPAL DEL LOCKER","10=Cantidad confirmada","1,00000000000000000000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44" t="str">
        <f t="shared" si="7"/>
        <v>PD260065553</v>
      </c>
      <c r="D44" s="3" t="str">
        <f>""</f>
        <v/>
      </c>
      <c r="E44" s="3" t="str">
        <f>""</f>
        <v/>
      </c>
      <c r="F44" s="3" t="str">
        <f>""</f>
        <v/>
      </c>
      <c r="G44" s="3" t="str">
        <f>""</f>
        <v/>
      </c>
      <c r="H44" s="3" t="str">
        <f>""</f>
        <v/>
      </c>
      <c r="I44" s="3" t="str">
        <f>""</f>
        <v/>
      </c>
      <c r="J44" s="3" t="str">
        <f>""</f>
        <v/>
      </c>
      <c r="K44" s="4" t="str">
        <f>""</f>
        <v/>
      </c>
      <c r="L44" s="3" t="str">
        <f>""</f>
        <v/>
      </c>
      <c r="M44" s="3" t="str">
        <f>""</f>
        <v/>
      </c>
      <c r="N44" s="3" t="str">
        <f>""</f>
        <v/>
      </c>
      <c r="O44" s="3" t="str">
        <f>""</f>
        <v/>
      </c>
      <c r="P44" s="3" t="str">
        <f>""</f>
        <v/>
      </c>
      <c r="Q44" s="3" t="str">
        <f>""</f>
        <v/>
      </c>
      <c r="R44" s="3" t="str">
        <f>""</f>
        <v/>
      </c>
      <c r="S44" s="3" t="str">
        <f>""</f>
        <v/>
      </c>
      <c r="T44" s="14" t="str">
        <f>""</f>
        <v/>
      </c>
      <c r="U44" s="14" t="str">
        <f>""</f>
        <v/>
      </c>
      <c r="V44" s="15">
        <v>231</v>
      </c>
      <c r="W44" s="15" t="str">
        <f>"10-21-000644"</f>
        <v>10-21-000644</v>
      </c>
      <c r="X44" s="15" t="str">
        <f>"PLACA PRINCIPAL DEL LOCKER"</f>
        <v>PLACA PRINCIPAL DEL LOCKER</v>
      </c>
      <c r="Y44" s="14">
        <v>1</v>
      </c>
      <c r="Z44" s="18" t="str">
        <f>""</f>
        <v/>
      </c>
      <c r="AA44" s="18">
        <v>0</v>
      </c>
      <c r="AB44" s="18" t="str">
        <f>""</f>
        <v/>
      </c>
      <c r="AC44" s="18" t="str">
        <f>""</f>
        <v/>
      </c>
      <c r="AD44" s="18" t="str">
        <f>""</f>
        <v/>
      </c>
      <c r="AE44" s="18" t="str">
        <f>""</f>
        <v/>
      </c>
      <c r="AF44" s="18" t="str">
        <f t="shared" si="8"/>
        <v/>
      </c>
      <c r="AG44" s="18" t="str">
        <f>""</f>
        <v/>
      </c>
      <c r="AH44" s="18" t="str">
        <f>""</f>
        <v/>
      </c>
      <c r="AI44" s="19" t="str">
        <f t="shared" si="9"/>
        <v/>
      </c>
      <c r="AJ44" t="str">
        <f>""</f>
        <v/>
      </c>
    </row>
    <row r="45" spans="1:36" x14ac:dyDescent="0.3">
      <c r="A45" t="s">
        <v>299</v>
      </c>
      <c r="B45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línea"",""310000"",""14=No_ producto cliente"",""10-21-000869"",""14=Descripción ampliada"",""FUENTE DE ALIMENTACIàN COMPLETA"",""10=Cantidad confirmada"",""1,00000000000000000000"",""2=numeroexpediciones"",""1"",""2=numer"&amp;"oalbaranes"",""1"",""10=manipulacion"",""47,72913600000000000000"",""10=embalaje"",""21,26000000000000000000"",""10=transporte"",""63,47414700000000000000"",""10=prima"",""0,00000000000000000000"",""10=reembolso"",""0,00000000000000000000"",""10=impuestos"",""0,0000000000000000000"&amp;"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línea","310000","14=No_ producto cliente","10-21-000869","14=Descripción ampliada","FUENTE DE ALIMENTACIàN COMPLETA","10=Cantidad confirmada","1,00000000000000000000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45" t="str">
        <f t="shared" si="7"/>
        <v>PD260065553</v>
      </c>
      <c r="D45" s="3" t="str">
        <f>""</f>
        <v/>
      </c>
      <c r="E45" s="3" t="str">
        <f>""</f>
        <v/>
      </c>
      <c r="F45" s="3" t="str">
        <f>""</f>
        <v/>
      </c>
      <c r="G45" s="3" t="str">
        <f>""</f>
        <v/>
      </c>
      <c r="H45" s="3" t="str">
        <f>""</f>
        <v/>
      </c>
      <c r="I45" s="3" t="str">
        <f>""</f>
        <v/>
      </c>
      <c r="J45" s="3" t="str">
        <f>""</f>
        <v/>
      </c>
      <c r="K45" s="4" t="str">
        <f>""</f>
        <v/>
      </c>
      <c r="L45" s="3" t="str">
        <f>""</f>
        <v/>
      </c>
      <c r="M45" s="3" t="str">
        <f>""</f>
        <v/>
      </c>
      <c r="N45" s="3" t="str">
        <f>""</f>
        <v/>
      </c>
      <c r="O45" s="3" t="str">
        <f>""</f>
        <v/>
      </c>
      <c r="P45" s="3" t="str">
        <f>""</f>
        <v/>
      </c>
      <c r="Q45" s="3" t="str">
        <f>""</f>
        <v/>
      </c>
      <c r="R45" s="3" t="str">
        <f>""</f>
        <v/>
      </c>
      <c r="S45" s="3" t="str">
        <f>""</f>
        <v/>
      </c>
      <c r="T45" s="14" t="str">
        <f>""</f>
        <v/>
      </c>
      <c r="U45" s="14" t="str">
        <f>""</f>
        <v/>
      </c>
      <c r="V45" s="15">
        <v>231</v>
      </c>
      <c r="W45" s="15" t="str">
        <f>"10-21-000869"</f>
        <v>10-21-000869</v>
      </c>
      <c r="X45" s="15" t="str">
        <f>"FUENTE DE ALIMENTACIàN COMPLETA"</f>
        <v>FUENTE DE ALIMENTACIàN COMPLETA</v>
      </c>
      <c r="Y45" s="14">
        <v>1</v>
      </c>
      <c r="Z45" s="18" t="str">
        <f>""</f>
        <v/>
      </c>
      <c r="AA45" s="18">
        <v>0</v>
      </c>
      <c r="AB45" s="18" t="str">
        <f>""</f>
        <v/>
      </c>
      <c r="AC45" s="18" t="str">
        <f>""</f>
        <v/>
      </c>
      <c r="AD45" s="18" t="str">
        <f>""</f>
        <v/>
      </c>
      <c r="AE45" s="18" t="str">
        <f>""</f>
        <v/>
      </c>
      <c r="AF45" s="18" t="str">
        <f t="shared" si="8"/>
        <v/>
      </c>
      <c r="AG45" s="18" t="str">
        <f>""</f>
        <v/>
      </c>
      <c r="AH45" s="18" t="str">
        <f>""</f>
        <v/>
      </c>
      <c r="AI45" s="19" t="str">
        <f t="shared" si="9"/>
        <v/>
      </c>
      <c r="AJ45" t="str">
        <f>""</f>
        <v/>
      </c>
    </row>
    <row r="46" spans="1:36" x14ac:dyDescent="0.3">
      <c r="A46" t="s">
        <v>299</v>
      </c>
      <c r="B46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línea"",""320000"",""14=No_ producto cliente"",""10-21-000638"",""14=Descripción ampliada"",""DISCO DURO SSD"",""10=Cantidad confirmada"",""4,00000000000000000000"",""2=numeroexpediciones"",""1"",""2=numeroalbaranes"",""1"","""&amp;"10=manipulacion"",""47,72913600000000000000"",""10=embalaje"",""21,26000000000000000000"",""10=transporte"",""63,47414700000000000000"",""10=prima"",""0,00000000000000000000"",""10=reembolso"",""0,00000000000000000000"",""10=impuestos"",""0,00000000000000000000"",""10=gestion"","""&amp;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línea","320000","14=No_ producto cliente","10-21-000638","14=Descripción ampliada","DISCO DURO SSD","10=Cantidad confirmada","4,00000000000000000000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46" t="str">
        <f t="shared" si="7"/>
        <v>PD260065553</v>
      </c>
      <c r="D46" s="3" t="str">
        <f>""</f>
        <v/>
      </c>
      <c r="E46" s="3" t="str">
        <f>""</f>
        <v/>
      </c>
      <c r="F46" s="3" t="str">
        <f>""</f>
        <v/>
      </c>
      <c r="G46" s="3" t="str">
        <f>""</f>
        <v/>
      </c>
      <c r="H46" s="3" t="str">
        <f>""</f>
        <v/>
      </c>
      <c r="I46" s="3" t="str">
        <f>""</f>
        <v/>
      </c>
      <c r="J46" s="3" t="str">
        <f>""</f>
        <v/>
      </c>
      <c r="K46" s="4" t="str">
        <f>""</f>
        <v/>
      </c>
      <c r="L46" s="3" t="str">
        <f>""</f>
        <v/>
      </c>
      <c r="M46" s="3" t="str">
        <f>""</f>
        <v/>
      </c>
      <c r="N46" s="3" t="str">
        <f>""</f>
        <v/>
      </c>
      <c r="O46" s="3" t="str">
        <f>""</f>
        <v/>
      </c>
      <c r="P46" s="3" t="str">
        <f>""</f>
        <v/>
      </c>
      <c r="Q46" s="3" t="str">
        <f>""</f>
        <v/>
      </c>
      <c r="R46" s="3" t="str">
        <f>""</f>
        <v/>
      </c>
      <c r="S46" s="3" t="str">
        <f>""</f>
        <v/>
      </c>
      <c r="T46" s="14" t="str">
        <f>""</f>
        <v/>
      </c>
      <c r="U46" s="14" t="str">
        <f>""</f>
        <v/>
      </c>
      <c r="V46" s="15">
        <v>231</v>
      </c>
      <c r="W46" s="15" t="str">
        <f>"10-21-000638"</f>
        <v>10-21-000638</v>
      </c>
      <c r="X46" s="15" t="str">
        <f>"DISCO DURO SSD"</f>
        <v>DISCO DURO SSD</v>
      </c>
      <c r="Y46" s="14">
        <v>4</v>
      </c>
      <c r="Z46" s="18" t="str">
        <f>""</f>
        <v/>
      </c>
      <c r="AA46" s="18">
        <v>0</v>
      </c>
      <c r="AB46" s="18" t="str">
        <f>""</f>
        <v/>
      </c>
      <c r="AC46" s="18" t="str">
        <f>""</f>
        <v/>
      </c>
      <c r="AD46" s="18" t="str">
        <f>""</f>
        <v/>
      </c>
      <c r="AE46" s="18" t="str">
        <f>""</f>
        <v/>
      </c>
      <c r="AF46" s="18" t="str">
        <f t="shared" si="8"/>
        <v/>
      </c>
      <c r="AG46" s="18" t="str">
        <f>""</f>
        <v/>
      </c>
      <c r="AH46" s="18" t="str">
        <f>""</f>
        <v/>
      </c>
      <c r="AI46" s="19" t="str">
        <f t="shared" si="9"/>
        <v/>
      </c>
      <c r="AJ46" t="str">
        <f>""</f>
        <v/>
      </c>
    </row>
    <row r="47" spans="1:36" x14ac:dyDescent="0.3">
      <c r="A47" t="s">
        <v>299</v>
      </c>
      <c r="B47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línea"",""330000"",""14=No_ producto cliente"",""10-21-000640"",""14=Descripción ampliada"",""SENSOR DE LUZ - T2"",""10=Cantidad confirmada"",""2,00000000000000000000"",""2=numeroexpediciones"",""1"",""2=numeroalbaranes"","""&amp;"1"",""10=manipulacion"",""47,72913600000000000000"",""10=embalaje"",""21,26000000000000000000"",""10=transporte"",""63,47414700000000000000"",""10=prima"",""0,00000000000000000000"",""10=reembolso"",""0,00000000000000000000"",""10=impuestos"",""0,00000000000000000000"",""10=gestio"&amp;"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línea","330000","14=No_ producto cliente","10-21-000640","14=Descripción ampliada","SENSOR DE LUZ - T2","10=Cantidad confirmada","2,00000000000000000000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47" t="str">
        <f t="shared" si="7"/>
        <v>PD260065553</v>
      </c>
      <c r="D47" s="3" t="str">
        <f>""</f>
        <v/>
      </c>
      <c r="E47" s="3" t="str">
        <f>""</f>
        <v/>
      </c>
      <c r="F47" s="3" t="str">
        <f>""</f>
        <v/>
      </c>
      <c r="G47" s="3" t="str">
        <f>""</f>
        <v/>
      </c>
      <c r="H47" s="3" t="str">
        <f>""</f>
        <v/>
      </c>
      <c r="I47" s="3" t="str">
        <f>""</f>
        <v/>
      </c>
      <c r="J47" s="3" t="str">
        <f>""</f>
        <v/>
      </c>
      <c r="K47" s="4" t="str">
        <f>""</f>
        <v/>
      </c>
      <c r="L47" s="3" t="str">
        <f>""</f>
        <v/>
      </c>
      <c r="M47" s="3" t="str">
        <f>""</f>
        <v/>
      </c>
      <c r="N47" s="3" t="str">
        <f>""</f>
        <v/>
      </c>
      <c r="O47" s="3" t="str">
        <f>""</f>
        <v/>
      </c>
      <c r="P47" s="3" t="str">
        <f>""</f>
        <v/>
      </c>
      <c r="Q47" s="3" t="str">
        <f>""</f>
        <v/>
      </c>
      <c r="R47" s="3" t="str">
        <f>""</f>
        <v/>
      </c>
      <c r="S47" s="3" t="str">
        <f>""</f>
        <v/>
      </c>
      <c r="T47" s="14" t="str">
        <f>""</f>
        <v/>
      </c>
      <c r="U47" s="14" t="str">
        <f>""</f>
        <v/>
      </c>
      <c r="V47" s="15">
        <v>231</v>
      </c>
      <c r="W47" s="15" t="str">
        <f>"10-21-000640"</f>
        <v>10-21-000640</v>
      </c>
      <c r="X47" s="15" t="str">
        <f>"SENSOR DE LUZ - T2"</f>
        <v>SENSOR DE LUZ - T2</v>
      </c>
      <c r="Y47" s="14">
        <v>2</v>
      </c>
      <c r="Z47" s="18" t="str">
        <f>""</f>
        <v/>
      </c>
      <c r="AA47" s="18">
        <v>0</v>
      </c>
      <c r="AB47" s="18" t="str">
        <f>""</f>
        <v/>
      </c>
      <c r="AC47" s="18" t="str">
        <f>""</f>
        <v/>
      </c>
      <c r="AD47" s="18" t="str">
        <f>""</f>
        <v/>
      </c>
      <c r="AE47" s="18" t="str">
        <f>""</f>
        <v/>
      </c>
      <c r="AF47" s="18" t="str">
        <f t="shared" si="8"/>
        <v/>
      </c>
      <c r="AG47" s="18" t="str">
        <f>""</f>
        <v/>
      </c>
      <c r="AH47" s="18" t="str">
        <f>""</f>
        <v/>
      </c>
      <c r="AI47" s="19" t="str">
        <f t="shared" si="9"/>
        <v/>
      </c>
      <c r="AJ47" t="str">
        <f>""</f>
        <v/>
      </c>
    </row>
    <row r="48" spans="1:36" x14ac:dyDescent="0.3">
      <c r="A48" t="s">
        <v>299</v>
      </c>
      <c r="B48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línea"",""340000"",""14=No_ producto cliente"",""10-21-000641"",""14=Descripción ampliada"",""SENSOR DE PRESIàN - T1"",""10=Cantidad confirmada"",""2,00000000000000000000"",""2=numeroexpediciones"",""1"",""2=numeroalbarane"&amp;"s"",""1"",""10=manipulacion"",""47,72913600000000000000"",""10=embalaje"",""21,26000000000000000000"",""10=transporte"",""63,47414700000000000000"",""10=prima"",""0,00000000000000000000"",""10=reembolso"",""0,00000000000000000000"",""10=impuestos"",""0,00000000000000000000"",""10=ge"&amp;"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línea","340000","14=No_ producto cliente","10-21-000641","14=Descripción ampliada","SENSOR DE PRESIàN - T1","10=Cantidad confirmada","2,00000000000000000000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48" t="str">
        <f t="shared" ref="C48:C66" si="10">"PD260065553"</f>
        <v>PD260065553</v>
      </c>
      <c r="D48" s="3" t="str">
        <f>""</f>
        <v/>
      </c>
      <c r="E48" s="3" t="str">
        <f>""</f>
        <v/>
      </c>
      <c r="F48" s="3" t="str">
        <f>""</f>
        <v/>
      </c>
      <c r="G48" s="3" t="str">
        <f>""</f>
        <v/>
      </c>
      <c r="H48" s="3" t="str">
        <f>""</f>
        <v/>
      </c>
      <c r="I48" s="3" t="str">
        <f>""</f>
        <v/>
      </c>
      <c r="J48" s="3" t="str">
        <f>""</f>
        <v/>
      </c>
      <c r="K48" s="4" t="str">
        <f>""</f>
        <v/>
      </c>
      <c r="L48" s="3" t="str">
        <f>""</f>
        <v/>
      </c>
      <c r="M48" s="3" t="str">
        <f>""</f>
        <v/>
      </c>
      <c r="N48" s="3" t="str">
        <f>""</f>
        <v/>
      </c>
      <c r="O48" s="3" t="str">
        <f>""</f>
        <v/>
      </c>
      <c r="P48" s="3" t="str">
        <f>""</f>
        <v/>
      </c>
      <c r="Q48" s="3" t="str">
        <f>""</f>
        <v/>
      </c>
      <c r="R48" s="3" t="str">
        <f>""</f>
        <v/>
      </c>
      <c r="S48" s="3" t="str">
        <f>""</f>
        <v/>
      </c>
      <c r="T48" s="14" t="str">
        <f>""</f>
        <v/>
      </c>
      <c r="U48" s="14" t="str">
        <f>""</f>
        <v/>
      </c>
      <c r="V48" s="15">
        <v>231</v>
      </c>
      <c r="W48" s="15" t="str">
        <f>"10-21-000641"</f>
        <v>10-21-000641</v>
      </c>
      <c r="X48" s="15" t="str">
        <f>"SENSOR DE PRESIàN - T1"</f>
        <v>SENSOR DE PRESIàN - T1</v>
      </c>
      <c r="Y48" s="14">
        <v>2</v>
      </c>
      <c r="Z48" s="18" t="str">
        <f>""</f>
        <v/>
      </c>
      <c r="AA48" s="18">
        <v>0</v>
      </c>
      <c r="AB48" s="18" t="str">
        <f>""</f>
        <v/>
      </c>
      <c r="AC48" s="18" t="str">
        <f>""</f>
        <v/>
      </c>
      <c r="AD48" s="18" t="str">
        <f>""</f>
        <v/>
      </c>
      <c r="AE48" s="18" t="str">
        <f>""</f>
        <v/>
      </c>
      <c r="AF48" s="18" t="str">
        <f t="shared" si="8"/>
        <v/>
      </c>
      <c r="AG48" s="18" t="str">
        <f>""</f>
        <v/>
      </c>
      <c r="AH48" s="18" t="str">
        <f>""</f>
        <v/>
      </c>
      <c r="AI48" s="19" t="str">
        <f t="shared" si="9"/>
        <v/>
      </c>
      <c r="AJ48" t="str">
        <f>""</f>
        <v/>
      </c>
    </row>
    <row r="49" spans="1:36" x14ac:dyDescent="0.3">
      <c r="A49" t="s">
        <v>299</v>
      </c>
      <c r="B49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línea"",""350000"",""14=No_ producto cliente"",""10-21-000642"",""14=Descripción ampliada"",""SENSOR DE HUMEDAD - T0"",""10=Cantidad confirmada"",""2,00000000000000000000"",""2=numeroexpediciones"",""1"",""2=numeroalbarane"&amp;"s"",""1"",""10=manipulacion"",""47,72913600000000000000"",""10=embalaje"",""21,26000000000000000000"",""10=transporte"",""63,47414700000000000000"",""10=prima"",""0,00000000000000000000"",""10=reembolso"",""0,00000000000000000000"",""10=impuestos"",""0,00000000000000000000"",""10=ge"&amp;"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línea","350000","14=No_ producto cliente","10-21-000642","14=Descripción ampliada","SENSOR DE HUMEDAD - T0","10=Cantidad confirmada","2,00000000000000000000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49" t="str">
        <f t="shared" si="10"/>
        <v>PD260065553</v>
      </c>
      <c r="D49" s="3" t="str">
        <f>""</f>
        <v/>
      </c>
      <c r="E49" s="3" t="str">
        <f>""</f>
        <v/>
      </c>
      <c r="F49" s="3" t="str">
        <f>""</f>
        <v/>
      </c>
      <c r="G49" s="3" t="str">
        <f>""</f>
        <v/>
      </c>
      <c r="H49" s="3" t="str">
        <f>""</f>
        <v/>
      </c>
      <c r="I49" s="3" t="str">
        <f>""</f>
        <v/>
      </c>
      <c r="J49" s="3" t="str">
        <f>""</f>
        <v/>
      </c>
      <c r="K49" s="4" t="str">
        <f>""</f>
        <v/>
      </c>
      <c r="L49" s="3" t="str">
        <f>""</f>
        <v/>
      </c>
      <c r="M49" s="3" t="str">
        <f>""</f>
        <v/>
      </c>
      <c r="N49" s="3" t="str">
        <f>""</f>
        <v/>
      </c>
      <c r="O49" s="3" t="str">
        <f>""</f>
        <v/>
      </c>
      <c r="P49" s="3" t="str">
        <f>""</f>
        <v/>
      </c>
      <c r="Q49" s="3" t="str">
        <f>""</f>
        <v/>
      </c>
      <c r="R49" s="3" t="str">
        <f>""</f>
        <v/>
      </c>
      <c r="S49" s="3" t="str">
        <f>""</f>
        <v/>
      </c>
      <c r="T49" s="14" t="str">
        <f>""</f>
        <v/>
      </c>
      <c r="U49" s="14" t="str">
        <f>""</f>
        <v/>
      </c>
      <c r="V49" s="15">
        <v>231</v>
      </c>
      <c r="W49" s="15" t="str">
        <f>"10-21-000642"</f>
        <v>10-21-000642</v>
      </c>
      <c r="X49" s="15" t="str">
        <f>"SENSOR DE HUMEDAD - T0"</f>
        <v>SENSOR DE HUMEDAD - T0</v>
      </c>
      <c r="Y49" s="14">
        <v>2</v>
      </c>
      <c r="Z49" s="18" t="str">
        <f>""</f>
        <v/>
      </c>
      <c r="AA49" s="18">
        <v>0</v>
      </c>
      <c r="AB49" s="18" t="str">
        <f>""</f>
        <v/>
      </c>
      <c r="AC49" s="18" t="str">
        <f>""</f>
        <v/>
      </c>
      <c r="AD49" s="18" t="str">
        <f>""</f>
        <v/>
      </c>
      <c r="AE49" s="18" t="str">
        <f>""</f>
        <v/>
      </c>
      <c r="AF49" s="18" t="str">
        <f t="shared" si="8"/>
        <v/>
      </c>
      <c r="AG49" s="18" t="str">
        <f>""</f>
        <v/>
      </c>
      <c r="AH49" s="18" t="str">
        <f>""</f>
        <v/>
      </c>
      <c r="AI49" s="19" t="str">
        <f t="shared" si="9"/>
        <v/>
      </c>
      <c r="AJ49" t="str">
        <f>""</f>
        <v/>
      </c>
    </row>
    <row r="50" spans="1:36" x14ac:dyDescent="0.3">
      <c r="A50" t="s">
        <v>299</v>
      </c>
      <c r="B50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línea"",""360000"",""14=No_ producto cliente"",""10-21-000666"",""14=Descripción ampliada"",""CÁMARA DE SEGURIDAD - INDOOR LOCKER"",""10=Cantidad confirmada"",""6,00000000000000000000"",""2=numeroexpediciones"",""1"",""2=n"&amp;"umeroalbaranes"",""1"",""10=manipulacion"",""47,72913600000000000000"",""10=embalaje"",""21,26000000000000000000"",""10=transporte"",""63,47414700000000000000"",""10=prima"",""0,00000000000000000000"",""10=reembolso"",""0,00000000000000000000"",""10=impuestos"",""0,000000000000000"&amp;"00000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línea","360000","14=No_ producto cliente","10-21-000666","14=Descripción ampliada","CÁMARA DE SEGURIDAD - INDOOR LOCKER","10=Cantidad confirmada","6,00000000000000000000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50" t="str">
        <f t="shared" si="10"/>
        <v>PD260065553</v>
      </c>
      <c r="D50" s="3" t="str">
        <f>""</f>
        <v/>
      </c>
      <c r="E50" s="3" t="str">
        <f>""</f>
        <v/>
      </c>
      <c r="F50" s="3" t="str">
        <f>""</f>
        <v/>
      </c>
      <c r="G50" s="3" t="str">
        <f>""</f>
        <v/>
      </c>
      <c r="H50" s="3" t="str">
        <f>""</f>
        <v/>
      </c>
      <c r="I50" s="3" t="str">
        <f>""</f>
        <v/>
      </c>
      <c r="J50" s="3" t="str">
        <f>""</f>
        <v/>
      </c>
      <c r="K50" s="4" t="str">
        <f>""</f>
        <v/>
      </c>
      <c r="L50" s="3" t="str">
        <f>""</f>
        <v/>
      </c>
      <c r="M50" s="3" t="str">
        <f>""</f>
        <v/>
      </c>
      <c r="N50" s="3" t="str">
        <f>""</f>
        <v/>
      </c>
      <c r="O50" s="3" t="str">
        <f>""</f>
        <v/>
      </c>
      <c r="P50" s="3" t="str">
        <f>""</f>
        <v/>
      </c>
      <c r="Q50" s="3" t="str">
        <f>""</f>
        <v/>
      </c>
      <c r="R50" s="3" t="str">
        <f>""</f>
        <v/>
      </c>
      <c r="S50" s="3" t="str">
        <f>""</f>
        <v/>
      </c>
      <c r="T50" s="14" t="str">
        <f>""</f>
        <v/>
      </c>
      <c r="U50" s="14" t="str">
        <f>""</f>
        <v/>
      </c>
      <c r="V50" s="15">
        <v>231</v>
      </c>
      <c r="W50" s="15" t="str">
        <f>"10-21-000666"</f>
        <v>10-21-000666</v>
      </c>
      <c r="X50" s="15" t="str">
        <f>"CÁMARA DE SEGURIDAD - INDOOR LOCKER"</f>
        <v>CÁMARA DE SEGURIDAD - INDOOR LOCKER</v>
      </c>
      <c r="Y50" s="14">
        <v>6</v>
      </c>
      <c r="Z50" s="18" t="str">
        <f>""</f>
        <v/>
      </c>
      <c r="AA50" s="18">
        <v>0</v>
      </c>
      <c r="AB50" s="18" t="str">
        <f>""</f>
        <v/>
      </c>
      <c r="AC50" s="18" t="str">
        <f>""</f>
        <v/>
      </c>
      <c r="AD50" s="18" t="str">
        <f>""</f>
        <v/>
      </c>
      <c r="AE50" s="18" t="str">
        <f>""</f>
        <v/>
      </c>
      <c r="AF50" s="18" t="str">
        <f t="shared" si="8"/>
        <v/>
      </c>
      <c r="AG50" s="18" t="str">
        <f>""</f>
        <v/>
      </c>
      <c r="AH50" s="18" t="str">
        <f>""</f>
        <v/>
      </c>
      <c r="AI50" s="19" t="str">
        <f t="shared" si="9"/>
        <v/>
      </c>
      <c r="AJ50" t="str">
        <f>""</f>
        <v/>
      </c>
    </row>
    <row r="51" spans="1:36" x14ac:dyDescent="0.3">
      <c r="A51" t="s">
        <v>299</v>
      </c>
      <c r="B51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línea"",""370000"",""14=No_ producto cliente"",""10-21-000838"",""14=Descripción ampliada"",""CÁMARA DE SEGURIDAD - OUTDOOR LOCKER"",""10=Cantidad confirmada"",""2,00000000000000000000"",""2=numeroexpediciones"",""1"",""2="&amp;"numeroalbaranes"",""1"",""10=manipulacion"",""47,72913600000000000000"",""10=embalaje"",""21,26000000000000000000"",""10=transporte"",""63,47414700000000000000"",""10=prima"",""0,00000000000000000000"",""10=reembolso"",""0,00000000000000000000"",""10=impuestos"",""0,00000000000000"&amp;"000000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línea","370000","14=No_ producto cliente","10-21-000838","14=Descripción ampliada","CÁMARA DE SEGURIDAD - OUTDOOR LOCKER","10=Cantidad confirmada","2,00000000000000000000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51" t="str">
        <f t="shared" si="10"/>
        <v>PD260065553</v>
      </c>
      <c r="D51" s="3" t="str">
        <f>""</f>
        <v/>
      </c>
      <c r="E51" s="3" t="str">
        <f>""</f>
        <v/>
      </c>
      <c r="F51" s="3" t="str">
        <f>""</f>
        <v/>
      </c>
      <c r="G51" s="3" t="str">
        <f>""</f>
        <v/>
      </c>
      <c r="H51" s="3" t="str">
        <f>""</f>
        <v/>
      </c>
      <c r="I51" s="3" t="str">
        <f>""</f>
        <v/>
      </c>
      <c r="J51" s="3" t="str">
        <f>""</f>
        <v/>
      </c>
      <c r="K51" s="4" t="str">
        <f>""</f>
        <v/>
      </c>
      <c r="L51" s="3" t="str">
        <f>""</f>
        <v/>
      </c>
      <c r="M51" s="3" t="str">
        <f>""</f>
        <v/>
      </c>
      <c r="N51" s="3" t="str">
        <f>""</f>
        <v/>
      </c>
      <c r="O51" s="3" t="str">
        <f>""</f>
        <v/>
      </c>
      <c r="P51" s="3" t="str">
        <f>""</f>
        <v/>
      </c>
      <c r="Q51" s="3" t="str">
        <f>""</f>
        <v/>
      </c>
      <c r="R51" s="3" t="str">
        <f>""</f>
        <v/>
      </c>
      <c r="S51" s="3" t="str">
        <f>""</f>
        <v/>
      </c>
      <c r="T51" s="14" t="str">
        <f>""</f>
        <v/>
      </c>
      <c r="U51" s="14" t="str">
        <f>""</f>
        <v/>
      </c>
      <c r="V51" s="15">
        <v>231</v>
      </c>
      <c r="W51" s="15" t="str">
        <f>"10-21-000838"</f>
        <v>10-21-000838</v>
      </c>
      <c r="X51" s="15" t="str">
        <f>"CÁMARA DE SEGURIDAD - OUTDOOR LOCKER"</f>
        <v>CÁMARA DE SEGURIDAD - OUTDOOR LOCKER</v>
      </c>
      <c r="Y51" s="14">
        <v>2</v>
      </c>
      <c r="Z51" s="18" t="str">
        <f>""</f>
        <v/>
      </c>
      <c r="AA51" s="18">
        <v>0</v>
      </c>
      <c r="AB51" s="18" t="str">
        <f>""</f>
        <v/>
      </c>
      <c r="AC51" s="18" t="str">
        <f>""</f>
        <v/>
      </c>
      <c r="AD51" s="18" t="str">
        <f>""</f>
        <v/>
      </c>
      <c r="AE51" s="18" t="str">
        <f>""</f>
        <v/>
      </c>
      <c r="AF51" s="18" t="str">
        <f t="shared" si="8"/>
        <v/>
      </c>
      <c r="AG51" s="18" t="str">
        <f>""</f>
        <v/>
      </c>
      <c r="AH51" s="18" t="str">
        <f>""</f>
        <v/>
      </c>
      <c r="AI51" s="19" t="str">
        <f t="shared" si="9"/>
        <v/>
      </c>
      <c r="AJ51" t="str">
        <f>""</f>
        <v/>
      </c>
    </row>
    <row r="52" spans="1:36" x14ac:dyDescent="0.3">
      <c r="A52" t="s">
        <v>299</v>
      </c>
      <c r="B52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línea"",""380000"",""14=No_ producto cliente"",""10-21-000680"",""14=Descripción ampliada"",""VIDEO GRABADOR"",""10=Cantidad confirmada"",""2,00000000000000000000"",""2=numeroexpediciones"",""1"",""2=numeroalbaranes"",""1"","""&amp;"10=manipulacion"",""47,72913600000000000000"",""10=embalaje"",""21,26000000000000000000"",""10=transporte"",""63,47414700000000000000"",""10=prima"",""0,00000000000000000000"",""10=reembolso"",""0,00000000000000000000"",""10=impuestos"",""0,00000000000000000000"",""10=gestion"","""&amp;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línea","380000","14=No_ producto cliente","10-21-000680","14=Descripción ampliada","VIDEO GRABADOR","10=Cantidad confirmada","2,00000000000000000000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52" t="str">
        <f t="shared" si="10"/>
        <v>PD260065553</v>
      </c>
      <c r="D52" s="3" t="str">
        <f>""</f>
        <v/>
      </c>
      <c r="E52" s="3" t="str">
        <f>""</f>
        <v/>
      </c>
      <c r="F52" s="3" t="str">
        <f>""</f>
        <v/>
      </c>
      <c r="G52" s="3" t="str">
        <f>""</f>
        <v/>
      </c>
      <c r="H52" s="3" t="str">
        <f>""</f>
        <v/>
      </c>
      <c r="I52" s="3" t="str">
        <f>""</f>
        <v/>
      </c>
      <c r="J52" s="3" t="str">
        <f>""</f>
        <v/>
      </c>
      <c r="K52" s="4" t="str">
        <f>""</f>
        <v/>
      </c>
      <c r="L52" s="3" t="str">
        <f>""</f>
        <v/>
      </c>
      <c r="M52" s="3" t="str">
        <f>""</f>
        <v/>
      </c>
      <c r="N52" s="3" t="str">
        <f>""</f>
        <v/>
      </c>
      <c r="O52" s="3" t="str">
        <f>""</f>
        <v/>
      </c>
      <c r="P52" s="3" t="str">
        <f>""</f>
        <v/>
      </c>
      <c r="Q52" s="3" t="str">
        <f>""</f>
        <v/>
      </c>
      <c r="R52" s="3" t="str">
        <f>""</f>
        <v/>
      </c>
      <c r="S52" s="3" t="str">
        <f>""</f>
        <v/>
      </c>
      <c r="T52" s="14" t="str">
        <f>""</f>
        <v/>
      </c>
      <c r="U52" s="14" t="str">
        <f>""</f>
        <v/>
      </c>
      <c r="V52" s="15">
        <v>231</v>
      </c>
      <c r="W52" s="15" t="str">
        <f>"10-21-000680"</f>
        <v>10-21-000680</v>
      </c>
      <c r="X52" s="15" t="str">
        <f>"VIDEO GRABADOR"</f>
        <v>VIDEO GRABADOR</v>
      </c>
      <c r="Y52" s="14">
        <v>2</v>
      </c>
      <c r="Z52" s="18" t="str">
        <f>""</f>
        <v/>
      </c>
      <c r="AA52" s="18">
        <v>0</v>
      </c>
      <c r="AB52" s="18" t="str">
        <f>""</f>
        <v/>
      </c>
      <c r="AC52" s="18" t="str">
        <f>""</f>
        <v/>
      </c>
      <c r="AD52" s="18" t="str">
        <f>""</f>
        <v/>
      </c>
      <c r="AE52" s="18" t="str">
        <f>""</f>
        <v/>
      </c>
      <c r="AF52" s="18" t="str">
        <f t="shared" si="8"/>
        <v/>
      </c>
      <c r="AG52" s="18" t="str">
        <f>""</f>
        <v/>
      </c>
      <c r="AH52" s="18" t="str">
        <f>""</f>
        <v/>
      </c>
      <c r="AI52" s="19" t="str">
        <f t="shared" si="9"/>
        <v/>
      </c>
      <c r="AJ52" t="str">
        <f>""</f>
        <v/>
      </c>
    </row>
    <row r="53" spans="1:36" x14ac:dyDescent="0.3">
      <c r="A53" t="s">
        <v>299</v>
      </c>
      <c r="B53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línea"",""390000"",""14=No_ producto cliente"",""10-21-000944"",""14=Descripción ampliada"",""ESCANER NEWLAND"",""10=Cantidad confirmada"",""6,00000000000000000000"",""2=numeroexpediciones"",""1"",""2=numeroalbaranes"",""1"","&amp;"""10=manipulacion"",""47,72913600000000000000"",""10=embalaje"",""21,26000000000000000000"",""10=transporte"",""63,47414700000000000000"",""10=prima"",""0,00000000000000000000"",""10=reembolso"",""0,00000000000000000000"",""10=impuestos"",""0,00000000000000000000"",""10=gestion"","&amp;"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línea","390000","14=No_ producto cliente","10-21-000944","14=Descripción ampliada","ESCANER NEWLAND","10=Cantidad confirmada","6,00000000000000000000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53" t="str">
        <f t="shared" si="10"/>
        <v>PD260065553</v>
      </c>
      <c r="D53" s="3" t="str">
        <f>""</f>
        <v/>
      </c>
      <c r="E53" s="3" t="str">
        <f>""</f>
        <v/>
      </c>
      <c r="F53" s="3" t="str">
        <f>""</f>
        <v/>
      </c>
      <c r="G53" s="3" t="str">
        <f>""</f>
        <v/>
      </c>
      <c r="H53" s="3" t="str">
        <f>""</f>
        <v/>
      </c>
      <c r="I53" s="3" t="str">
        <f>""</f>
        <v/>
      </c>
      <c r="J53" s="3" t="str">
        <f>""</f>
        <v/>
      </c>
      <c r="K53" s="4" t="str">
        <f>""</f>
        <v/>
      </c>
      <c r="L53" s="3" t="str">
        <f>""</f>
        <v/>
      </c>
      <c r="M53" s="3" t="str">
        <f>""</f>
        <v/>
      </c>
      <c r="N53" s="3" t="str">
        <f>""</f>
        <v/>
      </c>
      <c r="O53" s="3" t="str">
        <f>""</f>
        <v/>
      </c>
      <c r="P53" s="3" t="str">
        <f>""</f>
        <v/>
      </c>
      <c r="Q53" s="3" t="str">
        <f>""</f>
        <v/>
      </c>
      <c r="R53" s="3" t="str">
        <f>""</f>
        <v/>
      </c>
      <c r="S53" s="3" t="str">
        <f>""</f>
        <v/>
      </c>
      <c r="T53" s="14" t="str">
        <f>""</f>
        <v/>
      </c>
      <c r="U53" s="14" t="str">
        <f>""</f>
        <v/>
      </c>
      <c r="V53" s="15">
        <v>231</v>
      </c>
      <c r="W53" s="15" t="str">
        <f>"10-21-000944"</f>
        <v>10-21-000944</v>
      </c>
      <c r="X53" s="15" t="str">
        <f>"ESCANER NEWLAND"</f>
        <v>ESCANER NEWLAND</v>
      </c>
      <c r="Y53" s="14">
        <v>6</v>
      </c>
      <c r="Z53" s="18" t="str">
        <f>""</f>
        <v/>
      </c>
      <c r="AA53" s="18">
        <v>0</v>
      </c>
      <c r="AB53" s="18" t="str">
        <f>""</f>
        <v/>
      </c>
      <c r="AC53" s="18" t="str">
        <f>""</f>
        <v/>
      </c>
      <c r="AD53" s="18" t="str">
        <f>""</f>
        <v/>
      </c>
      <c r="AE53" s="18" t="str">
        <f>""</f>
        <v/>
      </c>
      <c r="AF53" s="18" t="str">
        <f t="shared" si="8"/>
        <v/>
      </c>
      <c r="AG53" s="18" t="str">
        <f>""</f>
        <v/>
      </c>
      <c r="AH53" s="18" t="str">
        <f>""</f>
        <v/>
      </c>
      <c r="AI53" s="19" t="str">
        <f t="shared" si="9"/>
        <v/>
      </c>
      <c r="AJ53" t="str">
        <f>""</f>
        <v/>
      </c>
    </row>
    <row r="54" spans="1:36" x14ac:dyDescent="0.3">
      <c r="A54" t="s">
        <v>299</v>
      </c>
      <c r="B54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línea"",""400000"",""14=No_ producto cliente"",""10-51-000600"",""14=Descripción ampliada"",""CABLE CONVERTIDOR ESCANER"",""10=Cantidad confirmada"",""12,00000000000000000000"",""2=numeroexpediciones"",""1"",""2=numeroalba"&amp;"ranes"",""1"",""10=manipulacion"",""47,72913600000000000000"",""10=embalaje"",""21,26000000000000000000"",""10=transporte"",""63,47414700000000000000"",""10=prima"",""0,00000000000000000000"",""10=reembolso"",""0,00000000000000000000"",""10=impuestos"",""0,00000000000000000000"",""1"&amp;"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línea","400000","14=No_ producto cliente","10-51-000600","14=Descripción ampliada","CABLE CONVERTIDOR ESCANER","10=Cantidad confirmada","12,00000000000000000000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54" t="str">
        <f t="shared" si="10"/>
        <v>PD260065553</v>
      </c>
      <c r="D54" s="3" t="str">
        <f>""</f>
        <v/>
      </c>
      <c r="E54" s="3" t="str">
        <f>""</f>
        <v/>
      </c>
      <c r="F54" s="3" t="str">
        <f>""</f>
        <v/>
      </c>
      <c r="G54" s="3" t="str">
        <f>""</f>
        <v/>
      </c>
      <c r="H54" s="3" t="str">
        <f>""</f>
        <v/>
      </c>
      <c r="I54" s="3" t="str">
        <f>""</f>
        <v/>
      </c>
      <c r="J54" s="3" t="str">
        <f>""</f>
        <v/>
      </c>
      <c r="K54" s="4" t="str">
        <f>""</f>
        <v/>
      </c>
      <c r="L54" s="3" t="str">
        <f>""</f>
        <v/>
      </c>
      <c r="M54" s="3" t="str">
        <f>""</f>
        <v/>
      </c>
      <c r="N54" s="3" t="str">
        <f>""</f>
        <v/>
      </c>
      <c r="O54" s="3" t="str">
        <f>""</f>
        <v/>
      </c>
      <c r="P54" s="3" t="str">
        <f>""</f>
        <v/>
      </c>
      <c r="Q54" s="3" t="str">
        <f>""</f>
        <v/>
      </c>
      <c r="R54" s="3" t="str">
        <f>""</f>
        <v/>
      </c>
      <c r="S54" s="3" t="str">
        <f>""</f>
        <v/>
      </c>
      <c r="T54" s="14" t="str">
        <f>""</f>
        <v/>
      </c>
      <c r="U54" s="14" t="str">
        <f>""</f>
        <v/>
      </c>
      <c r="V54" s="15">
        <v>231</v>
      </c>
      <c r="W54" s="15" t="str">
        <f>"10-51-000600"</f>
        <v>10-51-000600</v>
      </c>
      <c r="X54" s="15" t="str">
        <f>"CABLE CONVERTIDOR ESCANER"</f>
        <v>CABLE CONVERTIDOR ESCANER</v>
      </c>
      <c r="Y54" s="14">
        <v>12</v>
      </c>
      <c r="Z54" s="18" t="str">
        <f>""</f>
        <v/>
      </c>
      <c r="AA54" s="18">
        <v>0</v>
      </c>
      <c r="AB54" s="18" t="str">
        <f>""</f>
        <v/>
      </c>
      <c r="AC54" s="18" t="str">
        <f>""</f>
        <v/>
      </c>
      <c r="AD54" s="18" t="str">
        <f>""</f>
        <v/>
      </c>
      <c r="AE54" s="18" t="str">
        <f>""</f>
        <v/>
      </c>
      <c r="AF54" s="18" t="str">
        <f t="shared" si="8"/>
        <v/>
      </c>
      <c r="AG54" s="18" t="str">
        <f>""</f>
        <v/>
      </c>
      <c r="AH54" s="18" t="str">
        <f>""</f>
        <v/>
      </c>
      <c r="AI54" s="19" t="str">
        <f t="shared" si="9"/>
        <v/>
      </c>
      <c r="AJ54" t="str">
        <f>""</f>
        <v/>
      </c>
    </row>
    <row r="55" spans="1:36" x14ac:dyDescent="0.3">
      <c r="A55" t="s">
        <v>299</v>
      </c>
      <c r="B55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línea"",""410000"",""14=No_ producto cliente"",""KIT-IR TOUCH"",""14=Descripción ampliada"",""KIT (IR TOUCH + SELLANTES X2 + USB IR)"",""10=Cantidad confirmada"",""2,00000000000000000000"",""2=numeroexpediciones"",""1"","""&amp;"2=numeroalbaranes"",""1"",""10=manipulacion"",""47,72913600000000000000"",""10=embalaje"",""21,26000000000000000000"",""10=transporte"",""63,47414700000000000000"",""10=prima"",""0,00000000000000000000"",""10=reembolso"",""0,00000000000000000000"",""10=impuestos"",""0,000000000000"&amp;"00000000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línea","410000","14=No_ producto cliente","KIT-IR TOUCH","14=Descripción ampliada","KIT (IR TOUCH + SELLANTES X2 + USB IR)","10=Cantidad confirmada","2,00000000000000000000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55" t="str">
        <f t="shared" si="10"/>
        <v>PD260065553</v>
      </c>
      <c r="D55" s="3" t="str">
        <f>""</f>
        <v/>
      </c>
      <c r="E55" s="3" t="str">
        <f>""</f>
        <v/>
      </c>
      <c r="F55" s="3" t="str">
        <f>""</f>
        <v/>
      </c>
      <c r="G55" s="3" t="str">
        <f>""</f>
        <v/>
      </c>
      <c r="H55" s="3" t="str">
        <f>""</f>
        <v/>
      </c>
      <c r="I55" s="3" t="str">
        <f>""</f>
        <v/>
      </c>
      <c r="J55" s="3" t="str">
        <f>""</f>
        <v/>
      </c>
      <c r="K55" s="4" t="str">
        <f>""</f>
        <v/>
      </c>
      <c r="L55" s="3" t="str">
        <f>""</f>
        <v/>
      </c>
      <c r="M55" s="3" t="str">
        <f>""</f>
        <v/>
      </c>
      <c r="N55" s="3" t="str">
        <f>""</f>
        <v/>
      </c>
      <c r="O55" s="3" t="str">
        <f>""</f>
        <v/>
      </c>
      <c r="P55" s="3" t="str">
        <f>""</f>
        <v/>
      </c>
      <c r="Q55" s="3" t="str">
        <f>""</f>
        <v/>
      </c>
      <c r="R55" s="3" t="str">
        <f>""</f>
        <v/>
      </c>
      <c r="S55" s="3" t="str">
        <f>""</f>
        <v/>
      </c>
      <c r="T55" s="14" t="str">
        <f>""</f>
        <v/>
      </c>
      <c r="U55" s="14" t="str">
        <f>""</f>
        <v/>
      </c>
      <c r="V55" s="15">
        <v>231</v>
      </c>
      <c r="W55" s="15" t="str">
        <f>"KIT-IR TOUCH"</f>
        <v>KIT-IR TOUCH</v>
      </c>
      <c r="X55" s="15" t="str">
        <f>"KIT (IR TOUCH + SELLANTES X2 + USB IR)"</f>
        <v>KIT (IR TOUCH + SELLANTES X2 + USB IR)</v>
      </c>
      <c r="Y55" s="14">
        <v>2</v>
      </c>
      <c r="Z55" s="18" t="str">
        <f>""</f>
        <v/>
      </c>
      <c r="AA55" s="18">
        <v>0</v>
      </c>
      <c r="AB55" s="18" t="str">
        <f>""</f>
        <v/>
      </c>
      <c r="AC55" s="18" t="str">
        <f>""</f>
        <v/>
      </c>
      <c r="AD55" s="18" t="str">
        <f>""</f>
        <v/>
      </c>
      <c r="AE55" s="18" t="str">
        <f>""</f>
        <v/>
      </c>
      <c r="AF55" s="18" t="str">
        <f t="shared" si="8"/>
        <v/>
      </c>
      <c r="AG55" s="18" t="str">
        <f>""</f>
        <v/>
      </c>
      <c r="AH55" s="18" t="str">
        <f>""</f>
        <v/>
      </c>
      <c r="AI55" s="19" t="str">
        <f t="shared" si="9"/>
        <v/>
      </c>
      <c r="AJ55" t="str">
        <f>""</f>
        <v/>
      </c>
    </row>
    <row r="56" spans="1:36" x14ac:dyDescent="0.3">
      <c r="A56" t="s">
        <v>299</v>
      </c>
      <c r="B56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línea"",""420000"",""14=No_ producto cliente"",""KIT CAPACITIVO"",""14=Descripción ampliada"",""MONITOR CAPACITIVO + USB + CONECTOR (1095) + SELLANTE + SENSOR"",""10=Cantidad confirmada"",""2,00000000000000000000"",""2"&amp;"=numeroexpediciones"",""1"",""2=numeroalbaranes"",""1"",""10=manipulacion"",""47,72913600000000000000"",""10=embalaje"",""21,26000000000000000000"",""10=transporte"",""63,47414700000000000000"",""10=prima"",""0,00000000000000000000"",""10=reembolso"",""0,00000000000000000000"",""10="&amp;"impuestos"",""0,00000000000000000000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línea","420000","14=No_ producto cliente","KIT CAPACITIVO","14=Descripción ampliada","MONITOR CAPACITIVO + USB + CONECTOR (1095) + SELLANTE + SENSOR","10=Cantidad confirmada","2,00000000000000000000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56" t="str">
        <f t="shared" si="10"/>
        <v>PD260065553</v>
      </c>
      <c r="D56" s="3" t="str">
        <f>""</f>
        <v/>
      </c>
      <c r="E56" s="3" t="str">
        <f>""</f>
        <v/>
      </c>
      <c r="F56" s="3" t="str">
        <f>""</f>
        <v/>
      </c>
      <c r="G56" s="3" t="str">
        <f>""</f>
        <v/>
      </c>
      <c r="H56" s="3" t="str">
        <f>""</f>
        <v/>
      </c>
      <c r="I56" s="3" t="str">
        <f>""</f>
        <v/>
      </c>
      <c r="J56" s="3" t="str">
        <f>""</f>
        <v/>
      </c>
      <c r="K56" s="4" t="str">
        <f>""</f>
        <v/>
      </c>
      <c r="L56" s="3" t="str">
        <f>""</f>
        <v/>
      </c>
      <c r="M56" s="3" t="str">
        <f>""</f>
        <v/>
      </c>
      <c r="N56" s="3" t="str">
        <f>""</f>
        <v/>
      </c>
      <c r="O56" s="3" t="str">
        <f>""</f>
        <v/>
      </c>
      <c r="P56" s="3" t="str">
        <f>""</f>
        <v/>
      </c>
      <c r="Q56" s="3" t="str">
        <f>""</f>
        <v/>
      </c>
      <c r="R56" s="3" t="str">
        <f>""</f>
        <v/>
      </c>
      <c r="S56" s="3" t="str">
        <f>""</f>
        <v/>
      </c>
      <c r="T56" s="14" t="str">
        <f>""</f>
        <v/>
      </c>
      <c r="U56" s="14" t="str">
        <f>""</f>
        <v/>
      </c>
      <c r="V56" s="15">
        <v>231</v>
      </c>
      <c r="W56" s="15" t="str">
        <f>"KIT CAPACITIVO"</f>
        <v>KIT CAPACITIVO</v>
      </c>
      <c r="X56" s="15" t="str">
        <f>"MONITOR CAPACITIVO + USB + CONECTOR (1095) + SELLANTE + SENSOR"</f>
        <v>MONITOR CAPACITIVO + USB + CONECTOR (1095) + SELLANTE + SENSOR</v>
      </c>
      <c r="Y56" s="14">
        <v>2</v>
      </c>
      <c r="Z56" s="18" t="str">
        <f>""</f>
        <v/>
      </c>
      <c r="AA56" s="18">
        <v>0</v>
      </c>
      <c r="AB56" s="18" t="str">
        <f>""</f>
        <v/>
      </c>
      <c r="AC56" s="18" t="str">
        <f>""</f>
        <v/>
      </c>
      <c r="AD56" s="18" t="str">
        <f>""</f>
        <v/>
      </c>
      <c r="AE56" s="18" t="str">
        <f>""</f>
        <v/>
      </c>
      <c r="AF56" s="18" t="str">
        <f t="shared" si="8"/>
        <v/>
      </c>
      <c r="AG56" s="18" t="str">
        <f>""</f>
        <v/>
      </c>
      <c r="AH56" s="18" t="str">
        <f>""</f>
        <v/>
      </c>
      <c r="AI56" s="19" t="str">
        <f t="shared" si="9"/>
        <v/>
      </c>
      <c r="AJ56" t="str">
        <f>""</f>
        <v/>
      </c>
    </row>
    <row r="57" spans="1:36" x14ac:dyDescent="0.3">
      <c r="A57" t="s">
        <v>299</v>
      </c>
      <c r="B57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línea"",""430000"",""14=No_ producto cliente"",""10-14-000010"",""14=Descripción ampliada"",""SELLANTE (SEAL FOR IR 12' 0000505326 DSPPCCP)"",""10=Cantidad confirmada"",""5,00000000000000000000"",""2=numeroexpediciones"&amp;""",""1"",""2=numeroalbaranes"",""1"",""10=manipulacion"",""47,72913600000000000000"",""10=embalaje"",""21,26000000000000000000"",""10=transporte"",""63,47414700000000000000"",""10=prima"",""0,00000000000000000000"",""10=reembolso"",""0,00000000000000000000"",""10=impuestos"",""0,00000"&amp;"000000000000000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línea","430000","14=No_ producto cliente","10-14-000010","14=Descripción ampliada","SELLANTE (SEAL FOR IR 12' 0000505326 DSPPCCP)","10=Cantidad confirmada","5,00000000000000000000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57" t="str">
        <f t="shared" si="10"/>
        <v>PD260065553</v>
      </c>
      <c r="D57" s="3" t="str">
        <f>""</f>
        <v/>
      </c>
      <c r="E57" s="3" t="str">
        <f>""</f>
        <v/>
      </c>
      <c r="F57" s="3" t="str">
        <f>""</f>
        <v/>
      </c>
      <c r="G57" s="3" t="str">
        <f>""</f>
        <v/>
      </c>
      <c r="H57" s="3" t="str">
        <f>""</f>
        <v/>
      </c>
      <c r="I57" s="3" t="str">
        <f>""</f>
        <v/>
      </c>
      <c r="J57" s="3" t="str">
        <f>""</f>
        <v/>
      </c>
      <c r="K57" s="4" t="str">
        <f>""</f>
        <v/>
      </c>
      <c r="L57" s="3" t="str">
        <f>""</f>
        <v/>
      </c>
      <c r="M57" s="3" t="str">
        <f>""</f>
        <v/>
      </c>
      <c r="N57" s="3" t="str">
        <f>""</f>
        <v/>
      </c>
      <c r="O57" s="3" t="str">
        <f>""</f>
        <v/>
      </c>
      <c r="P57" s="3" t="str">
        <f>""</f>
        <v/>
      </c>
      <c r="Q57" s="3" t="str">
        <f>""</f>
        <v/>
      </c>
      <c r="R57" s="3" t="str">
        <f>""</f>
        <v/>
      </c>
      <c r="S57" s="3" t="str">
        <f>""</f>
        <v/>
      </c>
      <c r="T57" s="14" t="str">
        <f>""</f>
        <v/>
      </c>
      <c r="U57" s="14" t="str">
        <f>""</f>
        <v/>
      </c>
      <c r="V57" s="15">
        <v>231</v>
      </c>
      <c r="W57" s="15" t="str">
        <f>"10-14-000010"</f>
        <v>10-14-000010</v>
      </c>
      <c r="X57" s="15" t="str">
        <f>"SELLANTE (SEAL FOR IR 12' 0000505326 DSPPCCP)"</f>
        <v>SELLANTE (SEAL FOR IR 12' 0000505326 DSPPCCP)</v>
      </c>
      <c r="Y57" s="14">
        <v>5</v>
      </c>
      <c r="Z57" s="18" t="str">
        <f>""</f>
        <v/>
      </c>
      <c r="AA57" s="18">
        <v>0</v>
      </c>
      <c r="AB57" s="18" t="str">
        <f>""</f>
        <v/>
      </c>
      <c r="AC57" s="18" t="str">
        <f>""</f>
        <v/>
      </c>
      <c r="AD57" s="18" t="str">
        <f>""</f>
        <v/>
      </c>
      <c r="AE57" s="18" t="str">
        <f>""</f>
        <v/>
      </c>
      <c r="AF57" s="18" t="str">
        <f t="shared" si="8"/>
        <v/>
      </c>
      <c r="AG57" s="18" t="str">
        <f>""</f>
        <v/>
      </c>
      <c r="AH57" s="18" t="str">
        <f>""</f>
        <v/>
      </c>
      <c r="AI57" s="19" t="str">
        <f t="shared" si="9"/>
        <v/>
      </c>
      <c r="AJ57" t="str">
        <f>""</f>
        <v/>
      </c>
    </row>
    <row r="58" spans="1:36" x14ac:dyDescent="0.3">
      <c r="A58" t="s">
        <v>299</v>
      </c>
      <c r="B58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línea"",""440000"",""14=No_ producto cliente"",""KIT-PC-USB"",""14=Descripción ampliada"",""KIT PC COMPACTO Y HDMI PC"",""10=Cantidad confirmada"",""1,00000000000000000000"",""2=numeroexpediciones"",""1"",""2=numeroalbaran"&amp;"es"",""1"",""10=manipulacion"",""47,72913600000000000000"",""10=embalaje"",""21,26000000000000000000"",""10=transporte"",""63,47414700000000000000"",""10=prima"",""0,00000000000000000000"",""10=reembolso"",""0,00000000000000000000"",""10=impuestos"",""0,00000000000000000000"",""10=g"&amp;"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línea","440000","14=No_ producto cliente","KIT-PC-USB","14=Descripción ampliada","KIT PC COMPACTO Y HDMI PC","10=Cantidad confirmada","1,00000000000000000000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58" t="str">
        <f t="shared" si="10"/>
        <v>PD260065553</v>
      </c>
      <c r="D58" s="3" t="str">
        <f>""</f>
        <v/>
      </c>
      <c r="E58" s="3" t="str">
        <f>""</f>
        <v/>
      </c>
      <c r="F58" s="3" t="str">
        <f>""</f>
        <v/>
      </c>
      <c r="G58" s="3" t="str">
        <f>""</f>
        <v/>
      </c>
      <c r="H58" s="3" t="str">
        <f>""</f>
        <v/>
      </c>
      <c r="I58" s="3" t="str">
        <f>""</f>
        <v/>
      </c>
      <c r="J58" s="3" t="str">
        <f>""</f>
        <v/>
      </c>
      <c r="K58" s="4" t="str">
        <f>""</f>
        <v/>
      </c>
      <c r="L58" s="3" t="str">
        <f>""</f>
        <v/>
      </c>
      <c r="M58" s="3" t="str">
        <f>""</f>
        <v/>
      </c>
      <c r="N58" s="3" t="str">
        <f>""</f>
        <v/>
      </c>
      <c r="O58" s="3" t="str">
        <f>""</f>
        <v/>
      </c>
      <c r="P58" s="3" t="str">
        <f>""</f>
        <v/>
      </c>
      <c r="Q58" s="3" t="str">
        <f>""</f>
        <v/>
      </c>
      <c r="R58" s="3" t="str">
        <f>""</f>
        <v/>
      </c>
      <c r="S58" s="3" t="str">
        <f>""</f>
        <v/>
      </c>
      <c r="T58" s="14" t="str">
        <f>""</f>
        <v/>
      </c>
      <c r="U58" s="14" t="str">
        <f>""</f>
        <v/>
      </c>
      <c r="V58" s="15">
        <v>231</v>
      </c>
      <c r="W58" s="15" t="str">
        <f>"KIT-PC-USB"</f>
        <v>KIT-PC-USB</v>
      </c>
      <c r="X58" s="15" t="str">
        <f>"KIT PC COMPACTO Y HDMI PC"</f>
        <v>KIT PC COMPACTO Y HDMI PC</v>
      </c>
      <c r="Y58" s="14">
        <v>1</v>
      </c>
      <c r="Z58" s="18" t="str">
        <f>""</f>
        <v/>
      </c>
      <c r="AA58" s="18">
        <v>0</v>
      </c>
      <c r="AB58" s="18" t="str">
        <f>""</f>
        <v/>
      </c>
      <c r="AC58" s="18" t="str">
        <f>""</f>
        <v/>
      </c>
      <c r="AD58" s="18" t="str">
        <f>""</f>
        <v/>
      </c>
      <c r="AE58" s="18" t="str">
        <f>""</f>
        <v/>
      </c>
      <c r="AF58" s="18" t="str">
        <f t="shared" si="8"/>
        <v/>
      </c>
      <c r="AG58" s="18" t="str">
        <f>""</f>
        <v/>
      </c>
      <c r="AH58" s="18" t="str">
        <f>""</f>
        <v/>
      </c>
      <c r="AI58" s="19" t="str">
        <f t="shared" si="9"/>
        <v/>
      </c>
      <c r="AJ58" t="str">
        <f>""</f>
        <v/>
      </c>
    </row>
    <row r="59" spans="1:36" x14ac:dyDescent="0.3">
      <c r="A59" t="s">
        <v>299</v>
      </c>
      <c r="B59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línea"",""450000"",""14=No_ producto cliente"",""10-11-001202"",""14=Descripción ampliada"",""EMERGENCY KEY TO THE XS MODULE( COMPARTMENT)"",""10=Cantidad confirmada"",""1,00000000000000000000"",""2=numeroexpediciones"""&amp;",""1"",""2=numeroalbaranes"",""1"",""10=manipulacion"",""47,72913600000000000000"",""10=embalaje"",""21,26000000000000000000"",""10=transporte"",""63,47414700000000000000"",""10=prima"",""0,00000000000000000000"",""10=reembolso"",""0,00000000000000000000"",""10=impuestos"",""0,000000"&amp;"00000000000000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línea","450000","14=No_ producto cliente","10-11-001202","14=Descripción ampliada","EMERGENCY KEY TO THE XS MODULE( COMPARTMENT)","10=Cantidad confirmada","1,00000000000000000000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59" t="str">
        <f t="shared" si="10"/>
        <v>PD260065553</v>
      </c>
      <c r="D59" s="3" t="str">
        <f>""</f>
        <v/>
      </c>
      <c r="E59" s="3" t="str">
        <f>""</f>
        <v/>
      </c>
      <c r="F59" s="3" t="str">
        <f>""</f>
        <v/>
      </c>
      <c r="G59" s="3" t="str">
        <f>""</f>
        <v/>
      </c>
      <c r="H59" s="3" t="str">
        <f>""</f>
        <v/>
      </c>
      <c r="I59" s="3" t="str">
        <f>""</f>
        <v/>
      </c>
      <c r="J59" s="3" t="str">
        <f>""</f>
        <v/>
      </c>
      <c r="K59" s="4" t="str">
        <f>""</f>
        <v/>
      </c>
      <c r="L59" s="3" t="str">
        <f>""</f>
        <v/>
      </c>
      <c r="M59" s="3" t="str">
        <f>""</f>
        <v/>
      </c>
      <c r="N59" s="3" t="str">
        <f>""</f>
        <v/>
      </c>
      <c r="O59" s="3" t="str">
        <f>""</f>
        <v/>
      </c>
      <c r="P59" s="3" t="str">
        <f>""</f>
        <v/>
      </c>
      <c r="Q59" s="3" t="str">
        <f>""</f>
        <v/>
      </c>
      <c r="R59" s="3" t="str">
        <f>""</f>
        <v/>
      </c>
      <c r="S59" s="3" t="str">
        <f>""</f>
        <v/>
      </c>
      <c r="T59" s="14" t="str">
        <f>""</f>
        <v/>
      </c>
      <c r="U59" s="14" t="str">
        <f>""</f>
        <v/>
      </c>
      <c r="V59" s="15">
        <v>231</v>
      </c>
      <c r="W59" s="15" t="str">
        <f>"10-11-001202"</f>
        <v>10-11-001202</v>
      </c>
      <c r="X59" s="15" t="str">
        <f>"EMERGENCY KEY TO THE XS MODULE( COMPARTMENT)"</f>
        <v>EMERGENCY KEY TO THE XS MODULE( COMPARTMENT)</v>
      </c>
      <c r="Y59" s="14">
        <v>1</v>
      </c>
      <c r="Z59" s="18" t="str">
        <f>""</f>
        <v/>
      </c>
      <c r="AA59" s="18">
        <v>0</v>
      </c>
      <c r="AB59" s="18" t="str">
        <f>""</f>
        <v/>
      </c>
      <c r="AC59" s="18" t="str">
        <f>""</f>
        <v/>
      </c>
      <c r="AD59" s="18" t="str">
        <f>""</f>
        <v/>
      </c>
      <c r="AE59" s="18" t="str">
        <f>""</f>
        <v/>
      </c>
      <c r="AF59" s="18" t="str">
        <f t="shared" si="8"/>
        <v/>
      </c>
      <c r="AG59" s="18" t="str">
        <f>""</f>
        <v/>
      </c>
      <c r="AH59" s="18" t="str">
        <f>""</f>
        <v/>
      </c>
      <c r="AI59" s="19" t="str">
        <f t="shared" si="9"/>
        <v/>
      </c>
      <c r="AJ59" t="str">
        <f>""</f>
        <v/>
      </c>
    </row>
    <row r="60" spans="1:36" x14ac:dyDescent="0.3">
      <c r="A60" t="s">
        <v>299</v>
      </c>
      <c r="B60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línea"",""460000"",""14=No_ producto cliente"",""10-12-000033"",""14=Descripción ampliada"",""EMERGENCY ROD- METAL ROOF S235JR ( INDOOR COMPARTMENT)"",""10=Cantidad confirmada"",""1,00000000000000000000"",""2=numeroexp"&amp;"ediciones"",""1"",""2=numeroalbaranes"",""1"",""10=manipulacion"",""47,72913600000000000000"",""10=embalaje"",""21,26000000000000000000"",""10=transporte"",""63,47414700000000000000"",""10=prima"",""0,00000000000000000000"",""10=reembolso"",""0,00000000000000000000"",""10=impuestos"""&amp;",""0,00000000000000000000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línea","460000","14=No_ producto cliente","10-12-000033","14=Descripción ampliada","EMERGENCY ROD- METAL ROOF S235JR ( INDOOR COMPARTMENT)","10=Cantidad confirmada","1,00000000000000000000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60" t="str">
        <f t="shared" si="10"/>
        <v>PD260065553</v>
      </c>
      <c r="D60" s="3" t="str">
        <f>""</f>
        <v/>
      </c>
      <c r="E60" s="3" t="str">
        <f>""</f>
        <v/>
      </c>
      <c r="F60" s="3" t="str">
        <f>""</f>
        <v/>
      </c>
      <c r="G60" s="3" t="str">
        <f>""</f>
        <v/>
      </c>
      <c r="H60" s="3" t="str">
        <f>""</f>
        <v/>
      </c>
      <c r="I60" s="3" t="str">
        <f>""</f>
        <v/>
      </c>
      <c r="J60" s="3" t="str">
        <f>""</f>
        <v/>
      </c>
      <c r="K60" s="4" t="str">
        <f>""</f>
        <v/>
      </c>
      <c r="L60" s="3" t="str">
        <f>""</f>
        <v/>
      </c>
      <c r="M60" s="3" t="str">
        <f>""</f>
        <v/>
      </c>
      <c r="N60" s="3" t="str">
        <f>""</f>
        <v/>
      </c>
      <c r="O60" s="3" t="str">
        <f>""</f>
        <v/>
      </c>
      <c r="P60" s="3" t="str">
        <f>""</f>
        <v/>
      </c>
      <c r="Q60" s="3" t="str">
        <f>""</f>
        <v/>
      </c>
      <c r="R60" s="3" t="str">
        <f>""</f>
        <v/>
      </c>
      <c r="S60" s="3" t="str">
        <f>""</f>
        <v/>
      </c>
      <c r="T60" s="14" t="str">
        <f>""</f>
        <v/>
      </c>
      <c r="U60" s="14" t="str">
        <f>""</f>
        <v/>
      </c>
      <c r="V60" s="15">
        <v>231</v>
      </c>
      <c r="W60" s="15" t="str">
        <f>"10-12-000033"</f>
        <v>10-12-000033</v>
      </c>
      <c r="X60" s="15" t="str">
        <f>"EMERGENCY ROD- METAL ROOF S235JR ( INDOOR COMPARTMENT)"</f>
        <v>EMERGENCY ROD- METAL ROOF S235JR ( INDOOR COMPARTMENT)</v>
      </c>
      <c r="Y60" s="14">
        <v>1</v>
      </c>
      <c r="Z60" s="18" t="str">
        <f>""</f>
        <v/>
      </c>
      <c r="AA60" s="18">
        <v>0</v>
      </c>
      <c r="AB60" s="18" t="str">
        <f>""</f>
        <v/>
      </c>
      <c r="AC60" s="18" t="str">
        <f>""</f>
        <v/>
      </c>
      <c r="AD60" s="18" t="str">
        <f>""</f>
        <v/>
      </c>
      <c r="AE60" s="18" t="str">
        <f>""</f>
        <v/>
      </c>
      <c r="AF60" s="18" t="str">
        <f t="shared" si="8"/>
        <v/>
      </c>
      <c r="AG60" s="18" t="str">
        <f>""</f>
        <v/>
      </c>
      <c r="AH60" s="18" t="str">
        <f>""</f>
        <v/>
      </c>
      <c r="AI60" s="19" t="str">
        <f t="shared" si="9"/>
        <v/>
      </c>
      <c r="AJ60" t="str">
        <f>""</f>
        <v/>
      </c>
    </row>
    <row r="61" spans="1:36" x14ac:dyDescent="0.3">
      <c r="A61" t="s">
        <v>299</v>
      </c>
      <c r="B61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línea"",""470000"",""14=No_ producto cliente"",""39-00-0039"",""14=Descripción ampliada"",""CONTACTO HEMBRA MINI-FIT"",""10=Cantidad confirmada"",""100,00000000000000000000"",""2=numeroexpediciones"",""1"",""2=numeroalbara"&amp;"nes"",""1"",""10=manipulacion"",""47,72913600000000000000"",""10=embalaje"",""21,26000000000000000000"",""10=transporte"",""63,47414700000000000000"",""10=prima"",""0,00000000000000000000"",""10=reembolso"",""0,00000000000000000000"",""10=impuestos"",""0,00000000000000000000"",""10="&amp;"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línea","470000","14=No_ producto cliente","39-00-0039","14=Descripción ampliada","CONTACTO HEMBRA MINI-FIT","10=Cantidad confirmada","100,00000000000000000000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61" t="str">
        <f t="shared" si="10"/>
        <v>PD260065553</v>
      </c>
      <c r="D61" s="3" t="str">
        <f>""</f>
        <v/>
      </c>
      <c r="E61" s="3" t="str">
        <f>""</f>
        <v/>
      </c>
      <c r="F61" s="3" t="str">
        <f>""</f>
        <v/>
      </c>
      <c r="G61" s="3" t="str">
        <f>""</f>
        <v/>
      </c>
      <c r="H61" s="3" t="str">
        <f>""</f>
        <v/>
      </c>
      <c r="I61" s="3" t="str">
        <f>""</f>
        <v/>
      </c>
      <c r="J61" s="3" t="str">
        <f>""</f>
        <v/>
      </c>
      <c r="K61" s="4" t="str">
        <f>""</f>
        <v/>
      </c>
      <c r="L61" s="3" t="str">
        <f>""</f>
        <v/>
      </c>
      <c r="M61" s="3" t="str">
        <f>""</f>
        <v/>
      </c>
      <c r="N61" s="3" t="str">
        <f>""</f>
        <v/>
      </c>
      <c r="O61" s="3" t="str">
        <f>""</f>
        <v/>
      </c>
      <c r="P61" s="3" t="str">
        <f>""</f>
        <v/>
      </c>
      <c r="Q61" s="3" t="str">
        <f>""</f>
        <v/>
      </c>
      <c r="R61" s="3" t="str">
        <f>""</f>
        <v/>
      </c>
      <c r="S61" s="3" t="str">
        <f>""</f>
        <v/>
      </c>
      <c r="T61" s="14" t="str">
        <f>""</f>
        <v/>
      </c>
      <c r="U61" s="14" t="str">
        <f>""</f>
        <v/>
      </c>
      <c r="V61" s="15">
        <v>231</v>
      </c>
      <c r="W61" s="15" t="str">
        <f>"39-00-0039"</f>
        <v>39-00-0039</v>
      </c>
      <c r="X61" s="15" t="str">
        <f>"CONTACTO HEMBRA MINI-FIT"</f>
        <v>CONTACTO HEMBRA MINI-FIT</v>
      </c>
      <c r="Y61" s="14">
        <v>100</v>
      </c>
      <c r="Z61" s="18" t="str">
        <f>""</f>
        <v/>
      </c>
      <c r="AA61" s="18">
        <v>0</v>
      </c>
      <c r="AB61" s="18" t="str">
        <f>""</f>
        <v/>
      </c>
      <c r="AC61" s="18" t="str">
        <f>""</f>
        <v/>
      </c>
      <c r="AD61" s="18" t="str">
        <f>""</f>
        <v/>
      </c>
      <c r="AE61" s="18" t="str">
        <f>""</f>
        <v/>
      </c>
      <c r="AF61" s="18" t="str">
        <f t="shared" si="8"/>
        <v/>
      </c>
      <c r="AG61" s="18" t="str">
        <f>""</f>
        <v/>
      </c>
      <c r="AH61" s="18" t="str">
        <f>""</f>
        <v/>
      </c>
      <c r="AI61" s="19" t="str">
        <f t="shared" si="9"/>
        <v/>
      </c>
      <c r="AJ61" t="str">
        <f>""</f>
        <v/>
      </c>
    </row>
    <row r="62" spans="1:36" x14ac:dyDescent="0.3">
      <c r="A62" t="s">
        <v>299</v>
      </c>
      <c r="B62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línea"",""480000"",""14=No_ producto cliente"",""43030-0007"",""14=Descripción ampliada"",""CONTACTO HEMBRA MICRO-FIT"",""10=Cantidad confirmada"",""100,00000000000000000000"",""2=numeroexpediciones"",""1"",""2=numeroalbar"&amp;"anes"",""1"",""10=manipulacion"",""47,72913600000000000000"",""10=embalaje"",""21,26000000000000000000"",""10=transporte"",""63,47414700000000000000"",""10=prima"",""0,00000000000000000000"",""10=reembolso"",""0,00000000000000000000"",""10=impuestos"",""0,00000000000000000000"",""10"&amp;"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línea","480000","14=No_ producto cliente","43030-0007","14=Descripción ampliada","CONTACTO HEMBRA MICRO-FIT","10=Cantidad confirmada","100,00000000000000000000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62" t="str">
        <f t="shared" si="10"/>
        <v>PD260065553</v>
      </c>
      <c r="D62" s="3" t="str">
        <f>""</f>
        <v/>
      </c>
      <c r="E62" s="3" t="str">
        <f>""</f>
        <v/>
      </c>
      <c r="F62" s="3" t="str">
        <f>""</f>
        <v/>
      </c>
      <c r="G62" s="3" t="str">
        <f>""</f>
        <v/>
      </c>
      <c r="H62" s="3" t="str">
        <f>""</f>
        <v/>
      </c>
      <c r="I62" s="3" t="str">
        <f>""</f>
        <v/>
      </c>
      <c r="J62" s="3" t="str">
        <f>""</f>
        <v/>
      </c>
      <c r="K62" s="4" t="str">
        <f>""</f>
        <v/>
      </c>
      <c r="L62" s="3" t="str">
        <f>""</f>
        <v/>
      </c>
      <c r="M62" s="3" t="str">
        <f>""</f>
        <v/>
      </c>
      <c r="N62" s="3" t="str">
        <f>""</f>
        <v/>
      </c>
      <c r="O62" s="3" t="str">
        <f>""</f>
        <v/>
      </c>
      <c r="P62" s="3" t="str">
        <f>""</f>
        <v/>
      </c>
      <c r="Q62" s="3" t="str">
        <f>""</f>
        <v/>
      </c>
      <c r="R62" s="3" t="str">
        <f>""</f>
        <v/>
      </c>
      <c r="S62" s="3" t="str">
        <f>""</f>
        <v/>
      </c>
      <c r="T62" s="14" t="str">
        <f>""</f>
        <v/>
      </c>
      <c r="U62" s="14" t="str">
        <f>""</f>
        <v/>
      </c>
      <c r="V62" s="15">
        <v>231</v>
      </c>
      <c r="W62" s="15" t="str">
        <f>"43030-0007"</f>
        <v>43030-0007</v>
      </c>
      <c r="X62" s="15" t="str">
        <f>"CONTACTO HEMBRA MICRO-FIT"</f>
        <v>CONTACTO HEMBRA MICRO-FIT</v>
      </c>
      <c r="Y62" s="14">
        <v>100</v>
      </c>
      <c r="Z62" s="18" t="str">
        <f>""</f>
        <v/>
      </c>
      <c r="AA62" s="18">
        <v>0</v>
      </c>
      <c r="AB62" s="18" t="str">
        <f>""</f>
        <v/>
      </c>
      <c r="AC62" s="18" t="str">
        <f>""</f>
        <v/>
      </c>
      <c r="AD62" s="18" t="str">
        <f>""</f>
        <v/>
      </c>
      <c r="AE62" s="18" t="str">
        <f>""</f>
        <v/>
      </c>
      <c r="AF62" s="18" t="str">
        <f t="shared" si="8"/>
        <v/>
      </c>
      <c r="AG62" s="18" t="str">
        <f>""</f>
        <v/>
      </c>
      <c r="AH62" s="18" t="str">
        <f>""</f>
        <v/>
      </c>
      <c r="AI62" s="19" t="str">
        <f t="shared" si="9"/>
        <v/>
      </c>
      <c r="AJ62" t="str">
        <f>""</f>
        <v/>
      </c>
    </row>
    <row r="63" spans="1:36" x14ac:dyDescent="0.3">
      <c r="A63" t="s">
        <v>299</v>
      </c>
      <c r="B63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línea"",""490000"",""14=No_ producto cliente"",""43025-0410"",""14=Descripción ampliada"",""CONECTOR CONDUCTO-PLACA ENCHUFE HEMBRA MICRO-FIT"",""10=Cantidad confirmada"",""20,00000000000000000000"",""2=numeroexpedicion"&amp;"es"",""1"",""2=numeroalbaranes"",""1"",""10=manipulacion"",""47,72913600000000000000"",""10=embalaje"",""21,26000000000000000000"",""10=transporte"",""63,47414700000000000000"",""10=prima"",""0,00000000000000000000"",""10=reembolso"",""0,00000000000000000000"",""10=impuestos"",""0,000"&amp;"00000000000000000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línea","490000","14=No_ producto cliente","43025-0410","14=Descripción ampliada","CONECTOR CONDUCTO-PLACA ENCHUFE HEMBRA MICRO-FIT","10=Cantidad confirmada","20,00000000000000000000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63" t="str">
        <f t="shared" si="10"/>
        <v>PD260065553</v>
      </c>
      <c r="D63" s="3" t="str">
        <f>""</f>
        <v/>
      </c>
      <c r="E63" s="3" t="str">
        <f>""</f>
        <v/>
      </c>
      <c r="F63" s="3" t="str">
        <f>""</f>
        <v/>
      </c>
      <c r="G63" s="3" t="str">
        <f>""</f>
        <v/>
      </c>
      <c r="H63" s="3" t="str">
        <f>""</f>
        <v/>
      </c>
      <c r="I63" s="3" t="str">
        <f>""</f>
        <v/>
      </c>
      <c r="J63" s="3" t="str">
        <f>""</f>
        <v/>
      </c>
      <c r="K63" s="4" t="str">
        <f>""</f>
        <v/>
      </c>
      <c r="L63" s="3" t="str">
        <f>""</f>
        <v/>
      </c>
      <c r="M63" s="3" t="str">
        <f>""</f>
        <v/>
      </c>
      <c r="N63" s="3" t="str">
        <f>""</f>
        <v/>
      </c>
      <c r="O63" s="3" t="str">
        <f>""</f>
        <v/>
      </c>
      <c r="P63" s="3" t="str">
        <f>""</f>
        <v/>
      </c>
      <c r="Q63" s="3" t="str">
        <f>""</f>
        <v/>
      </c>
      <c r="R63" s="3" t="str">
        <f>""</f>
        <v/>
      </c>
      <c r="S63" s="3" t="str">
        <f>""</f>
        <v/>
      </c>
      <c r="T63" s="14" t="str">
        <f>""</f>
        <v/>
      </c>
      <c r="U63" s="14" t="str">
        <f>""</f>
        <v/>
      </c>
      <c r="V63" s="15">
        <v>231</v>
      </c>
      <c r="W63" s="15" t="str">
        <f>"43025-0410"</f>
        <v>43025-0410</v>
      </c>
      <c r="X63" s="15" t="str">
        <f>"CONECTOR CONDUCTO-PLACA ENCHUFE HEMBRA MICRO-FIT"</f>
        <v>CONECTOR CONDUCTO-PLACA ENCHUFE HEMBRA MICRO-FIT</v>
      </c>
      <c r="Y63" s="14">
        <v>20</v>
      </c>
      <c r="Z63" s="18" t="str">
        <f>""</f>
        <v/>
      </c>
      <c r="AA63" s="18">
        <v>0</v>
      </c>
      <c r="AB63" s="18" t="str">
        <f>""</f>
        <v/>
      </c>
      <c r="AC63" s="18" t="str">
        <f>""</f>
        <v/>
      </c>
      <c r="AD63" s="18" t="str">
        <f>""</f>
        <v/>
      </c>
      <c r="AE63" s="18" t="str">
        <f>""</f>
        <v/>
      </c>
      <c r="AF63" s="18" t="str">
        <f t="shared" si="8"/>
        <v/>
      </c>
      <c r="AG63" s="18" t="str">
        <f>""</f>
        <v/>
      </c>
      <c r="AH63" s="18" t="str">
        <f>""</f>
        <v/>
      </c>
      <c r="AI63" s="19" t="str">
        <f t="shared" si="9"/>
        <v/>
      </c>
      <c r="AJ63" t="str">
        <f>""</f>
        <v/>
      </c>
    </row>
    <row r="64" spans="1:36" x14ac:dyDescent="0.3">
      <c r="A64" t="s">
        <v>299</v>
      </c>
      <c r="B64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línea"",""500000"",""14=No_ producto cliente"",""39-01-2040"",""14=Descripción ampliada"",""CONECTOR CABLE-PLACA ENCHUFE HEMBRA MINI-FIT"",""10=Cantidad confirmada"",""20,00000000000000000000"",""2=numeroexpediciones"","&amp;"""1"",""2=numeroalbaranes"",""1"",""10=manipulacion"",""47,72913600000000000000"",""10=embalaje"",""21,26000000000000000000"",""10=transporte"",""63,47414700000000000000"",""10=prima"",""0,00000000000000000000"",""10=reembolso"",""0,00000000000000000000"",""10=impuestos"",""0,0000000"&amp;"0000000000000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línea","500000","14=No_ producto cliente","39-01-2040","14=Descripción ampliada","CONECTOR CABLE-PLACA ENCHUFE HEMBRA MINI-FIT","10=Cantidad confirmada","20,00000000000000000000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64" t="str">
        <f t="shared" si="10"/>
        <v>PD260065553</v>
      </c>
      <c r="D64" s="3" t="str">
        <f>""</f>
        <v/>
      </c>
      <c r="E64" s="3" t="str">
        <f>""</f>
        <v/>
      </c>
      <c r="F64" s="3" t="str">
        <f>""</f>
        <v/>
      </c>
      <c r="G64" s="3" t="str">
        <f>""</f>
        <v/>
      </c>
      <c r="H64" s="3" t="str">
        <f>""</f>
        <v/>
      </c>
      <c r="I64" s="3" t="str">
        <f>""</f>
        <v/>
      </c>
      <c r="J64" s="3" t="str">
        <f>""</f>
        <v/>
      </c>
      <c r="K64" s="4" t="str">
        <f>""</f>
        <v/>
      </c>
      <c r="L64" s="3" t="str">
        <f>""</f>
        <v/>
      </c>
      <c r="M64" s="3" t="str">
        <f>""</f>
        <v/>
      </c>
      <c r="N64" s="3" t="str">
        <f>""</f>
        <v/>
      </c>
      <c r="O64" s="3" t="str">
        <f>""</f>
        <v/>
      </c>
      <c r="P64" s="3" t="str">
        <f>""</f>
        <v/>
      </c>
      <c r="Q64" s="3" t="str">
        <f>""</f>
        <v/>
      </c>
      <c r="R64" s="3" t="str">
        <f>""</f>
        <v/>
      </c>
      <c r="S64" s="3" t="str">
        <f>""</f>
        <v/>
      </c>
      <c r="T64" s="14" t="str">
        <f>""</f>
        <v/>
      </c>
      <c r="U64" s="14" t="str">
        <f>""</f>
        <v/>
      </c>
      <c r="V64" s="15">
        <v>231</v>
      </c>
      <c r="W64" s="15" t="str">
        <f>"39-01-2040"</f>
        <v>39-01-2040</v>
      </c>
      <c r="X64" s="15" t="str">
        <f>"CONECTOR CABLE-PLACA ENCHUFE HEMBRA MINI-FIT"</f>
        <v>CONECTOR CABLE-PLACA ENCHUFE HEMBRA MINI-FIT</v>
      </c>
      <c r="Y64" s="14">
        <v>20</v>
      </c>
      <c r="Z64" s="18" t="str">
        <f>""</f>
        <v/>
      </c>
      <c r="AA64" s="18">
        <v>0</v>
      </c>
      <c r="AB64" s="18" t="str">
        <f>""</f>
        <v/>
      </c>
      <c r="AC64" s="18" t="str">
        <f>""</f>
        <v/>
      </c>
      <c r="AD64" s="18" t="str">
        <f>""</f>
        <v/>
      </c>
      <c r="AE64" s="18" t="str">
        <f>""</f>
        <v/>
      </c>
      <c r="AF64" s="18" t="str">
        <f t="shared" si="8"/>
        <v/>
      </c>
      <c r="AG64" s="18" t="str">
        <f>""</f>
        <v/>
      </c>
      <c r="AH64" s="18" t="str">
        <f>""</f>
        <v/>
      </c>
      <c r="AI64" s="19" t="str">
        <f t="shared" si="9"/>
        <v/>
      </c>
      <c r="AJ64" t="str">
        <f>""</f>
        <v/>
      </c>
    </row>
    <row r="65" spans="1:36" x14ac:dyDescent="0.3">
      <c r="A65" t="s">
        <v>299</v>
      </c>
      <c r="B65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línea"",""510000"",""14=No_ producto cliente"",""11-03-0043"",""14=Descripción ampliada"",""Herramienta Extracción Crimpado Molex"",""10=Cantidad confirmada"",""1,00000000000000000000"",""2=numeroexpediciones"",""1"",""2=n"&amp;"umeroalbaranes"",""1"",""10=manipulacion"",""47,72913600000000000000"",""10=embalaje"",""21,26000000000000000000"",""10=transporte"",""63,47414700000000000000"",""10=prima"",""0,00000000000000000000"",""10=reembolso"",""0,00000000000000000000"",""10=impuestos"",""0,000000000000000"&amp;"00000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línea","510000","14=No_ producto cliente","11-03-0043","14=Descripción ampliada","Herramienta Extracción Crimpado Molex","10=Cantidad confirmada","1,00000000000000000000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65" t="str">
        <f t="shared" si="10"/>
        <v>PD260065553</v>
      </c>
      <c r="D65" s="3" t="str">
        <f>""</f>
        <v/>
      </c>
      <c r="E65" s="3" t="str">
        <f>""</f>
        <v/>
      </c>
      <c r="F65" s="3" t="str">
        <f>""</f>
        <v/>
      </c>
      <c r="G65" s="3" t="str">
        <f>""</f>
        <v/>
      </c>
      <c r="H65" s="3" t="str">
        <f>""</f>
        <v/>
      </c>
      <c r="I65" s="3" t="str">
        <f>""</f>
        <v/>
      </c>
      <c r="J65" s="3" t="str">
        <f>""</f>
        <v/>
      </c>
      <c r="K65" s="4" t="str">
        <f>""</f>
        <v/>
      </c>
      <c r="L65" s="3" t="str">
        <f>""</f>
        <v/>
      </c>
      <c r="M65" s="3" t="str">
        <f>""</f>
        <v/>
      </c>
      <c r="N65" s="3" t="str">
        <f>""</f>
        <v/>
      </c>
      <c r="O65" s="3" t="str">
        <f>""</f>
        <v/>
      </c>
      <c r="P65" s="3" t="str">
        <f>""</f>
        <v/>
      </c>
      <c r="Q65" s="3" t="str">
        <f>""</f>
        <v/>
      </c>
      <c r="R65" s="3" t="str">
        <f>""</f>
        <v/>
      </c>
      <c r="S65" s="3" t="str">
        <f>""</f>
        <v/>
      </c>
      <c r="T65" s="14" t="str">
        <f>""</f>
        <v/>
      </c>
      <c r="U65" s="14" t="str">
        <f>""</f>
        <v/>
      </c>
      <c r="V65" s="15">
        <v>231</v>
      </c>
      <c r="W65" s="15" t="str">
        <f>"11-03-0043"</f>
        <v>11-03-0043</v>
      </c>
      <c r="X65" s="15" t="str">
        <f>"Herramienta Extracción Crimpado Molex"</f>
        <v>Herramienta Extracción Crimpado Molex</v>
      </c>
      <c r="Y65" s="14">
        <v>1</v>
      </c>
      <c r="Z65" s="18" t="str">
        <f>""</f>
        <v/>
      </c>
      <c r="AA65" s="18">
        <v>0</v>
      </c>
      <c r="AB65" s="18" t="str">
        <f>""</f>
        <v/>
      </c>
      <c r="AC65" s="18" t="str">
        <f>""</f>
        <v/>
      </c>
      <c r="AD65" s="18" t="str">
        <f>""</f>
        <v/>
      </c>
      <c r="AE65" s="18" t="str">
        <f>""</f>
        <v/>
      </c>
      <c r="AF65" s="18" t="str">
        <f t="shared" si="8"/>
        <v/>
      </c>
      <c r="AG65" s="18" t="str">
        <f>""</f>
        <v/>
      </c>
      <c r="AH65" s="18" t="str">
        <f>""</f>
        <v/>
      </c>
      <c r="AI65" s="19" t="str">
        <f t="shared" si="9"/>
        <v/>
      </c>
      <c r="AJ65" t="str">
        <f>""</f>
        <v/>
      </c>
    </row>
    <row r="66" spans="1:36" x14ac:dyDescent="0.3">
      <c r="A66" t="s">
        <v>299</v>
      </c>
      <c r="B66" t="str">
        <f>"""SQL-NAVISION"","""",""SQL="",""14=Id_ Prefactura"",""PF26-00004176"",""2=Tipo documento"",""0"",""14=No_"",""PD260065553"",""14=No_ referencia transporte"",""INPOST100426.2"",""14=Familia pedido"","""",""15=Fecha confirmación SGA"",""14/04/2026"",""14=Nombre punto entrega"",""Fede Aced"&amp;"o Becerra"",""14=Contacto punto entrega"",""Fede Acedo Becerra"",""14=Dirección punto entrega"",""Galtzaraborda Hiribidea 85, piso 3, Izquierda"",""14=C_P_ punto entrega"",""20100"",""14=Población punto entrega"",""Errenteria"",""14=Provincia punto entrega"",""Gipuzkoa"",""14="&amp;"País punto entrega"",""ES"",""10=bultosP"",""1,00000000000000000000"",""14=No_ documento cliente"",""INPOST100426.2"",""14=Cód_ Servicio solicitado Fact_"",""STD"",""10=bultosE"",""1,00000000000000000000"",""10=Peso facturable"",""231,00000000000000000000"",""14=Cód_ operativa"","&amp;"""053"",""14=Descripción"",""PRUEBA PILOTO INPOST"",""2=No_ línea"",""520000"",""14=No_ producto cliente"",""10-22-000040"",""14=Descripción ampliada"",""CONECTOR 12V. CORRIENTE - HEMBRA"",""10=Cantidad confirmada"",""2,00000000000000000000"",""2=numeroexpediciones"",""1"",""2=nume"&amp;"roalbaranes"",""1"",""10=manipulacion"",""47,72913600000000000000"",""10=embalaje"",""21,26000000000000000000"",""10=transporte"",""63,47414700000000000000"",""10=prima"",""0,00000000000000000000"",""10=reembolso"",""0,00000000000000000000"",""10=impuestos"",""0,000000000000000000"&amp;"00"",""10=gestion"",""0,10598700000000000000"",""10=franqueo"",""0,00000000000000000000"",""10=despacho"",""0,00000000000000000000"""</f>
        <v>"SQL-NAVISION","","SQL=","14=Id_ Prefactura","PF26-00004176","2=Tipo documento","0","14=No_","PD260065553","14=No_ referencia transporte","INPOST100426.2","14=Familia pedido","","15=Fecha confirmación SGA","14/04/2026","14=Nombre punto entrega","Fede Acedo Becerra","14=Contacto punto entrega","Fede Acedo Becerra","14=Dirección punto entrega","Galtzaraborda Hiribidea 85, piso 3, Izquierda","14=C_P_ punto entrega","20100","14=Población punto entrega","Errenteria","14=Provincia punto entrega","Gipuzkoa","14=País punto entrega","ES","10=bultosP","1,00000000000000000000","14=No_ documento cliente","INPOST100426.2","14=Cód_ Servicio solicitado Fact_","STD","10=bultosE","1,00000000000000000000","10=Peso facturable","231,00000000000000000000","14=Cód_ operativa","053","14=Descripción","PRUEBA PILOTO INPOST","2=No_ línea","520000","14=No_ producto cliente","10-22-000040","14=Descripción ampliada","CONECTOR 12V. CORRIENTE - HEMBRA","10=Cantidad confirmada","2,00000000000000000000","2=numeroexpediciones","1","2=numeroalbaranes","1","10=manipulacion","47,72913600000000000000","10=embalaje","21,26000000000000000000","10=transporte","63,47414700000000000000","10=prima","0,00000000000000000000","10=reembolso","0,00000000000000000000","10=impuestos","0,00000000000000000000","10=gestion","0,10598700000000000000","10=franqueo","0,00000000000000000000","10=despacho","0,00000000000000000000"</v>
      </c>
      <c r="C66" t="str">
        <f t="shared" si="10"/>
        <v>PD260065553</v>
      </c>
      <c r="D66" s="3" t="str">
        <f>""</f>
        <v/>
      </c>
      <c r="E66" s="3" t="str">
        <f>""</f>
        <v/>
      </c>
      <c r="F66" s="3" t="str">
        <f>""</f>
        <v/>
      </c>
      <c r="G66" s="3" t="str">
        <f>""</f>
        <v/>
      </c>
      <c r="H66" s="3" t="str">
        <f>""</f>
        <v/>
      </c>
      <c r="I66" s="3" t="str">
        <f>""</f>
        <v/>
      </c>
      <c r="J66" s="3" t="str">
        <f>""</f>
        <v/>
      </c>
      <c r="K66" s="4" t="str">
        <f>""</f>
        <v/>
      </c>
      <c r="L66" s="3" t="str">
        <f>""</f>
        <v/>
      </c>
      <c r="M66" s="3" t="str">
        <f>""</f>
        <v/>
      </c>
      <c r="N66" s="3" t="str">
        <f>""</f>
        <v/>
      </c>
      <c r="O66" s="3" t="str">
        <f>""</f>
        <v/>
      </c>
      <c r="P66" s="3" t="str">
        <f>""</f>
        <v/>
      </c>
      <c r="Q66" s="3" t="str">
        <f>""</f>
        <v/>
      </c>
      <c r="R66" s="3" t="str">
        <f>""</f>
        <v/>
      </c>
      <c r="S66" s="3" t="str">
        <f>""</f>
        <v/>
      </c>
      <c r="T66" s="14" t="str">
        <f>""</f>
        <v/>
      </c>
      <c r="U66" s="14" t="str">
        <f>""</f>
        <v/>
      </c>
      <c r="V66" s="15">
        <v>231</v>
      </c>
      <c r="W66" s="15" t="str">
        <f>"10-22-000040"</f>
        <v>10-22-000040</v>
      </c>
      <c r="X66" s="15" t="str">
        <f>"CONECTOR 12V. CORRIENTE - HEMBRA"</f>
        <v>CONECTOR 12V. CORRIENTE - HEMBRA</v>
      </c>
      <c r="Y66" s="14">
        <v>2</v>
      </c>
      <c r="Z66" s="18" t="str">
        <f>""</f>
        <v/>
      </c>
      <c r="AA66" s="18">
        <v>0</v>
      </c>
      <c r="AB66" s="18" t="str">
        <f>""</f>
        <v/>
      </c>
      <c r="AC66" s="18" t="str">
        <f>""</f>
        <v/>
      </c>
      <c r="AD66" s="18" t="str">
        <f>""</f>
        <v/>
      </c>
      <c r="AE66" s="18" t="str">
        <f>""</f>
        <v/>
      </c>
      <c r="AF66" s="18" t="str">
        <f t="shared" si="8"/>
        <v/>
      </c>
      <c r="AG66" s="18" t="str">
        <f>""</f>
        <v/>
      </c>
      <c r="AH66" s="18" t="str">
        <f>""</f>
        <v/>
      </c>
      <c r="AI66" s="19" t="str">
        <f t="shared" si="9"/>
        <v/>
      </c>
      <c r="AJ66" t="str">
        <f>""</f>
        <v/>
      </c>
    </row>
    <row r="67" spans="1:36" x14ac:dyDescent="0.3">
      <c r="A67" t="s">
        <v>299</v>
      </c>
      <c r="B67" t="str">
        <f>"""SQL-NAVISION"","""",""SQL="",""14=Id_ Prefactura"",""PF26-00004176"",""2=Tipo documento"",""0"",""14=No_"",""PD260071471"",""14=No_ referencia transporte"",""INPOST220426.1"",""14=Familia pedido"","""",""15=Fecha confirmación SGA"",""23/04/2026"",""14=Nombre punto entrega"",""TIPSA SAN"&amp;"T BOI"",""14=Contacto punto entrega"",""DIEGO CASAGRANDE"",""14=Dirección punto entrega"",""CARRER DE LA CIENCIA, 26"",""14=C_P_ punto entrega"",""08840"",""14=Población punto entrega"",""Viladecans"",""14=Provincia punto entrega"",""Barcelona"",""14=País punto entrega"",""ES"","""&amp;"10=bultosP"",""1,00000000000000000000"",""14=No_ documento cliente"",""INPOST220426.1"",""14=Cód_ Servicio solicitado Fact_"",""STD"",""10=bultosE"",""1,00000000000000000000"",""10=Peso facturable"",""29,00000000000000000000"",""14=Cód_ operativa"",""053"",""14=Descripción"",""PRU"&amp;"EBA PILOTO INPOST"",""2=No_ línea"",""20000"",""14=No_ producto cliente"",""10-21-000643"",""14=Descripción ampliada"",""ROUTER ALC"",""10=Cantidad confirmada"",""5,00000000000000000000"",""2=numeroexpediciones"",""1"",""2=numeroalbaranes"",""1"",""10=manipulacion"",""8,422365000000"&amp;"00000000"",""10=embalaje"",""1,30000000000000000000"",""10=transporte"",""8,83487100000000000000"",""10=prima"",""0,00000000000000000000"",""10=reembolso"",""0,00000000000000000000"",""10=impuestos"",""0,00000000000000000000"",""10=gestion"",""0,10598700000000000000"",""10=franque"&amp;"o"",""0,00000000000000000000"",""10=despacho"",""0,00000000000000000000"""</f>
        <v>"SQL-NAVISION","","SQL=","14=Id_ Prefactura","PF26-00004176","2=Tipo documento","0","14=No_","PD260071471","14=No_ referencia transporte","INPOST220426.1","14=Familia pedido","","15=Fecha confirmación SGA","23/04/2026","14=Nombre punto entrega","TIPSA SANT BOI","14=Contacto punto entrega","DIEGO CASAGRANDE","14=Dirección punto entrega","CARRER DE LA CIENCIA, 26","14=C_P_ punto entrega","08840","14=Población punto entrega","Viladecans","14=Provincia punto entrega","Barcelona","14=País punto entrega","ES","10=bultosP","1,00000000000000000000","14=No_ documento cliente","INPOST220426.1","14=Cód_ Servicio solicitado Fact_","STD","10=bultosE","1,00000000000000000000","10=Peso facturable","29,00000000000000000000","14=Cód_ operativa","053","14=Descripción","PRUEBA PILOTO INPOST","2=No_ línea","20000","14=No_ producto cliente","10-21-000643","14=Descripción ampliada","ROUTER ALC","10=Cantidad confirmada","5,00000000000000000000","2=numeroexpediciones","1","2=numeroalbaranes","1","10=manipulacion","8,42236500000000000000","10=embalaje","1,30000000000000000000","10=transporte","8,83487100000000000000","10=prima","0,00000000000000000000","10=reembolso","0,00000000000000000000","10=impuestos","0,00000000000000000000","10=gestion","0,10598700000000000000","10=franqueo","0,00000000000000000000","10=despacho","0,00000000000000000000"</v>
      </c>
      <c r="C67" t="str">
        <f t="shared" ref="C67:C74" si="11">"PD260071471"</f>
        <v>PD260071471</v>
      </c>
      <c r="D67" s="3" t="str">
        <f>""</f>
        <v/>
      </c>
      <c r="E67" s="3" t="str">
        <f>""</f>
        <v/>
      </c>
      <c r="F67" s="3" t="str">
        <f>""</f>
        <v/>
      </c>
      <c r="G67" s="3" t="str">
        <f>""</f>
        <v/>
      </c>
      <c r="H67" s="3" t="str">
        <f>""</f>
        <v/>
      </c>
      <c r="I67" s="3" t="str">
        <f>""</f>
        <v/>
      </c>
      <c r="J67" s="3" t="str">
        <f>""</f>
        <v/>
      </c>
      <c r="K67" s="4" t="str">
        <f>""</f>
        <v/>
      </c>
      <c r="L67" s="3" t="str">
        <f>""</f>
        <v/>
      </c>
      <c r="M67" s="3" t="str">
        <f>""</f>
        <v/>
      </c>
      <c r="N67" s="3" t="str">
        <f>""</f>
        <v/>
      </c>
      <c r="O67" s="3" t="str">
        <f>""</f>
        <v/>
      </c>
      <c r="P67" s="3" t="str">
        <f>""</f>
        <v/>
      </c>
      <c r="Q67" s="3" t="str">
        <f>""</f>
        <v/>
      </c>
      <c r="R67" s="3" t="str">
        <f>""</f>
        <v/>
      </c>
      <c r="S67" s="3" t="str">
        <f>""</f>
        <v/>
      </c>
      <c r="T67" s="14" t="str">
        <f>""</f>
        <v/>
      </c>
      <c r="U67" s="14" t="str">
        <f>""</f>
        <v/>
      </c>
      <c r="V67" s="15">
        <v>29</v>
      </c>
      <c r="W67" s="15" t="str">
        <f>"10-21-000643"</f>
        <v>10-21-000643</v>
      </c>
      <c r="X67" s="15" t="str">
        <f>"ROUTER ALC"</f>
        <v>ROUTER ALC</v>
      </c>
      <c r="Y67" s="14">
        <v>5</v>
      </c>
      <c r="Z67" s="18" t="str">
        <f>""</f>
        <v/>
      </c>
      <c r="AA67" s="18">
        <v>0</v>
      </c>
      <c r="AB67" s="18" t="str">
        <f>""</f>
        <v/>
      </c>
      <c r="AC67" s="18" t="str">
        <f>""</f>
        <v/>
      </c>
      <c r="AD67" s="18" t="str">
        <f>""</f>
        <v/>
      </c>
      <c r="AE67" s="18" t="str">
        <f>""</f>
        <v/>
      </c>
      <c r="AF67" s="18" t="str">
        <f t="shared" si="8"/>
        <v/>
      </c>
      <c r="AG67" s="18" t="str">
        <f>""</f>
        <v/>
      </c>
      <c r="AH67" s="18" t="str">
        <f>""</f>
        <v/>
      </c>
      <c r="AI67" s="19" t="str">
        <f t="shared" si="9"/>
        <v/>
      </c>
      <c r="AJ67" t="str">
        <f>""</f>
        <v/>
      </c>
    </row>
    <row r="68" spans="1:36" x14ac:dyDescent="0.3">
      <c r="A68" t="s">
        <v>299</v>
      </c>
      <c r="B68" t="str">
        <f>"""SQL-NAVISION"","""",""SQL="",""14=Id_ Prefactura"",""PF26-00004176"",""2=Tipo documento"",""0"",""14=No_"",""PD260071471"",""14=No_ referencia transporte"",""INPOST220426.1"",""14=Familia pedido"","""",""15=Fecha confirmación SGA"",""23/04/2026"",""14=Nombre punto entrega"",""TIPSA SAN"&amp;"T BOI"",""14=Contacto punto entrega"",""DIEGO CASAGRANDE"",""14=Dirección punto entrega"",""CARRER DE LA CIENCIA, 26"",""14=C_P_ punto entrega"",""08840"",""14=Población punto entrega"",""Viladecans"",""14=Provincia punto entrega"",""Barcelona"",""14=País punto entrega"",""ES"","""&amp;"10=bultosP"",""1,00000000000000000000"",""14=No_ documento cliente"",""INPOST220426.1"",""14=Cód_ Servicio solicitado Fact_"",""STD"",""10=bultosE"",""1,00000000000000000000"",""10=Peso facturable"",""29,00000000000000000000"",""14=Cód_ operativa"",""053"",""14=Descripción"",""PRU"&amp;"EBA PILOTO INPOST"",""2=No_ línea"",""30000"",""14=No_ producto cliente"",""10-50-000666"",""14=Descripción ampliada"",""CERRADURAS DE LOCKER"",""10=Cantidad confirmada"",""4,00000000000000000000"",""2=numeroexpediciones"",""1"",""2=numeroalbaranes"",""1"",""10=manipulacion"",""8,42"&amp;"236500000000000000"",""10=embalaje"",""1,30000000000000000000"",""10=transporte"",""8,83487100000000000000"",""10=prima"",""0,00000000000000000000"",""10=reembolso"",""0,00000000000000000000"",""10=impuestos"",""0,00000000000000000000"",""10=gestion"",""0,10598700000000000000"","""&amp;"10=franqueo"",""0,00000000000000000000"",""10=despacho"",""0,00000000000000000000"""</f>
        <v>"SQL-NAVISION","","SQL=","14=Id_ Prefactura","PF26-00004176","2=Tipo documento","0","14=No_","PD260071471","14=No_ referencia transporte","INPOST220426.1","14=Familia pedido","","15=Fecha confirmación SGA","23/04/2026","14=Nombre punto entrega","TIPSA SANT BOI","14=Contacto punto entrega","DIEGO CASAGRANDE","14=Dirección punto entrega","CARRER DE LA CIENCIA, 26","14=C_P_ punto entrega","08840","14=Población punto entrega","Viladecans","14=Provincia punto entrega","Barcelona","14=País punto entrega","ES","10=bultosP","1,00000000000000000000","14=No_ documento cliente","INPOST220426.1","14=Cód_ Servicio solicitado Fact_","STD","10=bultosE","1,00000000000000000000","10=Peso facturable","29,00000000000000000000","14=Cód_ operativa","053","14=Descripción","PRUEBA PILOTO INPOST","2=No_ línea","30000","14=No_ producto cliente","10-50-000666","14=Descripción ampliada","CERRADURAS DE LOCKER","10=Cantidad confirmada","4,00000000000000000000","2=numeroexpediciones","1","2=numeroalbaranes","1","10=manipulacion","8,42236500000000000000","10=embalaje","1,30000000000000000000","10=transporte","8,83487100000000000000","10=prima","0,00000000000000000000","10=reembolso","0,00000000000000000000","10=impuestos","0,00000000000000000000","10=gestion","0,10598700000000000000","10=franqueo","0,00000000000000000000","10=despacho","0,00000000000000000000"</v>
      </c>
      <c r="C68" t="str">
        <f t="shared" si="11"/>
        <v>PD260071471</v>
      </c>
      <c r="D68" s="3" t="str">
        <f>""</f>
        <v/>
      </c>
      <c r="E68" s="3" t="str">
        <f>""</f>
        <v/>
      </c>
      <c r="F68" s="3" t="str">
        <f>""</f>
        <v/>
      </c>
      <c r="G68" s="3" t="str">
        <f>""</f>
        <v/>
      </c>
      <c r="H68" s="3" t="str">
        <f>""</f>
        <v/>
      </c>
      <c r="I68" s="3" t="str">
        <f>""</f>
        <v/>
      </c>
      <c r="J68" s="3" t="str">
        <f>""</f>
        <v/>
      </c>
      <c r="K68" s="4" t="str">
        <f>""</f>
        <v/>
      </c>
      <c r="L68" s="3" t="str">
        <f>""</f>
        <v/>
      </c>
      <c r="M68" s="3" t="str">
        <f>""</f>
        <v/>
      </c>
      <c r="N68" s="3" t="str">
        <f>""</f>
        <v/>
      </c>
      <c r="O68" s="3" t="str">
        <f>""</f>
        <v/>
      </c>
      <c r="P68" s="3" t="str">
        <f>""</f>
        <v/>
      </c>
      <c r="Q68" s="3" t="str">
        <f>""</f>
        <v/>
      </c>
      <c r="R68" s="3" t="str">
        <f>""</f>
        <v/>
      </c>
      <c r="S68" s="3" t="str">
        <f>""</f>
        <v/>
      </c>
      <c r="T68" s="14" t="str">
        <f>""</f>
        <v/>
      </c>
      <c r="U68" s="14" t="str">
        <f>""</f>
        <v/>
      </c>
      <c r="V68" s="15">
        <v>29</v>
      </c>
      <c r="W68" s="15" t="str">
        <f>"10-50-000666"</f>
        <v>10-50-000666</v>
      </c>
      <c r="X68" s="15" t="str">
        <f>"CERRADURAS DE LOCKER"</f>
        <v>CERRADURAS DE LOCKER</v>
      </c>
      <c r="Y68" s="14">
        <v>4</v>
      </c>
      <c r="Z68" s="18" t="str">
        <f>""</f>
        <v/>
      </c>
      <c r="AA68" s="18">
        <v>0</v>
      </c>
      <c r="AB68" s="18" t="str">
        <f>""</f>
        <v/>
      </c>
      <c r="AC68" s="18" t="str">
        <f>""</f>
        <v/>
      </c>
      <c r="AD68" s="18" t="str">
        <f>""</f>
        <v/>
      </c>
      <c r="AE68" s="18" t="str">
        <f>""</f>
        <v/>
      </c>
      <c r="AF68" s="18" t="str">
        <f t="shared" ref="AF68:AF99" si="12">IF(AJ68="","",VALUE(AJ68))</f>
        <v/>
      </c>
      <c r="AG68" s="18" t="str">
        <f>""</f>
        <v/>
      </c>
      <c r="AH68" s="18" t="str">
        <f>""</f>
        <v/>
      </c>
      <c r="AI68" s="19" t="str">
        <f t="shared" ref="AI68:AI99" si="13">IF($G68="","",IFERROR(IF(ISBLANK(Z68),0,Z68)+IF(ISBLANK(AA68),0,AA68)+IF(ISBLANK(AB68),0,AB68)+IF(ISBLANK(AC68),0,AC68)+IF(ISBLANK(AD68),0,AD68)+IF(ISBLANK(AE68),0,AE68)+IF(ISBLANK(AF68),0,AF68)+IF(ISBLANK(AG68),0,AG68)+IF(ISBLANK(AH68),0,AH68),0))</f>
        <v/>
      </c>
      <c r="AJ68" t="str">
        <f>""</f>
        <v/>
      </c>
    </row>
    <row r="69" spans="1:36" x14ac:dyDescent="0.3">
      <c r="A69" t="s">
        <v>299</v>
      </c>
      <c r="B69" t="str">
        <f>"""SQL-NAVISION"","""",""SQL="",""14=Id_ Prefactura"",""PF26-00004176"",""2=Tipo documento"",""0"",""14=No_"",""PD260071471"",""14=No_ referencia transporte"",""INPOST220426.1"",""14=Familia pedido"","""",""15=Fecha confirmación SGA"",""23/04/2026"",""14=Nombre punto entrega"",""TIPSA SAN"&amp;"T BOI"",""14=Contacto punto entrega"",""DIEGO CASAGRANDE"",""14=Dirección punto entrega"",""CARRER DE LA CIENCIA, 26"",""14=C_P_ punto entrega"",""08840"",""14=Población punto entrega"",""Viladecans"",""14=Provincia punto entrega"",""Barcelona"",""14=País punto entrega"",""ES"","""&amp;"10=bultosP"",""1,00000000000000000000"",""14=No_ documento cliente"",""INPOST220426.1"",""14=Cód_ Servicio solicitado Fact_"",""STD"",""10=bultosE"",""1,00000000000000000000"",""10=Peso facturable"",""29,00000000000000000000"",""14=Cód_ operativa"",""053"",""14=Descripción"",""PRU"&amp;"EBA PILOTO INPOST"",""2=No_ línea"",""40000"",""14=No_ producto cliente"",""10-51-000600"",""14=Descripción ampliada"",""CABLE CONVERTIDOR ESCANER"",""10=Cantidad confirmada"",""2,00000000000000000000"",""2=numeroexpediciones"",""1"",""2=numeroalbaranes"",""1"",""10=manipulacion"","&amp;"""8,42236500000000000000"",""10=embalaje"",""1,30000000000000000000"",""10=transporte"",""8,83487100000000000000"",""10=prima"",""0,00000000000000000000"",""10=reembolso"",""0,00000000000000000000"",""10=impuestos"",""0,00000000000000000000"",""10=gestion"",""0,105987000000000000"&amp;"00"",""10=franqueo"",""0,00000000000000000000"",""10=despacho"",""0,00000000000000000000"""</f>
        <v>"SQL-NAVISION","","SQL=","14=Id_ Prefactura","PF26-00004176","2=Tipo documento","0","14=No_","PD260071471","14=No_ referencia transporte","INPOST220426.1","14=Familia pedido","","15=Fecha confirmación SGA","23/04/2026","14=Nombre punto entrega","TIPSA SANT BOI","14=Contacto punto entrega","DIEGO CASAGRANDE","14=Dirección punto entrega","CARRER DE LA CIENCIA, 26","14=C_P_ punto entrega","08840","14=Población punto entrega","Viladecans","14=Provincia punto entrega","Barcelona","14=País punto entrega","ES","10=bultosP","1,00000000000000000000","14=No_ documento cliente","INPOST220426.1","14=Cód_ Servicio solicitado Fact_","STD","10=bultosE","1,00000000000000000000","10=Peso facturable","29,00000000000000000000","14=Cód_ operativa","053","14=Descripción","PRUEBA PILOTO INPOST","2=No_ línea","40000","14=No_ producto cliente","10-51-000600","14=Descripción ampliada","CABLE CONVERTIDOR ESCANER","10=Cantidad confirmada","2,00000000000000000000","2=numeroexpediciones","1","2=numeroalbaranes","1","10=manipulacion","8,42236500000000000000","10=embalaje","1,30000000000000000000","10=transporte","8,83487100000000000000","10=prima","0,00000000000000000000","10=reembolso","0,00000000000000000000","10=impuestos","0,00000000000000000000","10=gestion","0,10598700000000000000","10=franqueo","0,00000000000000000000","10=despacho","0,00000000000000000000"</v>
      </c>
      <c r="C69" t="str">
        <f t="shared" si="11"/>
        <v>PD260071471</v>
      </c>
      <c r="D69" s="3" t="str">
        <f>""</f>
        <v/>
      </c>
      <c r="E69" s="3" t="str">
        <f>""</f>
        <v/>
      </c>
      <c r="F69" s="3" t="str">
        <f>""</f>
        <v/>
      </c>
      <c r="G69" s="3" t="str">
        <f>""</f>
        <v/>
      </c>
      <c r="H69" s="3" t="str">
        <f>""</f>
        <v/>
      </c>
      <c r="I69" s="3" t="str">
        <f>""</f>
        <v/>
      </c>
      <c r="J69" s="3" t="str">
        <f>""</f>
        <v/>
      </c>
      <c r="K69" s="4" t="str">
        <f>""</f>
        <v/>
      </c>
      <c r="L69" s="3" t="str">
        <f>""</f>
        <v/>
      </c>
      <c r="M69" s="3" t="str">
        <f>""</f>
        <v/>
      </c>
      <c r="N69" s="3" t="str">
        <f>""</f>
        <v/>
      </c>
      <c r="O69" s="3" t="str">
        <f>""</f>
        <v/>
      </c>
      <c r="P69" s="3" t="str">
        <f>""</f>
        <v/>
      </c>
      <c r="Q69" s="3" t="str">
        <f>""</f>
        <v/>
      </c>
      <c r="R69" s="3" t="str">
        <f>""</f>
        <v/>
      </c>
      <c r="S69" s="3" t="str">
        <f>""</f>
        <v/>
      </c>
      <c r="T69" s="14" t="str">
        <f>""</f>
        <v/>
      </c>
      <c r="U69" s="14" t="str">
        <f>""</f>
        <v/>
      </c>
      <c r="V69" s="15">
        <v>29</v>
      </c>
      <c r="W69" s="15" t="str">
        <f>"10-51-000600"</f>
        <v>10-51-000600</v>
      </c>
      <c r="X69" s="15" t="str">
        <f>"CABLE CONVERTIDOR ESCANER"</f>
        <v>CABLE CONVERTIDOR ESCANER</v>
      </c>
      <c r="Y69" s="14">
        <v>2</v>
      </c>
      <c r="Z69" s="18" t="str">
        <f>""</f>
        <v/>
      </c>
      <c r="AA69" s="18">
        <v>0</v>
      </c>
      <c r="AB69" s="18" t="str">
        <f>""</f>
        <v/>
      </c>
      <c r="AC69" s="18" t="str">
        <f>""</f>
        <v/>
      </c>
      <c r="AD69" s="18" t="str">
        <f>""</f>
        <v/>
      </c>
      <c r="AE69" s="18" t="str">
        <f>""</f>
        <v/>
      </c>
      <c r="AF69" s="18" t="str">
        <f t="shared" si="12"/>
        <v/>
      </c>
      <c r="AG69" s="18" t="str">
        <f>""</f>
        <v/>
      </c>
      <c r="AH69" s="18" t="str">
        <f>""</f>
        <v/>
      </c>
      <c r="AI69" s="19" t="str">
        <f t="shared" si="13"/>
        <v/>
      </c>
      <c r="AJ69" t="str">
        <f>""</f>
        <v/>
      </c>
    </row>
    <row r="70" spans="1:36" x14ac:dyDescent="0.3">
      <c r="A70" t="s">
        <v>299</v>
      </c>
      <c r="B70" t="str">
        <f>"""SQL-NAVISION"","""",""SQL="",""14=Id_ Prefactura"",""PF26-00004176"",""2=Tipo documento"",""0"",""14=No_"",""PD260071471"",""14=No_ referencia transporte"",""INPOST220426.1"",""14=Familia pedido"","""",""15=Fecha confirmación SGA"",""23/04/2026"",""14=Nombre punto entrega"",""TIPSA SAN"&amp;"T BOI"",""14=Contacto punto entrega"",""DIEGO CASAGRANDE"",""14=Dirección punto entrega"",""CARRER DE LA CIENCIA, 26"",""14=C_P_ punto entrega"",""08840"",""14=Población punto entrega"",""Viladecans"",""14=Provincia punto entrega"",""Barcelona"",""14=País punto entrega"",""ES"","""&amp;"10=bultosP"",""1,00000000000000000000"",""14=No_ documento cliente"",""INPOST220426.1"",""14=Cód_ Servicio solicitado Fact_"",""STD"",""10=bultosE"",""1,00000000000000000000"",""10=Peso facturable"",""29,00000000000000000000"",""14=Cód_ operativa"",""053"",""14=Descripción"",""PRU"&amp;"EBA PILOTO INPOST"",""2=No_ línea"",""50000"",""14=No_ producto cliente"",""10-80-000197"",""14=Descripción ampliada"",""ACTUATOR WITH MUSHER+PIN HOLDER"",""10=Cantidad confirmada"",""2,00000000000000000000"",""2=numeroexpediciones"",""1"",""2=numeroalbaranes"",""1"",""10=manipula"&amp;"cion"",""8,42236500000000000000"",""10=embalaje"",""1,30000000000000000000"",""10=transporte"",""8,83487100000000000000"",""10=prima"",""0,00000000000000000000"",""10=reembolso"",""0,00000000000000000000"",""10=impuestos"",""0,00000000000000000000"",""10=gestion"",""0,105987000000"&amp;"00000000"",""10=franqueo"",""0,00000000000000000000"",""10=despacho"",""0,00000000000000000000"""</f>
        <v>"SQL-NAVISION","","SQL=","14=Id_ Prefactura","PF26-00004176","2=Tipo documento","0","14=No_","PD260071471","14=No_ referencia transporte","INPOST220426.1","14=Familia pedido","","15=Fecha confirmación SGA","23/04/2026","14=Nombre punto entrega","TIPSA SANT BOI","14=Contacto punto entrega","DIEGO CASAGRANDE","14=Dirección punto entrega","CARRER DE LA CIENCIA, 26","14=C_P_ punto entrega","08840","14=Población punto entrega","Viladecans","14=Provincia punto entrega","Barcelona","14=País punto entrega","ES","10=bultosP","1,00000000000000000000","14=No_ documento cliente","INPOST220426.1","14=Cód_ Servicio solicitado Fact_","STD","10=bultosE","1,00000000000000000000","10=Peso facturable","29,00000000000000000000","14=Cód_ operativa","053","14=Descripción","PRUEBA PILOTO INPOST","2=No_ línea","50000","14=No_ producto cliente","10-80-000197","14=Descripción ampliada","ACTUATOR WITH MUSHER+PIN HOLDER","10=Cantidad confirmada","2,00000000000000000000","2=numeroexpediciones","1","2=numeroalbaranes","1","10=manipulacion","8,42236500000000000000","10=embalaje","1,30000000000000000000","10=transporte","8,83487100000000000000","10=prima","0,00000000000000000000","10=reembolso","0,00000000000000000000","10=impuestos","0,00000000000000000000","10=gestion","0,10598700000000000000","10=franqueo","0,00000000000000000000","10=despacho","0,00000000000000000000"</v>
      </c>
      <c r="C70" t="str">
        <f t="shared" si="11"/>
        <v>PD260071471</v>
      </c>
      <c r="D70" s="3" t="str">
        <f>""</f>
        <v/>
      </c>
      <c r="E70" s="3" t="str">
        <f>""</f>
        <v/>
      </c>
      <c r="F70" s="3" t="str">
        <f>""</f>
        <v/>
      </c>
      <c r="G70" s="3" t="str">
        <f>""</f>
        <v/>
      </c>
      <c r="H70" s="3" t="str">
        <f>""</f>
        <v/>
      </c>
      <c r="I70" s="3" t="str">
        <f>""</f>
        <v/>
      </c>
      <c r="J70" s="3" t="str">
        <f>""</f>
        <v/>
      </c>
      <c r="K70" s="4" t="str">
        <f>""</f>
        <v/>
      </c>
      <c r="L70" s="3" t="str">
        <f>""</f>
        <v/>
      </c>
      <c r="M70" s="3" t="str">
        <f>""</f>
        <v/>
      </c>
      <c r="N70" s="3" t="str">
        <f>""</f>
        <v/>
      </c>
      <c r="O70" s="3" t="str">
        <f>""</f>
        <v/>
      </c>
      <c r="P70" s="3" t="str">
        <f>""</f>
        <v/>
      </c>
      <c r="Q70" s="3" t="str">
        <f>""</f>
        <v/>
      </c>
      <c r="R70" s="3" t="str">
        <f>""</f>
        <v/>
      </c>
      <c r="S70" s="3" t="str">
        <f>""</f>
        <v/>
      </c>
      <c r="T70" s="14" t="str">
        <f>""</f>
        <v/>
      </c>
      <c r="U70" s="14" t="str">
        <f>""</f>
        <v/>
      </c>
      <c r="V70" s="15">
        <v>29</v>
      </c>
      <c r="W70" s="15" t="str">
        <f>"10-80-000197"</f>
        <v>10-80-000197</v>
      </c>
      <c r="X70" s="15" t="str">
        <f>"ACTUATOR WITH MUSHER+PIN HOLDER"</f>
        <v>ACTUATOR WITH MUSHER+PIN HOLDER</v>
      </c>
      <c r="Y70" s="14">
        <v>2</v>
      </c>
      <c r="Z70" s="18" t="str">
        <f>""</f>
        <v/>
      </c>
      <c r="AA70" s="18">
        <v>0</v>
      </c>
      <c r="AB70" s="18" t="str">
        <f>""</f>
        <v/>
      </c>
      <c r="AC70" s="18" t="str">
        <f>""</f>
        <v/>
      </c>
      <c r="AD70" s="18" t="str">
        <f>""</f>
        <v/>
      </c>
      <c r="AE70" s="18" t="str">
        <f>""</f>
        <v/>
      </c>
      <c r="AF70" s="18" t="str">
        <f t="shared" si="12"/>
        <v/>
      </c>
      <c r="AG70" s="18" t="str">
        <f>""</f>
        <v/>
      </c>
      <c r="AH70" s="18" t="str">
        <f>""</f>
        <v/>
      </c>
      <c r="AI70" s="19" t="str">
        <f t="shared" si="13"/>
        <v/>
      </c>
      <c r="AJ70" t="str">
        <f>""</f>
        <v/>
      </c>
    </row>
    <row r="71" spans="1:36" x14ac:dyDescent="0.3">
      <c r="A71" t="s">
        <v>299</v>
      </c>
      <c r="B71" t="str">
        <f>"""SQL-NAVISION"","""",""SQL="",""14=Id_ Prefactura"",""PF26-00004176"",""2=Tipo documento"",""0"",""14=No_"",""PD260071471"",""14=No_ referencia transporte"",""INPOST220426.1"",""14=Familia pedido"","""",""15=Fecha confirmación SGA"",""23/04/2026"",""14=Nombre punto entrega"",""TIPSA SAN"&amp;"T BOI"",""14=Contacto punto entrega"",""DIEGO CASAGRANDE"",""14=Dirección punto entrega"",""CARRER DE LA CIENCIA, 26"",""14=C_P_ punto entrega"",""08840"",""14=Población punto entrega"",""Viladecans"",""14=Provincia punto entrega"",""Barcelona"",""14=País punto entrega"",""ES"","""&amp;"10=bultosP"",""1,00000000000000000000"",""14=No_ documento cliente"",""INPOST220426.1"",""14=Cód_ Servicio solicitado Fact_"",""STD"",""10=bultosE"",""1,00000000000000000000"",""10=Peso facturable"",""29,00000000000000000000"",""14=Cód_ operativa"",""053"",""14=Descripción"",""PRU"&amp;"EBA PILOTO INPOST"",""2=No_ línea"",""60000"",""14=No_ producto cliente"",""KIT-PC-USB"",""14=Descripción ampliada"",""KIT PC COMPACTO Y HDMI PC"",""10=Cantidad confirmada"",""2,00000000000000000000"",""2=numeroexpediciones"",""1"",""2=numeroalbaranes"",""1"",""10=manipulacion"",""8"&amp;",42236500000000000000"",""10=embalaje"",""1,30000000000000000000"",""10=transporte"",""8,83487100000000000000"",""10=prima"",""0,00000000000000000000"",""10=reembolso"",""0,00000000000000000000"",""10=impuestos"",""0,00000000000000000000"",""10=gestion"",""0,10598700000000000000"&amp;""",""10=franqueo"",""0,00000000000000000000"",""10=despacho"",""0,00000000000000000000"""</f>
        <v>"SQL-NAVISION","","SQL=","14=Id_ Prefactura","PF26-00004176","2=Tipo documento","0","14=No_","PD260071471","14=No_ referencia transporte","INPOST220426.1","14=Familia pedido","","15=Fecha confirmación SGA","23/04/2026","14=Nombre punto entrega","TIPSA SANT BOI","14=Contacto punto entrega","DIEGO CASAGRANDE","14=Dirección punto entrega","CARRER DE LA CIENCIA, 26","14=C_P_ punto entrega","08840","14=Población punto entrega","Viladecans","14=Provincia punto entrega","Barcelona","14=País punto entrega","ES","10=bultosP","1,00000000000000000000","14=No_ documento cliente","INPOST220426.1","14=Cód_ Servicio solicitado Fact_","STD","10=bultosE","1,00000000000000000000","10=Peso facturable","29,00000000000000000000","14=Cód_ operativa","053","14=Descripción","PRUEBA PILOTO INPOST","2=No_ línea","60000","14=No_ producto cliente","KIT-PC-USB","14=Descripción ampliada","KIT PC COMPACTO Y HDMI PC","10=Cantidad confirmada","2,00000000000000000000","2=numeroexpediciones","1","2=numeroalbaranes","1","10=manipulacion","8,42236500000000000000","10=embalaje","1,30000000000000000000","10=transporte","8,83487100000000000000","10=prima","0,00000000000000000000","10=reembolso","0,00000000000000000000","10=impuestos","0,00000000000000000000","10=gestion","0,10598700000000000000","10=franqueo","0,00000000000000000000","10=despacho","0,00000000000000000000"</v>
      </c>
      <c r="C71" t="str">
        <f t="shared" si="11"/>
        <v>PD260071471</v>
      </c>
      <c r="D71" s="3" t="str">
        <f>""</f>
        <v/>
      </c>
      <c r="E71" s="3" t="str">
        <f>""</f>
        <v/>
      </c>
      <c r="F71" s="3" t="str">
        <f>""</f>
        <v/>
      </c>
      <c r="G71" s="3" t="str">
        <f>""</f>
        <v/>
      </c>
      <c r="H71" s="3" t="str">
        <f>""</f>
        <v/>
      </c>
      <c r="I71" s="3" t="str">
        <f>""</f>
        <v/>
      </c>
      <c r="J71" s="3" t="str">
        <f>""</f>
        <v/>
      </c>
      <c r="K71" s="4" t="str">
        <f>""</f>
        <v/>
      </c>
      <c r="L71" s="3" t="str">
        <f>""</f>
        <v/>
      </c>
      <c r="M71" s="3" t="str">
        <f>""</f>
        <v/>
      </c>
      <c r="N71" s="3" t="str">
        <f>""</f>
        <v/>
      </c>
      <c r="O71" s="3" t="str">
        <f>""</f>
        <v/>
      </c>
      <c r="P71" s="3" t="str">
        <f>""</f>
        <v/>
      </c>
      <c r="Q71" s="3" t="str">
        <f>""</f>
        <v/>
      </c>
      <c r="R71" s="3" t="str">
        <f>""</f>
        <v/>
      </c>
      <c r="S71" s="3" t="str">
        <f>""</f>
        <v/>
      </c>
      <c r="T71" s="14" t="str">
        <f>""</f>
        <v/>
      </c>
      <c r="U71" s="14" t="str">
        <f>""</f>
        <v/>
      </c>
      <c r="V71" s="15">
        <v>29</v>
      </c>
      <c r="W71" s="15" t="str">
        <f>"KIT-PC-USB"</f>
        <v>KIT-PC-USB</v>
      </c>
      <c r="X71" s="15" t="str">
        <f>"KIT PC COMPACTO Y HDMI PC"</f>
        <v>KIT PC COMPACTO Y HDMI PC</v>
      </c>
      <c r="Y71" s="14">
        <v>2</v>
      </c>
      <c r="Z71" s="18" t="str">
        <f>""</f>
        <v/>
      </c>
      <c r="AA71" s="18">
        <v>0</v>
      </c>
      <c r="AB71" s="18" t="str">
        <f>""</f>
        <v/>
      </c>
      <c r="AC71" s="18" t="str">
        <f>""</f>
        <v/>
      </c>
      <c r="AD71" s="18" t="str">
        <f>""</f>
        <v/>
      </c>
      <c r="AE71" s="18" t="str">
        <f>""</f>
        <v/>
      </c>
      <c r="AF71" s="18" t="str">
        <f t="shared" si="12"/>
        <v/>
      </c>
      <c r="AG71" s="18" t="str">
        <f>""</f>
        <v/>
      </c>
      <c r="AH71" s="18" t="str">
        <f>""</f>
        <v/>
      </c>
      <c r="AI71" s="19" t="str">
        <f t="shared" si="13"/>
        <v/>
      </c>
      <c r="AJ71" t="str">
        <f>""</f>
        <v/>
      </c>
    </row>
    <row r="72" spans="1:36" x14ac:dyDescent="0.3">
      <c r="A72" t="s">
        <v>299</v>
      </c>
      <c r="B72" t="str">
        <f>"""SQL-NAVISION"","""",""SQL="",""14=Id_ Prefactura"",""PF26-00004176"",""2=Tipo documento"",""0"",""14=No_"",""PD260071471"",""14=No_ referencia transporte"",""INPOST220426.1"",""14=Familia pedido"","""",""15=Fecha confirmación SGA"",""23/04/2026"",""14=Nombre punto entrega"",""TIPSA SAN"&amp;"T BOI"",""14=Contacto punto entrega"",""DIEGO CASAGRANDE"",""14=Dirección punto entrega"",""CARRER DE LA CIENCIA, 26"",""14=C_P_ punto entrega"",""08840"",""14=Población punto entrega"",""Viladecans"",""14=Provincia punto entrega"",""Barcelona"",""14=País punto entrega"",""ES"","""&amp;"10=bultosP"",""1,00000000000000000000"",""14=No_ documento cliente"",""INPOST220426.1"",""14=Cód_ Servicio solicitado Fact_"",""STD"",""10=bultosE"",""1,00000000000000000000"",""10=Peso facturable"",""29,00000000000000000000"",""14=Cód_ operativa"",""053"",""14=Descripción"",""PRU"&amp;"EBA PILOTO INPOST"",""2=No_ línea"",""70000"",""14=No_ producto cliente"",""KIT-RE-SOBRE"",""14=Descripción ampliada"",""KIT REPUESTO COMPARTIMENTO SOBRE"",""10=Cantidad confirmada"",""2,00000000000000000000"",""2=numeroexpediciones"",""1"",""2=numeroalbaranes"",""1"",""10=manipul"&amp;"acion"",""8,42236500000000000000"",""10=embalaje"",""1,30000000000000000000"",""10=transporte"",""8,83487100000000000000"",""10=prima"",""0,00000000000000000000"",""10=reembolso"",""0,00000000000000000000"",""10=impuestos"",""0,00000000000000000000"",""10=gestion"",""0,10598700000"&amp;"000000000"",""10=franqueo"",""0,00000000000000000000"",""10=despacho"",""0,00000000000000000000"""</f>
        <v>"SQL-NAVISION","","SQL=","14=Id_ Prefactura","PF26-00004176","2=Tipo documento","0","14=No_","PD260071471","14=No_ referencia transporte","INPOST220426.1","14=Familia pedido","","15=Fecha confirmación SGA","23/04/2026","14=Nombre punto entrega","TIPSA SANT BOI","14=Contacto punto entrega","DIEGO CASAGRANDE","14=Dirección punto entrega","CARRER DE LA CIENCIA, 26","14=C_P_ punto entrega","08840","14=Población punto entrega","Viladecans","14=Provincia punto entrega","Barcelona","14=País punto entrega","ES","10=bultosP","1,00000000000000000000","14=No_ documento cliente","INPOST220426.1","14=Cód_ Servicio solicitado Fact_","STD","10=bultosE","1,00000000000000000000","10=Peso facturable","29,00000000000000000000","14=Cód_ operativa","053","14=Descripción","PRUEBA PILOTO INPOST","2=No_ línea","70000","14=No_ producto cliente","KIT-RE-SOBRE","14=Descripción ampliada","KIT REPUESTO COMPARTIMENTO SOBRE","10=Cantidad confirmada","2,00000000000000000000","2=numeroexpediciones","1","2=numeroalbaranes","1","10=manipulacion","8,42236500000000000000","10=embalaje","1,30000000000000000000","10=transporte","8,83487100000000000000","10=prima","0,00000000000000000000","10=reembolso","0,00000000000000000000","10=impuestos","0,00000000000000000000","10=gestion","0,10598700000000000000","10=franqueo","0,00000000000000000000","10=despacho","0,00000000000000000000"</v>
      </c>
      <c r="C72" t="str">
        <f t="shared" si="11"/>
        <v>PD260071471</v>
      </c>
      <c r="D72" s="3" t="str">
        <f>""</f>
        <v/>
      </c>
      <c r="E72" s="3" t="str">
        <f>""</f>
        <v/>
      </c>
      <c r="F72" s="3" t="str">
        <f>""</f>
        <v/>
      </c>
      <c r="G72" s="3" t="str">
        <f>""</f>
        <v/>
      </c>
      <c r="H72" s="3" t="str">
        <f>""</f>
        <v/>
      </c>
      <c r="I72" s="3" t="str">
        <f>""</f>
        <v/>
      </c>
      <c r="J72" s="3" t="str">
        <f>""</f>
        <v/>
      </c>
      <c r="K72" s="4" t="str">
        <f>""</f>
        <v/>
      </c>
      <c r="L72" s="3" t="str">
        <f>""</f>
        <v/>
      </c>
      <c r="M72" s="3" t="str">
        <f>""</f>
        <v/>
      </c>
      <c r="N72" s="3" t="str">
        <f>""</f>
        <v/>
      </c>
      <c r="O72" s="3" t="str">
        <f>""</f>
        <v/>
      </c>
      <c r="P72" s="3" t="str">
        <f>""</f>
        <v/>
      </c>
      <c r="Q72" s="3" t="str">
        <f>""</f>
        <v/>
      </c>
      <c r="R72" s="3" t="str">
        <f>""</f>
        <v/>
      </c>
      <c r="S72" s="3" t="str">
        <f>""</f>
        <v/>
      </c>
      <c r="T72" s="14" t="str">
        <f>""</f>
        <v/>
      </c>
      <c r="U72" s="14" t="str">
        <f>""</f>
        <v/>
      </c>
      <c r="V72" s="15">
        <v>29</v>
      </c>
      <c r="W72" s="15" t="str">
        <f>"KIT-RE-SOBRE"</f>
        <v>KIT-RE-SOBRE</v>
      </c>
      <c r="X72" s="15" t="str">
        <f>"KIT REPUESTO COMPARTIMENTO SOBRE"</f>
        <v>KIT REPUESTO COMPARTIMENTO SOBRE</v>
      </c>
      <c r="Y72" s="14">
        <v>2</v>
      </c>
      <c r="Z72" s="18" t="str">
        <f>""</f>
        <v/>
      </c>
      <c r="AA72" s="18">
        <v>0</v>
      </c>
      <c r="AB72" s="18" t="str">
        <f>""</f>
        <v/>
      </c>
      <c r="AC72" s="18" t="str">
        <f>""</f>
        <v/>
      </c>
      <c r="AD72" s="18" t="str">
        <f>""</f>
        <v/>
      </c>
      <c r="AE72" s="18" t="str">
        <f>""</f>
        <v/>
      </c>
      <c r="AF72" s="18" t="str">
        <f t="shared" si="12"/>
        <v/>
      </c>
      <c r="AG72" s="18" t="str">
        <f>""</f>
        <v/>
      </c>
      <c r="AH72" s="18" t="str">
        <f>""</f>
        <v/>
      </c>
      <c r="AI72" s="19" t="str">
        <f t="shared" si="13"/>
        <v/>
      </c>
      <c r="AJ72" t="str">
        <f>""</f>
        <v/>
      </c>
    </row>
    <row r="73" spans="1:36" x14ac:dyDescent="0.3">
      <c r="A73" t="s">
        <v>299</v>
      </c>
      <c r="B73" t="str">
        <f>"""SQL-NAVISION"","""",""SQL="",""14=Id_ Prefactura"",""PF26-00004176"",""2=Tipo documento"",""0"",""14=No_"",""PD260071471"",""14=No_ referencia transporte"",""INPOST220426.1"",""14=Familia pedido"","""",""15=Fecha confirmación SGA"",""23/04/2026"",""14=Nombre punto entrega"",""TIPSA SAN"&amp;"T BOI"",""14=Contacto punto entrega"",""DIEGO CASAGRANDE"",""14=Dirección punto entrega"",""CARRER DE LA CIENCIA, 26"",""14=C_P_ punto entrega"",""08840"",""14=Población punto entrega"",""Viladecans"",""14=Provincia punto entrega"",""Barcelona"",""14=País punto entrega"",""ES"","""&amp;"10=bultosP"",""1,00000000000000000000"",""14=No_ documento cliente"",""INPOST220426.1"",""14=Cód_ Servicio solicitado Fact_"",""STD"",""10=bultosE"",""1,00000000000000000000"",""10=Peso facturable"",""29,00000000000000000000"",""14=Cód_ operativa"",""053"",""14=Descripción"",""PRU"&amp;"EBA PILOTO INPOST"",""2=No_ línea"",""80000"",""14=No_ producto cliente"",""10-21-000927"",""14=Descripción ampliada"",""ANTENA INDOOR MAGNETICA DE 10.5 M."",""10=Cantidad confirmada"",""1,00000000000000000000"",""2=numeroexpediciones"",""1"",""2=numeroalbaranes"",""1"",""10=manip"&amp;"ulacion"",""8,42236500000000000000"",""10=embalaje"",""1,30000000000000000000"",""10=transporte"",""8,83487100000000000000"",""10=prima"",""0,00000000000000000000"",""10=reembolso"",""0,00000000000000000000"",""10=impuestos"",""0,00000000000000000000"",""10=gestion"",""0,105987000"&amp;"00000000000"",""10=franqueo"",""0,00000000000000000000"",""10=despacho"",""0,00000000000000000000"""</f>
        <v>"SQL-NAVISION","","SQL=","14=Id_ Prefactura","PF26-00004176","2=Tipo documento","0","14=No_","PD260071471","14=No_ referencia transporte","INPOST220426.1","14=Familia pedido","","15=Fecha confirmación SGA","23/04/2026","14=Nombre punto entrega","TIPSA SANT BOI","14=Contacto punto entrega","DIEGO CASAGRANDE","14=Dirección punto entrega","CARRER DE LA CIENCIA, 26","14=C_P_ punto entrega","08840","14=Población punto entrega","Viladecans","14=Provincia punto entrega","Barcelona","14=País punto entrega","ES","10=bultosP","1,00000000000000000000","14=No_ documento cliente","INPOST220426.1","14=Cód_ Servicio solicitado Fact_","STD","10=bultosE","1,00000000000000000000","10=Peso facturable","29,00000000000000000000","14=Cód_ operativa","053","14=Descripción","PRUEBA PILOTO INPOST","2=No_ línea","80000","14=No_ producto cliente","10-21-000927","14=Descripción ampliada","ANTENA INDOOR MAGNETICA DE 10.5 M.","10=Cantidad confirmada","1,00000000000000000000","2=numeroexpediciones","1","2=numeroalbaranes","1","10=manipulacion","8,42236500000000000000","10=embalaje","1,30000000000000000000","10=transporte","8,83487100000000000000","10=prima","0,00000000000000000000","10=reembolso","0,00000000000000000000","10=impuestos","0,00000000000000000000","10=gestion","0,10598700000000000000","10=franqueo","0,00000000000000000000","10=despacho","0,00000000000000000000"</v>
      </c>
      <c r="C73" t="str">
        <f t="shared" si="11"/>
        <v>PD260071471</v>
      </c>
      <c r="D73" s="3" t="str">
        <f>""</f>
        <v/>
      </c>
      <c r="E73" s="3" t="str">
        <f>""</f>
        <v/>
      </c>
      <c r="F73" s="3" t="str">
        <f>""</f>
        <v/>
      </c>
      <c r="G73" s="3" t="str">
        <f>""</f>
        <v/>
      </c>
      <c r="H73" s="3" t="str">
        <f>""</f>
        <v/>
      </c>
      <c r="I73" s="3" t="str">
        <f>""</f>
        <v/>
      </c>
      <c r="J73" s="3" t="str">
        <f>""</f>
        <v/>
      </c>
      <c r="K73" s="4" t="str">
        <f>""</f>
        <v/>
      </c>
      <c r="L73" s="3" t="str">
        <f>""</f>
        <v/>
      </c>
      <c r="M73" s="3" t="str">
        <f>""</f>
        <v/>
      </c>
      <c r="N73" s="3" t="str">
        <f>""</f>
        <v/>
      </c>
      <c r="O73" s="3" t="str">
        <f>""</f>
        <v/>
      </c>
      <c r="P73" s="3" t="str">
        <f>""</f>
        <v/>
      </c>
      <c r="Q73" s="3" t="str">
        <f>""</f>
        <v/>
      </c>
      <c r="R73" s="3" t="str">
        <f>""</f>
        <v/>
      </c>
      <c r="S73" s="3" t="str">
        <f>""</f>
        <v/>
      </c>
      <c r="T73" s="14" t="str">
        <f>""</f>
        <v/>
      </c>
      <c r="U73" s="14" t="str">
        <f>""</f>
        <v/>
      </c>
      <c r="V73" s="15">
        <v>29</v>
      </c>
      <c r="W73" s="15" t="str">
        <f>"10-21-000927"</f>
        <v>10-21-000927</v>
      </c>
      <c r="X73" s="15" t="str">
        <f>"ANTENA INDOOR MAGNETICA DE 10.5 M."</f>
        <v>ANTENA INDOOR MAGNETICA DE 10.5 M.</v>
      </c>
      <c r="Y73" s="14">
        <v>1</v>
      </c>
      <c r="Z73" s="18" t="str">
        <f>""</f>
        <v/>
      </c>
      <c r="AA73" s="18">
        <v>0</v>
      </c>
      <c r="AB73" s="18" t="str">
        <f>""</f>
        <v/>
      </c>
      <c r="AC73" s="18" t="str">
        <f>""</f>
        <v/>
      </c>
      <c r="AD73" s="18" t="str">
        <f>""</f>
        <v/>
      </c>
      <c r="AE73" s="18" t="str">
        <f>""</f>
        <v/>
      </c>
      <c r="AF73" s="18" t="str">
        <f t="shared" si="12"/>
        <v/>
      </c>
      <c r="AG73" s="18" t="str">
        <f>""</f>
        <v/>
      </c>
      <c r="AH73" s="18" t="str">
        <f>""</f>
        <v/>
      </c>
      <c r="AI73" s="19" t="str">
        <f t="shared" si="13"/>
        <v/>
      </c>
      <c r="AJ73" t="str">
        <f>""</f>
        <v/>
      </c>
    </row>
    <row r="74" spans="1:36" x14ac:dyDescent="0.3">
      <c r="A74" t="s">
        <v>299</v>
      </c>
      <c r="B74" t="str">
        <f>"""SQL-NAVISION"","""",""SQL="",""14=Id_ Prefactura"",""PF26-00004176"",""2=Tipo documento"",""0"",""14=No_"",""PD260071471"",""14=No_ referencia transporte"",""INPOST220426.1"",""14=Familia pedido"","""",""15=Fecha confirmación SGA"",""23/04/2026"",""14=Nombre punto entrega"",""TIPSA SAN"&amp;"T BOI"",""14=Contacto punto entrega"",""DIEGO CASAGRANDE"",""14=Dirección punto entrega"",""CARRER DE LA CIENCIA, 26"",""14=C_P_ punto entrega"",""08840"",""14=Población punto entrega"",""Viladecans"",""14=Provincia punto entrega"",""Barcelona"",""14=País punto entrega"",""ES"","""&amp;"10=bultosP"",""1,00000000000000000000"",""14=No_ documento cliente"",""INPOST220426.1"",""14=Cód_ Servicio solicitado Fact_"",""STD"",""10=bultosE"",""1,00000000000000000000"",""10=Peso facturable"",""29,00000000000000000000"",""14=Cód_ operativa"",""053"",""14=Descripción"",""PRU"&amp;"EBA PILOTO INPOST"",""2=No_ línea"",""90000"",""14=No_ producto cliente"",""10-21-000944"",""14=Descripción ampliada"",""ESCANER NEWLAND"",""10=Cantidad confirmada"",""1,00000000000000000000"",""2=numeroexpediciones"",""1"",""2=numeroalbaranes"",""1"",""10=manipulacion"",""8,4223650"&amp;"0000000000000"",""10=embalaje"",""1,30000000000000000000"",""10=transporte"",""8,83487100000000000000"",""10=prima"",""0,00000000000000000000"",""10=reembolso"",""0,00000000000000000000"",""10=impuestos"",""0,00000000000000000000"",""10=gestion"",""0,10598700000000000000"",""10=fr"&amp;"anqueo"",""0,00000000000000000000"",""10=despacho"",""0,00000000000000000000"""</f>
        <v>"SQL-NAVISION","","SQL=","14=Id_ Prefactura","PF26-00004176","2=Tipo documento","0","14=No_","PD260071471","14=No_ referencia transporte","INPOST220426.1","14=Familia pedido","","15=Fecha confirmación SGA","23/04/2026","14=Nombre punto entrega","TIPSA SANT BOI","14=Contacto punto entrega","DIEGO CASAGRANDE","14=Dirección punto entrega","CARRER DE LA CIENCIA, 26","14=C_P_ punto entrega","08840","14=Población punto entrega","Viladecans","14=Provincia punto entrega","Barcelona","14=País punto entrega","ES","10=bultosP","1,00000000000000000000","14=No_ documento cliente","INPOST220426.1","14=Cód_ Servicio solicitado Fact_","STD","10=bultosE","1,00000000000000000000","10=Peso facturable","29,00000000000000000000","14=Cód_ operativa","053","14=Descripción","PRUEBA PILOTO INPOST","2=No_ línea","90000","14=No_ producto cliente","10-21-000944","14=Descripción ampliada","ESCANER NEWLAND","10=Cantidad confirmada","1,00000000000000000000","2=numeroexpediciones","1","2=numeroalbaranes","1","10=manipulacion","8,42236500000000000000","10=embalaje","1,30000000000000000000","10=transporte","8,83487100000000000000","10=prima","0,00000000000000000000","10=reembolso","0,00000000000000000000","10=impuestos","0,00000000000000000000","10=gestion","0,10598700000000000000","10=franqueo","0,00000000000000000000","10=despacho","0,00000000000000000000"</v>
      </c>
      <c r="C74" t="str">
        <f t="shared" si="11"/>
        <v>PD260071471</v>
      </c>
      <c r="D74" s="3" t="str">
        <f>""</f>
        <v/>
      </c>
      <c r="E74" s="3" t="str">
        <f>""</f>
        <v/>
      </c>
      <c r="F74" s="3" t="str">
        <f>""</f>
        <v/>
      </c>
      <c r="G74" s="3" t="str">
        <f>""</f>
        <v/>
      </c>
      <c r="H74" s="3" t="str">
        <f>""</f>
        <v/>
      </c>
      <c r="I74" s="3" t="str">
        <f>""</f>
        <v/>
      </c>
      <c r="J74" s="3" t="str">
        <f>""</f>
        <v/>
      </c>
      <c r="K74" s="4" t="str">
        <f>""</f>
        <v/>
      </c>
      <c r="L74" s="3" t="str">
        <f>""</f>
        <v/>
      </c>
      <c r="M74" s="3" t="str">
        <f>""</f>
        <v/>
      </c>
      <c r="N74" s="3" t="str">
        <f>""</f>
        <v/>
      </c>
      <c r="O74" s="3" t="str">
        <f>""</f>
        <v/>
      </c>
      <c r="P74" s="3" t="str">
        <f>""</f>
        <v/>
      </c>
      <c r="Q74" s="3" t="str">
        <f>""</f>
        <v/>
      </c>
      <c r="R74" s="3" t="str">
        <f>""</f>
        <v/>
      </c>
      <c r="S74" s="3" t="str">
        <f>""</f>
        <v/>
      </c>
      <c r="T74" s="14" t="str">
        <f>""</f>
        <v/>
      </c>
      <c r="U74" s="14" t="str">
        <f>""</f>
        <v/>
      </c>
      <c r="V74" s="15">
        <v>29</v>
      </c>
      <c r="W74" s="15" t="str">
        <f>"10-21-000944"</f>
        <v>10-21-000944</v>
      </c>
      <c r="X74" s="15" t="str">
        <f>"ESCANER NEWLAND"</f>
        <v>ESCANER NEWLAND</v>
      </c>
      <c r="Y74" s="14">
        <v>1</v>
      </c>
      <c r="Z74" s="18" t="str">
        <f>""</f>
        <v/>
      </c>
      <c r="AA74" s="18">
        <v>0</v>
      </c>
      <c r="AB74" s="18" t="str">
        <f>""</f>
        <v/>
      </c>
      <c r="AC74" s="18" t="str">
        <f>""</f>
        <v/>
      </c>
      <c r="AD74" s="18" t="str">
        <f>""</f>
        <v/>
      </c>
      <c r="AE74" s="18" t="str">
        <f>""</f>
        <v/>
      </c>
      <c r="AF74" s="18" t="str">
        <f t="shared" si="12"/>
        <v/>
      </c>
      <c r="AG74" s="18" t="str">
        <f>""</f>
        <v/>
      </c>
      <c r="AH74" s="18" t="str">
        <f>""</f>
        <v/>
      </c>
      <c r="AI74" s="19" t="str">
        <f t="shared" si="13"/>
        <v/>
      </c>
      <c r="AJ74" t="str">
        <f>""</f>
        <v/>
      </c>
    </row>
    <row r="75" spans="1:36" x14ac:dyDescent="0.3">
      <c r="A75" t="s">
        <v>299</v>
      </c>
      <c r="B75" t="str">
        <f>"""SQL-NAVISION"","""",""SQL="",""14=Id_ Prefactura"",""PF26-00004176"",""2=Tipo documento"",""0"",""14=No_"",""PD260071472"",""14=No_ referencia transporte"",""INPOST220426.2"",""14=Familia pedido"","""",""15=Fecha confirmación SGA"",""23/04/2026"",""14=Nombre punto entrega"",""TIPSA BAD"&amp;"ALONA"",""14=Contacto punto entrega"",""HECTOR ALEJANDRO CARABAJAL"",""14=Dirección punto entrega"",""CARRER DE LA MAR JONICA, 5,LOCAL 14"",""14=C_P_ punto entrega"",""08918"",""14=Población punto entrega"",""BADALONA"",""14=Provincia punto entrega"",""Barcelona"",""14=País pu"&amp;"nto entrega"",""ES"",""10=bultosP"",""2,00000000000000000000"",""14=No_ documento cliente"",""INPOST220426.2"",""14=Cód_ Servicio solicitado Fact_"",""STD"",""10=bultosE"",""2,00000000000000000000"",""10=Peso facturable"",""36,00000000000000000000"",""14=Cód_ operativa"",""053"",""1"&amp;"4=Descripción"",""PRUEBA PILOTO INPOST"",""2=No_ línea"",""20000"",""14=No_ producto cliente"",""10-21-000643"",""14=Descripción ampliada"",""ROUTER ALC"",""10=Cantidad confirmada"",""5,00000000000000000000"",""2=numeroexpediciones"",""1"",""2=numeroalbaranes"",""1"",""10=manipulaci"&amp;"on"",""9,59233800000000000000"",""10=embalaje"",""1,30000000000000000000"",""10=transporte"",""12,35577900000000000000"",""10=prima"",""0,00000000000000000000"",""10=reembolso"",""0,00000000000000000000"",""10=impuestos"",""0,00000000000000000000"",""10=gestion"",""0,1059870000000"&amp;"0000000"",""10=franqueo"",""0,00000000000000000000"",""10=despacho"",""0,00000000000000000000"""</f>
        <v>"SQL-NAVISION","","SQL=","14=Id_ Prefactura","PF26-00004176","2=Tipo documento","0","14=No_","PD260071472","14=No_ referencia transporte","INPOST220426.2","14=Familia pedido","","15=Fecha confirmación SGA","23/04/2026","14=Nombre punto entrega","TIPSA BADALONA","14=Contacto punto entrega","HECTOR ALEJANDRO CARABAJAL","14=Dirección punto entrega","CARRER DE LA MAR JONICA, 5,LOCAL 14","14=C_P_ punto entrega","08918","14=Población punto entrega","BADALONA","14=Provincia punto entrega","Barcelona","14=País punto entrega","ES","10=bultosP","2,00000000000000000000","14=No_ documento cliente","INPOST220426.2","14=Cód_ Servicio solicitado Fact_","STD","10=bultosE","2,00000000000000000000","10=Peso facturable","36,00000000000000000000","14=Cód_ operativa","053","14=Descripción","PRUEBA PILOTO INPOST","2=No_ línea","20000","14=No_ producto cliente","10-21-000643","14=Descripción ampliada","ROUTER ALC","10=Cantidad confirmada","5,00000000000000000000","2=numeroexpediciones","1","2=numeroalbaranes","1","10=manipulacion","9,59233800000000000000","10=embalaje","1,30000000000000000000","10=transporte","12,35577900000000000000","10=prima","0,00000000000000000000","10=reembolso","0,00000000000000000000","10=impuestos","0,00000000000000000000","10=gestion","0,10598700000000000000","10=franqueo","0,00000000000000000000","10=despacho","0,00000000000000000000"</v>
      </c>
      <c r="C75" t="str">
        <f t="shared" ref="C75:C83" si="14">"PD260071472"</f>
        <v>PD260071472</v>
      </c>
      <c r="D75" s="3" t="str">
        <f>""</f>
        <v/>
      </c>
      <c r="E75" s="3" t="str">
        <f>""</f>
        <v/>
      </c>
      <c r="F75" s="3" t="str">
        <f>""</f>
        <v/>
      </c>
      <c r="G75" s="3" t="str">
        <f>""</f>
        <v/>
      </c>
      <c r="H75" s="3" t="str">
        <f>""</f>
        <v/>
      </c>
      <c r="I75" s="3" t="str">
        <f>""</f>
        <v/>
      </c>
      <c r="J75" s="3" t="str">
        <f>""</f>
        <v/>
      </c>
      <c r="K75" s="4" t="str">
        <f>""</f>
        <v/>
      </c>
      <c r="L75" s="3" t="str">
        <f>""</f>
        <v/>
      </c>
      <c r="M75" s="3" t="str">
        <f>""</f>
        <v/>
      </c>
      <c r="N75" s="3" t="str">
        <f>""</f>
        <v/>
      </c>
      <c r="O75" s="3" t="str">
        <f>""</f>
        <v/>
      </c>
      <c r="P75" s="3" t="str">
        <f>""</f>
        <v/>
      </c>
      <c r="Q75" s="3" t="str">
        <f>""</f>
        <v/>
      </c>
      <c r="R75" s="3" t="str">
        <f>""</f>
        <v/>
      </c>
      <c r="S75" s="3" t="str">
        <f>""</f>
        <v/>
      </c>
      <c r="T75" s="14" t="str">
        <f>""</f>
        <v/>
      </c>
      <c r="U75" s="14" t="str">
        <f>""</f>
        <v/>
      </c>
      <c r="V75" s="15">
        <v>36</v>
      </c>
      <c r="W75" s="15" t="str">
        <f>"10-21-000643"</f>
        <v>10-21-000643</v>
      </c>
      <c r="X75" s="15" t="str">
        <f>"ROUTER ALC"</f>
        <v>ROUTER ALC</v>
      </c>
      <c r="Y75" s="14">
        <v>5</v>
      </c>
      <c r="Z75" s="18" t="str">
        <f>""</f>
        <v/>
      </c>
      <c r="AA75" s="18">
        <v>0</v>
      </c>
      <c r="AB75" s="18" t="str">
        <f>""</f>
        <v/>
      </c>
      <c r="AC75" s="18" t="str">
        <f>""</f>
        <v/>
      </c>
      <c r="AD75" s="18" t="str">
        <f>""</f>
        <v/>
      </c>
      <c r="AE75" s="18" t="str">
        <f>""</f>
        <v/>
      </c>
      <c r="AF75" s="18" t="str">
        <f t="shared" si="12"/>
        <v/>
      </c>
      <c r="AG75" s="18" t="str">
        <f>""</f>
        <v/>
      </c>
      <c r="AH75" s="18" t="str">
        <f>""</f>
        <v/>
      </c>
      <c r="AI75" s="19" t="str">
        <f t="shared" si="13"/>
        <v/>
      </c>
      <c r="AJ75" t="str">
        <f>""</f>
        <v/>
      </c>
    </row>
    <row r="76" spans="1:36" x14ac:dyDescent="0.3">
      <c r="A76" t="s">
        <v>299</v>
      </c>
      <c r="B76" t="str">
        <f>"""SQL-NAVISION"","""",""SQL="",""14=Id_ Prefactura"",""PF26-00004176"",""2=Tipo documento"",""0"",""14=No_"",""PD260071472"",""14=No_ referencia transporte"",""INPOST220426.2"",""14=Familia pedido"","""",""15=Fecha confirmación SGA"",""23/04/2026"",""14=Nombre punto entrega"",""TIPSA BAD"&amp;"ALONA"",""14=Contacto punto entrega"",""HECTOR ALEJANDRO CARABAJAL"",""14=Dirección punto entrega"",""CARRER DE LA MAR JONICA, 5,LOCAL 14"",""14=C_P_ punto entrega"",""08918"",""14=Población punto entrega"",""BADALONA"",""14=Provincia punto entrega"",""Barcelona"",""14=País pu"&amp;"nto entrega"",""ES"",""10=bultosP"",""2,00000000000000000000"",""14=No_ documento cliente"",""INPOST220426.2"",""14=Cód_ Servicio solicitado Fact_"",""STD"",""10=bultosE"",""2,00000000000000000000"",""10=Peso facturable"",""36,00000000000000000000"",""14=Cód_ operativa"",""053"",""1"&amp;"4=Descripción"",""PRUEBA PILOTO INPOST"",""2=No_ línea"",""30000"",""14=No_ producto cliente"",""10-50-000666"",""14=Descripción ampliada"",""CERRADURAS DE LOCKER"",""10=Cantidad confirmada"",""5,00000000000000000000"",""2=numeroexpediciones"",""1"",""2=numeroalbaranes"",""1"",""10="&amp;"manipulacion"",""9,59233800000000000000"",""10=embalaje"",""1,30000000000000000000"",""10=transporte"",""12,35577900000000000000"",""10=prima"",""0,00000000000000000000"",""10=reembolso"",""0,00000000000000000000"",""10=impuestos"",""0,00000000000000000000"",""10=gestion"",""0,105"&amp;"98700000000000000"",""10=franqueo"",""0,00000000000000000000"",""10=despacho"",""0,00000000000000000000"""</f>
        <v>"SQL-NAVISION","","SQL=","14=Id_ Prefactura","PF26-00004176","2=Tipo documento","0","14=No_","PD260071472","14=No_ referencia transporte","INPOST220426.2","14=Familia pedido","","15=Fecha confirmación SGA","23/04/2026","14=Nombre punto entrega","TIPSA BADALONA","14=Contacto punto entrega","HECTOR ALEJANDRO CARABAJAL","14=Dirección punto entrega","CARRER DE LA MAR JONICA, 5,LOCAL 14","14=C_P_ punto entrega","08918","14=Población punto entrega","BADALONA","14=Provincia punto entrega","Barcelona","14=País punto entrega","ES","10=bultosP","2,00000000000000000000","14=No_ documento cliente","INPOST220426.2","14=Cód_ Servicio solicitado Fact_","STD","10=bultosE","2,00000000000000000000","10=Peso facturable","36,00000000000000000000","14=Cód_ operativa","053","14=Descripción","PRUEBA PILOTO INPOST","2=No_ línea","30000","14=No_ producto cliente","10-50-000666","14=Descripción ampliada","CERRADURAS DE LOCKER","10=Cantidad confirmada","5,00000000000000000000","2=numeroexpediciones","1","2=numeroalbaranes","1","10=manipulacion","9,59233800000000000000","10=embalaje","1,30000000000000000000","10=transporte","12,35577900000000000000","10=prima","0,00000000000000000000","10=reembolso","0,00000000000000000000","10=impuestos","0,00000000000000000000","10=gestion","0,10598700000000000000","10=franqueo","0,00000000000000000000","10=despacho","0,00000000000000000000"</v>
      </c>
      <c r="C76" t="str">
        <f t="shared" si="14"/>
        <v>PD260071472</v>
      </c>
      <c r="D76" s="3" t="str">
        <f>""</f>
        <v/>
      </c>
      <c r="E76" s="3" t="str">
        <f>""</f>
        <v/>
      </c>
      <c r="F76" s="3" t="str">
        <f>""</f>
        <v/>
      </c>
      <c r="G76" s="3" t="str">
        <f>""</f>
        <v/>
      </c>
      <c r="H76" s="3" t="str">
        <f>""</f>
        <v/>
      </c>
      <c r="I76" s="3" t="str">
        <f>""</f>
        <v/>
      </c>
      <c r="J76" s="3" t="str">
        <f>""</f>
        <v/>
      </c>
      <c r="K76" s="4" t="str">
        <f>""</f>
        <v/>
      </c>
      <c r="L76" s="3" t="str">
        <f>""</f>
        <v/>
      </c>
      <c r="M76" s="3" t="str">
        <f>""</f>
        <v/>
      </c>
      <c r="N76" s="3" t="str">
        <f>""</f>
        <v/>
      </c>
      <c r="O76" s="3" t="str">
        <f>""</f>
        <v/>
      </c>
      <c r="P76" s="3" t="str">
        <f>""</f>
        <v/>
      </c>
      <c r="Q76" s="3" t="str">
        <f>""</f>
        <v/>
      </c>
      <c r="R76" s="3" t="str">
        <f>""</f>
        <v/>
      </c>
      <c r="S76" s="3" t="str">
        <f>""</f>
        <v/>
      </c>
      <c r="T76" s="14" t="str">
        <f>""</f>
        <v/>
      </c>
      <c r="U76" s="14" t="str">
        <f>""</f>
        <v/>
      </c>
      <c r="V76" s="15">
        <v>36</v>
      </c>
      <c r="W76" s="15" t="str">
        <f>"10-50-000666"</f>
        <v>10-50-000666</v>
      </c>
      <c r="X76" s="15" t="str">
        <f>"CERRADURAS DE LOCKER"</f>
        <v>CERRADURAS DE LOCKER</v>
      </c>
      <c r="Y76" s="14">
        <v>5</v>
      </c>
      <c r="Z76" s="18" t="str">
        <f>""</f>
        <v/>
      </c>
      <c r="AA76" s="18">
        <v>0</v>
      </c>
      <c r="AB76" s="18" t="str">
        <f>""</f>
        <v/>
      </c>
      <c r="AC76" s="18" t="str">
        <f>""</f>
        <v/>
      </c>
      <c r="AD76" s="18" t="str">
        <f>""</f>
        <v/>
      </c>
      <c r="AE76" s="18" t="str">
        <f>""</f>
        <v/>
      </c>
      <c r="AF76" s="18" t="str">
        <f t="shared" si="12"/>
        <v/>
      </c>
      <c r="AG76" s="18" t="str">
        <f>""</f>
        <v/>
      </c>
      <c r="AH76" s="18" t="str">
        <f>""</f>
        <v/>
      </c>
      <c r="AI76" s="19" t="str">
        <f t="shared" si="13"/>
        <v/>
      </c>
      <c r="AJ76" t="str">
        <f>""</f>
        <v/>
      </c>
    </row>
    <row r="77" spans="1:36" x14ac:dyDescent="0.3">
      <c r="A77" t="s">
        <v>299</v>
      </c>
      <c r="B77" t="str">
        <f>"""SQL-NAVISION"","""",""SQL="",""14=Id_ Prefactura"",""PF26-00004176"",""2=Tipo documento"",""0"",""14=No_"",""PD260071472"",""14=No_ referencia transporte"",""INPOST220426.2"",""14=Familia pedido"","""",""15=Fecha confirmación SGA"",""23/04/2026"",""14=Nombre punto entrega"",""TIPSA BAD"&amp;"ALONA"",""14=Contacto punto entrega"",""HECTOR ALEJANDRO CARABAJAL"",""14=Dirección punto entrega"",""CARRER DE LA MAR JONICA, 5,LOCAL 14"",""14=C_P_ punto entrega"",""08918"",""14=Población punto entrega"",""BADALONA"",""14=Provincia punto entrega"",""Barcelona"",""14=País pu"&amp;"nto entrega"",""ES"",""10=bultosP"",""2,00000000000000000000"",""14=No_ documento cliente"",""INPOST220426.2"",""14=Cód_ Servicio solicitado Fact_"",""STD"",""10=bultosE"",""2,00000000000000000000"",""10=Peso facturable"",""36,00000000000000000000"",""14=Cód_ operativa"",""053"",""1"&amp;"4=Descripción"",""PRUEBA PILOTO INPOST"",""2=No_ línea"",""40000"",""14=No_ producto cliente"",""10-51-000600"",""14=Descripción ampliada"",""CABLE CONVERTIDOR ESCANER"",""10=Cantidad confirmada"",""5,00000000000000000000"",""2=numeroexpediciones"",""1"",""2=numeroalbaranes"",""1"""&amp;",""10=manipulacion"",""9,59233800000000000000"",""10=embalaje"",""1,30000000000000000000"",""10=transporte"",""12,35577900000000000000"",""10=prima"",""0,00000000000000000000"",""10=reembolso"",""0,00000000000000000000"",""10=impuestos"",""0,00000000000000000000"",""10=gestion"","""&amp;"0,10598700000000000000"",""10=franqueo"",""0,00000000000000000000"",""10=despacho"",""0,00000000000000000000"""</f>
        <v>"SQL-NAVISION","","SQL=","14=Id_ Prefactura","PF26-00004176","2=Tipo documento","0","14=No_","PD260071472","14=No_ referencia transporte","INPOST220426.2","14=Familia pedido","","15=Fecha confirmación SGA","23/04/2026","14=Nombre punto entrega","TIPSA BADALONA","14=Contacto punto entrega","HECTOR ALEJANDRO CARABAJAL","14=Dirección punto entrega","CARRER DE LA MAR JONICA, 5,LOCAL 14","14=C_P_ punto entrega","08918","14=Población punto entrega","BADALONA","14=Provincia punto entrega","Barcelona","14=País punto entrega","ES","10=bultosP","2,00000000000000000000","14=No_ documento cliente","INPOST220426.2","14=Cód_ Servicio solicitado Fact_","STD","10=bultosE","2,00000000000000000000","10=Peso facturable","36,00000000000000000000","14=Cód_ operativa","053","14=Descripción","PRUEBA PILOTO INPOST","2=No_ línea","40000","14=No_ producto cliente","10-51-000600","14=Descripción ampliada","CABLE CONVERTIDOR ESCANER","10=Cantidad confirmada","5,00000000000000000000","2=numeroexpediciones","1","2=numeroalbaranes","1","10=manipulacion","9,59233800000000000000","10=embalaje","1,30000000000000000000","10=transporte","12,35577900000000000000","10=prima","0,00000000000000000000","10=reembolso","0,00000000000000000000","10=impuestos","0,00000000000000000000","10=gestion","0,10598700000000000000","10=franqueo","0,00000000000000000000","10=despacho","0,00000000000000000000"</v>
      </c>
      <c r="C77" t="str">
        <f t="shared" si="14"/>
        <v>PD260071472</v>
      </c>
      <c r="D77" s="3" t="str">
        <f>""</f>
        <v/>
      </c>
      <c r="E77" s="3" t="str">
        <f>""</f>
        <v/>
      </c>
      <c r="F77" s="3" t="str">
        <f>""</f>
        <v/>
      </c>
      <c r="G77" s="3" t="str">
        <f>""</f>
        <v/>
      </c>
      <c r="H77" s="3" t="str">
        <f>""</f>
        <v/>
      </c>
      <c r="I77" s="3" t="str">
        <f>""</f>
        <v/>
      </c>
      <c r="J77" s="3" t="str">
        <f>""</f>
        <v/>
      </c>
      <c r="K77" s="4" t="str">
        <f>""</f>
        <v/>
      </c>
      <c r="L77" s="3" t="str">
        <f>""</f>
        <v/>
      </c>
      <c r="M77" s="3" t="str">
        <f>""</f>
        <v/>
      </c>
      <c r="N77" s="3" t="str">
        <f>""</f>
        <v/>
      </c>
      <c r="O77" s="3" t="str">
        <f>""</f>
        <v/>
      </c>
      <c r="P77" s="3" t="str">
        <f>""</f>
        <v/>
      </c>
      <c r="Q77" s="3" t="str">
        <f>""</f>
        <v/>
      </c>
      <c r="R77" s="3" t="str">
        <f>""</f>
        <v/>
      </c>
      <c r="S77" s="3" t="str">
        <f>""</f>
        <v/>
      </c>
      <c r="T77" s="14" t="str">
        <f>""</f>
        <v/>
      </c>
      <c r="U77" s="14" t="str">
        <f>""</f>
        <v/>
      </c>
      <c r="V77" s="15">
        <v>36</v>
      </c>
      <c r="W77" s="15" t="str">
        <f>"10-51-000600"</f>
        <v>10-51-000600</v>
      </c>
      <c r="X77" s="15" t="str">
        <f>"CABLE CONVERTIDOR ESCANER"</f>
        <v>CABLE CONVERTIDOR ESCANER</v>
      </c>
      <c r="Y77" s="14">
        <v>5</v>
      </c>
      <c r="Z77" s="18" t="str">
        <f>""</f>
        <v/>
      </c>
      <c r="AA77" s="18">
        <v>0</v>
      </c>
      <c r="AB77" s="18" t="str">
        <f>""</f>
        <v/>
      </c>
      <c r="AC77" s="18" t="str">
        <f>""</f>
        <v/>
      </c>
      <c r="AD77" s="18" t="str">
        <f>""</f>
        <v/>
      </c>
      <c r="AE77" s="18" t="str">
        <f>""</f>
        <v/>
      </c>
      <c r="AF77" s="18" t="str">
        <f t="shared" si="12"/>
        <v/>
      </c>
      <c r="AG77" s="18" t="str">
        <f>""</f>
        <v/>
      </c>
      <c r="AH77" s="18" t="str">
        <f>""</f>
        <v/>
      </c>
      <c r="AI77" s="19" t="str">
        <f t="shared" si="13"/>
        <v/>
      </c>
      <c r="AJ77" t="str">
        <f>""</f>
        <v/>
      </c>
    </row>
    <row r="78" spans="1:36" x14ac:dyDescent="0.3">
      <c r="A78" t="s">
        <v>299</v>
      </c>
      <c r="B78" t="str">
        <f>"""SQL-NAVISION"","""",""SQL="",""14=Id_ Prefactura"",""PF26-00004176"",""2=Tipo documento"",""0"",""14=No_"",""PD260071472"",""14=No_ referencia transporte"",""INPOST220426.2"",""14=Familia pedido"","""",""15=Fecha confirmación SGA"",""23/04/2026"",""14=Nombre punto entrega"",""TIPSA BAD"&amp;"ALONA"",""14=Contacto punto entrega"",""HECTOR ALEJANDRO CARABAJAL"",""14=Dirección punto entrega"",""CARRER DE LA MAR JONICA, 5,LOCAL 14"",""14=C_P_ punto entrega"",""08918"",""14=Población punto entrega"",""BADALONA"",""14=Provincia punto entrega"",""Barcelona"",""14=País pu"&amp;"nto entrega"",""ES"",""10=bultosP"",""2,00000000000000000000"",""14=No_ documento cliente"",""INPOST220426.2"",""14=Cód_ Servicio solicitado Fact_"",""STD"",""10=bultosE"",""2,00000000000000000000"",""10=Peso facturable"",""36,00000000000000000000"",""14=Cód_ operativa"",""053"",""1"&amp;"4=Descripción"",""PRUEBA PILOTO INPOST"",""2=No_ línea"",""50000"",""14=No_ producto cliente"",""10-80-000197"",""14=Descripción ampliada"",""ACTUATOR WITH MUSHER+PIN HOLDER"",""10=Cantidad confirmada"",""2,00000000000000000000"",""2=numeroexpediciones"",""1"",""2=numeroalbarane"&amp;"s"",""1"",""10=manipulacion"",""9,59233800000000000000"",""10=embalaje"",""1,30000000000000000000"",""10=transporte"",""12,35577900000000000000"",""10=prima"",""0,00000000000000000000"",""10=reembolso"",""0,00000000000000000000"",""10=impuestos"",""0,00000000000000000000"",""10=gest"&amp;"ion"",""0,10598700000000000000"",""10=franqueo"",""0,00000000000000000000"",""10=despacho"",""0,00000000000000000000"""</f>
        <v>"SQL-NAVISION","","SQL=","14=Id_ Prefactura","PF26-00004176","2=Tipo documento","0","14=No_","PD260071472","14=No_ referencia transporte","INPOST220426.2","14=Familia pedido","","15=Fecha confirmación SGA","23/04/2026","14=Nombre punto entrega","TIPSA BADALONA","14=Contacto punto entrega","HECTOR ALEJANDRO CARABAJAL","14=Dirección punto entrega","CARRER DE LA MAR JONICA, 5,LOCAL 14","14=C_P_ punto entrega","08918","14=Población punto entrega","BADALONA","14=Provincia punto entrega","Barcelona","14=País punto entrega","ES","10=bultosP","2,00000000000000000000","14=No_ documento cliente","INPOST220426.2","14=Cód_ Servicio solicitado Fact_","STD","10=bultosE","2,00000000000000000000","10=Peso facturable","36,00000000000000000000","14=Cód_ operativa","053","14=Descripción","PRUEBA PILOTO INPOST","2=No_ línea","50000","14=No_ producto cliente","10-80-000197","14=Descripción ampliada","ACTUATOR WITH MUSHER+PIN HOLDER","10=Cantidad confirmada","2,00000000000000000000","2=numeroexpediciones","1","2=numeroalbaranes","1","10=manipulacion","9,59233800000000000000","10=embalaje","1,30000000000000000000","10=transporte","12,35577900000000000000","10=prima","0,00000000000000000000","10=reembolso","0,00000000000000000000","10=impuestos","0,00000000000000000000","10=gestion","0,10598700000000000000","10=franqueo","0,00000000000000000000","10=despacho","0,00000000000000000000"</v>
      </c>
      <c r="C78" t="str">
        <f t="shared" si="14"/>
        <v>PD260071472</v>
      </c>
      <c r="D78" s="3" t="str">
        <f>""</f>
        <v/>
      </c>
      <c r="E78" s="3" t="str">
        <f>""</f>
        <v/>
      </c>
      <c r="F78" s="3" t="str">
        <f>""</f>
        <v/>
      </c>
      <c r="G78" s="3" t="str">
        <f>""</f>
        <v/>
      </c>
      <c r="H78" s="3" t="str">
        <f>""</f>
        <v/>
      </c>
      <c r="I78" s="3" t="str">
        <f>""</f>
        <v/>
      </c>
      <c r="J78" s="3" t="str">
        <f>""</f>
        <v/>
      </c>
      <c r="K78" s="4" t="str">
        <f>""</f>
        <v/>
      </c>
      <c r="L78" s="3" t="str">
        <f>""</f>
        <v/>
      </c>
      <c r="M78" s="3" t="str">
        <f>""</f>
        <v/>
      </c>
      <c r="N78" s="3" t="str">
        <f>""</f>
        <v/>
      </c>
      <c r="O78" s="3" t="str">
        <f>""</f>
        <v/>
      </c>
      <c r="P78" s="3" t="str">
        <f>""</f>
        <v/>
      </c>
      <c r="Q78" s="3" t="str">
        <f>""</f>
        <v/>
      </c>
      <c r="R78" s="3" t="str">
        <f>""</f>
        <v/>
      </c>
      <c r="S78" s="3" t="str">
        <f>""</f>
        <v/>
      </c>
      <c r="T78" s="14" t="str">
        <f>""</f>
        <v/>
      </c>
      <c r="U78" s="14" t="str">
        <f>""</f>
        <v/>
      </c>
      <c r="V78" s="15">
        <v>36</v>
      </c>
      <c r="W78" s="15" t="str">
        <f>"10-80-000197"</f>
        <v>10-80-000197</v>
      </c>
      <c r="X78" s="15" t="str">
        <f>"ACTUATOR WITH MUSHER+PIN HOLDER"</f>
        <v>ACTUATOR WITH MUSHER+PIN HOLDER</v>
      </c>
      <c r="Y78" s="14">
        <v>2</v>
      </c>
      <c r="Z78" s="18" t="str">
        <f>""</f>
        <v/>
      </c>
      <c r="AA78" s="18">
        <v>0</v>
      </c>
      <c r="AB78" s="18" t="str">
        <f>""</f>
        <v/>
      </c>
      <c r="AC78" s="18" t="str">
        <f>""</f>
        <v/>
      </c>
      <c r="AD78" s="18" t="str">
        <f>""</f>
        <v/>
      </c>
      <c r="AE78" s="18" t="str">
        <f>""</f>
        <v/>
      </c>
      <c r="AF78" s="18" t="str">
        <f t="shared" si="12"/>
        <v/>
      </c>
      <c r="AG78" s="18" t="str">
        <f>""</f>
        <v/>
      </c>
      <c r="AH78" s="18" t="str">
        <f>""</f>
        <v/>
      </c>
      <c r="AI78" s="19" t="str">
        <f t="shared" si="13"/>
        <v/>
      </c>
      <c r="AJ78" t="str">
        <f>""</f>
        <v/>
      </c>
    </row>
    <row r="79" spans="1:36" x14ac:dyDescent="0.3">
      <c r="A79" t="s">
        <v>299</v>
      </c>
      <c r="B79" t="str">
        <f>"""SQL-NAVISION"","""",""SQL="",""14=Id_ Prefactura"",""PF26-00004176"",""2=Tipo documento"",""0"",""14=No_"",""PD260071472"",""14=No_ referencia transporte"",""INPOST220426.2"",""14=Familia pedido"","""",""15=Fecha confirmación SGA"",""23/04/2026"",""14=Nombre punto entrega"",""TIPSA BAD"&amp;"ALONA"",""14=Contacto punto entrega"",""HECTOR ALEJANDRO CARABAJAL"",""14=Dirección punto entrega"",""CARRER DE LA MAR JONICA, 5,LOCAL 14"",""14=C_P_ punto entrega"",""08918"",""14=Población punto entrega"",""BADALONA"",""14=Provincia punto entrega"",""Barcelona"",""14=País pu"&amp;"nto entrega"",""ES"",""10=bultosP"",""2,00000000000000000000"",""14=No_ documento cliente"",""INPOST220426.2"",""14=Cód_ Servicio solicitado Fact_"",""STD"",""10=bultosE"",""2,00000000000000000000"",""10=Peso facturable"",""36,00000000000000000000"",""14=Cód_ operativa"",""053"",""1"&amp;"4=Descripción"",""PRUEBA PILOTO INPOST"",""2=No_ línea"",""60000"",""14=No_ producto cliente"",""KIT-PC-USB"",""14=Descripción ampliada"",""KIT PC COMPACTO Y HDMI PC"",""10=Cantidad confirmada"",""2,00000000000000000000"",""2=numeroexpediciones"",""1"",""2=numeroalbaranes"",""1"","""&amp;"10=manipulacion"",""9,59233800000000000000"",""10=embalaje"",""1,30000000000000000000"",""10=transporte"",""12,35577900000000000000"",""10=prima"",""0,00000000000000000000"",""10=reembolso"",""0,00000000000000000000"",""10=impuestos"",""0,00000000000000000000"",""10=gestion"",""0,"&amp;"10598700000000000000"",""10=franqueo"",""0,00000000000000000000"",""10=despacho"",""0,00000000000000000000"""</f>
        <v>"SQL-NAVISION","","SQL=","14=Id_ Prefactura","PF26-00004176","2=Tipo documento","0","14=No_","PD260071472","14=No_ referencia transporte","INPOST220426.2","14=Familia pedido","","15=Fecha confirmación SGA","23/04/2026","14=Nombre punto entrega","TIPSA BADALONA","14=Contacto punto entrega","HECTOR ALEJANDRO CARABAJAL","14=Dirección punto entrega","CARRER DE LA MAR JONICA, 5,LOCAL 14","14=C_P_ punto entrega","08918","14=Población punto entrega","BADALONA","14=Provincia punto entrega","Barcelona","14=País punto entrega","ES","10=bultosP","2,00000000000000000000","14=No_ documento cliente","INPOST220426.2","14=Cód_ Servicio solicitado Fact_","STD","10=bultosE","2,00000000000000000000","10=Peso facturable","36,00000000000000000000","14=Cód_ operativa","053","14=Descripción","PRUEBA PILOTO INPOST","2=No_ línea","60000","14=No_ producto cliente","KIT-PC-USB","14=Descripción ampliada","KIT PC COMPACTO Y HDMI PC","10=Cantidad confirmada","2,00000000000000000000","2=numeroexpediciones","1","2=numeroalbaranes","1","10=manipulacion","9,59233800000000000000","10=embalaje","1,30000000000000000000","10=transporte","12,35577900000000000000","10=prima","0,00000000000000000000","10=reembolso","0,00000000000000000000","10=impuestos","0,00000000000000000000","10=gestion","0,10598700000000000000","10=franqueo","0,00000000000000000000","10=despacho","0,00000000000000000000"</v>
      </c>
      <c r="C79" t="str">
        <f t="shared" si="14"/>
        <v>PD260071472</v>
      </c>
      <c r="D79" s="3" t="str">
        <f>""</f>
        <v/>
      </c>
      <c r="E79" s="3" t="str">
        <f>""</f>
        <v/>
      </c>
      <c r="F79" s="3" t="str">
        <f>""</f>
        <v/>
      </c>
      <c r="G79" s="3" t="str">
        <f>""</f>
        <v/>
      </c>
      <c r="H79" s="3" t="str">
        <f>""</f>
        <v/>
      </c>
      <c r="I79" s="3" t="str">
        <f>""</f>
        <v/>
      </c>
      <c r="J79" s="3" t="str">
        <f>""</f>
        <v/>
      </c>
      <c r="K79" s="4" t="str">
        <f>""</f>
        <v/>
      </c>
      <c r="L79" s="3" t="str">
        <f>""</f>
        <v/>
      </c>
      <c r="M79" s="3" t="str">
        <f>""</f>
        <v/>
      </c>
      <c r="N79" s="3" t="str">
        <f>""</f>
        <v/>
      </c>
      <c r="O79" s="3" t="str">
        <f>""</f>
        <v/>
      </c>
      <c r="P79" s="3" t="str">
        <f>""</f>
        <v/>
      </c>
      <c r="Q79" s="3" t="str">
        <f>""</f>
        <v/>
      </c>
      <c r="R79" s="3" t="str">
        <f>""</f>
        <v/>
      </c>
      <c r="S79" s="3" t="str">
        <f>""</f>
        <v/>
      </c>
      <c r="T79" s="14" t="str">
        <f>""</f>
        <v/>
      </c>
      <c r="U79" s="14" t="str">
        <f>""</f>
        <v/>
      </c>
      <c r="V79" s="15">
        <v>36</v>
      </c>
      <c r="W79" s="15" t="str">
        <f>"KIT-PC-USB"</f>
        <v>KIT-PC-USB</v>
      </c>
      <c r="X79" s="15" t="str">
        <f>"KIT PC COMPACTO Y HDMI PC"</f>
        <v>KIT PC COMPACTO Y HDMI PC</v>
      </c>
      <c r="Y79" s="14">
        <v>2</v>
      </c>
      <c r="Z79" s="18" t="str">
        <f>""</f>
        <v/>
      </c>
      <c r="AA79" s="18">
        <v>0</v>
      </c>
      <c r="AB79" s="18" t="str">
        <f>""</f>
        <v/>
      </c>
      <c r="AC79" s="18" t="str">
        <f>""</f>
        <v/>
      </c>
      <c r="AD79" s="18" t="str">
        <f>""</f>
        <v/>
      </c>
      <c r="AE79" s="18" t="str">
        <f>""</f>
        <v/>
      </c>
      <c r="AF79" s="18" t="str">
        <f t="shared" si="12"/>
        <v/>
      </c>
      <c r="AG79" s="18" t="str">
        <f>""</f>
        <v/>
      </c>
      <c r="AH79" s="18" t="str">
        <f>""</f>
        <v/>
      </c>
      <c r="AI79" s="19" t="str">
        <f t="shared" si="13"/>
        <v/>
      </c>
      <c r="AJ79" t="str">
        <f>""</f>
        <v/>
      </c>
    </row>
    <row r="80" spans="1:36" x14ac:dyDescent="0.3">
      <c r="A80" t="s">
        <v>299</v>
      </c>
      <c r="B80" t="str">
        <f>"""SQL-NAVISION"","""",""SQL="",""14=Id_ Prefactura"",""PF26-00004176"",""2=Tipo documento"",""0"",""14=No_"",""PD260071472"",""14=No_ referencia transporte"",""INPOST220426.2"",""14=Familia pedido"","""",""15=Fecha confirmación SGA"",""23/04/2026"",""14=Nombre punto entrega"",""TIPSA BAD"&amp;"ALONA"",""14=Contacto punto entrega"",""HECTOR ALEJANDRO CARABAJAL"",""14=Dirección punto entrega"",""CARRER DE LA MAR JONICA, 5,LOCAL 14"",""14=C_P_ punto entrega"",""08918"",""14=Población punto entrega"",""BADALONA"",""14=Provincia punto entrega"",""Barcelona"",""14=País pu"&amp;"nto entrega"",""ES"",""10=bultosP"",""2,00000000000000000000"",""14=No_ documento cliente"",""INPOST220426.2"",""14=Cód_ Servicio solicitado Fact_"",""STD"",""10=bultosE"",""2,00000000000000000000"",""10=Peso facturable"",""36,00000000000000000000"",""14=Cód_ operativa"",""053"",""1"&amp;"4=Descripción"",""PRUEBA PILOTO INPOST"",""2=No_ línea"",""70000"",""14=No_ producto cliente"",""10-21-000927"",""14=Descripción ampliada"",""ANTENA INDOOR MAGNETICA DE 10.5 M."",""10=Cantidad confirmada"",""2,00000000000000000000"",""2=numeroexpediciones"",""1"",""2=numeroalbar"&amp;"anes"",""1"",""10=manipulacion"",""9,59233800000000000000"",""10=embalaje"",""1,30000000000000000000"",""10=transporte"",""12,35577900000000000000"",""10=prima"",""0,00000000000000000000"",""10=reembolso"",""0,00000000000000000000"",""10=impuestos"",""0,00000000000000000000"",""10=g"&amp;"estion"",""0,10598700000000000000"",""10=franqueo"",""0,00000000000000000000"",""10=despacho"",""0,00000000000000000000"""</f>
        <v>"SQL-NAVISION","","SQL=","14=Id_ Prefactura","PF26-00004176","2=Tipo documento","0","14=No_","PD260071472","14=No_ referencia transporte","INPOST220426.2","14=Familia pedido","","15=Fecha confirmación SGA","23/04/2026","14=Nombre punto entrega","TIPSA BADALONA","14=Contacto punto entrega","HECTOR ALEJANDRO CARABAJAL","14=Dirección punto entrega","CARRER DE LA MAR JONICA, 5,LOCAL 14","14=C_P_ punto entrega","08918","14=Población punto entrega","BADALONA","14=Provincia punto entrega","Barcelona","14=País punto entrega","ES","10=bultosP","2,00000000000000000000","14=No_ documento cliente","INPOST220426.2","14=Cód_ Servicio solicitado Fact_","STD","10=bultosE","2,00000000000000000000","10=Peso facturable","36,00000000000000000000","14=Cód_ operativa","053","14=Descripción","PRUEBA PILOTO INPOST","2=No_ línea","70000","14=No_ producto cliente","10-21-000927","14=Descripción ampliada","ANTENA INDOOR MAGNETICA DE 10.5 M.","10=Cantidad confirmada","2,00000000000000000000","2=numeroexpediciones","1","2=numeroalbaranes","1","10=manipulacion","9,59233800000000000000","10=embalaje","1,30000000000000000000","10=transporte","12,35577900000000000000","10=prima","0,00000000000000000000","10=reembolso","0,00000000000000000000","10=impuestos","0,00000000000000000000","10=gestion","0,10598700000000000000","10=franqueo","0,00000000000000000000","10=despacho","0,00000000000000000000"</v>
      </c>
      <c r="C80" t="str">
        <f t="shared" si="14"/>
        <v>PD260071472</v>
      </c>
      <c r="D80" s="3" t="str">
        <f>""</f>
        <v/>
      </c>
      <c r="E80" s="3" t="str">
        <f>""</f>
        <v/>
      </c>
      <c r="F80" s="3" t="str">
        <f>""</f>
        <v/>
      </c>
      <c r="G80" s="3" t="str">
        <f>""</f>
        <v/>
      </c>
      <c r="H80" s="3" t="str">
        <f>""</f>
        <v/>
      </c>
      <c r="I80" s="3" t="str">
        <f>""</f>
        <v/>
      </c>
      <c r="J80" s="3" t="str">
        <f>""</f>
        <v/>
      </c>
      <c r="K80" s="4" t="str">
        <f>""</f>
        <v/>
      </c>
      <c r="L80" s="3" t="str">
        <f>""</f>
        <v/>
      </c>
      <c r="M80" s="3" t="str">
        <f>""</f>
        <v/>
      </c>
      <c r="N80" s="3" t="str">
        <f>""</f>
        <v/>
      </c>
      <c r="O80" s="3" t="str">
        <f>""</f>
        <v/>
      </c>
      <c r="P80" s="3" t="str">
        <f>""</f>
        <v/>
      </c>
      <c r="Q80" s="3" t="str">
        <f>""</f>
        <v/>
      </c>
      <c r="R80" s="3" t="str">
        <f>""</f>
        <v/>
      </c>
      <c r="S80" s="3" t="str">
        <f>""</f>
        <v/>
      </c>
      <c r="T80" s="14" t="str">
        <f>""</f>
        <v/>
      </c>
      <c r="U80" s="14" t="str">
        <f>""</f>
        <v/>
      </c>
      <c r="V80" s="15">
        <v>36</v>
      </c>
      <c r="W80" s="15" t="str">
        <f>"10-21-000927"</f>
        <v>10-21-000927</v>
      </c>
      <c r="X80" s="15" t="str">
        <f>"ANTENA INDOOR MAGNETICA DE 10.5 M."</f>
        <v>ANTENA INDOOR MAGNETICA DE 10.5 M.</v>
      </c>
      <c r="Y80" s="14">
        <v>2</v>
      </c>
      <c r="Z80" s="18" t="str">
        <f>""</f>
        <v/>
      </c>
      <c r="AA80" s="18">
        <v>0</v>
      </c>
      <c r="AB80" s="18" t="str">
        <f>""</f>
        <v/>
      </c>
      <c r="AC80" s="18" t="str">
        <f>""</f>
        <v/>
      </c>
      <c r="AD80" s="18" t="str">
        <f>""</f>
        <v/>
      </c>
      <c r="AE80" s="18" t="str">
        <f>""</f>
        <v/>
      </c>
      <c r="AF80" s="18" t="str">
        <f t="shared" si="12"/>
        <v/>
      </c>
      <c r="AG80" s="18" t="str">
        <f>""</f>
        <v/>
      </c>
      <c r="AH80" s="18" t="str">
        <f>""</f>
        <v/>
      </c>
      <c r="AI80" s="19" t="str">
        <f t="shared" si="13"/>
        <v/>
      </c>
      <c r="AJ80" t="str">
        <f>""</f>
        <v/>
      </c>
    </row>
    <row r="81" spans="1:36" x14ac:dyDescent="0.3">
      <c r="A81" t="s">
        <v>299</v>
      </c>
      <c r="B81" t="str">
        <f>"""SQL-NAVISION"","""",""SQL="",""14=Id_ Prefactura"",""PF26-00004176"",""2=Tipo documento"",""0"",""14=No_"",""PD260071472"",""14=No_ referencia transporte"",""INPOST220426.2"",""14=Familia pedido"","""",""15=Fecha confirmación SGA"",""23/04/2026"",""14=Nombre punto entrega"",""TIPSA BAD"&amp;"ALONA"",""14=Contacto punto entrega"",""HECTOR ALEJANDRO CARABAJAL"",""14=Dirección punto entrega"",""CARRER DE LA MAR JONICA, 5,LOCAL 14"",""14=C_P_ punto entrega"",""08918"",""14=Población punto entrega"",""BADALONA"",""14=Provincia punto entrega"",""Barcelona"",""14=País pu"&amp;"nto entrega"",""ES"",""10=bultosP"",""2,00000000000000000000"",""14=No_ documento cliente"",""INPOST220426.2"",""14=Cód_ Servicio solicitado Fact_"",""STD"",""10=bultosE"",""2,00000000000000000000"",""10=Peso facturable"",""36,00000000000000000000"",""14=Cód_ operativa"",""053"",""1"&amp;"4=Descripción"",""PRUEBA PILOTO INPOST"",""2=No_ línea"",""80000"",""14=No_ producto cliente"",""10-21-000944"",""14=Descripción ampliada"",""ESCANER NEWLAND"",""10=Cantidad confirmada"",""5,00000000000000000000"",""2=numeroexpediciones"",""1"",""2=numeroalbaranes"",""1"",""10=manip"&amp;"ulacion"",""9,59233800000000000000"",""10=embalaje"",""1,30000000000000000000"",""10=transporte"",""12,35577900000000000000"",""10=prima"",""0,00000000000000000000"",""10=reembolso"",""0,00000000000000000000"",""10=impuestos"",""0,00000000000000000000"",""10=gestion"",""0,10598700"&amp;"000000000000"",""10=franqueo"",""0,00000000000000000000"",""10=despacho"",""0,00000000000000000000"""</f>
        <v>"SQL-NAVISION","","SQL=","14=Id_ Prefactura","PF26-00004176","2=Tipo documento","0","14=No_","PD260071472","14=No_ referencia transporte","INPOST220426.2","14=Familia pedido","","15=Fecha confirmación SGA","23/04/2026","14=Nombre punto entrega","TIPSA BADALONA","14=Contacto punto entrega","HECTOR ALEJANDRO CARABAJAL","14=Dirección punto entrega","CARRER DE LA MAR JONICA, 5,LOCAL 14","14=C_P_ punto entrega","08918","14=Población punto entrega","BADALONA","14=Provincia punto entrega","Barcelona","14=País punto entrega","ES","10=bultosP","2,00000000000000000000","14=No_ documento cliente","INPOST220426.2","14=Cód_ Servicio solicitado Fact_","STD","10=bultosE","2,00000000000000000000","10=Peso facturable","36,00000000000000000000","14=Cód_ operativa","053","14=Descripción","PRUEBA PILOTO INPOST","2=No_ línea","80000","14=No_ producto cliente","10-21-000944","14=Descripción ampliada","ESCANER NEWLAND","10=Cantidad confirmada","5,00000000000000000000","2=numeroexpediciones","1","2=numeroalbaranes","1","10=manipulacion","9,59233800000000000000","10=embalaje","1,30000000000000000000","10=transporte","12,35577900000000000000","10=prima","0,00000000000000000000","10=reembolso","0,00000000000000000000","10=impuestos","0,00000000000000000000","10=gestion","0,10598700000000000000","10=franqueo","0,00000000000000000000","10=despacho","0,00000000000000000000"</v>
      </c>
      <c r="C81" t="str">
        <f t="shared" si="14"/>
        <v>PD260071472</v>
      </c>
      <c r="D81" s="3" t="str">
        <f>""</f>
        <v/>
      </c>
      <c r="E81" s="3" t="str">
        <f>""</f>
        <v/>
      </c>
      <c r="F81" s="3" t="str">
        <f>""</f>
        <v/>
      </c>
      <c r="G81" s="3" t="str">
        <f>""</f>
        <v/>
      </c>
      <c r="H81" s="3" t="str">
        <f>""</f>
        <v/>
      </c>
      <c r="I81" s="3" t="str">
        <f>""</f>
        <v/>
      </c>
      <c r="J81" s="3" t="str">
        <f>""</f>
        <v/>
      </c>
      <c r="K81" s="4" t="str">
        <f>""</f>
        <v/>
      </c>
      <c r="L81" s="3" t="str">
        <f>""</f>
        <v/>
      </c>
      <c r="M81" s="3" t="str">
        <f>""</f>
        <v/>
      </c>
      <c r="N81" s="3" t="str">
        <f>""</f>
        <v/>
      </c>
      <c r="O81" s="3" t="str">
        <f>""</f>
        <v/>
      </c>
      <c r="P81" s="3" t="str">
        <f>""</f>
        <v/>
      </c>
      <c r="Q81" s="3" t="str">
        <f>""</f>
        <v/>
      </c>
      <c r="R81" s="3" t="str">
        <f>""</f>
        <v/>
      </c>
      <c r="S81" s="3" t="str">
        <f>""</f>
        <v/>
      </c>
      <c r="T81" s="14" t="str">
        <f>""</f>
        <v/>
      </c>
      <c r="U81" s="14" t="str">
        <f>""</f>
        <v/>
      </c>
      <c r="V81" s="15">
        <v>36</v>
      </c>
      <c r="W81" s="15" t="str">
        <f>"10-21-000944"</f>
        <v>10-21-000944</v>
      </c>
      <c r="X81" s="15" t="str">
        <f>"ESCANER NEWLAND"</f>
        <v>ESCANER NEWLAND</v>
      </c>
      <c r="Y81" s="14">
        <v>5</v>
      </c>
      <c r="Z81" s="18" t="str">
        <f>""</f>
        <v/>
      </c>
      <c r="AA81" s="18">
        <v>0</v>
      </c>
      <c r="AB81" s="18" t="str">
        <f>""</f>
        <v/>
      </c>
      <c r="AC81" s="18" t="str">
        <f>""</f>
        <v/>
      </c>
      <c r="AD81" s="18" t="str">
        <f>""</f>
        <v/>
      </c>
      <c r="AE81" s="18" t="str">
        <f>""</f>
        <v/>
      </c>
      <c r="AF81" s="18" t="str">
        <f t="shared" si="12"/>
        <v/>
      </c>
      <c r="AG81" s="18" t="str">
        <f>""</f>
        <v/>
      </c>
      <c r="AH81" s="18" t="str">
        <f>""</f>
        <v/>
      </c>
      <c r="AI81" s="19" t="str">
        <f t="shared" si="13"/>
        <v/>
      </c>
      <c r="AJ81" t="str">
        <f>""</f>
        <v/>
      </c>
    </row>
    <row r="82" spans="1:36" x14ac:dyDescent="0.3">
      <c r="A82" t="s">
        <v>299</v>
      </c>
      <c r="B82" t="str">
        <f>"""SQL-NAVISION"","""",""SQL="",""14=Id_ Prefactura"",""PF26-00004176"",""2=Tipo documento"",""0"",""14=No_"",""PD260071472"",""14=No_ referencia transporte"",""INPOST220426.2"",""14=Familia pedido"","""",""15=Fecha confirmación SGA"",""23/04/2026"",""14=Nombre punto entrega"",""TIPSA BAD"&amp;"ALONA"",""14=Contacto punto entrega"",""HECTOR ALEJANDRO CARABAJAL"",""14=Dirección punto entrega"",""CARRER DE LA MAR JONICA, 5,LOCAL 14"",""14=C_P_ punto entrega"",""08918"",""14=Población punto entrega"",""BADALONA"",""14=Provincia punto entrega"",""Barcelona"",""14=País pu"&amp;"nto entrega"",""ES"",""10=bultosP"",""2,00000000000000000000"",""14=No_ documento cliente"",""INPOST220426.2"",""14=Cód_ Servicio solicitado Fact_"",""STD"",""10=bultosE"",""2,00000000000000000000"",""10=Peso facturable"",""36,00000000000000000000"",""14=Cód_ operativa"",""053"",""1"&amp;"4=Descripción"",""PRUEBA PILOTO INPOST"",""2=No_ línea"",""90000"",""14=No_ producto cliente"",""10-21-000666"",""14=Descripción ampliada"",""CÁMARA DE SEGURIDAD - INDOOR LOCKER"",""10=Cantidad confirmada"",""2,00000000000000000000"",""2=numeroexpediciones"",""1"",""2=numeroalba"&amp;"ranes"",""1"",""10=manipulacion"",""9,59233800000000000000"",""10=embalaje"",""1,30000000000000000000"",""10=transporte"",""12,35577900000000000000"",""10=prima"",""0,00000000000000000000"",""10=reembolso"",""0,00000000000000000000"",""10=impuestos"",""0,00000000000000000000"",""10="&amp;"gestion"",""0,10598700000000000000"",""10=franqueo"",""0,00000000000000000000"",""10=despacho"",""0,00000000000000000000"""</f>
        <v>"SQL-NAVISION","","SQL=","14=Id_ Prefactura","PF26-00004176","2=Tipo documento","0","14=No_","PD260071472","14=No_ referencia transporte","INPOST220426.2","14=Familia pedido","","15=Fecha confirmación SGA","23/04/2026","14=Nombre punto entrega","TIPSA BADALONA","14=Contacto punto entrega","HECTOR ALEJANDRO CARABAJAL","14=Dirección punto entrega","CARRER DE LA MAR JONICA, 5,LOCAL 14","14=C_P_ punto entrega","08918","14=Población punto entrega","BADALONA","14=Provincia punto entrega","Barcelona","14=País punto entrega","ES","10=bultosP","2,00000000000000000000","14=No_ documento cliente","INPOST220426.2","14=Cód_ Servicio solicitado Fact_","STD","10=bultosE","2,00000000000000000000","10=Peso facturable","36,00000000000000000000","14=Cód_ operativa","053","14=Descripción","PRUEBA PILOTO INPOST","2=No_ línea","90000","14=No_ producto cliente","10-21-000666","14=Descripción ampliada","CÁMARA DE SEGURIDAD - INDOOR LOCKER","10=Cantidad confirmada","2,00000000000000000000","2=numeroexpediciones","1","2=numeroalbaranes","1","10=manipulacion","9,59233800000000000000","10=embalaje","1,30000000000000000000","10=transporte","12,35577900000000000000","10=prima","0,00000000000000000000","10=reembolso","0,00000000000000000000","10=impuestos","0,00000000000000000000","10=gestion","0,10598700000000000000","10=franqueo","0,00000000000000000000","10=despacho","0,00000000000000000000"</v>
      </c>
      <c r="C82" t="str">
        <f t="shared" si="14"/>
        <v>PD260071472</v>
      </c>
      <c r="D82" s="3" t="str">
        <f>""</f>
        <v/>
      </c>
      <c r="E82" s="3" t="str">
        <f>""</f>
        <v/>
      </c>
      <c r="F82" s="3" t="str">
        <f>""</f>
        <v/>
      </c>
      <c r="G82" s="3" t="str">
        <f>""</f>
        <v/>
      </c>
      <c r="H82" s="3" t="str">
        <f>""</f>
        <v/>
      </c>
      <c r="I82" s="3" t="str">
        <f>""</f>
        <v/>
      </c>
      <c r="J82" s="3" t="str">
        <f>""</f>
        <v/>
      </c>
      <c r="K82" s="4" t="str">
        <f>""</f>
        <v/>
      </c>
      <c r="L82" s="3" t="str">
        <f>""</f>
        <v/>
      </c>
      <c r="M82" s="3" t="str">
        <f>""</f>
        <v/>
      </c>
      <c r="N82" s="3" t="str">
        <f>""</f>
        <v/>
      </c>
      <c r="O82" s="3" t="str">
        <f>""</f>
        <v/>
      </c>
      <c r="P82" s="3" t="str">
        <f>""</f>
        <v/>
      </c>
      <c r="Q82" s="3" t="str">
        <f>""</f>
        <v/>
      </c>
      <c r="R82" s="3" t="str">
        <f>""</f>
        <v/>
      </c>
      <c r="S82" s="3" t="str">
        <f>""</f>
        <v/>
      </c>
      <c r="T82" s="14" t="str">
        <f>""</f>
        <v/>
      </c>
      <c r="U82" s="14" t="str">
        <f>""</f>
        <v/>
      </c>
      <c r="V82" s="15">
        <v>36</v>
      </c>
      <c r="W82" s="15" t="str">
        <f>"10-21-000666"</f>
        <v>10-21-000666</v>
      </c>
      <c r="X82" s="15" t="str">
        <f>"CÁMARA DE SEGURIDAD - INDOOR LOCKER"</f>
        <v>CÁMARA DE SEGURIDAD - INDOOR LOCKER</v>
      </c>
      <c r="Y82" s="14">
        <v>2</v>
      </c>
      <c r="Z82" s="18" t="str">
        <f>""</f>
        <v/>
      </c>
      <c r="AA82" s="18">
        <v>0</v>
      </c>
      <c r="AB82" s="18" t="str">
        <f>""</f>
        <v/>
      </c>
      <c r="AC82" s="18" t="str">
        <f>""</f>
        <v/>
      </c>
      <c r="AD82" s="18" t="str">
        <f>""</f>
        <v/>
      </c>
      <c r="AE82" s="18" t="str">
        <f>""</f>
        <v/>
      </c>
      <c r="AF82" s="18" t="str">
        <f t="shared" si="12"/>
        <v/>
      </c>
      <c r="AG82" s="18" t="str">
        <f>""</f>
        <v/>
      </c>
      <c r="AH82" s="18" t="str">
        <f>""</f>
        <v/>
      </c>
      <c r="AI82" s="19" t="str">
        <f t="shared" si="13"/>
        <v/>
      </c>
      <c r="AJ82" t="str">
        <f>""</f>
        <v/>
      </c>
    </row>
    <row r="83" spans="1:36" x14ac:dyDescent="0.3">
      <c r="A83" t="s">
        <v>299</v>
      </c>
      <c r="B83" t="str">
        <f>"""SQL-NAVISION"","""",""SQL="",""14=Id_ Prefactura"",""PF26-00004176"",""2=Tipo documento"",""0"",""14=No_"",""PD260071472"",""14=No_ referencia transporte"",""INPOST220426.2"",""14=Familia pedido"","""",""15=Fecha confirmación SGA"",""23/04/2026"",""14=Nombre punto entrega"",""TIPSA BAD"&amp;"ALONA"",""14=Contacto punto entrega"",""HECTOR ALEJANDRO CARABAJAL"",""14=Dirección punto entrega"",""CARRER DE LA MAR JONICA, 5,LOCAL 14"",""14=C_P_ punto entrega"",""08918"",""14=Población punto entrega"",""BADALONA"",""14=Provincia punto entrega"",""Barcelona"",""14=País pu"&amp;"nto entrega"",""ES"",""10=bultosP"",""2,00000000000000000000"",""14=No_ documento cliente"",""INPOST220426.2"",""14=Cód_ Servicio solicitado Fact_"",""STD"",""10=bultosE"",""2,00000000000000000000"",""10=Peso facturable"",""36,00000000000000000000"",""14=Cód_ operativa"",""053"",""1"&amp;"4=Descripción"",""PRUEBA PILOTO INPOST"",""2=No_ línea"",""100000"",""14=No_ producto cliente"",""10-21-000637"",""14=Descripción ampliada"",""BATERIA 12V."",""10=Cantidad confirmada"",""1,00000000000000000000"",""2=numeroexpediciones"",""1"",""2=numeroalbaranes"",""1"",""10=manipul"&amp;"acion"",""9,59233800000000000000"",""10=embalaje"",""1,30000000000000000000"",""10=transporte"",""12,35577900000000000000"",""10=prima"",""0,00000000000000000000"",""10=reembolso"",""0,00000000000000000000"",""10=impuestos"",""0,00000000000000000000"",""10=gestion"",""0,1059870000"&amp;"0000000000"",""10=franqueo"",""0,00000000000000000000"",""10=despacho"",""0,00000000000000000000"""</f>
        <v>"SQL-NAVISION","","SQL=","14=Id_ Prefactura","PF26-00004176","2=Tipo documento","0","14=No_","PD260071472","14=No_ referencia transporte","INPOST220426.2","14=Familia pedido","","15=Fecha confirmación SGA","23/04/2026","14=Nombre punto entrega","TIPSA BADALONA","14=Contacto punto entrega","HECTOR ALEJANDRO CARABAJAL","14=Dirección punto entrega","CARRER DE LA MAR JONICA, 5,LOCAL 14","14=C_P_ punto entrega","08918","14=Población punto entrega","BADALONA","14=Provincia punto entrega","Barcelona","14=País punto entrega","ES","10=bultosP","2,00000000000000000000","14=No_ documento cliente","INPOST220426.2","14=Cód_ Servicio solicitado Fact_","STD","10=bultosE","2,00000000000000000000","10=Peso facturable","36,00000000000000000000","14=Cód_ operativa","053","14=Descripción","PRUEBA PILOTO INPOST","2=No_ línea","100000","14=No_ producto cliente","10-21-000637","14=Descripción ampliada","BATERIA 12V.","10=Cantidad confirmada","1,00000000000000000000","2=numeroexpediciones","1","2=numeroalbaranes","1","10=manipulacion","9,59233800000000000000","10=embalaje","1,30000000000000000000","10=transporte","12,35577900000000000000","10=prima","0,00000000000000000000","10=reembolso","0,00000000000000000000","10=impuestos","0,00000000000000000000","10=gestion","0,10598700000000000000","10=franqueo","0,00000000000000000000","10=despacho","0,00000000000000000000"</v>
      </c>
      <c r="C83" t="str">
        <f t="shared" si="14"/>
        <v>PD260071472</v>
      </c>
      <c r="D83" s="3" t="str">
        <f>""</f>
        <v/>
      </c>
      <c r="E83" s="3" t="str">
        <f>""</f>
        <v/>
      </c>
      <c r="F83" s="3" t="str">
        <f>""</f>
        <v/>
      </c>
      <c r="G83" s="3" t="str">
        <f>""</f>
        <v/>
      </c>
      <c r="H83" s="3" t="str">
        <f>""</f>
        <v/>
      </c>
      <c r="I83" s="3" t="str">
        <f>""</f>
        <v/>
      </c>
      <c r="J83" s="3" t="str">
        <f>""</f>
        <v/>
      </c>
      <c r="K83" s="4" t="str">
        <f>""</f>
        <v/>
      </c>
      <c r="L83" s="3" t="str">
        <f>""</f>
        <v/>
      </c>
      <c r="M83" s="3" t="str">
        <f>""</f>
        <v/>
      </c>
      <c r="N83" s="3" t="str">
        <f>""</f>
        <v/>
      </c>
      <c r="O83" s="3" t="str">
        <f>""</f>
        <v/>
      </c>
      <c r="P83" s="3" t="str">
        <f>""</f>
        <v/>
      </c>
      <c r="Q83" s="3" t="str">
        <f>""</f>
        <v/>
      </c>
      <c r="R83" s="3" t="str">
        <f>""</f>
        <v/>
      </c>
      <c r="S83" s="3" t="str">
        <f>""</f>
        <v/>
      </c>
      <c r="T83" s="14" t="str">
        <f>""</f>
        <v/>
      </c>
      <c r="U83" s="14" t="str">
        <f>""</f>
        <v/>
      </c>
      <c r="V83" s="15">
        <v>36</v>
      </c>
      <c r="W83" s="15" t="str">
        <f>"10-21-000637"</f>
        <v>10-21-000637</v>
      </c>
      <c r="X83" s="15" t="str">
        <f>"BATERIA 12V."</f>
        <v>BATERIA 12V.</v>
      </c>
      <c r="Y83" s="14">
        <v>1</v>
      </c>
      <c r="Z83" s="18" t="str">
        <f>""</f>
        <v/>
      </c>
      <c r="AA83" s="18">
        <v>0</v>
      </c>
      <c r="AB83" s="18" t="str">
        <f>""</f>
        <v/>
      </c>
      <c r="AC83" s="18" t="str">
        <f>""</f>
        <v/>
      </c>
      <c r="AD83" s="18" t="str">
        <f>""</f>
        <v/>
      </c>
      <c r="AE83" s="18" t="str">
        <f>""</f>
        <v/>
      </c>
      <c r="AF83" s="18" t="str">
        <f t="shared" si="12"/>
        <v/>
      </c>
      <c r="AG83" s="18" t="str">
        <f>""</f>
        <v/>
      </c>
      <c r="AH83" s="18" t="str">
        <f>""</f>
        <v/>
      </c>
      <c r="AI83" s="19" t="str">
        <f t="shared" si="13"/>
        <v/>
      </c>
      <c r="AJ83" t="str">
        <f>""</f>
        <v/>
      </c>
    </row>
    <row r="84" spans="1:36" x14ac:dyDescent="0.3">
      <c r="A84" t="s">
        <v>299</v>
      </c>
      <c r="B84" t="str">
        <f>"""SQL-NAVISION"","""",""SQL="",""14=Id_ Prefactura"",""PF26-00004176"",""2=Tipo documento"",""0"",""14=No_"",""PD260075039"",""14=No_ referencia transporte"",""X26023588"",""14=Familia pedido"","""",""15=Fecha confirmación SGA"",""28/04/2026"",""14=Nombre punto entrega"",""Adrián Alvarez"&amp;" Estopiña"",""14=Contacto punto entrega"",""Adrián Alvarez Estopiña"",""14=Dirección punto entrega"",""carrer pintor segrelles 1 puerta 1A "",""14=C_P_ punto entrega"",""46460"",""14=Población punto entrega"",""Silla"",""14=Provincia punto entrega"",""Valencia"",""14=País punt"&amp;"o entrega"",""ES"",""10=bultosP"",""2,00000000000000000000"",""14=No_ documento cliente"",""INPOST280426.1"",""14=Cód_ Servicio solicitado Fact_"",""STD"",""10=bultosE"",""2,00000000000000000000"",""10=Peso facturable"",""11,00000000000000000000"",""14=Cód_ operativa"",""053"",""14="&amp;"Descripción"",""PRUEBA PILOTO INPOST"",""2=No_ línea"",""20000"",""14=No_ producto cliente"",""10-21-000869"",""14=Descripción ampliada"",""FUENTE DE ALIMENTACIàN COMPLETA"",""10=Cantidad confirmada"",""1,00000000000000000000"",""2=numeroexpediciones"",""1"",""2=numeroalbaranes"""&amp;",""1"",""10=manipulacion"",""4,46174400000000000000"",""10=embalaje"",""1,80000000000000000000"",""10=transporte"",""7,78077200000000000000"",""10=prima"",""0,00000000000000000000"",""10=reembolso"",""0,00000000000000000000"",""10=impuestos"",""0,00000000000000000000"",""10=gestion"&amp;""",""0,10598700000000000000"",""10=franqueo"",""0,00000000000000000000"",""10=despacho"",""0,00000000000000000000"""</f>
        <v>"SQL-NAVISION","","SQL=","14=Id_ Prefactura","PF26-00004176","2=Tipo documento","0","14=No_","PD260075039","14=No_ referencia transporte","X26023588","14=Familia pedido","","15=Fecha confirmación SGA","28/04/2026","14=Nombre punto entrega","Adrián Alvarez Estopiña","14=Contacto punto entrega","Adrián Alvarez Estopiña","14=Dirección punto entrega","carrer pintor segrelles 1 puerta 1A ","14=C_P_ punto entrega","46460","14=Población punto entrega","Silla","14=Provincia punto entrega","Valencia","14=País punto entrega","ES","10=bultosP","2,00000000000000000000","14=No_ documento cliente","INPOST280426.1","14=Cód_ Servicio solicitado Fact_","STD","10=bultosE","2,00000000000000000000","10=Peso facturable","11,00000000000000000000","14=Cód_ operativa","053","14=Descripción","PRUEBA PILOTO INPOST","2=No_ línea","20000","14=No_ producto cliente","10-21-000869","14=Descripción ampliada","FUENTE DE ALIMENTACIàN COMPLETA","10=Cantidad confirmada","1,00000000000000000000","2=numeroexpediciones","1","2=numeroalbaranes","1","10=manipulacion","4,46174400000000000000","10=embalaje","1,80000000000000000000","10=transporte","7,78077200000000000000","10=prima","0,00000000000000000000","10=reembolso","0,00000000000000000000","10=impuestos","0,00000000000000000000","10=gestion","0,10598700000000000000","10=franqueo","0,00000000000000000000","10=despacho","0,00000000000000000000"</v>
      </c>
      <c r="C84" t="str">
        <f>"PD260075039"</f>
        <v>PD260075039</v>
      </c>
      <c r="D84" s="3" t="str">
        <f>""</f>
        <v/>
      </c>
      <c r="E84" s="3" t="str">
        <f>""</f>
        <v/>
      </c>
      <c r="F84" s="3" t="str">
        <f>""</f>
        <v/>
      </c>
      <c r="G84" s="3" t="str">
        <f>""</f>
        <v/>
      </c>
      <c r="H84" s="3" t="str">
        <f>""</f>
        <v/>
      </c>
      <c r="I84" s="3" t="str">
        <f>""</f>
        <v/>
      </c>
      <c r="J84" s="3" t="str">
        <f>""</f>
        <v/>
      </c>
      <c r="K84" s="4" t="str">
        <f>""</f>
        <v/>
      </c>
      <c r="L84" s="3" t="str">
        <f>""</f>
        <v/>
      </c>
      <c r="M84" s="3" t="str">
        <f>""</f>
        <v/>
      </c>
      <c r="N84" s="3" t="str">
        <f>""</f>
        <v/>
      </c>
      <c r="O84" s="3" t="str">
        <f>""</f>
        <v/>
      </c>
      <c r="P84" s="3" t="str">
        <f>""</f>
        <v/>
      </c>
      <c r="Q84" s="3" t="str">
        <f>""</f>
        <v/>
      </c>
      <c r="R84" s="3" t="str">
        <f>""</f>
        <v/>
      </c>
      <c r="S84" s="3" t="str">
        <f>""</f>
        <v/>
      </c>
      <c r="T84" s="14" t="str">
        <f>""</f>
        <v/>
      </c>
      <c r="U84" s="14" t="str">
        <f>""</f>
        <v/>
      </c>
      <c r="V84" s="15">
        <v>11</v>
      </c>
      <c r="W84" s="15" t="str">
        <f>"10-21-000869"</f>
        <v>10-21-000869</v>
      </c>
      <c r="X84" s="15" t="str">
        <f>"FUENTE DE ALIMENTACIàN COMPLETA"</f>
        <v>FUENTE DE ALIMENTACIàN COMPLETA</v>
      </c>
      <c r="Y84" s="14">
        <v>1</v>
      </c>
      <c r="Z84" s="18" t="str">
        <f>""</f>
        <v/>
      </c>
      <c r="AA84" s="18">
        <v>0</v>
      </c>
      <c r="AB84" s="18" t="str">
        <f>""</f>
        <v/>
      </c>
      <c r="AC84" s="18" t="str">
        <f>""</f>
        <v/>
      </c>
      <c r="AD84" s="18" t="str">
        <f>""</f>
        <v/>
      </c>
      <c r="AE84" s="18" t="str">
        <f>""</f>
        <v/>
      </c>
      <c r="AF84" s="18" t="str">
        <f t="shared" si="12"/>
        <v/>
      </c>
      <c r="AG84" s="18" t="str">
        <f>""</f>
        <v/>
      </c>
      <c r="AH84" s="18" t="str">
        <f>""</f>
        <v/>
      </c>
      <c r="AI84" s="19" t="str">
        <f t="shared" si="13"/>
        <v/>
      </c>
      <c r="AJ84" t="str">
        <f>""</f>
        <v/>
      </c>
    </row>
    <row r="85" spans="1:36" x14ac:dyDescent="0.3">
      <c r="A85" t="s">
        <v>299</v>
      </c>
      <c r="B85" t="str">
        <f>"""SQL-NAVISION"","""",""SQL="",""14=Id_ Prefactura"",""PF26-00004176"",""2=Tipo documento"",""0"",""14=No_"",""PD260075039"",""14=No_ referencia transporte"",""X26023588"",""14=Familia pedido"","""",""15=Fecha confirmación SGA"",""28/04/2026"",""14=Nombre punto entrega"",""Adrián Alvarez"&amp;" Estopiña"",""14=Contacto punto entrega"",""Adrián Alvarez Estopiña"",""14=Dirección punto entrega"",""carrer pintor segrelles 1 puerta 1A "",""14=C_P_ punto entrega"",""46460"",""14=Población punto entrega"",""Silla"",""14=Provincia punto entrega"",""Valencia"",""14=País punt"&amp;"o entrega"",""ES"",""10=bultosP"",""2,00000000000000000000"",""14=No_ documento cliente"",""INPOST280426.1"",""14=Cód_ Servicio solicitado Fact_"",""STD"",""10=bultosE"",""2,00000000000000000000"",""10=Peso facturable"",""11,00000000000000000000"",""14=Cód_ operativa"",""053"",""14="&amp;"Descripción"",""PRUEBA PILOTO INPOST"",""2=No_ línea"",""30000"",""14=No_ producto cliente"",""10-21-000640"",""14=Descripción ampliada"",""SENSOR DE LUZ - T2"",""10=Cantidad confirmada"",""1,00000000000000000000"",""2=numeroexpediciones"",""1"",""2=numeroalbaranes"",""1"",""10=mani"&amp;"pulacion"",""4,46174400000000000000"",""10=embalaje"",""1,80000000000000000000"",""10=transporte"",""7,78077200000000000000"",""10=prima"",""0,00000000000000000000"",""10=reembolso"",""0,00000000000000000000"",""10=impuestos"",""0,00000000000000000000"",""10=gestion"",""0,10598700"&amp;"000000000000"",""10=franqueo"",""0,00000000000000000000"",""10=despacho"",""0,00000000000000000000"""</f>
        <v>"SQL-NAVISION","","SQL=","14=Id_ Prefactura","PF26-00004176","2=Tipo documento","0","14=No_","PD260075039","14=No_ referencia transporte","X26023588","14=Familia pedido","","15=Fecha confirmación SGA","28/04/2026","14=Nombre punto entrega","Adrián Alvarez Estopiña","14=Contacto punto entrega","Adrián Alvarez Estopiña","14=Dirección punto entrega","carrer pintor segrelles 1 puerta 1A ","14=C_P_ punto entrega","46460","14=Población punto entrega","Silla","14=Provincia punto entrega","Valencia","14=País punto entrega","ES","10=bultosP","2,00000000000000000000","14=No_ documento cliente","INPOST280426.1","14=Cód_ Servicio solicitado Fact_","STD","10=bultosE","2,00000000000000000000","10=Peso facturable","11,00000000000000000000","14=Cód_ operativa","053","14=Descripción","PRUEBA PILOTO INPOST","2=No_ línea","30000","14=No_ producto cliente","10-21-000640","14=Descripción ampliada","SENSOR DE LUZ - T2","10=Cantidad confirmada","1,00000000000000000000","2=numeroexpediciones","1","2=numeroalbaranes","1","10=manipulacion","4,46174400000000000000","10=embalaje","1,80000000000000000000","10=transporte","7,78077200000000000000","10=prima","0,00000000000000000000","10=reembolso","0,00000000000000000000","10=impuestos","0,00000000000000000000","10=gestion","0,10598700000000000000","10=franqueo","0,00000000000000000000","10=despacho","0,00000000000000000000"</v>
      </c>
      <c r="C85" t="str">
        <f>"PD260075039"</f>
        <v>PD260075039</v>
      </c>
      <c r="D85" s="3" t="str">
        <f>""</f>
        <v/>
      </c>
      <c r="E85" s="3" t="str">
        <f>""</f>
        <v/>
      </c>
      <c r="F85" s="3" t="str">
        <f>""</f>
        <v/>
      </c>
      <c r="G85" s="3" t="str">
        <f>""</f>
        <v/>
      </c>
      <c r="H85" s="3" t="str">
        <f>""</f>
        <v/>
      </c>
      <c r="I85" s="3" t="str">
        <f>""</f>
        <v/>
      </c>
      <c r="J85" s="3" t="str">
        <f>""</f>
        <v/>
      </c>
      <c r="K85" s="4" t="str">
        <f>""</f>
        <v/>
      </c>
      <c r="L85" s="3" t="str">
        <f>""</f>
        <v/>
      </c>
      <c r="M85" s="3" t="str">
        <f>""</f>
        <v/>
      </c>
      <c r="N85" s="3" t="str">
        <f>""</f>
        <v/>
      </c>
      <c r="O85" s="3" t="str">
        <f>""</f>
        <v/>
      </c>
      <c r="P85" s="3" t="str">
        <f>""</f>
        <v/>
      </c>
      <c r="Q85" s="3" t="str">
        <f>""</f>
        <v/>
      </c>
      <c r="R85" s="3" t="str">
        <f>""</f>
        <v/>
      </c>
      <c r="S85" s="3" t="str">
        <f>""</f>
        <v/>
      </c>
      <c r="T85" s="14" t="str">
        <f>""</f>
        <v/>
      </c>
      <c r="U85" s="14" t="str">
        <f>""</f>
        <v/>
      </c>
      <c r="V85" s="15">
        <v>11</v>
      </c>
      <c r="W85" s="15" t="str">
        <f>"10-21-000640"</f>
        <v>10-21-000640</v>
      </c>
      <c r="X85" s="15" t="str">
        <f>"SENSOR DE LUZ - T2"</f>
        <v>SENSOR DE LUZ - T2</v>
      </c>
      <c r="Y85" s="14">
        <v>1</v>
      </c>
      <c r="Z85" s="18" t="str">
        <f>""</f>
        <v/>
      </c>
      <c r="AA85" s="18">
        <v>0</v>
      </c>
      <c r="AB85" s="18" t="str">
        <f>""</f>
        <v/>
      </c>
      <c r="AC85" s="18" t="str">
        <f>""</f>
        <v/>
      </c>
      <c r="AD85" s="18" t="str">
        <f>""</f>
        <v/>
      </c>
      <c r="AE85" s="18" t="str">
        <f>""</f>
        <v/>
      </c>
      <c r="AF85" s="18" t="str">
        <f t="shared" si="12"/>
        <v/>
      </c>
      <c r="AG85" s="18" t="str">
        <f>""</f>
        <v/>
      </c>
      <c r="AH85" s="18" t="str">
        <f>""</f>
        <v/>
      </c>
      <c r="AI85" s="19" t="str">
        <f t="shared" si="13"/>
        <v/>
      </c>
      <c r="AJ85" t="str">
        <f>""</f>
        <v/>
      </c>
    </row>
    <row r="86" spans="1:36" x14ac:dyDescent="0.3">
      <c r="A86" t="s">
        <v>299</v>
      </c>
      <c r="B86" t="str">
        <f>"""SQL-NAVISION"","""",""SQL="",""14=Id_ Prefactura"",""PF26-00004176"",""2=Tipo documento"",""0"",""14=No_"",""PD260075039"",""14=No_ referencia transporte"",""X26023588"",""14=Familia pedido"","""",""15=Fecha confirmación SGA"",""28/04/2026"",""14=Nombre punto entrega"",""Adrián Alvarez"&amp;" Estopiña"",""14=Contacto punto entrega"",""Adrián Alvarez Estopiña"",""14=Dirección punto entrega"",""carrer pintor segrelles 1 puerta 1A "",""14=C_P_ punto entrega"",""46460"",""14=Población punto entrega"",""Silla"",""14=Provincia punto entrega"",""Valencia"",""14=País punt"&amp;"o entrega"",""ES"",""10=bultosP"",""2,00000000000000000000"",""14=No_ documento cliente"",""INPOST280426.1"",""14=Cód_ Servicio solicitado Fact_"",""STD"",""10=bultosE"",""2,00000000000000000000"",""10=Peso facturable"",""11,00000000000000000000"",""14=Cód_ operativa"",""053"",""14="&amp;"Descripción"",""PRUEBA PILOTO INPOST"",""2=No_ línea"",""40000"",""14=No_ producto cliente"",""KIT CAPACITIVO"",""14=Descripción ampliada"",""MONITOR CAPACITIVO + USB + CONECTOR (1095) + SELLANTE + SENSOR"",""10=Cantidad confirmada"",""1,00000000000000000000"",""2=numeroexpe"&amp;"diciones"",""1"",""2=numeroalbaranes"",""1"",""10=manipulacion"",""4,46174400000000000000"",""10=embalaje"",""1,80000000000000000000"",""10=transporte"",""7,78077200000000000000"",""10=prima"",""0,00000000000000000000"",""10=reembolso"",""0,00000000000000000000"",""10=impuestos"",""0,"&amp;"00000000000000000000"",""10=gestion"",""0,10598700000000000000"",""10=franqueo"",""0,00000000000000000000"",""10=despacho"",""0,00000000000000000000"""</f>
        <v>"SQL-NAVISION","","SQL=","14=Id_ Prefactura","PF26-00004176","2=Tipo documento","0","14=No_","PD260075039","14=No_ referencia transporte","X26023588","14=Familia pedido","","15=Fecha confirmación SGA","28/04/2026","14=Nombre punto entrega","Adrián Alvarez Estopiña","14=Contacto punto entrega","Adrián Alvarez Estopiña","14=Dirección punto entrega","carrer pintor segrelles 1 puerta 1A ","14=C_P_ punto entrega","46460","14=Población punto entrega","Silla","14=Provincia punto entrega","Valencia","14=País punto entrega","ES","10=bultosP","2,00000000000000000000","14=No_ documento cliente","INPOST280426.1","14=Cód_ Servicio solicitado Fact_","STD","10=bultosE","2,00000000000000000000","10=Peso facturable","11,00000000000000000000","14=Cód_ operativa","053","14=Descripción","PRUEBA PILOTO INPOST","2=No_ línea","40000","14=No_ producto cliente","KIT CAPACITIVO","14=Descripción ampliada","MONITOR CAPACITIVO + USB + CONECTOR (1095) + SELLANTE + SENSOR","10=Cantidad confirmada","1,00000000000000000000","2=numeroexpediciones","1","2=numeroalbaranes","1","10=manipulacion","4,46174400000000000000","10=embalaje","1,80000000000000000000","10=transporte","7,78077200000000000000","10=prima","0,00000000000000000000","10=reembolso","0,00000000000000000000","10=impuestos","0,00000000000000000000","10=gestion","0,10598700000000000000","10=franqueo","0,00000000000000000000","10=despacho","0,00000000000000000000"</v>
      </c>
      <c r="C86" t="str">
        <f>"PD260075039"</f>
        <v>PD260075039</v>
      </c>
      <c r="D86" s="3" t="str">
        <f>""</f>
        <v/>
      </c>
      <c r="E86" s="3" t="str">
        <f>""</f>
        <v/>
      </c>
      <c r="F86" s="3" t="str">
        <f>""</f>
        <v/>
      </c>
      <c r="G86" s="3" t="str">
        <f>""</f>
        <v/>
      </c>
      <c r="H86" s="3" t="str">
        <f>""</f>
        <v/>
      </c>
      <c r="I86" s="3" t="str">
        <f>""</f>
        <v/>
      </c>
      <c r="J86" s="3" t="str">
        <f>""</f>
        <v/>
      </c>
      <c r="K86" s="4" t="str">
        <f>""</f>
        <v/>
      </c>
      <c r="L86" s="3" t="str">
        <f>""</f>
        <v/>
      </c>
      <c r="M86" s="3" t="str">
        <f>""</f>
        <v/>
      </c>
      <c r="N86" s="3" t="str">
        <f>""</f>
        <v/>
      </c>
      <c r="O86" s="3" t="str">
        <f>""</f>
        <v/>
      </c>
      <c r="P86" s="3" t="str">
        <f>""</f>
        <v/>
      </c>
      <c r="Q86" s="3" t="str">
        <f>""</f>
        <v/>
      </c>
      <c r="R86" s="3" t="str">
        <f>""</f>
        <v/>
      </c>
      <c r="S86" s="3" t="str">
        <f>""</f>
        <v/>
      </c>
      <c r="T86" s="14" t="str">
        <f>""</f>
        <v/>
      </c>
      <c r="U86" s="14" t="str">
        <f>""</f>
        <v/>
      </c>
      <c r="V86" s="15">
        <v>11</v>
      </c>
      <c r="W86" s="15" t="str">
        <f>"KIT CAPACITIVO"</f>
        <v>KIT CAPACITIVO</v>
      </c>
      <c r="X86" s="15" t="str">
        <f>"MONITOR CAPACITIVO + USB + CONECTOR (1095) + SELLANTE + SENSOR"</f>
        <v>MONITOR CAPACITIVO + USB + CONECTOR (1095) + SELLANTE + SENSOR</v>
      </c>
      <c r="Y86" s="14">
        <v>1</v>
      </c>
      <c r="Z86" s="18" t="str">
        <f>""</f>
        <v/>
      </c>
      <c r="AA86" s="18">
        <v>0</v>
      </c>
      <c r="AB86" s="18" t="str">
        <f>""</f>
        <v/>
      </c>
      <c r="AC86" s="18" t="str">
        <f>""</f>
        <v/>
      </c>
      <c r="AD86" s="18" t="str">
        <f>""</f>
        <v/>
      </c>
      <c r="AE86" s="18" t="str">
        <f>""</f>
        <v/>
      </c>
      <c r="AF86" s="18" t="str">
        <f t="shared" si="12"/>
        <v/>
      </c>
      <c r="AG86" s="18" t="str">
        <f>""</f>
        <v/>
      </c>
      <c r="AH86" s="18" t="str">
        <f>""</f>
        <v/>
      </c>
      <c r="AI86" s="19" t="str">
        <f t="shared" si="13"/>
        <v/>
      </c>
      <c r="AJ86" t="str">
        <f>""</f>
        <v/>
      </c>
    </row>
    <row r="87" spans="1:36" x14ac:dyDescent="0.3">
      <c r="A87" t="s">
        <v>299</v>
      </c>
      <c r="B87" t="str">
        <f>"""SQL-NAVISION"","""",""SQL="",""14=Id_ Prefactura"",""PF26-00004176"",""2=Tipo documento"",""0"",""14=No_"",""PD260075040"",""14=No_ referencia transporte"",""INPOST280426.2"",""14=Familia pedido"","""",""15=Fecha confirmación SGA"",""28/04/2026"",""14=Nombre punto entrega"",""Carlos Jo"&amp;"sé Carrasco"",""14=Contacto punto entrega"",""Carlos José Carrasco"",""14=Dirección punto entrega"",""Francisco Salzillo 7, pt 5, 4ºA "",""14=C_P_ punto entrega"",""28850"",""14=Población punto entrega"",""Torrejón de Ardoz 28"",""14=Provincia punto entrega"",""Madrid"",""14=P"&amp;"aís punto entrega"",""ES"",""10=bultosP"",""1,00000000000000000000"",""14=No_ documento cliente"",""INPOST280426.2"",""14=Cód_ Servicio solicitado Fact_"",""STD"",""10=bultosE"",""1,00000000000000000000"",""10=Peso facturable"",""46,00000000000000000000"",""14=Cód_ operativa"",""0"&amp;"53"",""14=Descripción"",""PRUEBA PILOTO INPOST"",""2=No_ línea"",""20000"",""14=No_ producto cliente"",""11-50-000521"",""14=Descripción ampliada"",""PUERTA INDOOR - GRANDE - DERECHA"",""10=Cantidad confirmada"",""1,00000000000000000000"",""2=numeroexpediciones"",""1"",""2=numeroa"&amp;"lbaranes"",""1"",""10=manipulacion"",""8,35136400000000000000"",""10=embalaje"",""2,47000000000000000000"",""10=transporte"",""20,40822600000000000000"",""10=prima"",""0,00000000000000000000"",""10=reembolso"",""0,00000000000000000000"",""10=impuestos"",""0,00000000000000000000"","""&amp;"10=gestion"",""0,10598700000000000000"",""10=franqueo"",""0,00000000000000000000"",""10=despacho"",""0,00000000000000000000"""</f>
        <v>"SQL-NAVISION","","SQL=","14=Id_ Prefactura","PF26-00004176","2=Tipo documento","0","14=No_","PD260075040","14=No_ referencia transporte","INPOST280426.2","14=Familia pedido","","15=Fecha confirmación SGA","28/04/2026","14=Nombre punto entrega","Carlos José Carrasco","14=Contacto punto entrega","Carlos José Carrasco","14=Dirección punto entrega","Francisco Salzillo 7, pt 5, 4ºA ","14=C_P_ punto entrega","28850","14=Población punto entrega","Torrejón de Ardoz 28","14=Provincia punto entrega","Madrid","14=País punto entrega","ES","10=bultosP","1,00000000000000000000","14=No_ documento cliente","INPOST280426.2","14=Cód_ Servicio solicitado Fact_","STD","10=bultosE","1,00000000000000000000","10=Peso facturable","46,00000000000000000000","14=Cód_ operativa","053","14=Descripción","PRUEBA PILOTO INPOST","2=No_ línea","20000","14=No_ producto cliente","11-50-000521","14=Descripción ampliada","PUERTA INDOOR - GRANDE - DERECHA","10=Cantidad confirmada","1,00000000000000000000","2=numeroexpediciones","1","2=numeroalbaranes","1","10=manipulacion","8,35136400000000000000","10=embalaje","2,47000000000000000000","10=transporte","20,40822600000000000000","10=prima","0,00000000000000000000","10=reembolso","0,00000000000000000000","10=impuestos","0,00000000000000000000","10=gestion","0,10598700000000000000","10=franqueo","0,00000000000000000000","10=despacho","0,00000000000000000000"</v>
      </c>
      <c r="C87" t="str">
        <f>"PD260075040"</f>
        <v>PD260075040</v>
      </c>
      <c r="D87" s="3" t="str">
        <f>""</f>
        <v/>
      </c>
      <c r="E87" s="3" t="str">
        <f>""</f>
        <v/>
      </c>
      <c r="F87" s="3" t="str">
        <f>""</f>
        <v/>
      </c>
      <c r="G87" s="3" t="str">
        <f>""</f>
        <v/>
      </c>
      <c r="H87" s="3" t="str">
        <f>""</f>
        <v/>
      </c>
      <c r="I87" s="3" t="str">
        <f>""</f>
        <v/>
      </c>
      <c r="J87" s="3" t="str">
        <f>""</f>
        <v/>
      </c>
      <c r="K87" s="4" t="str">
        <f>""</f>
        <v/>
      </c>
      <c r="L87" s="3" t="str">
        <f>""</f>
        <v/>
      </c>
      <c r="M87" s="3" t="str">
        <f>""</f>
        <v/>
      </c>
      <c r="N87" s="3" t="str">
        <f>""</f>
        <v/>
      </c>
      <c r="O87" s="3" t="str">
        <f>""</f>
        <v/>
      </c>
      <c r="P87" s="3" t="str">
        <f>""</f>
        <v/>
      </c>
      <c r="Q87" s="3" t="str">
        <f>""</f>
        <v/>
      </c>
      <c r="R87" s="3" t="str">
        <f>""</f>
        <v/>
      </c>
      <c r="S87" s="3" t="str">
        <f>""</f>
        <v/>
      </c>
      <c r="T87" s="14" t="str">
        <f>""</f>
        <v/>
      </c>
      <c r="U87" s="14" t="str">
        <f>""</f>
        <v/>
      </c>
      <c r="V87" s="15">
        <v>46</v>
      </c>
      <c r="W87" s="15" t="str">
        <f>"11-50-000521"</f>
        <v>11-50-000521</v>
      </c>
      <c r="X87" s="15" t="str">
        <f>"PUERTA INDOOR - GRANDE - DERECHA"</f>
        <v>PUERTA INDOOR - GRANDE - DERECHA</v>
      </c>
      <c r="Y87" s="14">
        <v>1</v>
      </c>
      <c r="Z87" s="18" t="str">
        <f>""</f>
        <v/>
      </c>
      <c r="AA87" s="18">
        <v>0</v>
      </c>
      <c r="AB87" s="18" t="str">
        <f>""</f>
        <v/>
      </c>
      <c r="AC87" s="18" t="str">
        <f>""</f>
        <v/>
      </c>
      <c r="AD87" s="18" t="str">
        <f>""</f>
        <v/>
      </c>
      <c r="AE87" s="18" t="str">
        <f>""</f>
        <v/>
      </c>
      <c r="AF87" s="18" t="str">
        <f t="shared" si="12"/>
        <v/>
      </c>
      <c r="AG87" s="18" t="str">
        <f>""</f>
        <v/>
      </c>
      <c r="AH87" s="18" t="str">
        <f>""</f>
        <v/>
      </c>
      <c r="AI87" s="19" t="str">
        <f t="shared" si="13"/>
        <v/>
      </c>
      <c r="AJ87" t="str">
        <f>""</f>
        <v/>
      </c>
    </row>
    <row r="88" spans="1:36" x14ac:dyDescent="0.3">
      <c r="A88" t="s">
        <v>299</v>
      </c>
      <c r="B88" t="str">
        <f>"""SQL-NAVISION"","""",""SQL="",""14=Id_ Prefactura"",""PF26-00004176"",""2=Tipo documento"",""0"",""14=No_"",""PD260075040"",""14=No_ referencia transporte"",""INPOST280426.2"",""14=Familia pedido"","""",""15=Fecha confirmación SGA"",""28/04/2026"",""14=Nombre punto entrega"",""Carlos Jo"&amp;"sé Carrasco"",""14=Contacto punto entrega"",""Carlos José Carrasco"",""14=Dirección punto entrega"",""Francisco Salzillo 7, pt 5, 4ºA "",""14=C_P_ punto entrega"",""28850"",""14=Población punto entrega"",""Torrejón de Ardoz 28"",""14=Provincia punto entrega"",""Madrid"",""14=P"&amp;"aís punto entrega"",""ES"",""10=bultosP"",""1,00000000000000000000"",""14=No_ documento cliente"",""INPOST280426.2"",""14=Cód_ Servicio solicitado Fact_"",""STD"",""10=bultosE"",""1,00000000000000000000"",""10=Peso facturable"",""46,00000000000000000000"",""14=Cód_ operativa"",""0"&amp;"53"",""14=Descripción"",""PRUEBA PILOTO INPOST"",""2=No_ línea"",""30000"",""14=No_ producto cliente"",""10-21-000629"",""14=Descripción ampliada"",""PCB BOXLOCK300 VER 1.2. PLATE FOR"",""10=Cantidad confirmada"",""4,00000000000000000000"",""2=numeroexpediciones"",""1"",""2=numero"&amp;"albaranes"",""1"",""10=manipulacion"",""8,35136400000000000000"",""10=embalaje"",""2,47000000000000000000"",""10=transporte"",""20,40822600000000000000"",""10=prima"",""0,00000000000000000000"",""10=reembolso"",""0,00000000000000000000"",""10=impuestos"",""0,00000000000000000000"","&amp;"""10=gestion"",""0,10598700000000000000"",""10=franqueo"",""0,00000000000000000000"",""10=despacho"",""0,00000000000000000000"""</f>
        <v>"SQL-NAVISION","","SQL=","14=Id_ Prefactura","PF26-00004176","2=Tipo documento","0","14=No_","PD260075040","14=No_ referencia transporte","INPOST280426.2","14=Familia pedido","","15=Fecha confirmación SGA","28/04/2026","14=Nombre punto entrega","Carlos José Carrasco","14=Contacto punto entrega","Carlos José Carrasco","14=Dirección punto entrega","Francisco Salzillo 7, pt 5, 4ºA ","14=C_P_ punto entrega","28850","14=Población punto entrega","Torrejón de Ardoz 28","14=Provincia punto entrega","Madrid","14=País punto entrega","ES","10=bultosP","1,00000000000000000000","14=No_ documento cliente","INPOST280426.2","14=Cód_ Servicio solicitado Fact_","STD","10=bultosE","1,00000000000000000000","10=Peso facturable","46,00000000000000000000","14=Cód_ operativa","053","14=Descripción","PRUEBA PILOTO INPOST","2=No_ línea","30000","14=No_ producto cliente","10-21-000629","14=Descripción ampliada","PCB BOXLOCK300 VER 1.2. PLATE FOR","10=Cantidad confirmada","4,00000000000000000000","2=numeroexpediciones","1","2=numeroalbaranes","1","10=manipulacion","8,35136400000000000000","10=embalaje","2,47000000000000000000","10=transporte","20,40822600000000000000","10=prima","0,00000000000000000000","10=reembolso","0,00000000000000000000","10=impuestos","0,00000000000000000000","10=gestion","0,10598700000000000000","10=franqueo","0,00000000000000000000","10=despacho","0,00000000000000000000"</v>
      </c>
      <c r="C88" t="str">
        <f>"PD260075040"</f>
        <v>PD260075040</v>
      </c>
      <c r="D88" s="3" t="str">
        <f>""</f>
        <v/>
      </c>
      <c r="E88" s="3" t="str">
        <f>""</f>
        <v/>
      </c>
      <c r="F88" s="3" t="str">
        <f>""</f>
        <v/>
      </c>
      <c r="G88" s="3" t="str">
        <f>""</f>
        <v/>
      </c>
      <c r="H88" s="3" t="str">
        <f>""</f>
        <v/>
      </c>
      <c r="I88" s="3" t="str">
        <f>""</f>
        <v/>
      </c>
      <c r="J88" s="3" t="str">
        <f>""</f>
        <v/>
      </c>
      <c r="K88" s="4" t="str">
        <f>""</f>
        <v/>
      </c>
      <c r="L88" s="3" t="str">
        <f>""</f>
        <v/>
      </c>
      <c r="M88" s="3" t="str">
        <f>""</f>
        <v/>
      </c>
      <c r="N88" s="3" t="str">
        <f>""</f>
        <v/>
      </c>
      <c r="O88" s="3" t="str">
        <f>""</f>
        <v/>
      </c>
      <c r="P88" s="3" t="str">
        <f>""</f>
        <v/>
      </c>
      <c r="Q88" s="3" t="str">
        <f>""</f>
        <v/>
      </c>
      <c r="R88" s="3" t="str">
        <f>""</f>
        <v/>
      </c>
      <c r="S88" s="3" t="str">
        <f>""</f>
        <v/>
      </c>
      <c r="T88" s="14" t="str">
        <f>""</f>
        <v/>
      </c>
      <c r="U88" s="14" t="str">
        <f>""</f>
        <v/>
      </c>
      <c r="V88" s="15">
        <v>46</v>
      </c>
      <c r="W88" s="15" t="str">
        <f>"10-21-000629"</f>
        <v>10-21-000629</v>
      </c>
      <c r="X88" s="15" t="str">
        <f>"PCB BOXLOCK300 VER 1.2. PLATE FOR"</f>
        <v>PCB BOXLOCK300 VER 1.2. PLATE FOR</v>
      </c>
      <c r="Y88" s="14">
        <v>4</v>
      </c>
      <c r="Z88" s="18" t="str">
        <f>""</f>
        <v/>
      </c>
      <c r="AA88" s="18">
        <v>0</v>
      </c>
      <c r="AB88" s="18" t="str">
        <f>""</f>
        <v/>
      </c>
      <c r="AC88" s="18" t="str">
        <f>""</f>
        <v/>
      </c>
      <c r="AD88" s="18" t="str">
        <f>""</f>
        <v/>
      </c>
      <c r="AE88" s="18" t="str">
        <f>""</f>
        <v/>
      </c>
      <c r="AF88" s="18" t="str">
        <f t="shared" si="12"/>
        <v/>
      </c>
      <c r="AG88" s="18" t="str">
        <f>""</f>
        <v/>
      </c>
      <c r="AH88" s="18" t="str">
        <f>""</f>
        <v/>
      </c>
      <c r="AI88" s="19" t="str">
        <f t="shared" si="13"/>
        <v/>
      </c>
      <c r="AJ88" t="str">
        <f>""</f>
        <v/>
      </c>
    </row>
    <row r="89" spans="1:36" x14ac:dyDescent="0.3">
      <c r="A89" t="s">
        <v>299</v>
      </c>
      <c r="B89" t="str">
        <f>"""SQL-NAVISION"","""",""SQL="",""14=Id_ Prefactura"",""PF26-00004176"",""2=Tipo documento"",""0"",""14=No_"",""PD260075040"",""14=No_ referencia transporte"",""INPOST280426.2"",""14=Familia pedido"","""",""15=Fecha confirmación SGA"",""28/04/2026"",""14=Nombre punto entrega"",""Carlos Jo"&amp;"sé Carrasco"",""14=Contacto punto entrega"",""Carlos José Carrasco"",""14=Dirección punto entrega"",""Francisco Salzillo 7, pt 5, 4ºA "",""14=C_P_ punto entrega"",""28850"",""14=Población punto entrega"",""Torrejón de Ardoz 28"",""14=Provincia punto entrega"",""Madrid"",""14=P"&amp;"aís punto entrega"",""ES"",""10=bultosP"",""1,00000000000000000000"",""14=No_ documento cliente"",""INPOST280426.2"",""14=Cód_ Servicio solicitado Fact_"",""STD"",""10=bultosE"",""1,00000000000000000000"",""10=Peso facturable"",""46,00000000000000000000"",""14=Cód_ operativa"",""0"&amp;"53"",""14=Descripción"",""PRUEBA PILOTO INPOST"",""2=No_ línea"",""40000"",""14=No_ producto cliente"",""10-20-000064"",""14=Descripción ampliada"",""ACTUADOR CERRADURAS"",""10=Cantidad confirmada"",""40,00000000000000000000"",""2=numeroexpediciones"",""1"",""2=numeroalbaranes"",""1"&amp;""",""10=manipulacion"",""8,35136400000000000000"",""10=embalaje"",""2,47000000000000000000"",""10=transporte"",""20,40822600000000000000"",""10=prima"",""0,00000000000000000000"",""10=reembolso"",""0,00000000000000000000"",""10=impuestos"",""0,00000000000000000000"",""10=gestion"","&amp;"""0,10598700000000000000"",""10=franqueo"",""0,00000000000000000000"",""10=despacho"",""0,00000000000000000000"""</f>
        <v>"SQL-NAVISION","","SQL=","14=Id_ Prefactura","PF26-00004176","2=Tipo documento","0","14=No_","PD260075040","14=No_ referencia transporte","INPOST280426.2","14=Familia pedido","","15=Fecha confirmación SGA","28/04/2026","14=Nombre punto entrega","Carlos José Carrasco","14=Contacto punto entrega","Carlos José Carrasco","14=Dirección punto entrega","Francisco Salzillo 7, pt 5, 4ºA ","14=C_P_ punto entrega","28850","14=Población punto entrega","Torrejón de Ardoz 28","14=Provincia punto entrega","Madrid","14=País punto entrega","ES","10=bultosP","1,00000000000000000000","14=No_ documento cliente","INPOST280426.2","14=Cód_ Servicio solicitado Fact_","STD","10=bultosE","1,00000000000000000000","10=Peso facturable","46,00000000000000000000","14=Cód_ operativa","053","14=Descripción","PRUEBA PILOTO INPOST","2=No_ línea","40000","14=No_ producto cliente","10-20-000064","14=Descripción ampliada","ACTUADOR CERRADURAS","10=Cantidad confirmada","40,00000000000000000000","2=numeroexpediciones","1","2=numeroalbaranes","1","10=manipulacion","8,35136400000000000000","10=embalaje","2,47000000000000000000","10=transporte","20,40822600000000000000","10=prima","0,00000000000000000000","10=reembolso","0,00000000000000000000","10=impuestos","0,00000000000000000000","10=gestion","0,10598700000000000000","10=franqueo","0,00000000000000000000","10=despacho","0,00000000000000000000"</v>
      </c>
      <c r="C89" t="str">
        <f>"PD260075040"</f>
        <v>PD260075040</v>
      </c>
      <c r="D89" s="3" t="str">
        <f>""</f>
        <v/>
      </c>
      <c r="E89" s="3" t="str">
        <f>""</f>
        <v/>
      </c>
      <c r="F89" s="3" t="str">
        <f>""</f>
        <v/>
      </c>
      <c r="G89" s="3" t="str">
        <f>""</f>
        <v/>
      </c>
      <c r="H89" s="3" t="str">
        <f>""</f>
        <v/>
      </c>
      <c r="I89" s="3" t="str">
        <f>""</f>
        <v/>
      </c>
      <c r="J89" s="3" t="str">
        <f>""</f>
        <v/>
      </c>
      <c r="K89" s="4" t="str">
        <f>""</f>
        <v/>
      </c>
      <c r="L89" s="3" t="str">
        <f>""</f>
        <v/>
      </c>
      <c r="M89" s="3" t="str">
        <f>""</f>
        <v/>
      </c>
      <c r="N89" s="3" t="str">
        <f>""</f>
        <v/>
      </c>
      <c r="O89" s="3" t="str">
        <f>""</f>
        <v/>
      </c>
      <c r="P89" s="3" t="str">
        <f>""</f>
        <v/>
      </c>
      <c r="Q89" s="3" t="str">
        <f>""</f>
        <v/>
      </c>
      <c r="R89" s="3" t="str">
        <f>""</f>
        <v/>
      </c>
      <c r="S89" s="3" t="str">
        <f>""</f>
        <v/>
      </c>
      <c r="T89" s="14" t="str">
        <f>""</f>
        <v/>
      </c>
      <c r="U89" s="14" t="str">
        <f>""</f>
        <v/>
      </c>
      <c r="V89" s="15">
        <v>46</v>
      </c>
      <c r="W89" s="15" t="str">
        <f>"10-20-000064"</f>
        <v>10-20-000064</v>
      </c>
      <c r="X89" s="15" t="str">
        <f>"ACTUADOR CERRADURAS"</f>
        <v>ACTUADOR CERRADURAS</v>
      </c>
      <c r="Y89" s="14">
        <v>40</v>
      </c>
      <c r="Z89" s="18" t="str">
        <f>""</f>
        <v/>
      </c>
      <c r="AA89" s="18">
        <v>0</v>
      </c>
      <c r="AB89" s="18" t="str">
        <f>""</f>
        <v/>
      </c>
      <c r="AC89" s="18" t="str">
        <f>""</f>
        <v/>
      </c>
      <c r="AD89" s="18" t="str">
        <f>""</f>
        <v/>
      </c>
      <c r="AE89" s="18" t="str">
        <f>""</f>
        <v/>
      </c>
      <c r="AF89" s="18" t="str">
        <f t="shared" si="12"/>
        <v/>
      </c>
      <c r="AG89" s="18" t="str">
        <f>""</f>
        <v/>
      </c>
      <c r="AH89" s="18" t="str">
        <f>""</f>
        <v/>
      </c>
      <c r="AI89" s="19" t="str">
        <f t="shared" si="13"/>
        <v/>
      </c>
      <c r="AJ89" t="str">
        <f>""</f>
        <v/>
      </c>
    </row>
    <row r="90" spans="1:36" x14ac:dyDescent="0.3">
      <c r="A90" t="s">
        <v>299</v>
      </c>
      <c r="B90" t="str">
        <f>"""SQL-NAVISION"","""",""SQL="",""14=Id_ Prefactura"",""PF26-00004176"",""2=Tipo documento"",""0"",""14=No_"",""PD260075041"",""14=No_ referencia transporte"",""INPOST280426.3"",""14=Familia pedido"","""",""15=Fecha confirmación SGA"",""28/04/2026"",""14=Nombre punto entrega"",""Javier Co"&amp;"rtegoso Torres"",""14=Contacto punto entrega"",""Javier Cortegoso Torres"",""14=Dirección punto entrega"",""Plaza España 3-4 8i"",""14=C_P_ punto entrega"",""15403"",""14=Población punto entrega"",""Ferrol"",""14=Provincia punto entrega"",""A Coruña"",""14=País punto entrega"","&amp;"""ES"",""10=bultosP"",""1,00000000000000000000"",""14=No_ documento cliente"",""INPOST280426.3"",""14=Cód_ Servicio solicitado Fact_"",""STD"",""10=bultosE"",""1,00000000000000000000"",""10=Peso facturable"",""29,00000000000000000000"",""14=Cód_ operativa"",""053"",""14=Descripción"&amp;""",""PRUEBA PILOTO INPOST"",""2=No_ línea"",""20000"",""14=No_ producto cliente"",""10-20-000064"",""14=Descripción ampliada"",""ACTUADOR CERRADURAS"",""10=Cantidad confirmada"",""20,00000000000000000000"",""2=numeroexpediciones"",""1"",""2=numeroalbaranes"",""1"",""10=manipulacion"""&amp;",""8,03031600000000000000"",""10=embalaje"",""2,12000000000000000000"",""10=transporte"",""11,26907900000000000000"",""10=prima"",""0,00000000000000000000"",""10=reembolso"",""0,00000000000000000000"",""10=impuestos"",""0,00000000000000000000"",""10=gestion"",""0,1059870000000000"&amp;"0000"",""10=franqueo"",""0,00000000000000000000"",""10=despacho"",""0,00000000000000000000"""</f>
        <v>"SQL-NAVISION","","SQL=","14=Id_ Prefactura","PF26-00004176","2=Tipo documento","0","14=No_","PD260075041","14=No_ referencia transporte","INPOST280426.3","14=Familia pedido","","15=Fecha confirmación SGA","28/04/2026","14=Nombre punto entrega","Javier Cortegoso Torres","14=Contacto punto entrega","Javier Cortegoso Torres","14=Dirección punto entrega","Plaza España 3-4 8i","14=C_P_ punto entrega","15403","14=Población punto entrega","Ferrol","14=Provincia punto entrega","A Coruña","14=País punto entrega","ES","10=bultosP","1,00000000000000000000","14=No_ documento cliente","INPOST280426.3","14=Cód_ Servicio solicitado Fact_","STD","10=bultosE","1,00000000000000000000","10=Peso facturable","29,00000000000000000000","14=Cód_ operativa","053","14=Descripción","PRUEBA PILOTO INPOST","2=No_ línea","20000","14=No_ producto cliente","10-20-000064","14=Descripción ampliada","ACTUADOR CERRADURAS","10=Cantidad confirmada","20,00000000000000000000","2=numeroexpediciones","1","2=numeroalbaranes","1","10=manipulacion","8,03031600000000000000","10=embalaje","2,12000000000000000000","10=transporte","11,26907900000000000000","10=prima","0,00000000000000000000","10=reembolso","0,00000000000000000000","10=impuestos","0,00000000000000000000","10=gestion","0,10598700000000000000","10=franqueo","0,00000000000000000000","10=despacho","0,00000000000000000000"</v>
      </c>
      <c r="C90" t="str">
        <f t="shared" ref="C90:C96" si="15">"PD260075041"</f>
        <v>PD260075041</v>
      </c>
      <c r="D90" s="3" t="str">
        <f>""</f>
        <v/>
      </c>
      <c r="E90" s="3" t="str">
        <f>""</f>
        <v/>
      </c>
      <c r="F90" s="3" t="str">
        <f>""</f>
        <v/>
      </c>
      <c r="G90" s="3" t="str">
        <f>""</f>
        <v/>
      </c>
      <c r="H90" s="3" t="str">
        <f>""</f>
        <v/>
      </c>
      <c r="I90" s="3" t="str">
        <f>""</f>
        <v/>
      </c>
      <c r="J90" s="3" t="str">
        <f>""</f>
        <v/>
      </c>
      <c r="K90" s="4" t="str">
        <f>""</f>
        <v/>
      </c>
      <c r="L90" s="3" t="str">
        <f>""</f>
        <v/>
      </c>
      <c r="M90" s="3" t="str">
        <f>""</f>
        <v/>
      </c>
      <c r="N90" s="3" t="str">
        <f>""</f>
        <v/>
      </c>
      <c r="O90" s="3" t="str">
        <f>""</f>
        <v/>
      </c>
      <c r="P90" s="3" t="str">
        <f>""</f>
        <v/>
      </c>
      <c r="Q90" s="3" t="str">
        <f>""</f>
        <v/>
      </c>
      <c r="R90" s="3" t="str">
        <f>""</f>
        <v/>
      </c>
      <c r="S90" s="3" t="str">
        <f>""</f>
        <v/>
      </c>
      <c r="T90" s="14" t="str">
        <f>""</f>
        <v/>
      </c>
      <c r="U90" s="14" t="str">
        <f>""</f>
        <v/>
      </c>
      <c r="V90" s="15">
        <v>29</v>
      </c>
      <c r="W90" s="15" t="str">
        <f>"10-20-000064"</f>
        <v>10-20-000064</v>
      </c>
      <c r="X90" s="15" t="str">
        <f>"ACTUADOR CERRADURAS"</f>
        <v>ACTUADOR CERRADURAS</v>
      </c>
      <c r="Y90" s="14">
        <v>20</v>
      </c>
      <c r="Z90" s="18" t="str">
        <f>""</f>
        <v/>
      </c>
      <c r="AA90" s="18">
        <v>0</v>
      </c>
      <c r="AB90" s="18" t="str">
        <f>""</f>
        <v/>
      </c>
      <c r="AC90" s="18" t="str">
        <f>""</f>
        <v/>
      </c>
      <c r="AD90" s="18" t="str">
        <f>""</f>
        <v/>
      </c>
      <c r="AE90" s="18" t="str">
        <f>""</f>
        <v/>
      </c>
      <c r="AF90" s="18" t="str">
        <f t="shared" si="12"/>
        <v/>
      </c>
      <c r="AG90" s="18" t="str">
        <f>""</f>
        <v/>
      </c>
      <c r="AH90" s="18" t="str">
        <f>""</f>
        <v/>
      </c>
      <c r="AI90" s="19" t="str">
        <f t="shared" si="13"/>
        <v/>
      </c>
      <c r="AJ90" t="str">
        <f>""</f>
        <v/>
      </c>
    </row>
    <row r="91" spans="1:36" x14ac:dyDescent="0.3">
      <c r="A91" t="s">
        <v>299</v>
      </c>
      <c r="B91" t="str">
        <f>"""SQL-NAVISION"","""",""SQL="",""14=Id_ Prefactura"",""PF26-00004176"",""2=Tipo documento"",""0"",""14=No_"",""PD260075041"",""14=No_ referencia transporte"",""INPOST280426.3"",""14=Familia pedido"","""",""15=Fecha confirmación SGA"",""28/04/2026"",""14=Nombre punto entrega"",""Javier Co"&amp;"rtegoso Torres"",""14=Contacto punto entrega"",""Javier Cortegoso Torres"",""14=Dirección punto entrega"",""Plaza España 3-4 8i"",""14=C_P_ punto entrega"",""15403"",""14=Población punto entrega"",""Ferrol"",""14=Provincia punto entrega"",""A Coruña"",""14=País punto entrega"","&amp;"""ES"",""10=bultosP"",""1,00000000000000000000"",""14=No_ documento cliente"",""INPOST280426.3"",""14=Cód_ Servicio solicitado Fact_"",""STD"",""10=bultosE"",""1,00000000000000000000"",""10=Peso facturable"",""29,00000000000000000000"",""14=Cód_ operativa"",""053"",""14=Descripción"&amp;""",""PRUEBA PILOTO INPOST"",""2=No_ línea"",""30000"",""14=No_ producto cliente"",""KIT-PC-USB"",""14=Descripción ampliada"",""KIT PC COMPACTO Y HDMI PC"",""10=Cantidad confirmada"",""1,00000000000000000000"",""2=numeroexpediciones"",""1"",""2=numeroalbaranes"",""1"",""10=manipulaci"&amp;"on"",""8,03031600000000000000"",""10=embalaje"",""2,12000000000000000000"",""10=transporte"",""11,26907900000000000000"",""10=prima"",""0,00000000000000000000"",""10=reembolso"",""0,00000000000000000000"",""10=impuestos"",""0,00000000000000000000"",""10=gestion"",""0,1059870000000"&amp;"0000000"",""10=franqueo"",""0,00000000000000000000"",""10=despacho"",""0,00000000000000000000"""</f>
        <v>"SQL-NAVISION","","SQL=","14=Id_ Prefactura","PF26-00004176","2=Tipo documento","0","14=No_","PD260075041","14=No_ referencia transporte","INPOST280426.3","14=Familia pedido","","15=Fecha confirmación SGA","28/04/2026","14=Nombre punto entrega","Javier Cortegoso Torres","14=Contacto punto entrega","Javier Cortegoso Torres","14=Dirección punto entrega","Plaza España 3-4 8i","14=C_P_ punto entrega","15403","14=Población punto entrega","Ferrol","14=Provincia punto entrega","A Coruña","14=País punto entrega","ES","10=bultosP","1,00000000000000000000","14=No_ documento cliente","INPOST280426.3","14=Cód_ Servicio solicitado Fact_","STD","10=bultosE","1,00000000000000000000","10=Peso facturable","29,00000000000000000000","14=Cód_ operativa","053","14=Descripción","PRUEBA PILOTO INPOST","2=No_ línea","30000","14=No_ producto cliente","KIT-PC-USB","14=Descripción ampliada","KIT PC COMPACTO Y HDMI PC","10=Cantidad confirmada","1,00000000000000000000","2=numeroexpediciones","1","2=numeroalbaranes","1","10=manipulacion","8,03031600000000000000","10=embalaje","2,12000000000000000000","10=transporte","11,26907900000000000000","10=prima","0,00000000000000000000","10=reembolso","0,00000000000000000000","10=impuestos","0,00000000000000000000","10=gestion","0,10598700000000000000","10=franqueo","0,00000000000000000000","10=despacho","0,00000000000000000000"</v>
      </c>
      <c r="C91" t="str">
        <f t="shared" si="15"/>
        <v>PD260075041</v>
      </c>
      <c r="D91" s="3" t="str">
        <f>""</f>
        <v/>
      </c>
      <c r="E91" s="3" t="str">
        <f>""</f>
        <v/>
      </c>
      <c r="F91" s="3" t="str">
        <f>""</f>
        <v/>
      </c>
      <c r="G91" s="3" t="str">
        <f>""</f>
        <v/>
      </c>
      <c r="H91" s="3" t="str">
        <f>""</f>
        <v/>
      </c>
      <c r="I91" s="3" t="str">
        <f>""</f>
        <v/>
      </c>
      <c r="J91" s="3" t="str">
        <f>""</f>
        <v/>
      </c>
      <c r="K91" s="4" t="str">
        <f>""</f>
        <v/>
      </c>
      <c r="L91" s="3" t="str">
        <f>""</f>
        <v/>
      </c>
      <c r="M91" s="3" t="str">
        <f>""</f>
        <v/>
      </c>
      <c r="N91" s="3" t="str">
        <f>""</f>
        <v/>
      </c>
      <c r="O91" s="3" t="str">
        <f>""</f>
        <v/>
      </c>
      <c r="P91" s="3" t="str">
        <f>""</f>
        <v/>
      </c>
      <c r="Q91" s="3" t="str">
        <f>""</f>
        <v/>
      </c>
      <c r="R91" s="3" t="str">
        <f>""</f>
        <v/>
      </c>
      <c r="S91" s="3" t="str">
        <f>""</f>
        <v/>
      </c>
      <c r="T91" s="14" t="str">
        <f>""</f>
        <v/>
      </c>
      <c r="U91" s="14" t="str">
        <f>""</f>
        <v/>
      </c>
      <c r="V91" s="15">
        <v>29</v>
      </c>
      <c r="W91" s="15" t="str">
        <f>"KIT-PC-USB"</f>
        <v>KIT-PC-USB</v>
      </c>
      <c r="X91" s="15" t="str">
        <f>"KIT PC COMPACTO Y HDMI PC"</f>
        <v>KIT PC COMPACTO Y HDMI PC</v>
      </c>
      <c r="Y91" s="14">
        <v>1</v>
      </c>
      <c r="Z91" s="18" t="str">
        <f>""</f>
        <v/>
      </c>
      <c r="AA91" s="18">
        <v>0</v>
      </c>
      <c r="AB91" s="18" t="str">
        <f>""</f>
        <v/>
      </c>
      <c r="AC91" s="18" t="str">
        <f>""</f>
        <v/>
      </c>
      <c r="AD91" s="18" t="str">
        <f>""</f>
        <v/>
      </c>
      <c r="AE91" s="18" t="str">
        <f>""</f>
        <v/>
      </c>
      <c r="AF91" s="18" t="str">
        <f t="shared" si="12"/>
        <v/>
      </c>
      <c r="AG91" s="18" t="str">
        <f>""</f>
        <v/>
      </c>
      <c r="AH91" s="18" t="str">
        <f>""</f>
        <v/>
      </c>
      <c r="AI91" s="19" t="str">
        <f t="shared" si="13"/>
        <v/>
      </c>
      <c r="AJ91" t="str">
        <f>""</f>
        <v/>
      </c>
    </row>
    <row r="92" spans="1:36" x14ac:dyDescent="0.3">
      <c r="A92" t="s">
        <v>299</v>
      </c>
      <c r="B92" t="str">
        <f>"""SQL-NAVISION"","""",""SQL="",""14=Id_ Prefactura"",""PF26-00004176"",""2=Tipo documento"",""0"",""14=No_"",""PD260075041"",""14=No_ referencia transporte"",""INPOST280426.3"",""14=Familia pedido"","""",""15=Fecha confirmación SGA"",""28/04/2026"",""14=Nombre punto entrega"",""Javier Co"&amp;"rtegoso Torres"",""14=Contacto punto entrega"",""Javier Cortegoso Torres"",""14=Dirección punto entrega"",""Plaza España 3-4 8i"",""14=C_P_ punto entrega"",""15403"",""14=Población punto entrega"",""Ferrol"",""14=Provincia punto entrega"",""A Coruña"",""14=País punto entrega"","&amp;"""ES"",""10=bultosP"",""1,00000000000000000000"",""14=No_ documento cliente"",""INPOST280426.3"",""14=Cód_ Servicio solicitado Fact_"",""STD"",""10=bultosE"",""1,00000000000000000000"",""10=Peso facturable"",""29,00000000000000000000"",""14=Cód_ operativa"",""053"",""14=Descripción"&amp;""",""PRUEBA PILOTO INPOST"",""2=No_ línea"",""40000"",""14=No_ producto cliente"",""11-50-000396"",""14=Descripción ampliada"",""DOOR XS"",""10=Cantidad confirmada"",""2,00000000000000000000"",""2=numeroexpediciones"",""1"",""2=numeroalbaranes"",""1"",""10=manipulacion"",""8,030316000"&amp;"00000000000"",""10=embalaje"",""2,12000000000000000000"",""10=transporte"",""11,26907900000000000000"",""10=prima"",""0,00000000000000000000"",""10=reembolso"",""0,00000000000000000000"",""10=impuestos"",""0,00000000000000000000"",""10=gestion"",""0,10598700000000000000"",""10=fra"&amp;"nqueo"",""0,00000000000000000000"",""10=despacho"",""0,00000000000000000000"""</f>
        <v>"SQL-NAVISION","","SQL=","14=Id_ Prefactura","PF26-00004176","2=Tipo documento","0","14=No_","PD260075041","14=No_ referencia transporte","INPOST280426.3","14=Familia pedido","","15=Fecha confirmación SGA","28/04/2026","14=Nombre punto entrega","Javier Cortegoso Torres","14=Contacto punto entrega","Javier Cortegoso Torres","14=Dirección punto entrega","Plaza España 3-4 8i","14=C_P_ punto entrega","15403","14=Población punto entrega","Ferrol","14=Provincia punto entrega","A Coruña","14=País punto entrega","ES","10=bultosP","1,00000000000000000000","14=No_ documento cliente","INPOST280426.3","14=Cód_ Servicio solicitado Fact_","STD","10=bultosE","1,00000000000000000000","10=Peso facturable","29,00000000000000000000","14=Cód_ operativa","053","14=Descripción","PRUEBA PILOTO INPOST","2=No_ línea","40000","14=No_ producto cliente","11-50-000396","14=Descripción ampliada","DOOR XS","10=Cantidad confirmada","2,00000000000000000000","2=numeroexpediciones","1","2=numeroalbaranes","1","10=manipulacion","8,03031600000000000000","10=embalaje","2,12000000000000000000","10=transporte","11,26907900000000000000","10=prima","0,00000000000000000000","10=reembolso","0,00000000000000000000","10=impuestos","0,00000000000000000000","10=gestion","0,10598700000000000000","10=franqueo","0,00000000000000000000","10=despacho","0,00000000000000000000"</v>
      </c>
      <c r="C92" t="str">
        <f t="shared" si="15"/>
        <v>PD260075041</v>
      </c>
      <c r="D92" s="3" t="str">
        <f>""</f>
        <v/>
      </c>
      <c r="E92" s="3" t="str">
        <f>""</f>
        <v/>
      </c>
      <c r="F92" s="3" t="str">
        <f>""</f>
        <v/>
      </c>
      <c r="G92" s="3" t="str">
        <f>""</f>
        <v/>
      </c>
      <c r="H92" s="3" t="str">
        <f>""</f>
        <v/>
      </c>
      <c r="I92" s="3" t="str">
        <f>""</f>
        <v/>
      </c>
      <c r="J92" s="3" t="str">
        <f>""</f>
        <v/>
      </c>
      <c r="K92" s="4" t="str">
        <f>""</f>
        <v/>
      </c>
      <c r="L92" s="3" t="str">
        <f>""</f>
        <v/>
      </c>
      <c r="M92" s="3" t="str">
        <f>""</f>
        <v/>
      </c>
      <c r="N92" s="3" t="str">
        <f>""</f>
        <v/>
      </c>
      <c r="O92" s="3" t="str">
        <f>""</f>
        <v/>
      </c>
      <c r="P92" s="3" t="str">
        <f>""</f>
        <v/>
      </c>
      <c r="Q92" s="3" t="str">
        <f>""</f>
        <v/>
      </c>
      <c r="R92" s="3" t="str">
        <f>""</f>
        <v/>
      </c>
      <c r="S92" s="3" t="str">
        <f>""</f>
        <v/>
      </c>
      <c r="T92" s="14" t="str">
        <f>""</f>
        <v/>
      </c>
      <c r="U92" s="14" t="str">
        <f>""</f>
        <v/>
      </c>
      <c r="V92" s="15">
        <v>29</v>
      </c>
      <c r="W92" s="15" t="str">
        <f>"11-50-000396"</f>
        <v>11-50-000396</v>
      </c>
      <c r="X92" s="15" t="str">
        <f>"DOOR XS"</f>
        <v>DOOR XS</v>
      </c>
      <c r="Y92" s="14">
        <v>2</v>
      </c>
      <c r="Z92" s="18" t="str">
        <f>""</f>
        <v/>
      </c>
      <c r="AA92" s="18">
        <v>0</v>
      </c>
      <c r="AB92" s="18" t="str">
        <f>""</f>
        <v/>
      </c>
      <c r="AC92" s="18" t="str">
        <f>""</f>
        <v/>
      </c>
      <c r="AD92" s="18" t="str">
        <f>""</f>
        <v/>
      </c>
      <c r="AE92" s="18" t="str">
        <f>""</f>
        <v/>
      </c>
      <c r="AF92" s="18" t="str">
        <f t="shared" si="12"/>
        <v/>
      </c>
      <c r="AG92" s="18" t="str">
        <f>""</f>
        <v/>
      </c>
      <c r="AH92" s="18" t="str">
        <f>""</f>
        <v/>
      </c>
      <c r="AI92" s="19" t="str">
        <f t="shared" si="13"/>
        <v/>
      </c>
      <c r="AJ92" t="str">
        <f>""</f>
        <v/>
      </c>
    </row>
    <row r="93" spans="1:36" x14ac:dyDescent="0.3">
      <c r="A93" t="s">
        <v>299</v>
      </c>
      <c r="B93" t="str">
        <f>"""SQL-NAVISION"","""",""SQL="",""14=Id_ Prefactura"",""PF26-00004176"",""2=Tipo documento"",""0"",""14=No_"",""PD260075041"",""14=No_ referencia transporte"",""INPOST280426.3"",""14=Familia pedido"","""",""15=Fecha confirmación SGA"",""28/04/2026"",""14=Nombre punto entrega"",""Javier Co"&amp;"rtegoso Torres"",""14=Contacto punto entrega"",""Javier Cortegoso Torres"",""14=Dirección punto entrega"",""Plaza España 3-4 8i"",""14=C_P_ punto entrega"",""15403"",""14=Población punto entrega"",""Ferrol"",""14=Provincia punto entrega"",""A Coruña"",""14=País punto entrega"","&amp;"""ES"",""10=bultosP"",""1,00000000000000000000"",""14=No_ documento cliente"",""INPOST280426.3"",""14=Cód_ Servicio solicitado Fact_"",""STD"",""10=bultosE"",""1,00000000000000000000"",""10=Peso facturable"",""29,00000000000000000000"",""14=Cód_ operativa"",""053"",""14=Descripción"&amp;""",""PRUEBA PILOTO INPOST"",""2=No_ línea"",""50000"",""14=No_ producto cliente"",""10-80-000197"",""14=Descripción ampliada"",""ACTUATOR WITH MUSHER+PIN HOLDER"",""10=Cantidad confirmada"",""5,00000000000000000000"",""2=numeroexpediciones"",""1"",""2=numeroalbaranes"",""1"",""10=ma"&amp;"nipulacion"",""8,03031600000000000000"",""10=embalaje"",""2,12000000000000000000"",""10=transporte"",""11,26907900000000000000"",""10=prima"",""0,00000000000000000000"",""10=reembolso"",""0,00000000000000000000"",""10=impuestos"",""0,00000000000000000000"",""10=gestion"",""0,10598"&amp;"700000000000000"",""10=franqueo"",""0,00000000000000000000"",""10=despacho"",""0,00000000000000000000"""</f>
        <v>"SQL-NAVISION","","SQL=","14=Id_ Prefactura","PF26-00004176","2=Tipo documento","0","14=No_","PD260075041","14=No_ referencia transporte","INPOST280426.3","14=Familia pedido","","15=Fecha confirmación SGA","28/04/2026","14=Nombre punto entrega","Javier Cortegoso Torres","14=Contacto punto entrega","Javier Cortegoso Torres","14=Dirección punto entrega","Plaza España 3-4 8i","14=C_P_ punto entrega","15403","14=Población punto entrega","Ferrol","14=Provincia punto entrega","A Coruña","14=País punto entrega","ES","10=bultosP","1,00000000000000000000","14=No_ documento cliente","INPOST280426.3","14=Cód_ Servicio solicitado Fact_","STD","10=bultosE","1,00000000000000000000","10=Peso facturable","29,00000000000000000000","14=Cód_ operativa","053","14=Descripción","PRUEBA PILOTO INPOST","2=No_ línea","50000","14=No_ producto cliente","10-80-000197","14=Descripción ampliada","ACTUATOR WITH MUSHER+PIN HOLDER","10=Cantidad confirmada","5,00000000000000000000","2=numeroexpediciones","1","2=numeroalbaranes","1","10=manipulacion","8,03031600000000000000","10=embalaje","2,12000000000000000000","10=transporte","11,26907900000000000000","10=prima","0,00000000000000000000","10=reembolso","0,00000000000000000000","10=impuestos","0,00000000000000000000","10=gestion","0,10598700000000000000","10=franqueo","0,00000000000000000000","10=despacho","0,00000000000000000000"</v>
      </c>
      <c r="C93" t="str">
        <f t="shared" si="15"/>
        <v>PD260075041</v>
      </c>
      <c r="D93" s="3" t="str">
        <f>""</f>
        <v/>
      </c>
      <c r="E93" s="3" t="str">
        <f>""</f>
        <v/>
      </c>
      <c r="F93" s="3" t="str">
        <f>""</f>
        <v/>
      </c>
      <c r="G93" s="3" t="str">
        <f>""</f>
        <v/>
      </c>
      <c r="H93" s="3" t="str">
        <f>""</f>
        <v/>
      </c>
      <c r="I93" s="3" t="str">
        <f>""</f>
        <v/>
      </c>
      <c r="J93" s="3" t="str">
        <f>""</f>
        <v/>
      </c>
      <c r="K93" s="4" t="str">
        <f>""</f>
        <v/>
      </c>
      <c r="L93" s="3" t="str">
        <f>""</f>
        <v/>
      </c>
      <c r="M93" s="3" t="str">
        <f>""</f>
        <v/>
      </c>
      <c r="N93" s="3" t="str">
        <f>""</f>
        <v/>
      </c>
      <c r="O93" s="3" t="str">
        <f>""</f>
        <v/>
      </c>
      <c r="P93" s="3" t="str">
        <f>""</f>
        <v/>
      </c>
      <c r="Q93" s="3" t="str">
        <f>""</f>
        <v/>
      </c>
      <c r="R93" s="3" t="str">
        <f>""</f>
        <v/>
      </c>
      <c r="S93" s="3" t="str">
        <f>""</f>
        <v/>
      </c>
      <c r="T93" s="14" t="str">
        <f>""</f>
        <v/>
      </c>
      <c r="U93" s="14" t="str">
        <f>""</f>
        <v/>
      </c>
      <c r="V93" s="15">
        <v>29</v>
      </c>
      <c r="W93" s="15" t="str">
        <f>"10-80-000197"</f>
        <v>10-80-000197</v>
      </c>
      <c r="X93" s="15" t="str">
        <f>"ACTUATOR WITH MUSHER+PIN HOLDER"</f>
        <v>ACTUATOR WITH MUSHER+PIN HOLDER</v>
      </c>
      <c r="Y93" s="14">
        <v>5</v>
      </c>
      <c r="Z93" s="18" t="str">
        <f>""</f>
        <v/>
      </c>
      <c r="AA93" s="18">
        <v>0</v>
      </c>
      <c r="AB93" s="18" t="str">
        <f>""</f>
        <v/>
      </c>
      <c r="AC93" s="18" t="str">
        <f>""</f>
        <v/>
      </c>
      <c r="AD93" s="18" t="str">
        <f>""</f>
        <v/>
      </c>
      <c r="AE93" s="18" t="str">
        <f>""</f>
        <v/>
      </c>
      <c r="AF93" s="18" t="str">
        <f t="shared" si="12"/>
        <v/>
      </c>
      <c r="AG93" s="18" t="str">
        <f>""</f>
        <v/>
      </c>
      <c r="AH93" s="18" t="str">
        <f>""</f>
        <v/>
      </c>
      <c r="AI93" s="19" t="str">
        <f t="shared" si="13"/>
        <v/>
      </c>
      <c r="AJ93" t="str">
        <f>""</f>
        <v/>
      </c>
    </row>
    <row r="94" spans="1:36" x14ac:dyDescent="0.3">
      <c r="A94" t="s">
        <v>299</v>
      </c>
      <c r="B94" t="str">
        <f>"""SQL-NAVISION"","""",""SQL="",""14=Id_ Prefactura"",""PF26-00004176"",""2=Tipo documento"",""0"",""14=No_"",""PD260075041"",""14=No_ referencia transporte"",""INPOST280426.3"",""14=Familia pedido"","""",""15=Fecha confirmación SGA"",""28/04/2026"",""14=Nombre punto entrega"",""Javier Co"&amp;"rtegoso Torres"",""14=Contacto punto entrega"",""Javier Cortegoso Torres"",""14=Dirección punto entrega"",""Plaza España 3-4 8i"",""14=C_P_ punto entrega"",""15403"",""14=Población punto entrega"",""Ferrol"",""14=Provincia punto entrega"",""A Coruña"",""14=País punto entrega"","&amp;"""ES"",""10=bultosP"",""1,00000000000000000000"",""14=No_ documento cliente"",""INPOST280426.3"",""14=Cód_ Servicio solicitado Fact_"",""STD"",""10=bultosE"",""1,00000000000000000000"",""10=Peso facturable"",""29,00000000000000000000"",""14=Cód_ operativa"",""053"",""14=Descripción"&amp;""",""PRUEBA PILOTO INPOST"",""2=No_ línea"",""60000"",""14=No_ producto cliente"",""10-50-000666"",""14=Descripción ampliada"",""CERRADURAS DE LOCKER"",""10=Cantidad confirmada"",""10,00000000000000000000"",""2=numeroexpediciones"",""1"",""2=numeroalbaranes"",""1"",""10=manipulacion"&amp;""",""8,03031600000000000000"",""10=embalaje"",""2,12000000000000000000"",""10=transporte"",""11,26907900000000000000"",""10=prima"",""0,00000000000000000000"",""10=reembolso"",""0,00000000000000000000"",""10=impuestos"",""0,00000000000000000000"",""10=gestion"",""0,105987000000000"&amp;"00000"",""10=franqueo"",""0,00000000000000000000"",""10=despacho"",""0,00000000000000000000"""</f>
        <v>"SQL-NAVISION","","SQL=","14=Id_ Prefactura","PF26-00004176","2=Tipo documento","0","14=No_","PD260075041","14=No_ referencia transporte","INPOST280426.3","14=Familia pedido","","15=Fecha confirmación SGA","28/04/2026","14=Nombre punto entrega","Javier Cortegoso Torres","14=Contacto punto entrega","Javier Cortegoso Torres","14=Dirección punto entrega","Plaza España 3-4 8i","14=C_P_ punto entrega","15403","14=Población punto entrega","Ferrol","14=Provincia punto entrega","A Coruña","14=País punto entrega","ES","10=bultosP","1,00000000000000000000","14=No_ documento cliente","INPOST280426.3","14=Cód_ Servicio solicitado Fact_","STD","10=bultosE","1,00000000000000000000","10=Peso facturable","29,00000000000000000000","14=Cód_ operativa","053","14=Descripción","PRUEBA PILOTO INPOST","2=No_ línea","60000","14=No_ producto cliente","10-50-000666","14=Descripción ampliada","CERRADURAS DE LOCKER","10=Cantidad confirmada","10,00000000000000000000","2=numeroexpediciones","1","2=numeroalbaranes","1","10=manipulacion","8,03031600000000000000","10=embalaje","2,12000000000000000000","10=transporte","11,26907900000000000000","10=prima","0,00000000000000000000","10=reembolso","0,00000000000000000000","10=impuestos","0,00000000000000000000","10=gestion","0,10598700000000000000","10=franqueo","0,00000000000000000000","10=despacho","0,00000000000000000000"</v>
      </c>
      <c r="C94" t="str">
        <f t="shared" si="15"/>
        <v>PD260075041</v>
      </c>
      <c r="D94" s="3" t="str">
        <f>""</f>
        <v/>
      </c>
      <c r="E94" s="3" t="str">
        <f>""</f>
        <v/>
      </c>
      <c r="F94" s="3" t="str">
        <f>""</f>
        <v/>
      </c>
      <c r="G94" s="3" t="str">
        <f>""</f>
        <v/>
      </c>
      <c r="H94" s="3" t="str">
        <f>""</f>
        <v/>
      </c>
      <c r="I94" s="3" t="str">
        <f>""</f>
        <v/>
      </c>
      <c r="J94" s="3" t="str">
        <f>""</f>
        <v/>
      </c>
      <c r="K94" s="4" t="str">
        <f>""</f>
        <v/>
      </c>
      <c r="L94" s="3" t="str">
        <f>""</f>
        <v/>
      </c>
      <c r="M94" s="3" t="str">
        <f>""</f>
        <v/>
      </c>
      <c r="N94" s="3" t="str">
        <f>""</f>
        <v/>
      </c>
      <c r="O94" s="3" t="str">
        <f>""</f>
        <v/>
      </c>
      <c r="P94" s="3" t="str">
        <f>""</f>
        <v/>
      </c>
      <c r="Q94" s="3" t="str">
        <f>""</f>
        <v/>
      </c>
      <c r="R94" s="3" t="str">
        <f>""</f>
        <v/>
      </c>
      <c r="S94" s="3" t="str">
        <f>""</f>
        <v/>
      </c>
      <c r="T94" s="14" t="str">
        <f>""</f>
        <v/>
      </c>
      <c r="U94" s="14" t="str">
        <f>""</f>
        <v/>
      </c>
      <c r="V94" s="15">
        <v>29</v>
      </c>
      <c r="W94" s="15" t="str">
        <f>"10-50-000666"</f>
        <v>10-50-000666</v>
      </c>
      <c r="X94" s="15" t="str">
        <f>"CERRADURAS DE LOCKER"</f>
        <v>CERRADURAS DE LOCKER</v>
      </c>
      <c r="Y94" s="14">
        <v>10</v>
      </c>
      <c r="Z94" s="18" t="str">
        <f>""</f>
        <v/>
      </c>
      <c r="AA94" s="18">
        <v>0</v>
      </c>
      <c r="AB94" s="18" t="str">
        <f>""</f>
        <v/>
      </c>
      <c r="AC94" s="18" t="str">
        <f>""</f>
        <v/>
      </c>
      <c r="AD94" s="18" t="str">
        <f>""</f>
        <v/>
      </c>
      <c r="AE94" s="18" t="str">
        <f>""</f>
        <v/>
      </c>
      <c r="AF94" s="18" t="str">
        <f t="shared" si="12"/>
        <v/>
      </c>
      <c r="AG94" s="18" t="str">
        <f>""</f>
        <v/>
      </c>
      <c r="AH94" s="18" t="str">
        <f>""</f>
        <v/>
      </c>
      <c r="AI94" s="19" t="str">
        <f t="shared" si="13"/>
        <v/>
      </c>
      <c r="AJ94" t="str">
        <f>""</f>
        <v/>
      </c>
    </row>
    <row r="95" spans="1:36" x14ac:dyDescent="0.3">
      <c r="A95" t="s">
        <v>299</v>
      </c>
      <c r="B95" t="str">
        <f>"""SQL-NAVISION"","""",""SQL="",""14=Id_ Prefactura"",""PF26-00004176"",""2=Tipo documento"",""0"",""14=No_"",""PD260075041"",""14=No_ referencia transporte"",""INPOST280426.3"",""14=Familia pedido"","""",""15=Fecha confirmación SGA"",""28/04/2026"",""14=Nombre punto entrega"",""Javier Co"&amp;"rtegoso Torres"",""14=Contacto punto entrega"",""Javier Cortegoso Torres"",""14=Dirección punto entrega"",""Plaza España 3-4 8i"",""14=C_P_ punto entrega"",""15403"",""14=Población punto entrega"",""Ferrol"",""14=Provincia punto entrega"",""A Coruña"",""14=País punto entrega"","&amp;"""ES"",""10=bultosP"",""1,00000000000000000000"",""14=No_ documento cliente"",""INPOST280426.3"",""14=Cód_ Servicio solicitado Fact_"",""STD"",""10=bultosE"",""1,00000000000000000000"",""10=Peso facturable"",""29,00000000000000000000"",""14=Cód_ operativa"",""053"",""14=Descripción"&amp;""",""PRUEBA PILOTO INPOST"",""2=No_ línea"",""70000"",""14=No_ producto cliente"",""10-21-000680"",""14=Descripción ampliada"",""VIDEO GRABADOR"",""10=Cantidad confirmada"",""1,00000000000000000000"",""2=numeroexpediciones"",""1"",""2=numeroalbaranes"",""1"",""10=manipulacion"",""8,03"&amp;"031600000000000000"",""10=embalaje"",""2,12000000000000000000"",""10=transporte"",""11,26907900000000000000"",""10=prima"",""0,00000000000000000000"",""10=reembolso"",""0,00000000000000000000"",""10=impuestos"",""0,00000000000000000000"",""10=gestion"",""0,10598700000000000000"","&amp;"""10=franqueo"",""0,00000000000000000000"",""10=despacho"",""0,00000000000000000000"""</f>
        <v>"SQL-NAVISION","","SQL=","14=Id_ Prefactura","PF26-00004176","2=Tipo documento","0","14=No_","PD260075041","14=No_ referencia transporte","INPOST280426.3","14=Familia pedido","","15=Fecha confirmación SGA","28/04/2026","14=Nombre punto entrega","Javier Cortegoso Torres","14=Contacto punto entrega","Javier Cortegoso Torres","14=Dirección punto entrega","Plaza España 3-4 8i","14=C_P_ punto entrega","15403","14=Población punto entrega","Ferrol","14=Provincia punto entrega","A Coruña","14=País punto entrega","ES","10=bultosP","1,00000000000000000000","14=No_ documento cliente","INPOST280426.3","14=Cód_ Servicio solicitado Fact_","STD","10=bultosE","1,00000000000000000000","10=Peso facturable","29,00000000000000000000","14=Cód_ operativa","053","14=Descripción","PRUEBA PILOTO INPOST","2=No_ línea","70000","14=No_ producto cliente","10-21-000680","14=Descripción ampliada","VIDEO GRABADOR","10=Cantidad confirmada","1,00000000000000000000","2=numeroexpediciones","1","2=numeroalbaranes","1","10=manipulacion","8,03031600000000000000","10=embalaje","2,12000000000000000000","10=transporte","11,26907900000000000000","10=prima","0,00000000000000000000","10=reembolso","0,00000000000000000000","10=impuestos","0,00000000000000000000","10=gestion","0,10598700000000000000","10=franqueo","0,00000000000000000000","10=despacho","0,00000000000000000000"</v>
      </c>
      <c r="C95" t="str">
        <f t="shared" si="15"/>
        <v>PD260075041</v>
      </c>
      <c r="D95" s="3" t="str">
        <f>""</f>
        <v/>
      </c>
      <c r="E95" s="3" t="str">
        <f>""</f>
        <v/>
      </c>
      <c r="F95" s="3" t="str">
        <f>""</f>
        <v/>
      </c>
      <c r="G95" s="3" t="str">
        <f>""</f>
        <v/>
      </c>
      <c r="H95" s="3" t="str">
        <f>""</f>
        <v/>
      </c>
      <c r="I95" s="3" t="str">
        <f>""</f>
        <v/>
      </c>
      <c r="J95" s="3" t="str">
        <f>""</f>
        <v/>
      </c>
      <c r="K95" s="4" t="str">
        <f>""</f>
        <v/>
      </c>
      <c r="L95" s="3" t="str">
        <f>""</f>
        <v/>
      </c>
      <c r="M95" s="3" t="str">
        <f>""</f>
        <v/>
      </c>
      <c r="N95" s="3" t="str">
        <f>""</f>
        <v/>
      </c>
      <c r="O95" s="3" t="str">
        <f>""</f>
        <v/>
      </c>
      <c r="P95" s="3" t="str">
        <f>""</f>
        <v/>
      </c>
      <c r="Q95" s="3" t="str">
        <f>""</f>
        <v/>
      </c>
      <c r="R95" s="3" t="str">
        <f>""</f>
        <v/>
      </c>
      <c r="S95" s="3" t="str">
        <f>""</f>
        <v/>
      </c>
      <c r="T95" s="14" t="str">
        <f>""</f>
        <v/>
      </c>
      <c r="U95" s="14" t="str">
        <f>""</f>
        <v/>
      </c>
      <c r="V95" s="15">
        <v>29</v>
      </c>
      <c r="W95" s="15" t="str">
        <f>"10-21-000680"</f>
        <v>10-21-000680</v>
      </c>
      <c r="X95" s="15" t="str">
        <f>"VIDEO GRABADOR"</f>
        <v>VIDEO GRABADOR</v>
      </c>
      <c r="Y95" s="14">
        <v>1</v>
      </c>
      <c r="Z95" s="18" t="str">
        <f>""</f>
        <v/>
      </c>
      <c r="AA95" s="18">
        <v>0</v>
      </c>
      <c r="AB95" s="18" t="str">
        <f>""</f>
        <v/>
      </c>
      <c r="AC95" s="18" t="str">
        <f>""</f>
        <v/>
      </c>
      <c r="AD95" s="18" t="str">
        <f>""</f>
        <v/>
      </c>
      <c r="AE95" s="18" t="str">
        <f>""</f>
        <v/>
      </c>
      <c r="AF95" s="18" t="str">
        <f t="shared" si="12"/>
        <v/>
      </c>
      <c r="AG95" s="18" t="str">
        <f>""</f>
        <v/>
      </c>
      <c r="AH95" s="18" t="str">
        <f>""</f>
        <v/>
      </c>
      <c r="AI95" s="19" t="str">
        <f t="shared" si="13"/>
        <v/>
      </c>
      <c r="AJ95" t="str">
        <f>""</f>
        <v/>
      </c>
    </row>
    <row r="96" spans="1:36" x14ac:dyDescent="0.3">
      <c r="A96" t="s">
        <v>299</v>
      </c>
      <c r="B96" t="str">
        <f>"""SQL-NAVISION"","""",""SQL="",""14=Id_ Prefactura"",""PF26-00004176"",""2=Tipo documento"",""0"",""14=No_"",""PD260075041"",""14=No_ referencia transporte"",""INPOST280426.3"",""14=Familia pedido"","""",""15=Fecha confirmación SGA"",""28/04/2026"",""14=Nombre punto entrega"",""Javier Co"&amp;"rtegoso Torres"",""14=Contacto punto entrega"",""Javier Cortegoso Torres"",""14=Dirección punto entrega"",""Plaza España 3-4 8i"",""14=C_P_ punto entrega"",""15403"",""14=Población punto entrega"",""Ferrol"",""14=Provincia punto entrega"",""A Coruña"",""14=País punto entrega"","&amp;"""ES"",""10=bultosP"",""1,00000000000000000000"",""14=No_ documento cliente"",""INPOST280426.3"",""14=Cód_ Servicio solicitado Fact_"",""STD"",""10=bultosE"",""1,00000000000000000000"",""10=Peso facturable"",""29,00000000000000000000"",""14=Cód_ operativa"",""053"",""14=Descripción"&amp;""",""PRUEBA PILOTO INPOST"",""2=No_ línea"",""80000"",""14=No_ producto cliente"",""10-14-000010"",""14=Descripción ampliada"",""SELLANTE (SEAL FOR IR 12' 0000505326 DSPPCCP)"",""10=Cantidad confirmada"",""3,00000000000000000000"",""2=numeroexpediciones"",""1"",""2=numeroalbaran"&amp;"es"",""1"",""10=manipulacion"",""8,03031600000000000000"",""10=embalaje"",""2,12000000000000000000"",""10=transporte"",""11,26907900000000000000"",""10=prima"",""0,00000000000000000000"",""10=reembolso"",""0,00000000000000000000"",""10=impuestos"",""0,00000000000000000000"",""10=ges"&amp;"tion"",""0,10598700000000000000"",""10=franqueo"",""0,00000000000000000000"",""10=despacho"",""0,00000000000000000000"""</f>
        <v>"SQL-NAVISION","","SQL=","14=Id_ Prefactura","PF26-00004176","2=Tipo documento","0","14=No_","PD260075041","14=No_ referencia transporte","INPOST280426.3","14=Familia pedido","","15=Fecha confirmación SGA","28/04/2026","14=Nombre punto entrega","Javier Cortegoso Torres","14=Contacto punto entrega","Javier Cortegoso Torres","14=Dirección punto entrega","Plaza España 3-4 8i","14=C_P_ punto entrega","15403","14=Población punto entrega","Ferrol","14=Provincia punto entrega","A Coruña","14=País punto entrega","ES","10=bultosP","1,00000000000000000000","14=No_ documento cliente","INPOST280426.3","14=Cód_ Servicio solicitado Fact_","STD","10=bultosE","1,00000000000000000000","10=Peso facturable","29,00000000000000000000","14=Cód_ operativa","053","14=Descripción","PRUEBA PILOTO INPOST","2=No_ línea","80000","14=No_ producto cliente","10-14-000010","14=Descripción ampliada","SELLANTE (SEAL FOR IR 12' 0000505326 DSPPCCP)","10=Cantidad confirmada","3,00000000000000000000","2=numeroexpediciones","1","2=numeroalbaranes","1","10=manipulacion","8,03031600000000000000","10=embalaje","2,12000000000000000000","10=transporte","11,26907900000000000000","10=prima","0,00000000000000000000","10=reembolso","0,00000000000000000000","10=impuestos","0,00000000000000000000","10=gestion","0,10598700000000000000","10=franqueo","0,00000000000000000000","10=despacho","0,00000000000000000000"</v>
      </c>
      <c r="C96" t="str">
        <f t="shared" si="15"/>
        <v>PD260075041</v>
      </c>
      <c r="D96" s="3" t="str">
        <f>""</f>
        <v/>
      </c>
      <c r="E96" s="3" t="str">
        <f>""</f>
        <v/>
      </c>
      <c r="F96" s="3" t="str">
        <f>""</f>
        <v/>
      </c>
      <c r="G96" s="3" t="str">
        <f>""</f>
        <v/>
      </c>
      <c r="H96" s="3" t="str">
        <f>""</f>
        <v/>
      </c>
      <c r="I96" s="3" t="str">
        <f>""</f>
        <v/>
      </c>
      <c r="J96" s="3" t="str">
        <f>""</f>
        <v/>
      </c>
      <c r="K96" s="4" t="str">
        <f>""</f>
        <v/>
      </c>
      <c r="L96" s="3" t="str">
        <f>""</f>
        <v/>
      </c>
      <c r="M96" s="3" t="str">
        <f>""</f>
        <v/>
      </c>
      <c r="N96" s="3" t="str">
        <f>""</f>
        <v/>
      </c>
      <c r="O96" s="3" t="str">
        <f>""</f>
        <v/>
      </c>
      <c r="P96" s="3" t="str">
        <f>""</f>
        <v/>
      </c>
      <c r="Q96" s="3" t="str">
        <f>""</f>
        <v/>
      </c>
      <c r="R96" s="3" t="str">
        <f>""</f>
        <v/>
      </c>
      <c r="S96" s="3" t="str">
        <f>""</f>
        <v/>
      </c>
      <c r="T96" s="14" t="str">
        <f>""</f>
        <v/>
      </c>
      <c r="U96" s="14" t="str">
        <f>""</f>
        <v/>
      </c>
      <c r="V96" s="15">
        <v>29</v>
      </c>
      <c r="W96" s="15" t="str">
        <f>"10-14-000010"</f>
        <v>10-14-000010</v>
      </c>
      <c r="X96" s="15" t="str">
        <f>"SELLANTE (SEAL FOR IR 12' 0000505326 DSPPCCP)"</f>
        <v>SELLANTE (SEAL FOR IR 12' 0000505326 DSPPCCP)</v>
      </c>
      <c r="Y96" s="14">
        <v>3</v>
      </c>
      <c r="Z96" s="18" t="str">
        <f>""</f>
        <v/>
      </c>
      <c r="AA96" s="18">
        <v>0</v>
      </c>
      <c r="AB96" s="18" t="str">
        <f>""</f>
        <v/>
      </c>
      <c r="AC96" s="18" t="str">
        <f>""</f>
        <v/>
      </c>
      <c r="AD96" s="18" t="str">
        <f>""</f>
        <v/>
      </c>
      <c r="AE96" s="18" t="str">
        <f>""</f>
        <v/>
      </c>
      <c r="AF96" s="18" t="str">
        <f t="shared" si="12"/>
        <v/>
      </c>
      <c r="AG96" s="18" t="str">
        <f>""</f>
        <v/>
      </c>
      <c r="AH96" s="18" t="str">
        <f>""</f>
        <v/>
      </c>
      <c r="AI96" s="19" t="str">
        <f t="shared" si="13"/>
        <v/>
      </c>
      <c r="AJ96" t="str">
        <f>""</f>
        <v/>
      </c>
    </row>
    <row r="97" spans="1:36" x14ac:dyDescent="0.3">
      <c r="A97" t="s">
        <v>299</v>
      </c>
      <c r="B97" t="str">
        <f>"""SQL-NAVISION"","""",""SQL="",""14=Id_ Prefactura"",""PF26-00004176"",""2=Tipo documento"",""0"",""14=No_"",""PD260075042"",""14=No_ referencia transporte"",""X26023589"",""14=Familia pedido"","""",""15=Fecha confirmación SGA"",""28/04/2026"",""14=Nombre punto entrega"",""Bryan Silvera "&amp;"Yancari"",""14=Contacto punto entrega"",""Bryan Silvera Yancari"",""14=Dirección punto entrega"",""Avenida de Andalucía 34, Piso 3 Puerta A."",""14=C_P_ punto entrega"",""41006"",""14=Población punto entrega"",""Sevilla"",""14=Provincia punto entrega"",""Sevilla"",""14=País pu"&amp;"nto entrega"",""ES"",""10=bultosP"",""1,00000000000000000000"",""14=No_ documento cliente"",""INPOST280426.4"",""14=Cód_ Servicio solicitado Fact_"",""STD"",""10=bultosE"",""1,00000000000000000000"",""10=Peso facturable"",""17,00000000000000000000"",""14=Cód_ operativa"",""053"",""1"&amp;"4=Descripción"",""PRUEBA PILOTO INPOST"",""2=No_ línea"",""20000"",""14=No_ producto cliente"",""11-50-000521"",""14=Descripción ampliada"",""PUERTA INDOOR - GRANDE - DERECHA"",""10=Cantidad confirmada"",""1,00000000000000000000"",""2=numeroexpediciones"",""1"",""2=numeroalbaran"&amp;"es"",""1"",""10=manipulacion"",""6,69673200000000000000"",""10=embalaje"",""2,12000000000000000000"",""10=transporte"",""8,25892000000000000000"",""10=prima"",""0,00000000000000000000"",""10=reembolso"",""0,00000000000000000000"",""10=impuestos"",""0,00000000000000000000"",""10=gest"&amp;"ion"",""0,10598700000000000000"",""10=franqueo"",""0,00000000000000000000"",""10=despacho"",""0,00000000000000000000"""</f>
        <v>"SQL-NAVISION","","SQL=","14=Id_ Prefactura","PF26-00004176","2=Tipo documento","0","14=No_","PD260075042","14=No_ referencia transporte","X26023589","14=Familia pedido","","15=Fecha confirmación SGA","28/04/2026","14=Nombre punto entrega","Bryan Silvera Yancari","14=Contacto punto entrega","Bryan Silvera Yancari","14=Dirección punto entrega","Avenida de Andalucía 34, Piso 3 Puerta A.","14=C_P_ punto entrega","41006","14=Población punto entrega","Sevilla","14=Provincia punto entrega","Sevilla","14=País punto entrega","ES","10=bultosP","1,00000000000000000000","14=No_ documento cliente","INPOST280426.4","14=Cód_ Servicio solicitado Fact_","STD","10=bultosE","1,00000000000000000000","10=Peso facturable","17,00000000000000000000","14=Cód_ operativa","053","14=Descripción","PRUEBA PILOTO INPOST","2=No_ línea","20000","14=No_ producto cliente","11-50-000521","14=Descripción ampliada","PUERTA INDOOR - GRANDE - DERECHA","10=Cantidad confirmada","1,00000000000000000000","2=numeroexpediciones","1","2=numeroalbaranes","1","10=manipulacion","6,69673200000000000000","10=embalaje","2,12000000000000000000","10=transporte","8,25892000000000000000","10=prima","0,00000000000000000000","10=reembolso","0,00000000000000000000","10=impuestos","0,00000000000000000000","10=gestion","0,10598700000000000000","10=franqueo","0,00000000000000000000","10=despacho","0,00000000000000000000"</v>
      </c>
      <c r="C97" t="str">
        <f t="shared" ref="C97:C103" si="16">"PD260075042"</f>
        <v>PD260075042</v>
      </c>
      <c r="D97" s="3" t="str">
        <f>""</f>
        <v/>
      </c>
      <c r="E97" s="3" t="str">
        <f>""</f>
        <v/>
      </c>
      <c r="F97" s="3" t="str">
        <f>""</f>
        <v/>
      </c>
      <c r="G97" s="3" t="str">
        <f>""</f>
        <v/>
      </c>
      <c r="H97" s="3" t="str">
        <f>""</f>
        <v/>
      </c>
      <c r="I97" s="3" t="str">
        <f>""</f>
        <v/>
      </c>
      <c r="J97" s="3" t="str">
        <f>""</f>
        <v/>
      </c>
      <c r="K97" s="4" t="str">
        <f>""</f>
        <v/>
      </c>
      <c r="L97" s="3" t="str">
        <f>""</f>
        <v/>
      </c>
      <c r="M97" s="3" t="str">
        <f>""</f>
        <v/>
      </c>
      <c r="N97" s="3" t="str">
        <f>""</f>
        <v/>
      </c>
      <c r="O97" s="3" t="str">
        <f>""</f>
        <v/>
      </c>
      <c r="P97" s="3" t="str">
        <f>""</f>
        <v/>
      </c>
      <c r="Q97" s="3" t="str">
        <f>""</f>
        <v/>
      </c>
      <c r="R97" s="3" t="str">
        <f>""</f>
        <v/>
      </c>
      <c r="S97" s="3" t="str">
        <f>""</f>
        <v/>
      </c>
      <c r="T97" s="14" t="str">
        <f>""</f>
        <v/>
      </c>
      <c r="U97" s="14" t="str">
        <f>""</f>
        <v/>
      </c>
      <c r="V97" s="15">
        <v>17</v>
      </c>
      <c r="W97" s="15" t="str">
        <f>"11-50-000521"</f>
        <v>11-50-000521</v>
      </c>
      <c r="X97" s="15" t="str">
        <f>"PUERTA INDOOR - GRANDE - DERECHA"</f>
        <v>PUERTA INDOOR - GRANDE - DERECHA</v>
      </c>
      <c r="Y97" s="14">
        <v>1</v>
      </c>
      <c r="Z97" s="18" t="str">
        <f>""</f>
        <v/>
      </c>
      <c r="AA97" s="18">
        <v>0</v>
      </c>
      <c r="AB97" s="18" t="str">
        <f>""</f>
        <v/>
      </c>
      <c r="AC97" s="18" t="str">
        <f>""</f>
        <v/>
      </c>
      <c r="AD97" s="18" t="str">
        <f>""</f>
        <v/>
      </c>
      <c r="AE97" s="18" t="str">
        <f>""</f>
        <v/>
      </c>
      <c r="AF97" s="18" t="str">
        <f t="shared" si="12"/>
        <v/>
      </c>
      <c r="AG97" s="18" t="str">
        <f>""</f>
        <v/>
      </c>
      <c r="AH97" s="18" t="str">
        <f>""</f>
        <v/>
      </c>
      <c r="AI97" s="19" t="str">
        <f t="shared" si="13"/>
        <v/>
      </c>
      <c r="AJ97" t="str">
        <f>""</f>
        <v/>
      </c>
    </row>
    <row r="98" spans="1:36" x14ac:dyDescent="0.3">
      <c r="A98" t="s">
        <v>299</v>
      </c>
      <c r="B98" t="str">
        <f>"""SQL-NAVISION"","""",""SQL="",""14=Id_ Prefactura"",""PF26-00004176"",""2=Tipo documento"",""0"",""14=No_"",""PD260075042"",""14=No_ referencia transporte"",""X26023589"",""14=Familia pedido"","""",""15=Fecha confirmación SGA"",""28/04/2026"",""14=Nombre punto entrega"",""Bryan Silvera "&amp;"Yancari"",""14=Contacto punto entrega"",""Bryan Silvera Yancari"",""14=Dirección punto entrega"",""Avenida de Andalucía 34, Piso 3 Puerta A."",""14=C_P_ punto entrega"",""41006"",""14=Población punto entrega"",""Sevilla"",""14=Provincia punto entrega"",""Sevilla"",""14=País pu"&amp;"nto entrega"",""ES"",""10=bultosP"",""1,00000000000000000000"",""14=No_ documento cliente"",""INPOST280426.4"",""14=Cód_ Servicio solicitado Fact_"",""STD"",""10=bultosE"",""1,00000000000000000000"",""10=Peso facturable"",""17,00000000000000000000"",""14=Cód_ operativa"",""053"",""1"&amp;"4=Descripción"",""PRUEBA PILOTO INPOST"",""2=No_ línea"",""30000"",""14=No_ producto cliente"",""KIT-PC-USB"",""14=Descripción ampliada"",""KIT PC COMPACTO Y HDMI PC"",""10=Cantidad confirmada"",""1,00000000000000000000"",""2=numeroexpediciones"",""1"",""2=numeroalbaranes"",""1"","""&amp;"10=manipulacion"",""6,69673200000000000000"",""10=embalaje"",""2,12000000000000000000"",""10=transporte"",""8,25892000000000000000"",""10=prima"",""0,00000000000000000000"",""10=reembolso"",""0,00000000000000000000"",""10=impuestos"",""0,00000000000000000000"",""10=gestion"",""0,1"&amp;"0598700000000000000"",""10=franqueo"",""0,00000000000000000000"",""10=despacho"",""0,00000000000000000000"""</f>
        <v>"SQL-NAVISION","","SQL=","14=Id_ Prefactura","PF26-00004176","2=Tipo documento","0","14=No_","PD260075042","14=No_ referencia transporte","X26023589","14=Familia pedido","","15=Fecha confirmación SGA","28/04/2026","14=Nombre punto entrega","Bryan Silvera Yancari","14=Contacto punto entrega","Bryan Silvera Yancari","14=Dirección punto entrega","Avenida de Andalucía 34, Piso 3 Puerta A.","14=C_P_ punto entrega","41006","14=Población punto entrega","Sevilla","14=Provincia punto entrega","Sevilla","14=País punto entrega","ES","10=bultosP","1,00000000000000000000","14=No_ documento cliente","INPOST280426.4","14=Cód_ Servicio solicitado Fact_","STD","10=bultosE","1,00000000000000000000","10=Peso facturable","17,00000000000000000000","14=Cód_ operativa","053","14=Descripción","PRUEBA PILOTO INPOST","2=No_ línea","30000","14=No_ producto cliente","KIT-PC-USB","14=Descripción ampliada","KIT PC COMPACTO Y HDMI PC","10=Cantidad confirmada","1,00000000000000000000","2=numeroexpediciones","1","2=numeroalbaranes","1","10=manipulacion","6,69673200000000000000","10=embalaje","2,12000000000000000000","10=transporte","8,25892000000000000000","10=prima","0,00000000000000000000","10=reembolso","0,00000000000000000000","10=impuestos","0,00000000000000000000","10=gestion","0,10598700000000000000","10=franqueo","0,00000000000000000000","10=despacho","0,00000000000000000000"</v>
      </c>
      <c r="C98" t="str">
        <f t="shared" si="16"/>
        <v>PD260075042</v>
      </c>
      <c r="D98" s="3" t="str">
        <f>""</f>
        <v/>
      </c>
      <c r="E98" s="3" t="str">
        <f>""</f>
        <v/>
      </c>
      <c r="F98" s="3" t="str">
        <f>""</f>
        <v/>
      </c>
      <c r="G98" s="3" t="str">
        <f>""</f>
        <v/>
      </c>
      <c r="H98" s="3" t="str">
        <f>""</f>
        <v/>
      </c>
      <c r="I98" s="3" t="str">
        <f>""</f>
        <v/>
      </c>
      <c r="J98" s="3" t="str">
        <f>""</f>
        <v/>
      </c>
      <c r="K98" s="4" t="str">
        <f>""</f>
        <v/>
      </c>
      <c r="L98" s="3" t="str">
        <f>""</f>
        <v/>
      </c>
      <c r="M98" s="3" t="str">
        <f>""</f>
        <v/>
      </c>
      <c r="N98" s="3" t="str">
        <f>""</f>
        <v/>
      </c>
      <c r="O98" s="3" t="str">
        <f>""</f>
        <v/>
      </c>
      <c r="P98" s="3" t="str">
        <f>""</f>
        <v/>
      </c>
      <c r="Q98" s="3" t="str">
        <f>""</f>
        <v/>
      </c>
      <c r="R98" s="3" t="str">
        <f>""</f>
        <v/>
      </c>
      <c r="S98" s="3" t="str">
        <f>""</f>
        <v/>
      </c>
      <c r="T98" s="14" t="str">
        <f>""</f>
        <v/>
      </c>
      <c r="U98" s="14" t="str">
        <f>""</f>
        <v/>
      </c>
      <c r="V98" s="15">
        <v>17</v>
      </c>
      <c r="W98" s="15" t="str">
        <f>"KIT-PC-USB"</f>
        <v>KIT-PC-USB</v>
      </c>
      <c r="X98" s="15" t="str">
        <f>"KIT PC COMPACTO Y HDMI PC"</f>
        <v>KIT PC COMPACTO Y HDMI PC</v>
      </c>
      <c r="Y98" s="14">
        <v>1</v>
      </c>
      <c r="Z98" s="18" t="str">
        <f>""</f>
        <v/>
      </c>
      <c r="AA98" s="18">
        <v>0</v>
      </c>
      <c r="AB98" s="18" t="str">
        <f>""</f>
        <v/>
      </c>
      <c r="AC98" s="18" t="str">
        <f>""</f>
        <v/>
      </c>
      <c r="AD98" s="18" t="str">
        <f>""</f>
        <v/>
      </c>
      <c r="AE98" s="18" t="str">
        <f>""</f>
        <v/>
      </c>
      <c r="AF98" s="18" t="str">
        <f t="shared" si="12"/>
        <v/>
      </c>
      <c r="AG98" s="18" t="str">
        <f>""</f>
        <v/>
      </c>
      <c r="AH98" s="18" t="str">
        <f>""</f>
        <v/>
      </c>
      <c r="AI98" s="19" t="str">
        <f t="shared" si="13"/>
        <v/>
      </c>
      <c r="AJ98" t="str">
        <f>""</f>
        <v/>
      </c>
    </row>
    <row r="99" spans="1:36" x14ac:dyDescent="0.3">
      <c r="A99" t="s">
        <v>299</v>
      </c>
      <c r="B99" t="str">
        <f>"""SQL-NAVISION"","""",""SQL="",""14=Id_ Prefactura"",""PF26-00004176"",""2=Tipo documento"",""0"",""14=No_"",""PD260075042"",""14=No_ referencia transporte"",""X26023589"",""14=Familia pedido"","""",""15=Fecha confirmación SGA"",""28/04/2026"",""14=Nombre punto entrega"",""Bryan Silvera "&amp;"Yancari"",""14=Contacto punto entrega"",""Bryan Silvera Yancari"",""14=Dirección punto entrega"",""Avenida de Andalucía 34, Piso 3 Puerta A."",""14=C_P_ punto entrega"",""41006"",""14=Población punto entrega"",""Sevilla"",""14=Provincia punto entrega"",""Sevilla"",""14=País pu"&amp;"nto entrega"",""ES"",""10=bultosP"",""1,00000000000000000000"",""14=No_ documento cliente"",""INPOST280426.4"",""14=Cód_ Servicio solicitado Fact_"",""STD"",""10=bultosE"",""1,00000000000000000000"",""10=Peso facturable"",""17,00000000000000000000"",""14=Cód_ operativa"",""053"",""1"&amp;"4=Descripción"",""PRUEBA PILOTO INPOST"",""2=No_ línea"",""40000"",""14=No_ producto cliente"",""11-50-000522"",""14=Descripción ampliada"",""PUERTA INDOOR - PEQUE¥A - IZQUIERDA"",""10=Cantidad confirmada"",""1,00000000000000000000"",""2=numeroexpediciones"",""1"",""2=numeroalba"&amp;"ranes"",""1"",""10=manipulacion"",""6,69673200000000000000"",""10=embalaje"",""2,12000000000000000000"",""10=transporte"",""8,25892000000000000000"",""10=prima"",""0,00000000000000000000"",""10=reembolso"",""0,00000000000000000000"",""10=impuestos"",""0,00000000000000000000"",""10=g"&amp;"estion"",""0,10598700000000000000"",""10=franqueo"",""0,00000000000000000000"",""10=despacho"",""0,00000000000000000000"""</f>
        <v>"SQL-NAVISION","","SQL=","14=Id_ Prefactura","PF26-00004176","2=Tipo documento","0","14=No_","PD260075042","14=No_ referencia transporte","X26023589","14=Familia pedido","","15=Fecha confirmación SGA","28/04/2026","14=Nombre punto entrega","Bryan Silvera Yancari","14=Contacto punto entrega","Bryan Silvera Yancari","14=Dirección punto entrega","Avenida de Andalucía 34, Piso 3 Puerta A.","14=C_P_ punto entrega","41006","14=Población punto entrega","Sevilla","14=Provincia punto entrega","Sevilla","14=País punto entrega","ES","10=bultosP","1,00000000000000000000","14=No_ documento cliente","INPOST280426.4","14=Cód_ Servicio solicitado Fact_","STD","10=bultosE","1,00000000000000000000","10=Peso facturable","17,00000000000000000000","14=Cód_ operativa","053","14=Descripción","PRUEBA PILOTO INPOST","2=No_ línea","40000","14=No_ producto cliente","11-50-000522","14=Descripción ampliada","PUERTA INDOOR - PEQUE¥A - IZQUIERDA","10=Cantidad confirmada","1,00000000000000000000","2=numeroexpediciones","1","2=numeroalbaranes","1","10=manipulacion","6,69673200000000000000","10=embalaje","2,12000000000000000000","10=transporte","8,25892000000000000000","10=prima","0,00000000000000000000","10=reembolso","0,00000000000000000000","10=impuestos","0,00000000000000000000","10=gestion","0,10598700000000000000","10=franqueo","0,00000000000000000000","10=despacho","0,00000000000000000000"</v>
      </c>
      <c r="C99" t="str">
        <f t="shared" si="16"/>
        <v>PD260075042</v>
      </c>
      <c r="D99" s="3" t="str">
        <f>""</f>
        <v/>
      </c>
      <c r="E99" s="3" t="str">
        <f>""</f>
        <v/>
      </c>
      <c r="F99" s="3" t="str">
        <f>""</f>
        <v/>
      </c>
      <c r="G99" s="3" t="str">
        <f>""</f>
        <v/>
      </c>
      <c r="H99" s="3" t="str">
        <f>""</f>
        <v/>
      </c>
      <c r="I99" s="3" t="str">
        <f>""</f>
        <v/>
      </c>
      <c r="J99" s="3" t="str">
        <f>""</f>
        <v/>
      </c>
      <c r="K99" s="4" t="str">
        <f>""</f>
        <v/>
      </c>
      <c r="L99" s="3" t="str">
        <f>""</f>
        <v/>
      </c>
      <c r="M99" s="3" t="str">
        <f>""</f>
        <v/>
      </c>
      <c r="N99" s="3" t="str">
        <f>""</f>
        <v/>
      </c>
      <c r="O99" s="3" t="str">
        <f>""</f>
        <v/>
      </c>
      <c r="P99" s="3" t="str">
        <f>""</f>
        <v/>
      </c>
      <c r="Q99" s="3" t="str">
        <f>""</f>
        <v/>
      </c>
      <c r="R99" s="3" t="str">
        <f>""</f>
        <v/>
      </c>
      <c r="S99" s="3" t="str">
        <f>""</f>
        <v/>
      </c>
      <c r="T99" s="14" t="str">
        <f>""</f>
        <v/>
      </c>
      <c r="U99" s="14" t="str">
        <f>""</f>
        <v/>
      </c>
      <c r="V99" s="15">
        <v>17</v>
      </c>
      <c r="W99" s="15" t="str">
        <f>"11-50-000522"</f>
        <v>11-50-000522</v>
      </c>
      <c r="X99" s="15" t="str">
        <f>"PUERTA INDOOR - PEQUE¥A - IZQUIERDA"</f>
        <v>PUERTA INDOOR - PEQUE¥A - IZQUIERDA</v>
      </c>
      <c r="Y99" s="14">
        <v>1</v>
      </c>
      <c r="Z99" s="18" t="str">
        <f>""</f>
        <v/>
      </c>
      <c r="AA99" s="18">
        <v>0</v>
      </c>
      <c r="AB99" s="18" t="str">
        <f>""</f>
        <v/>
      </c>
      <c r="AC99" s="18" t="str">
        <f>""</f>
        <v/>
      </c>
      <c r="AD99" s="18" t="str">
        <f>""</f>
        <v/>
      </c>
      <c r="AE99" s="18" t="str">
        <f>""</f>
        <v/>
      </c>
      <c r="AF99" s="18" t="str">
        <f t="shared" si="12"/>
        <v/>
      </c>
      <c r="AG99" s="18" t="str">
        <f>""</f>
        <v/>
      </c>
      <c r="AH99" s="18" t="str">
        <f>""</f>
        <v/>
      </c>
      <c r="AI99" s="19" t="str">
        <f t="shared" si="13"/>
        <v/>
      </c>
      <c r="AJ99" t="str">
        <f>""</f>
        <v/>
      </c>
    </row>
    <row r="100" spans="1:36" x14ac:dyDescent="0.3">
      <c r="A100" t="s">
        <v>299</v>
      </c>
      <c r="B100" t="str">
        <f>"""SQL-NAVISION"","""",""SQL="",""14=Id_ Prefactura"",""PF26-00004176"",""2=Tipo documento"",""0"",""14=No_"",""PD260075042"",""14=No_ referencia transporte"",""X26023589"",""14=Familia pedido"","""",""15=Fecha confirmación SGA"",""28/04/2026"",""14=Nombre punto entrega"",""Bryan Silvera "&amp;"Yancari"",""14=Contacto punto entrega"",""Bryan Silvera Yancari"",""14=Dirección punto entrega"",""Avenida de Andalucía 34, Piso 3 Puerta A."",""14=C_P_ punto entrega"",""41006"",""14=Población punto entrega"",""Sevilla"",""14=Provincia punto entrega"",""Sevilla"",""14=País pu"&amp;"nto entrega"",""ES"",""10=bultosP"",""1,00000000000000000000"",""14=No_ documento cliente"",""INPOST280426.4"",""14=Cód_ Servicio solicitado Fact_"",""STD"",""10=bultosE"",""1,00000000000000000000"",""10=Peso facturable"",""17,00000000000000000000"",""14=Cód_ operativa"",""053"",""1"&amp;"4=Descripción"",""PRUEBA PILOTO INPOST"",""2=No_ línea"",""50000"",""14=No_ producto cliente"",""10-21-001029"",""14=Descripción ampliada"",""6-PIN 5.08MM (NUEVO CONECTOR EXPANDER 3.3)"",""10=Cantidad confirmada"",""2,00000000000000000000"",""2=numeroexpediciones"",""1"",""2=num"&amp;"eroalbaranes"",""1"",""10=manipulacion"",""6,69673200000000000000"",""10=embalaje"",""2,12000000000000000000"",""10=transporte"",""8,25892000000000000000"",""10=prima"",""0,00000000000000000000"",""10=reembolso"",""0,00000000000000000000"",""10=impuestos"",""0,00000000000000000000"&amp;""",""10=gestion"",""0,10598700000000000000"",""10=franqueo"",""0,00000000000000000000"",""10=despacho"",""0,00000000000000000000"""</f>
        <v>"SQL-NAVISION","","SQL=","14=Id_ Prefactura","PF26-00004176","2=Tipo documento","0","14=No_","PD260075042","14=No_ referencia transporte","X26023589","14=Familia pedido","","15=Fecha confirmación SGA","28/04/2026","14=Nombre punto entrega","Bryan Silvera Yancari","14=Contacto punto entrega","Bryan Silvera Yancari","14=Dirección punto entrega","Avenida de Andalucía 34, Piso 3 Puerta A.","14=C_P_ punto entrega","41006","14=Población punto entrega","Sevilla","14=Provincia punto entrega","Sevilla","14=País punto entrega","ES","10=bultosP","1,00000000000000000000","14=No_ documento cliente","INPOST280426.4","14=Cód_ Servicio solicitado Fact_","STD","10=bultosE","1,00000000000000000000","10=Peso facturable","17,00000000000000000000","14=Cód_ operativa","053","14=Descripción","PRUEBA PILOTO INPOST","2=No_ línea","50000","14=No_ producto cliente","10-21-001029","14=Descripción ampliada","6-PIN 5.08MM (NUEVO CONECTOR EXPANDER 3.3)","10=Cantidad confirmada","2,00000000000000000000","2=numeroexpediciones","1","2=numeroalbaranes","1","10=manipulacion","6,69673200000000000000","10=embalaje","2,12000000000000000000","10=transporte","8,25892000000000000000","10=prima","0,00000000000000000000","10=reembolso","0,00000000000000000000","10=impuestos","0,00000000000000000000","10=gestion","0,10598700000000000000","10=franqueo","0,00000000000000000000","10=despacho","0,00000000000000000000"</v>
      </c>
      <c r="C100" t="str">
        <f t="shared" si="16"/>
        <v>PD260075042</v>
      </c>
      <c r="D100" s="3" t="str">
        <f>""</f>
        <v/>
      </c>
      <c r="E100" s="3" t="str">
        <f>""</f>
        <v/>
      </c>
      <c r="F100" s="3" t="str">
        <f>""</f>
        <v/>
      </c>
      <c r="G100" s="3" t="str">
        <f>""</f>
        <v/>
      </c>
      <c r="H100" s="3" t="str">
        <f>""</f>
        <v/>
      </c>
      <c r="I100" s="3" t="str">
        <f>""</f>
        <v/>
      </c>
      <c r="J100" s="3" t="str">
        <f>""</f>
        <v/>
      </c>
      <c r="K100" s="4" t="str">
        <f>""</f>
        <v/>
      </c>
      <c r="L100" s="3" t="str">
        <f>""</f>
        <v/>
      </c>
      <c r="M100" s="3" t="str">
        <f>""</f>
        <v/>
      </c>
      <c r="N100" s="3" t="str">
        <f>""</f>
        <v/>
      </c>
      <c r="O100" s="3" t="str">
        <f>""</f>
        <v/>
      </c>
      <c r="P100" s="3" t="str">
        <f>""</f>
        <v/>
      </c>
      <c r="Q100" s="3" t="str">
        <f>""</f>
        <v/>
      </c>
      <c r="R100" s="3" t="str">
        <f>""</f>
        <v/>
      </c>
      <c r="S100" s="3" t="str">
        <f>""</f>
        <v/>
      </c>
      <c r="T100" s="14" t="str">
        <f>""</f>
        <v/>
      </c>
      <c r="U100" s="14" t="str">
        <f>""</f>
        <v/>
      </c>
      <c r="V100" s="15">
        <v>17</v>
      </c>
      <c r="W100" s="15" t="str">
        <f>"10-21-001029"</f>
        <v>10-21-001029</v>
      </c>
      <c r="X100" s="15" t="str">
        <f>"6-PIN 5.08MM (NUEVO CONECTOR EXPANDER 3.3)"</f>
        <v>6-PIN 5.08MM (NUEVO CONECTOR EXPANDER 3.3)</v>
      </c>
      <c r="Y100" s="14">
        <v>2</v>
      </c>
      <c r="Z100" s="18" t="str">
        <f>""</f>
        <v/>
      </c>
      <c r="AA100" s="18">
        <v>0</v>
      </c>
      <c r="AB100" s="18" t="str">
        <f>""</f>
        <v/>
      </c>
      <c r="AC100" s="18" t="str">
        <f>""</f>
        <v/>
      </c>
      <c r="AD100" s="18" t="str">
        <f>""</f>
        <v/>
      </c>
      <c r="AE100" s="18" t="str">
        <f>""</f>
        <v/>
      </c>
      <c r="AF100" s="18" t="str">
        <f t="shared" ref="AF100:AF108" si="17">IF(AJ100="","",VALUE(AJ100))</f>
        <v/>
      </c>
      <c r="AG100" s="18" t="str">
        <f>""</f>
        <v/>
      </c>
      <c r="AH100" s="18" t="str">
        <f>""</f>
        <v/>
      </c>
      <c r="AI100" s="19" t="str">
        <f t="shared" ref="AI100:AI131" si="18">IF($G100="","",IFERROR(IF(ISBLANK(Z100),0,Z100)+IF(ISBLANK(AA100),0,AA100)+IF(ISBLANK(AB100),0,AB100)+IF(ISBLANK(AC100),0,AC100)+IF(ISBLANK(AD100),0,AD100)+IF(ISBLANK(AE100),0,AE100)+IF(ISBLANK(AF100),0,AF100)+IF(ISBLANK(AG100),0,AG100)+IF(ISBLANK(AH100),0,AH100),0))</f>
        <v/>
      </c>
      <c r="AJ100" t="str">
        <f>""</f>
        <v/>
      </c>
    </row>
    <row r="101" spans="1:36" x14ac:dyDescent="0.3">
      <c r="A101" t="s">
        <v>299</v>
      </c>
      <c r="B101" t="str">
        <f>"""SQL-NAVISION"","""",""SQL="",""14=Id_ Prefactura"",""PF26-00004176"",""2=Tipo documento"",""0"",""14=No_"",""PD260075042"",""14=No_ referencia transporte"",""X26023589"",""14=Familia pedido"","""",""15=Fecha confirmación SGA"",""28/04/2026"",""14=Nombre punto entrega"",""Bryan Silvera "&amp;"Yancari"",""14=Contacto punto entrega"",""Bryan Silvera Yancari"",""14=Dirección punto entrega"",""Avenida de Andalucía 34, Piso 3 Puerta A."",""14=C_P_ punto entrega"",""41006"",""14=Población punto entrega"",""Sevilla"",""14=Provincia punto entrega"",""Sevilla"",""14=País pu"&amp;"nto entrega"",""ES"",""10=bultosP"",""1,00000000000000000000"",""14=No_ documento cliente"",""INPOST280426.4"",""14=Cód_ Servicio solicitado Fact_"",""STD"",""10=bultosE"",""1,00000000000000000000"",""10=Peso facturable"",""17,00000000000000000000"",""14=Cód_ operativa"",""053"",""1"&amp;"4=Descripción"",""PRUEBA PILOTO INPOST"",""2=No_ línea"",""60000"",""14=No_ producto cliente"",""10-21-000944"",""14=Descripción ampliada"",""ESCANER NEWLAND"",""10=Cantidad confirmada"",""2,00000000000000000000"",""2=numeroexpediciones"",""1"",""2=numeroalbaranes"",""1"",""10=manip"&amp;"ulacion"",""6,69673200000000000000"",""10=embalaje"",""2,12000000000000000000"",""10=transporte"",""8,25892000000000000000"",""10=prima"",""0,00000000000000000000"",""10=reembolso"",""0,00000000000000000000"",""10=impuestos"",""0,00000000000000000000"",""10=gestion"",""0,105987000"&amp;"00000000000"",""10=franqueo"",""0,00000000000000000000"",""10=despacho"",""0,00000000000000000000"""</f>
        <v>"SQL-NAVISION","","SQL=","14=Id_ Prefactura","PF26-00004176","2=Tipo documento","0","14=No_","PD260075042","14=No_ referencia transporte","X26023589","14=Familia pedido","","15=Fecha confirmación SGA","28/04/2026","14=Nombre punto entrega","Bryan Silvera Yancari","14=Contacto punto entrega","Bryan Silvera Yancari","14=Dirección punto entrega","Avenida de Andalucía 34, Piso 3 Puerta A.","14=C_P_ punto entrega","41006","14=Población punto entrega","Sevilla","14=Provincia punto entrega","Sevilla","14=País punto entrega","ES","10=bultosP","1,00000000000000000000","14=No_ documento cliente","INPOST280426.4","14=Cód_ Servicio solicitado Fact_","STD","10=bultosE","1,00000000000000000000","10=Peso facturable","17,00000000000000000000","14=Cód_ operativa","053","14=Descripción","PRUEBA PILOTO INPOST","2=No_ línea","60000","14=No_ producto cliente","10-21-000944","14=Descripción ampliada","ESCANER NEWLAND","10=Cantidad confirmada","2,00000000000000000000","2=numeroexpediciones","1","2=numeroalbaranes","1","10=manipulacion","6,69673200000000000000","10=embalaje","2,12000000000000000000","10=transporte","8,25892000000000000000","10=prima","0,00000000000000000000","10=reembolso","0,00000000000000000000","10=impuestos","0,00000000000000000000","10=gestion","0,10598700000000000000","10=franqueo","0,00000000000000000000","10=despacho","0,00000000000000000000"</v>
      </c>
      <c r="C101" t="str">
        <f t="shared" si="16"/>
        <v>PD260075042</v>
      </c>
      <c r="D101" s="3" t="str">
        <f>""</f>
        <v/>
      </c>
      <c r="E101" s="3" t="str">
        <f>""</f>
        <v/>
      </c>
      <c r="F101" s="3" t="str">
        <f>""</f>
        <v/>
      </c>
      <c r="G101" s="3" t="str">
        <f>""</f>
        <v/>
      </c>
      <c r="H101" s="3" t="str">
        <f>""</f>
        <v/>
      </c>
      <c r="I101" s="3" t="str">
        <f>""</f>
        <v/>
      </c>
      <c r="J101" s="3" t="str">
        <f>""</f>
        <v/>
      </c>
      <c r="K101" s="4" t="str">
        <f>""</f>
        <v/>
      </c>
      <c r="L101" s="3" t="str">
        <f>""</f>
        <v/>
      </c>
      <c r="M101" s="3" t="str">
        <f>""</f>
        <v/>
      </c>
      <c r="N101" s="3" t="str">
        <f>""</f>
        <v/>
      </c>
      <c r="O101" s="3" t="str">
        <f>""</f>
        <v/>
      </c>
      <c r="P101" s="3" t="str">
        <f>""</f>
        <v/>
      </c>
      <c r="Q101" s="3" t="str">
        <f>""</f>
        <v/>
      </c>
      <c r="R101" s="3" t="str">
        <f>""</f>
        <v/>
      </c>
      <c r="S101" s="3" t="str">
        <f>""</f>
        <v/>
      </c>
      <c r="T101" s="14" t="str">
        <f>""</f>
        <v/>
      </c>
      <c r="U101" s="14" t="str">
        <f>""</f>
        <v/>
      </c>
      <c r="V101" s="15">
        <v>17</v>
      </c>
      <c r="W101" s="15" t="str">
        <f>"10-21-000944"</f>
        <v>10-21-000944</v>
      </c>
      <c r="X101" s="15" t="str">
        <f>"ESCANER NEWLAND"</f>
        <v>ESCANER NEWLAND</v>
      </c>
      <c r="Y101" s="14">
        <v>2</v>
      </c>
      <c r="Z101" s="18" t="str">
        <f>""</f>
        <v/>
      </c>
      <c r="AA101" s="18">
        <v>0</v>
      </c>
      <c r="AB101" s="18" t="str">
        <f>""</f>
        <v/>
      </c>
      <c r="AC101" s="18" t="str">
        <f>""</f>
        <v/>
      </c>
      <c r="AD101" s="18" t="str">
        <f>""</f>
        <v/>
      </c>
      <c r="AE101" s="18" t="str">
        <f>""</f>
        <v/>
      </c>
      <c r="AF101" s="18" t="str">
        <f t="shared" si="17"/>
        <v/>
      </c>
      <c r="AG101" s="18" t="str">
        <f>""</f>
        <v/>
      </c>
      <c r="AH101" s="18" t="str">
        <f>""</f>
        <v/>
      </c>
      <c r="AI101" s="19" t="str">
        <f t="shared" si="18"/>
        <v/>
      </c>
      <c r="AJ101" t="str">
        <f>""</f>
        <v/>
      </c>
    </row>
    <row r="102" spans="1:36" x14ac:dyDescent="0.3">
      <c r="A102" t="s">
        <v>299</v>
      </c>
      <c r="B102" t="str">
        <f>"""SQL-NAVISION"","""",""SQL="",""14=Id_ Prefactura"",""PF26-00004176"",""2=Tipo documento"",""0"",""14=No_"",""PD260075042"",""14=No_ referencia transporte"",""X26023589"",""14=Familia pedido"","""",""15=Fecha confirmación SGA"",""28/04/2026"",""14=Nombre punto entrega"",""Bryan Silvera "&amp;"Yancari"",""14=Contacto punto entrega"",""Bryan Silvera Yancari"",""14=Dirección punto entrega"",""Avenida de Andalucía 34, Piso 3 Puerta A."",""14=C_P_ punto entrega"",""41006"",""14=Población punto entrega"",""Sevilla"",""14=Provincia punto entrega"",""Sevilla"",""14=País pu"&amp;"nto entrega"",""ES"",""10=bultosP"",""1,00000000000000000000"",""14=No_ documento cliente"",""INPOST280426.4"",""14=Cód_ Servicio solicitado Fact_"",""STD"",""10=bultosE"",""1,00000000000000000000"",""10=Peso facturable"",""17,00000000000000000000"",""14=Cód_ operativa"",""053"",""1"&amp;"4=Descripción"",""PRUEBA PILOTO INPOST"",""2=No_ línea"",""70000"",""14=No_ producto cliente"",""MONITOR- IR TOUCH"",""14=Descripción ampliada"",""MONITOR 12"""" COMPATIBLE IR TOUCH + SELLANTE"",""10=Cantidad confirmada"",""1,00000000000000000000"",""2=numeroexpediciones"",""1"","&amp;"""2=numeroalbaranes"",""1"",""10=manipulacion"",""6,69673200000000000000"",""10=embalaje"",""2,12000000000000000000"",""10=transporte"",""8,25892000000000000000"",""10=prima"",""0,00000000000000000000"",""10=reembolso"",""0,00000000000000000000"",""10=impuestos"",""0,00000000000000"&amp;"000000"",""10=gestion"",""0,10598700000000000000"",""10=franqueo"",""0,00000000000000000000"",""10=despacho"",""0,00000000000000000000"""</f>
        <v>"SQL-NAVISION","","SQL=","14=Id_ Prefactura","PF26-00004176","2=Tipo documento","0","14=No_","PD260075042","14=No_ referencia transporte","X26023589","14=Familia pedido","","15=Fecha confirmación SGA","28/04/2026","14=Nombre punto entrega","Bryan Silvera Yancari","14=Contacto punto entrega","Bryan Silvera Yancari","14=Dirección punto entrega","Avenida de Andalucía 34, Piso 3 Puerta A.","14=C_P_ punto entrega","41006","14=Población punto entrega","Sevilla","14=Provincia punto entrega","Sevilla","14=País punto entrega","ES","10=bultosP","1,00000000000000000000","14=No_ documento cliente","INPOST280426.4","14=Cód_ Servicio solicitado Fact_","STD","10=bultosE","1,00000000000000000000","10=Peso facturable","17,00000000000000000000","14=Cód_ operativa","053","14=Descripción","PRUEBA PILOTO INPOST","2=No_ línea","70000","14=No_ producto cliente","MONITOR- IR TOUCH","14=Descripción ampliada","MONITOR 12"" COMPATIBLE IR TOUCH + SELLANTE","10=Cantidad confirmada","1,00000000000000000000","2=numeroexpediciones","1","2=numeroalbaranes","1","10=manipulacion","6,69673200000000000000","10=embalaje","2,12000000000000000000","10=transporte","8,25892000000000000000","10=prima","0,00000000000000000000","10=reembolso","0,00000000000000000000","10=impuestos","0,00000000000000000000","10=gestion","0,10598700000000000000","10=franqueo","0,00000000000000000000","10=despacho","0,00000000000000000000"</v>
      </c>
      <c r="C102" t="str">
        <f t="shared" si="16"/>
        <v>PD260075042</v>
      </c>
      <c r="D102" s="3" t="str">
        <f>""</f>
        <v/>
      </c>
      <c r="E102" s="3" t="str">
        <f>""</f>
        <v/>
      </c>
      <c r="F102" s="3" t="str">
        <f>""</f>
        <v/>
      </c>
      <c r="G102" s="3" t="str">
        <f>""</f>
        <v/>
      </c>
      <c r="H102" s="3" t="str">
        <f>""</f>
        <v/>
      </c>
      <c r="I102" s="3" t="str">
        <f>""</f>
        <v/>
      </c>
      <c r="J102" s="3" t="str">
        <f>""</f>
        <v/>
      </c>
      <c r="K102" s="4" t="str">
        <f>""</f>
        <v/>
      </c>
      <c r="L102" s="3" t="str">
        <f>""</f>
        <v/>
      </c>
      <c r="M102" s="3" t="str">
        <f>""</f>
        <v/>
      </c>
      <c r="N102" s="3" t="str">
        <f>""</f>
        <v/>
      </c>
      <c r="O102" s="3" t="str">
        <f>""</f>
        <v/>
      </c>
      <c r="P102" s="3" t="str">
        <f>""</f>
        <v/>
      </c>
      <c r="Q102" s="3" t="str">
        <f>""</f>
        <v/>
      </c>
      <c r="R102" s="3" t="str">
        <f>""</f>
        <v/>
      </c>
      <c r="S102" s="3" t="str">
        <f>""</f>
        <v/>
      </c>
      <c r="T102" s="14" t="str">
        <f>""</f>
        <v/>
      </c>
      <c r="U102" s="14" t="str">
        <f>""</f>
        <v/>
      </c>
      <c r="V102" s="15">
        <v>17</v>
      </c>
      <c r="W102" s="15" t="str">
        <f>"MONITOR- IR TOUCH"</f>
        <v>MONITOR- IR TOUCH</v>
      </c>
      <c r="X102" s="15" t="str">
        <f>"MONITOR 12"" COMPATIBLE IR TOUCH + SELLANTE"</f>
        <v>MONITOR 12" COMPATIBLE IR TOUCH + SELLANTE</v>
      </c>
      <c r="Y102" s="14">
        <v>1</v>
      </c>
      <c r="Z102" s="18" t="str">
        <f>""</f>
        <v/>
      </c>
      <c r="AA102" s="18">
        <v>0</v>
      </c>
      <c r="AB102" s="18" t="str">
        <f>""</f>
        <v/>
      </c>
      <c r="AC102" s="18" t="str">
        <f>""</f>
        <v/>
      </c>
      <c r="AD102" s="18" t="str">
        <f>""</f>
        <v/>
      </c>
      <c r="AE102" s="18" t="str">
        <f>""</f>
        <v/>
      </c>
      <c r="AF102" s="18" t="str">
        <f t="shared" si="17"/>
        <v/>
      </c>
      <c r="AG102" s="18" t="str">
        <f>""</f>
        <v/>
      </c>
      <c r="AH102" s="18" t="str">
        <f>""</f>
        <v/>
      </c>
      <c r="AI102" s="19" t="str">
        <f t="shared" si="18"/>
        <v/>
      </c>
      <c r="AJ102" t="str">
        <f>""</f>
        <v/>
      </c>
    </row>
    <row r="103" spans="1:36" x14ac:dyDescent="0.3">
      <c r="A103" t="s">
        <v>299</v>
      </c>
      <c r="B103" t="str">
        <f>"""SQL-NAVISION"","""",""SQL="",""14=Id_ Prefactura"",""PF26-00004176"",""2=Tipo documento"",""0"",""14=No_"",""PD260075042"",""14=No_ referencia transporte"",""X26023589"",""14=Familia pedido"","""",""15=Fecha confirmación SGA"",""28/04/2026"",""14=Nombre punto entrega"",""Bryan Silvera "&amp;"Yancari"",""14=Contacto punto entrega"",""Bryan Silvera Yancari"",""14=Dirección punto entrega"",""Avenida de Andalucía 34, Piso 3 Puerta A."",""14=C_P_ punto entrega"",""41006"",""14=Población punto entrega"",""Sevilla"",""14=Provincia punto entrega"",""Sevilla"",""14=País pu"&amp;"nto entrega"",""ES"",""10=bultosP"",""1,00000000000000000000"",""14=No_ documento cliente"",""INPOST280426.4"",""14=Cód_ Servicio solicitado Fact_"",""STD"",""10=bultosE"",""1,00000000000000000000"",""10=Peso facturable"",""17,00000000000000000000"",""14=Cód_ operativa"",""053"",""1"&amp;"4=Descripción"",""PRUEBA PILOTO INPOST"",""2=No_ línea"",""80000"",""14=No_ producto cliente"",""10-21-001094"",""14=Descripción ampliada"",""MONITOR CAPACITIVO (CAPACITIVE MONITOR 12,1 LCD 1024X7"",""10=Cantidad confirmada"",""1,00000000000000000000"",""2=numeroexpediciones"&amp;""",""1"",""2=numeroalbaranes"",""1"",""10=manipulacion"",""6,69673200000000000000"",""10=embalaje"",""2,12000000000000000000"",""10=transporte"",""8,25892000000000000000"",""10=prima"",""0,00000000000000000000"",""10=reembolso"",""0,00000000000000000000"",""10=impuestos"",""0,00000000"&amp;"000000000000"",""10=gestion"",""0,10598700000000000000"",""10=franqueo"",""0,00000000000000000000"",""10=despacho"",""0,00000000000000000000"""</f>
        <v>"SQL-NAVISION","","SQL=","14=Id_ Prefactura","PF26-00004176","2=Tipo documento","0","14=No_","PD260075042","14=No_ referencia transporte","X26023589","14=Familia pedido","","15=Fecha confirmación SGA","28/04/2026","14=Nombre punto entrega","Bryan Silvera Yancari","14=Contacto punto entrega","Bryan Silvera Yancari","14=Dirección punto entrega","Avenida de Andalucía 34, Piso 3 Puerta A.","14=C_P_ punto entrega","41006","14=Población punto entrega","Sevilla","14=Provincia punto entrega","Sevilla","14=País punto entrega","ES","10=bultosP","1,00000000000000000000","14=No_ documento cliente","INPOST280426.4","14=Cód_ Servicio solicitado Fact_","STD","10=bultosE","1,00000000000000000000","10=Peso facturable","17,00000000000000000000","14=Cód_ operativa","053","14=Descripción","PRUEBA PILOTO INPOST","2=No_ línea","80000","14=No_ producto cliente","10-21-001094","14=Descripción ampliada","MONITOR CAPACITIVO (CAPACITIVE MONITOR 12,1 LCD 1024X7","10=Cantidad confirmada","1,00000000000000000000","2=numeroexpediciones","1","2=numeroalbaranes","1","10=manipulacion","6,69673200000000000000","10=embalaje","2,12000000000000000000","10=transporte","8,25892000000000000000","10=prima","0,00000000000000000000","10=reembolso","0,00000000000000000000","10=impuestos","0,00000000000000000000","10=gestion","0,10598700000000000000","10=franqueo","0,00000000000000000000","10=despacho","0,00000000000000000000"</v>
      </c>
      <c r="C103" t="str">
        <f t="shared" si="16"/>
        <v>PD260075042</v>
      </c>
      <c r="D103" s="3" t="str">
        <f>""</f>
        <v/>
      </c>
      <c r="E103" s="3" t="str">
        <f>""</f>
        <v/>
      </c>
      <c r="F103" s="3" t="str">
        <f>""</f>
        <v/>
      </c>
      <c r="G103" s="3" t="str">
        <f>""</f>
        <v/>
      </c>
      <c r="H103" s="3" t="str">
        <f>""</f>
        <v/>
      </c>
      <c r="I103" s="3" t="str">
        <f>""</f>
        <v/>
      </c>
      <c r="J103" s="3" t="str">
        <f>""</f>
        <v/>
      </c>
      <c r="K103" s="4" t="str">
        <f>""</f>
        <v/>
      </c>
      <c r="L103" s="3" t="str">
        <f>""</f>
        <v/>
      </c>
      <c r="M103" s="3" t="str">
        <f>""</f>
        <v/>
      </c>
      <c r="N103" s="3" t="str">
        <f>""</f>
        <v/>
      </c>
      <c r="O103" s="3" t="str">
        <f>""</f>
        <v/>
      </c>
      <c r="P103" s="3" t="str">
        <f>""</f>
        <v/>
      </c>
      <c r="Q103" s="3" t="str">
        <f>""</f>
        <v/>
      </c>
      <c r="R103" s="3" t="str">
        <f>""</f>
        <v/>
      </c>
      <c r="S103" s="3" t="str">
        <f>""</f>
        <v/>
      </c>
      <c r="T103" s="14" t="str">
        <f>""</f>
        <v/>
      </c>
      <c r="U103" s="14" t="str">
        <f>""</f>
        <v/>
      </c>
      <c r="V103" s="15">
        <v>17</v>
      </c>
      <c r="W103" s="15" t="str">
        <f>"10-21-001094"</f>
        <v>10-21-001094</v>
      </c>
      <c r="X103" s="15" t="str">
        <f>"MONITOR CAPACITIVO (CAPACITIVE MONITOR 12,1 LCD 1024X7"</f>
        <v>MONITOR CAPACITIVO (CAPACITIVE MONITOR 12,1 LCD 1024X7</v>
      </c>
      <c r="Y103" s="14">
        <v>1</v>
      </c>
      <c r="Z103" s="18" t="str">
        <f>""</f>
        <v/>
      </c>
      <c r="AA103" s="18">
        <v>0</v>
      </c>
      <c r="AB103" s="18" t="str">
        <f>""</f>
        <v/>
      </c>
      <c r="AC103" s="18" t="str">
        <f>""</f>
        <v/>
      </c>
      <c r="AD103" s="18" t="str">
        <f>""</f>
        <v/>
      </c>
      <c r="AE103" s="18" t="str">
        <f>""</f>
        <v/>
      </c>
      <c r="AF103" s="18" t="str">
        <f t="shared" si="17"/>
        <v/>
      </c>
      <c r="AG103" s="18" t="str">
        <f>""</f>
        <v/>
      </c>
      <c r="AH103" s="18" t="str">
        <f>""</f>
        <v/>
      </c>
      <c r="AI103" s="19" t="str">
        <f t="shared" si="18"/>
        <v/>
      </c>
      <c r="AJ103" t="str">
        <f>""</f>
        <v/>
      </c>
    </row>
    <row r="104" spans="1:36" x14ac:dyDescent="0.3">
      <c r="A104" t="s">
        <v>299</v>
      </c>
      <c r="B104" t="str">
        <f>"""SQL-NAVISION"","""",""SQL="",""14=Id_ Prefactura"",""PF26-00004176"",""2=Tipo documento"",""0"",""14=No_"",""PD260075043"",""14=No_ referencia transporte"",""INPOST280426.5"",""14=Familia pedido"","""",""15=Fecha confirmación SGA"",""28/04/2026"",""14=Nombre punto entrega"",""Joan Manu"&amp;"el Luque Figueras"",""14=Contacto punto entrega"",""Joan Manuel Luque Figueras"",""14=Dirección punto entrega"",""Avinguda Catalunya 76-78 1-1"",""14=C_P_ punto entrega"",""08880"",""14=Población punto entrega"",""Cubelles"",""14=Provincia punto entrega"",""Barcelona"",""14=Pa"&amp;"ís punto entrega"",""ES"",""10=bultosP"",""1,00000000000000000000"",""14=No_ documento cliente"",""INPOST280426.5"",""14=Cód_ Servicio solicitado Fact_"",""STD"",""10=bultosE"",""1,00000000000000000000"",""10=Peso facturable"",""34,00000000000000000000"",""14=Cód_ operativa"",""05"&amp;"3"",""14=Descripción"",""PRUEBA PILOTO INPOST"",""2=No_ línea"",""20000"",""14=No_ producto cliente"",""10-20-000064"",""14=Descripción ampliada"",""ACTUADOR CERRADURAS"",""10=Cantidad confirmada"",""20,00000000000000000000"",""2=numeroexpediciones"",""1"",""2=numeroalbaranes"",""1"""&amp;",""10=manipulacion"",""7,80187800000000000000"",""10=embalaje"",""1,97000000000000000000"",""10=transporte"",""12,35577900000000000000"",""10=prima"",""0,00000000000000000000"",""10=reembolso"",""0,00000000000000000000"",""10=impuestos"",""0,00000000000000000000"",""10=gestion"","""&amp;"0,10598700000000000000"",""10=franqueo"",""0,00000000000000000000"",""10=despacho"",""0,00000000000000000000"""</f>
        <v>"SQL-NAVISION","","SQL=","14=Id_ Prefactura","PF26-00004176","2=Tipo documento","0","14=No_","PD260075043","14=No_ referencia transporte","INPOST280426.5","14=Familia pedido","","15=Fecha confirmación SGA","28/04/2026","14=Nombre punto entrega","Joan Manuel Luque Figueras","14=Contacto punto entrega","Joan Manuel Luque Figueras","14=Dirección punto entrega","Avinguda Catalunya 76-78 1-1","14=C_P_ punto entrega","08880","14=Población punto entrega","Cubelles","14=Provincia punto entrega","Barcelona","14=País punto entrega","ES","10=bultosP","1,00000000000000000000","14=No_ documento cliente","INPOST280426.5","14=Cód_ Servicio solicitado Fact_","STD","10=bultosE","1,00000000000000000000","10=Peso facturable","34,00000000000000000000","14=Cód_ operativa","053","14=Descripción","PRUEBA PILOTO INPOST","2=No_ línea","20000","14=No_ producto cliente","10-20-000064","14=Descripción ampliada","ACTUADOR CERRADURAS","10=Cantidad confirmada","20,00000000000000000000","2=numeroexpediciones","1","2=numeroalbaranes","1","10=manipulacion","7,80187800000000000000","10=embalaje","1,97000000000000000000","10=transporte","12,35577900000000000000","10=prima","0,00000000000000000000","10=reembolso","0,00000000000000000000","10=impuestos","0,00000000000000000000","10=gestion","0,10598700000000000000","10=franqueo","0,00000000000000000000","10=despacho","0,00000000000000000000"</v>
      </c>
      <c r="C104" t="str">
        <f>"PD260075043"</f>
        <v>PD260075043</v>
      </c>
      <c r="D104" s="3" t="str">
        <f>""</f>
        <v/>
      </c>
      <c r="E104" s="3" t="str">
        <f>""</f>
        <v/>
      </c>
      <c r="F104" s="3" t="str">
        <f>""</f>
        <v/>
      </c>
      <c r="G104" s="3" t="str">
        <f>""</f>
        <v/>
      </c>
      <c r="H104" s="3" t="str">
        <f>""</f>
        <v/>
      </c>
      <c r="I104" s="3" t="str">
        <f>""</f>
        <v/>
      </c>
      <c r="J104" s="3" t="str">
        <f>""</f>
        <v/>
      </c>
      <c r="K104" s="4" t="str">
        <f>""</f>
        <v/>
      </c>
      <c r="L104" s="3" t="str">
        <f>""</f>
        <v/>
      </c>
      <c r="M104" s="3" t="str">
        <f>""</f>
        <v/>
      </c>
      <c r="N104" s="3" t="str">
        <f>""</f>
        <v/>
      </c>
      <c r="O104" s="3" t="str">
        <f>""</f>
        <v/>
      </c>
      <c r="P104" s="3" t="str">
        <f>""</f>
        <v/>
      </c>
      <c r="Q104" s="3" t="str">
        <f>""</f>
        <v/>
      </c>
      <c r="R104" s="3" t="str">
        <f>""</f>
        <v/>
      </c>
      <c r="S104" s="3" t="str">
        <f>""</f>
        <v/>
      </c>
      <c r="T104" s="14" t="str">
        <f>""</f>
        <v/>
      </c>
      <c r="U104" s="14" t="str">
        <f>""</f>
        <v/>
      </c>
      <c r="V104" s="15">
        <v>34</v>
      </c>
      <c r="W104" s="15" t="str">
        <f>"10-20-000064"</f>
        <v>10-20-000064</v>
      </c>
      <c r="X104" s="15" t="str">
        <f>"ACTUADOR CERRADURAS"</f>
        <v>ACTUADOR CERRADURAS</v>
      </c>
      <c r="Y104" s="14">
        <v>20</v>
      </c>
      <c r="Z104" s="18" t="str">
        <f>""</f>
        <v/>
      </c>
      <c r="AA104" s="18">
        <v>0</v>
      </c>
      <c r="AB104" s="18" t="str">
        <f>""</f>
        <v/>
      </c>
      <c r="AC104" s="18" t="str">
        <f>""</f>
        <v/>
      </c>
      <c r="AD104" s="18" t="str">
        <f>""</f>
        <v/>
      </c>
      <c r="AE104" s="18" t="str">
        <f>""</f>
        <v/>
      </c>
      <c r="AF104" s="18" t="str">
        <f t="shared" si="17"/>
        <v/>
      </c>
      <c r="AG104" s="18" t="str">
        <f>""</f>
        <v/>
      </c>
      <c r="AH104" s="18" t="str">
        <f>""</f>
        <v/>
      </c>
      <c r="AI104" s="19" t="str">
        <f t="shared" si="18"/>
        <v/>
      </c>
      <c r="AJ104" t="str">
        <f>""</f>
        <v/>
      </c>
    </row>
    <row r="105" spans="1:36" x14ac:dyDescent="0.3">
      <c r="A105" t="s">
        <v>299</v>
      </c>
      <c r="B105" t="str">
        <f>"""SQL-NAVISION"","""",""SQL="",""14=Id_ Prefactura"",""PF26-00004176"",""2=Tipo documento"",""0"",""14=No_"",""PD260075043"",""14=No_ referencia transporte"",""INPOST280426.5"",""14=Familia pedido"","""",""15=Fecha confirmación SGA"",""28/04/2026"",""14=Nombre punto entrega"",""Joan Manu"&amp;"el Luque Figueras"",""14=Contacto punto entrega"",""Joan Manuel Luque Figueras"",""14=Dirección punto entrega"",""Avinguda Catalunya 76-78 1-1"",""14=C_P_ punto entrega"",""08880"",""14=Población punto entrega"",""Cubelles"",""14=Provincia punto entrega"",""Barcelona"",""14=Pa"&amp;"ís punto entrega"",""ES"",""10=bultosP"",""1,00000000000000000000"",""14=No_ documento cliente"",""INPOST280426.5"",""14=Cód_ Servicio solicitado Fact_"",""STD"",""10=bultosE"",""1,00000000000000000000"",""10=Peso facturable"",""34,00000000000000000000"",""14=Cód_ operativa"",""05"&amp;"3"",""14=Descripción"",""PRUEBA PILOTO INPOST"",""2=No_ línea"",""30000"",""14=No_ producto cliente"",""MONITOR- IR TOUCH"",""14=Descripción ampliada"",""MONITOR 12"""" COMPATIBLE IR TOUCH + SELLANTE"",""10=Cantidad confirmada"",""1,00000000000000000000"",""2=numeroexpediciones"""&amp;",""1"",""2=numeroalbaranes"",""1"",""10=manipulacion"",""7,80187800000000000000"",""10=embalaje"",""1,97000000000000000000"",""10=transporte"",""12,35577900000000000000"",""10=prima"",""0,00000000000000000000"",""10=reembolso"",""0,00000000000000000000"",""10=impuestos"",""0,00000000"&amp;"000000000000"",""10=gestion"",""0,10598700000000000000"",""10=franqueo"",""0,00000000000000000000"",""10=despacho"",""0,00000000000000000000"""</f>
        <v>"SQL-NAVISION","","SQL=","14=Id_ Prefactura","PF26-00004176","2=Tipo documento","0","14=No_","PD260075043","14=No_ referencia transporte","INPOST280426.5","14=Familia pedido","","15=Fecha confirmación SGA","28/04/2026","14=Nombre punto entrega","Joan Manuel Luque Figueras","14=Contacto punto entrega","Joan Manuel Luque Figueras","14=Dirección punto entrega","Avinguda Catalunya 76-78 1-1","14=C_P_ punto entrega","08880","14=Población punto entrega","Cubelles","14=Provincia punto entrega","Barcelona","14=País punto entrega","ES","10=bultosP","1,00000000000000000000","14=No_ documento cliente","INPOST280426.5","14=Cód_ Servicio solicitado Fact_","STD","10=bultosE","1,00000000000000000000","10=Peso facturable","34,00000000000000000000","14=Cód_ operativa","053","14=Descripción","PRUEBA PILOTO INPOST","2=No_ línea","30000","14=No_ producto cliente","MONITOR- IR TOUCH","14=Descripción ampliada","MONITOR 12"" COMPATIBLE IR TOUCH + SELLANTE","10=Cantidad confirmada","1,00000000000000000000","2=numeroexpediciones","1","2=numeroalbaranes","1","10=manipulacion","7,80187800000000000000","10=embalaje","1,97000000000000000000","10=transporte","12,35577900000000000000","10=prima","0,00000000000000000000","10=reembolso","0,00000000000000000000","10=impuestos","0,00000000000000000000","10=gestion","0,10598700000000000000","10=franqueo","0,00000000000000000000","10=despacho","0,00000000000000000000"</v>
      </c>
      <c r="C105" t="str">
        <f>"PD260075043"</f>
        <v>PD260075043</v>
      </c>
      <c r="D105" s="3" t="str">
        <f>""</f>
        <v/>
      </c>
      <c r="E105" s="3" t="str">
        <f>""</f>
        <v/>
      </c>
      <c r="F105" s="3" t="str">
        <f>""</f>
        <v/>
      </c>
      <c r="G105" s="3" t="str">
        <f>""</f>
        <v/>
      </c>
      <c r="H105" s="3" t="str">
        <f>""</f>
        <v/>
      </c>
      <c r="I105" s="3" t="str">
        <f>""</f>
        <v/>
      </c>
      <c r="J105" s="3" t="str">
        <f>""</f>
        <v/>
      </c>
      <c r="K105" s="4" t="str">
        <f>""</f>
        <v/>
      </c>
      <c r="L105" s="3" t="str">
        <f>""</f>
        <v/>
      </c>
      <c r="M105" s="3" t="str">
        <f>""</f>
        <v/>
      </c>
      <c r="N105" s="3" t="str">
        <f>""</f>
        <v/>
      </c>
      <c r="O105" s="3" t="str">
        <f>""</f>
        <v/>
      </c>
      <c r="P105" s="3" t="str">
        <f>""</f>
        <v/>
      </c>
      <c r="Q105" s="3" t="str">
        <f>""</f>
        <v/>
      </c>
      <c r="R105" s="3" t="str">
        <f>""</f>
        <v/>
      </c>
      <c r="S105" s="3" t="str">
        <f>""</f>
        <v/>
      </c>
      <c r="T105" s="14" t="str">
        <f>""</f>
        <v/>
      </c>
      <c r="U105" s="14" t="str">
        <f>""</f>
        <v/>
      </c>
      <c r="V105" s="15">
        <v>34</v>
      </c>
      <c r="W105" s="15" t="str">
        <f>"MONITOR- IR TOUCH"</f>
        <v>MONITOR- IR TOUCH</v>
      </c>
      <c r="X105" s="15" t="str">
        <f>"MONITOR 12"" COMPATIBLE IR TOUCH + SELLANTE"</f>
        <v>MONITOR 12" COMPATIBLE IR TOUCH + SELLANTE</v>
      </c>
      <c r="Y105" s="14">
        <v>1</v>
      </c>
      <c r="Z105" s="18" t="str">
        <f>""</f>
        <v/>
      </c>
      <c r="AA105" s="18">
        <v>0</v>
      </c>
      <c r="AB105" s="18" t="str">
        <f>""</f>
        <v/>
      </c>
      <c r="AC105" s="18" t="str">
        <f>""</f>
        <v/>
      </c>
      <c r="AD105" s="18" t="str">
        <f>""</f>
        <v/>
      </c>
      <c r="AE105" s="18" t="str">
        <f>""</f>
        <v/>
      </c>
      <c r="AF105" s="18" t="str">
        <f t="shared" si="17"/>
        <v/>
      </c>
      <c r="AG105" s="18" t="str">
        <f>""</f>
        <v/>
      </c>
      <c r="AH105" s="18" t="str">
        <f>""</f>
        <v/>
      </c>
      <c r="AI105" s="19" t="str">
        <f t="shared" si="18"/>
        <v/>
      </c>
      <c r="AJ105" t="str">
        <f>""</f>
        <v/>
      </c>
    </row>
    <row r="106" spans="1:36" x14ac:dyDescent="0.3">
      <c r="A106" t="s">
        <v>299</v>
      </c>
      <c r="B106" t="str">
        <f>"""SQL-NAVISION"","""",""SQL="",""14=Id_ Prefactura"",""PF26-00004176"",""2=Tipo documento"",""0"",""14=No_"",""PD260075043"",""14=No_ referencia transporte"",""INPOST280426.5"",""14=Familia pedido"","""",""15=Fecha confirmación SGA"",""28/04/2026"",""14=Nombre punto entrega"",""Joan Manu"&amp;"el Luque Figueras"",""14=Contacto punto entrega"",""Joan Manuel Luque Figueras"",""14=Dirección punto entrega"",""Avinguda Catalunya 76-78 1-1"",""14=C_P_ punto entrega"",""08880"",""14=Población punto entrega"",""Cubelles"",""14=Provincia punto entrega"",""Barcelona"",""14=Pa"&amp;"ís punto entrega"",""ES"",""10=bultosP"",""1,00000000000000000000"",""14=No_ documento cliente"",""INPOST280426.5"",""14=Cód_ Servicio solicitado Fact_"",""STD"",""10=bultosE"",""1,00000000000000000000"",""10=Peso facturable"",""34,00000000000000000000"",""14=Cód_ operativa"",""05"&amp;"3"",""14=Descripción"",""PRUEBA PILOTO INPOST"",""2=No_ línea"",""40000"",""14=No_ producto cliente"",""10-21-000637"",""14=Descripción ampliada"",""BATERIA 12V."",""10=Cantidad confirmada"",""2,00000000000000000000"",""2=numeroexpediciones"",""1"",""2=numeroalbaranes"",""1"",""10=man"&amp;"ipulacion"",""7,80187800000000000000"",""10=embalaje"",""1,97000000000000000000"",""10=transporte"",""12,35577900000000000000"",""10=prima"",""0,00000000000000000000"",""10=reembolso"",""0,00000000000000000000"",""10=impuestos"",""0,00000000000000000000"",""10=gestion"",""0,105987"&amp;"00000000000000"",""10=franqueo"",""0,00000000000000000000"",""10=despacho"",""0,00000000000000000000"""</f>
        <v>"SQL-NAVISION","","SQL=","14=Id_ Prefactura","PF26-00004176","2=Tipo documento","0","14=No_","PD260075043","14=No_ referencia transporte","INPOST280426.5","14=Familia pedido","","15=Fecha confirmación SGA","28/04/2026","14=Nombre punto entrega","Joan Manuel Luque Figueras","14=Contacto punto entrega","Joan Manuel Luque Figueras","14=Dirección punto entrega","Avinguda Catalunya 76-78 1-1","14=C_P_ punto entrega","08880","14=Población punto entrega","Cubelles","14=Provincia punto entrega","Barcelona","14=País punto entrega","ES","10=bultosP","1,00000000000000000000","14=No_ documento cliente","INPOST280426.5","14=Cód_ Servicio solicitado Fact_","STD","10=bultosE","1,00000000000000000000","10=Peso facturable","34,00000000000000000000","14=Cód_ operativa","053","14=Descripción","PRUEBA PILOTO INPOST","2=No_ línea","40000","14=No_ producto cliente","10-21-000637","14=Descripción ampliada","BATERIA 12V.","10=Cantidad confirmada","2,00000000000000000000","2=numeroexpediciones","1","2=numeroalbaranes","1","10=manipulacion","7,80187800000000000000","10=embalaje","1,97000000000000000000","10=transporte","12,35577900000000000000","10=prima","0,00000000000000000000","10=reembolso","0,00000000000000000000","10=impuestos","0,00000000000000000000","10=gestion","0,10598700000000000000","10=franqueo","0,00000000000000000000","10=despacho","0,00000000000000000000"</v>
      </c>
      <c r="C106" t="str">
        <f>"PD260075043"</f>
        <v>PD260075043</v>
      </c>
      <c r="D106" s="3" t="str">
        <f>""</f>
        <v/>
      </c>
      <c r="E106" s="3" t="str">
        <f>""</f>
        <v/>
      </c>
      <c r="F106" s="3" t="str">
        <f>""</f>
        <v/>
      </c>
      <c r="G106" s="3" t="str">
        <f>""</f>
        <v/>
      </c>
      <c r="H106" s="3" t="str">
        <f>""</f>
        <v/>
      </c>
      <c r="I106" s="3" t="str">
        <f>""</f>
        <v/>
      </c>
      <c r="J106" s="3" t="str">
        <f>""</f>
        <v/>
      </c>
      <c r="K106" s="4" t="str">
        <f>""</f>
        <v/>
      </c>
      <c r="L106" s="3" t="str">
        <f>""</f>
        <v/>
      </c>
      <c r="M106" s="3" t="str">
        <f>""</f>
        <v/>
      </c>
      <c r="N106" s="3" t="str">
        <f>""</f>
        <v/>
      </c>
      <c r="O106" s="3" t="str">
        <f>""</f>
        <v/>
      </c>
      <c r="P106" s="3" t="str">
        <f>""</f>
        <v/>
      </c>
      <c r="Q106" s="3" t="str">
        <f>""</f>
        <v/>
      </c>
      <c r="R106" s="3" t="str">
        <f>""</f>
        <v/>
      </c>
      <c r="S106" s="3" t="str">
        <f>""</f>
        <v/>
      </c>
      <c r="T106" s="14" t="str">
        <f>""</f>
        <v/>
      </c>
      <c r="U106" s="14" t="str">
        <f>""</f>
        <v/>
      </c>
      <c r="V106" s="15">
        <v>34</v>
      </c>
      <c r="W106" s="15" t="str">
        <f>"10-21-000637"</f>
        <v>10-21-000637</v>
      </c>
      <c r="X106" s="15" t="str">
        <f>"BATERIA 12V."</f>
        <v>BATERIA 12V.</v>
      </c>
      <c r="Y106" s="14">
        <v>2</v>
      </c>
      <c r="Z106" s="18" t="str">
        <f>""</f>
        <v/>
      </c>
      <c r="AA106" s="18">
        <v>0</v>
      </c>
      <c r="AB106" s="18" t="str">
        <f>""</f>
        <v/>
      </c>
      <c r="AC106" s="18" t="str">
        <f>""</f>
        <v/>
      </c>
      <c r="AD106" s="18" t="str">
        <f>""</f>
        <v/>
      </c>
      <c r="AE106" s="18" t="str">
        <f>""</f>
        <v/>
      </c>
      <c r="AF106" s="18" t="str">
        <f t="shared" si="17"/>
        <v/>
      </c>
      <c r="AG106" s="18" t="str">
        <f>""</f>
        <v/>
      </c>
      <c r="AH106" s="18" t="str">
        <f>""</f>
        <v/>
      </c>
      <c r="AI106" s="19" t="str">
        <f t="shared" si="18"/>
        <v/>
      </c>
      <c r="AJ106" t="str">
        <f>""</f>
        <v/>
      </c>
    </row>
    <row r="107" spans="1:36" x14ac:dyDescent="0.3">
      <c r="A107" t="s">
        <v>299</v>
      </c>
      <c r="B107" t="str">
        <f>"""SQL-NAVISION"","""",""SQL="",""14=Id_ Prefactura"",""PF26-00004176"",""2=Tipo documento"",""0"",""14=No_"",""PD260075043"",""14=No_ referencia transporte"",""INPOST280426.5"",""14=Familia pedido"","""",""15=Fecha confirmación SGA"",""28/04/2026"",""14=Nombre punto entrega"",""Joan Manu"&amp;"el Luque Figueras"",""14=Contacto punto entrega"",""Joan Manuel Luque Figueras"",""14=Dirección punto entrega"",""Avinguda Catalunya 76-78 1-1"",""14=C_P_ punto entrega"",""08880"",""14=Población punto entrega"",""Cubelles"",""14=Provincia punto entrega"",""Barcelona"",""14=Pa"&amp;"ís punto entrega"",""ES"",""10=bultosP"",""1,00000000000000000000"",""14=No_ documento cliente"",""INPOST280426.5"",""14=Cód_ Servicio solicitado Fact_"",""STD"",""10=bultosE"",""1,00000000000000000000"",""10=Peso facturable"",""34,00000000000000000000"",""14=Cód_ operativa"",""05"&amp;"3"",""14=Descripción"",""PRUEBA PILOTO INPOST"",""2=No_ línea"",""50000"",""14=No_ producto cliente"",""10-21-000638"",""14=Descripción ampliada"",""DISCO DURO SSD"",""10=Cantidad confirmada"",""2,00000000000000000000"",""2=numeroexpediciones"",""1"",""2=numeroalbaranes"",""1"",""10=m"&amp;"anipulacion"",""7,80187800000000000000"",""10=embalaje"",""1,97000000000000000000"",""10=transporte"",""12,35577900000000000000"",""10=prima"",""0,00000000000000000000"",""10=reembolso"",""0,00000000000000000000"",""10=impuestos"",""0,00000000000000000000"",""10=gestion"",""0,1059"&amp;"8700000000000000"",""10=franqueo"",""0,00000000000000000000"",""10=despacho"",""0,00000000000000000000"""</f>
        <v>"SQL-NAVISION","","SQL=","14=Id_ Prefactura","PF26-00004176","2=Tipo documento","0","14=No_","PD260075043","14=No_ referencia transporte","INPOST280426.5","14=Familia pedido","","15=Fecha confirmación SGA","28/04/2026","14=Nombre punto entrega","Joan Manuel Luque Figueras","14=Contacto punto entrega","Joan Manuel Luque Figueras","14=Dirección punto entrega","Avinguda Catalunya 76-78 1-1","14=C_P_ punto entrega","08880","14=Población punto entrega","Cubelles","14=Provincia punto entrega","Barcelona","14=País punto entrega","ES","10=bultosP","1,00000000000000000000","14=No_ documento cliente","INPOST280426.5","14=Cód_ Servicio solicitado Fact_","STD","10=bultosE","1,00000000000000000000","10=Peso facturable","34,00000000000000000000","14=Cód_ operativa","053","14=Descripción","PRUEBA PILOTO INPOST","2=No_ línea","50000","14=No_ producto cliente","10-21-000638","14=Descripción ampliada","DISCO DURO SSD","10=Cantidad confirmada","2,00000000000000000000","2=numeroexpediciones","1","2=numeroalbaranes","1","10=manipulacion","7,80187800000000000000","10=embalaje","1,97000000000000000000","10=transporte","12,35577900000000000000","10=prima","0,00000000000000000000","10=reembolso","0,00000000000000000000","10=impuestos","0,00000000000000000000","10=gestion","0,10598700000000000000","10=franqueo","0,00000000000000000000","10=despacho","0,00000000000000000000"</v>
      </c>
      <c r="C107" t="str">
        <f>"PD260075043"</f>
        <v>PD260075043</v>
      </c>
      <c r="D107" s="3" t="str">
        <f>""</f>
        <v/>
      </c>
      <c r="E107" s="3" t="str">
        <f>""</f>
        <v/>
      </c>
      <c r="F107" s="3" t="str">
        <f>""</f>
        <v/>
      </c>
      <c r="G107" s="3" t="str">
        <f>""</f>
        <v/>
      </c>
      <c r="H107" s="3" t="str">
        <f>""</f>
        <v/>
      </c>
      <c r="I107" s="3" t="str">
        <f>""</f>
        <v/>
      </c>
      <c r="J107" s="3" t="str">
        <f>""</f>
        <v/>
      </c>
      <c r="K107" s="4" t="str">
        <f>""</f>
        <v/>
      </c>
      <c r="L107" s="3" t="str">
        <f>""</f>
        <v/>
      </c>
      <c r="M107" s="3" t="str">
        <f>""</f>
        <v/>
      </c>
      <c r="N107" s="3" t="str">
        <f>""</f>
        <v/>
      </c>
      <c r="O107" s="3" t="str">
        <f>""</f>
        <v/>
      </c>
      <c r="P107" s="3" t="str">
        <f>""</f>
        <v/>
      </c>
      <c r="Q107" s="3" t="str">
        <f>""</f>
        <v/>
      </c>
      <c r="R107" s="3" t="str">
        <f>""</f>
        <v/>
      </c>
      <c r="S107" s="3" t="str">
        <f>""</f>
        <v/>
      </c>
      <c r="T107" s="14" t="str">
        <f>""</f>
        <v/>
      </c>
      <c r="U107" s="14" t="str">
        <f>""</f>
        <v/>
      </c>
      <c r="V107" s="15">
        <v>34</v>
      </c>
      <c r="W107" s="15" t="str">
        <f>"10-21-000638"</f>
        <v>10-21-000638</v>
      </c>
      <c r="X107" s="15" t="str">
        <f>"DISCO DURO SSD"</f>
        <v>DISCO DURO SSD</v>
      </c>
      <c r="Y107" s="14">
        <v>2</v>
      </c>
      <c r="Z107" s="18" t="str">
        <f>""</f>
        <v/>
      </c>
      <c r="AA107" s="18">
        <v>0</v>
      </c>
      <c r="AB107" s="18" t="str">
        <f>""</f>
        <v/>
      </c>
      <c r="AC107" s="18" t="str">
        <f>""</f>
        <v/>
      </c>
      <c r="AD107" s="18" t="str">
        <f>""</f>
        <v/>
      </c>
      <c r="AE107" s="18" t="str">
        <f>""</f>
        <v/>
      </c>
      <c r="AF107" s="18" t="str">
        <f t="shared" si="17"/>
        <v/>
      </c>
      <c r="AG107" s="18" t="str">
        <f>""</f>
        <v/>
      </c>
      <c r="AH107" s="18" t="str">
        <f>""</f>
        <v/>
      </c>
      <c r="AI107" s="19" t="str">
        <f t="shared" si="18"/>
        <v/>
      </c>
      <c r="AJ107" t="str">
        <f>""</f>
        <v/>
      </c>
    </row>
    <row r="108" spans="1:36" x14ac:dyDescent="0.3">
      <c r="A108" t="s">
        <v>299</v>
      </c>
      <c r="B108" t="str">
        <f>"""SQL-NAVISION"","""",""SQL="",""14=Id_ Prefactura"",""PF26-00004176"",""2=Tipo documento"",""0"",""14=No_"",""PD260075043"",""14=No_ referencia transporte"",""INPOST280426.5"",""14=Familia pedido"","""",""15=Fecha confirmación SGA"",""28/04/2026"",""14=Nombre punto entrega"",""Joan Manu"&amp;"el Luque Figueras"",""14=Contacto punto entrega"",""Joan Manuel Luque Figueras"",""14=Dirección punto entrega"",""Avinguda Catalunya 76-78 1-1"",""14=C_P_ punto entrega"",""08880"",""14=Población punto entrega"",""Cubelles"",""14=Provincia punto entrega"",""Barcelona"",""14=Pa"&amp;"ís punto entrega"",""ES"",""10=bultosP"",""1,00000000000000000000"",""14=No_ documento cliente"",""INPOST280426.5"",""14=Cód_ Servicio solicitado Fact_"",""STD"",""10=bultosE"",""1,00000000000000000000"",""10=Peso facturable"",""34,00000000000000000000"",""14=Cód_ operativa"",""05"&amp;"3"",""14=Descripción"",""PRUEBA PILOTO INPOST"",""2=No_ línea"",""60000"",""14=No_ producto cliente"",""10-21-000838"",""14=Descripción ampliada"",""CÁMARA DE SEGURIDAD - OUTDOOR LOCKER"",""10=Cantidad confirmada"",""1,00000000000000000000"",""2=numeroexpediciones"",""1"",""2=nume"&amp;"roalbaranes"",""1"",""10=manipulacion"",""7,80187800000000000000"",""10=embalaje"",""1,97000000000000000000"",""10=transporte"",""12,35577900000000000000"",""10=prima"",""0,00000000000000000000"",""10=reembolso"",""0,00000000000000000000"",""10=impuestos"",""0,00000000000000000000"&amp;""",""10=gestion"",""0,10598700000000000000"",""10=franqueo"",""0,00000000000000000000"",""10=despacho"",""0,00000000000000000000"""</f>
        <v>"SQL-NAVISION","","SQL=","14=Id_ Prefactura","PF26-00004176","2=Tipo documento","0","14=No_","PD260075043","14=No_ referencia transporte","INPOST280426.5","14=Familia pedido","","15=Fecha confirmación SGA","28/04/2026","14=Nombre punto entrega","Joan Manuel Luque Figueras","14=Contacto punto entrega","Joan Manuel Luque Figueras","14=Dirección punto entrega","Avinguda Catalunya 76-78 1-1","14=C_P_ punto entrega","08880","14=Población punto entrega","Cubelles","14=Provincia punto entrega","Barcelona","14=País punto entrega","ES","10=bultosP","1,00000000000000000000","14=No_ documento cliente","INPOST280426.5","14=Cód_ Servicio solicitado Fact_","STD","10=bultosE","1,00000000000000000000","10=Peso facturable","34,00000000000000000000","14=Cód_ operativa","053","14=Descripción","PRUEBA PILOTO INPOST","2=No_ línea","60000","14=No_ producto cliente","10-21-000838","14=Descripción ampliada","CÁMARA DE SEGURIDAD - OUTDOOR LOCKER","10=Cantidad confirmada","1,00000000000000000000","2=numeroexpediciones","1","2=numeroalbaranes","1","10=manipulacion","7,80187800000000000000","10=embalaje","1,97000000000000000000","10=transporte","12,35577900000000000000","10=prima","0,00000000000000000000","10=reembolso","0,00000000000000000000","10=impuestos","0,00000000000000000000","10=gestion","0,10598700000000000000","10=franqueo","0,00000000000000000000","10=despacho","0,00000000000000000000"</v>
      </c>
      <c r="C108" t="str">
        <f>"PD260075043"</f>
        <v>PD260075043</v>
      </c>
      <c r="D108" s="3" t="str">
        <f>""</f>
        <v/>
      </c>
      <c r="E108" s="3" t="str">
        <f>""</f>
        <v/>
      </c>
      <c r="F108" s="3" t="str">
        <f>""</f>
        <v/>
      </c>
      <c r="G108" s="3" t="str">
        <f>""</f>
        <v/>
      </c>
      <c r="H108" s="3" t="str">
        <f>""</f>
        <v/>
      </c>
      <c r="I108" s="3" t="str">
        <f>""</f>
        <v/>
      </c>
      <c r="J108" s="3" t="str">
        <f>""</f>
        <v/>
      </c>
      <c r="K108" s="4" t="str">
        <f>""</f>
        <v/>
      </c>
      <c r="L108" s="3" t="str">
        <f>""</f>
        <v/>
      </c>
      <c r="M108" s="3" t="str">
        <f>""</f>
        <v/>
      </c>
      <c r="N108" s="3" t="str">
        <f>""</f>
        <v/>
      </c>
      <c r="O108" s="3" t="str">
        <f>""</f>
        <v/>
      </c>
      <c r="P108" s="3" t="str">
        <f>""</f>
        <v/>
      </c>
      <c r="Q108" s="3" t="str">
        <f>""</f>
        <v/>
      </c>
      <c r="R108" s="3" t="str">
        <f>""</f>
        <v/>
      </c>
      <c r="S108" s="3" t="str">
        <f>""</f>
        <v/>
      </c>
      <c r="T108" s="14" t="str">
        <f>""</f>
        <v/>
      </c>
      <c r="U108" s="14" t="str">
        <f>""</f>
        <v/>
      </c>
      <c r="V108" s="15">
        <v>34</v>
      </c>
      <c r="W108" s="15" t="str">
        <f>"10-21-000838"</f>
        <v>10-21-000838</v>
      </c>
      <c r="X108" s="15" t="str">
        <f>"CÁMARA DE SEGURIDAD - OUTDOOR LOCKER"</f>
        <v>CÁMARA DE SEGURIDAD - OUTDOOR LOCKER</v>
      </c>
      <c r="Y108" s="14">
        <v>1</v>
      </c>
      <c r="Z108" s="18" t="str">
        <f>""</f>
        <v/>
      </c>
      <c r="AA108" s="18">
        <v>0</v>
      </c>
      <c r="AB108" s="18" t="str">
        <f>""</f>
        <v/>
      </c>
      <c r="AC108" s="18" t="str">
        <f>""</f>
        <v/>
      </c>
      <c r="AD108" s="18" t="str">
        <f>""</f>
        <v/>
      </c>
      <c r="AE108" s="18" t="str">
        <f>""</f>
        <v/>
      </c>
      <c r="AF108" s="18" t="str">
        <f t="shared" si="17"/>
        <v/>
      </c>
      <c r="AG108" s="18" t="str">
        <f>""</f>
        <v/>
      </c>
      <c r="AH108" s="18" t="str">
        <f>""</f>
        <v/>
      </c>
      <c r="AI108" s="19" t="str">
        <f t="shared" si="18"/>
        <v/>
      </c>
      <c r="AJ108" t="str">
        <f>""</f>
        <v/>
      </c>
    </row>
    <row r="110" spans="1:36" x14ac:dyDescent="0.3">
      <c r="Y110" s="12" t="s">
        <v>43</v>
      </c>
      <c r="Z110" s="17">
        <f t="shared" ref="Z110:AI110" si="19">SUM(Z4:Z109)</f>
        <v>108.88980900000001</v>
      </c>
      <c r="AA110" s="17">
        <f t="shared" si="19"/>
        <v>36.940000000000005</v>
      </c>
      <c r="AB110" s="17">
        <f t="shared" si="19"/>
        <v>164.88499099999999</v>
      </c>
      <c r="AC110" s="17">
        <f t="shared" si="19"/>
        <v>0</v>
      </c>
      <c r="AD110" s="17">
        <f t="shared" si="19"/>
        <v>0</v>
      </c>
      <c r="AE110" s="17">
        <f t="shared" si="19"/>
        <v>0</v>
      </c>
      <c r="AF110" s="17">
        <f t="shared" si="19"/>
        <v>1.1658570000000004</v>
      </c>
      <c r="AG110" s="17">
        <f t="shared" si="19"/>
        <v>0</v>
      </c>
      <c r="AH110" s="17">
        <f t="shared" si="19"/>
        <v>0</v>
      </c>
      <c r="AI110" s="17">
        <f t="shared" si="19"/>
        <v>311.88065699999999</v>
      </c>
    </row>
  </sheetData>
  <autoFilter ref="A3:AJ108" xr:uid="{00000000-0001-0000-0300-000000000000}">
    <sortState xmlns:xlrd2="http://schemas.microsoft.com/office/spreadsheetml/2017/richdata2" ref="A4:AJ108">
      <sortCondition ref="AI3:AI108"/>
    </sortState>
  </autoFilter>
  <mergeCells count="2">
    <mergeCell ref="L2:R2"/>
    <mergeCell ref="Z2:AH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X7"/>
  <sheetViews>
    <sheetView topLeftCell="E2" workbookViewId="0">
      <selection activeCell="E3" sqref="E3"/>
    </sheetView>
  </sheetViews>
  <sheetFormatPr baseColWidth="10" defaultRowHeight="14.4" x14ac:dyDescent="0.3"/>
  <cols>
    <col min="1" max="4" width="11.44140625" hidden="1" customWidth="1"/>
    <col min="5" max="5" width="10.109375" bestFit="1" customWidth="1"/>
    <col min="6" max="6" width="9.109375" bestFit="1" customWidth="1"/>
    <col min="7" max="7" width="12.88671875" bestFit="1" customWidth="1"/>
    <col min="8" max="8" width="21" bestFit="1" customWidth="1"/>
    <col min="9" max="9" width="7.44140625" bestFit="1" customWidth="1"/>
    <col min="10" max="10" width="15.109375" bestFit="1" customWidth="1"/>
    <col min="11" max="11" width="8.33203125" bestFit="1" customWidth="1"/>
    <col min="12" max="12" width="9.33203125" bestFit="1" customWidth="1"/>
    <col min="13" max="13" width="7.33203125" bestFit="1" customWidth="1"/>
    <col min="14" max="14" width="9.6640625" bestFit="1" customWidth="1"/>
    <col min="15" max="15" width="9.109375" bestFit="1" customWidth="1"/>
    <col min="16" max="16" width="7.33203125" bestFit="1" customWidth="1"/>
    <col min="17" max="17" width="8.33203125" bestFit="1" customWidth="1"/>
    <col min="18" max="18" width="9.33203125" bestFit="1" customWidth="1"/>
    <col min="19" max="19" width="7.33203125" bestFit="1" customWidth="1"/>
    <col min="20" max="20" width="9.6640625" bestFit="1" customWidth="1"/>
    <col min="21" max="21" width="9.109375" bestFit="1" customWidth="1"/>
    <col min="22" max="22" width="7.33203125" bestFit="1" customWidth="1"/>
    <col min="23" max="23" width="8" bestFit="1" customWidth="1"/>
    <col min="24" max="24" width="10.5546875" bestFit="1" customWidth="1"/>
  </cols>
  <sheetData>
    <row r="1" spans="1:24" hidden="1" x14ac:dyDescent="0.3">
      <c r="A1" t="s">
        <v>4473</v>
      </c>
      <c r="B1" t="s">
        <v>72</v>
      </c>
      <c r="C1" s="5" t="s">
        <v>4</v>
      </c>
      <c r="D1" s="5" t="s">
        <v>4</v>
      </c>
      <c r="E1" t="s">
        <v>15</v>
      </c>
      <c r="F1" t="s">
        <v>15</v>
      </c>
      <c r="G1" t="s">
        <v>15</v>
      </c>
      <c r="H1" t="s">
        <v>15</v>
      </c>
      <c r="I1" t="s">
        <v>15</v>
      </c>
      <c r="J1" t="s">
        <v>15</v>
      </c>
      <c r="K1" t="s">
        <v>15</v>
      </c>
      <c r="L1" t="s">
        <v>15</v>
      </c>
      <c r="M1" t="s">
        <v>15</v>
      </c>
      <c r="N1" t="s">
        <v>15</v>
      </c>
      <c r="O1" t="s">
        <v>15</v>
      </c>
      <c r="P1" t="s">
        <v>15</v>
      </c>
      <c r="Q1" t="s">
        <v>15</v>
      </c>
      <c r="R1" t="s">
        <v>15</v>
      </c>
      <c r="S1" t="s">
        <v>15</v>
      </c>
      <c r="T1" t="s">
        <v>15</v>
      </c>
      <c r="U1" t="s">
        <v>15</v>
      </c>
      <c r="V1" t="s">
        <v>15</v>
      </c>
      <c r="W1" t="s">
        <v>15</v>
      </c>
      <c r="X1" t="s">
        <v>15</v>
      </c>
    </row>
    <row r="2" spans="1:24" x14ac:dyDescent="0.3">
      <c r="C2" s="5"/>
      <c r="D2" s="5"/>
      <c r="E2" s="5"/>
      <c r="K2" s="28" t="s">
        <v>55</v>
      </c>
      <c r="L2" s="29"/>
      <c r="M2" s="29"/>
      <c r="N2" s="29"/>
      <c r="O2" s="29"/>
      <c r="P2" s="30"/>
      <c r="Q2" s="28" t="s">
        <v>56</v>
      </c>
      <c r="R2" s="29"/>
      <c r="S2" s="29"/>
      <c r="T2" s="29"/>
      <c r="U2" s="29"/>
      <c r="V2" s="30"/>
    </row>
    <row r="3" spans="1:24" x14ac:dyDescent="0.3">
      <c r="C3" s="5"/>
      <c r="D3" s="5"/>
      <c r="E3" s="2" t="s">
        <v>19</v>
      </c>
      <c r="F3" s="2" t="s">
        <v>16</v>
      </c>
      <c r="G3" s="2" t="s">
        <v>57</v>
      </c>
      <c r="H3" s="6" t="s">
        <v>73</v>
      </c>
      <c r="I3" s="6" t="s">
        <v>69</v>
      </c>
      <c r="J3" s="6" t="s">
        <v>58</v>
      </c>
      <c r="K3" s="7" t="s">
        <v>25</v>
      </c>
      <c r="L3" s="8" t="s">
        <v>27</v>
      </c>
      <c r="M3" s="8" t="s">
        <v>59</v>
      </c>
      <c r="N3" s="8" t="s">
        <v>29</v>
      </c>
      <c r="O3" s="8" t="s">
        <v>30</v>
      </c>
      <c r="P3" s="9" t="s">
        <v>60</v>
      </c>
      <c r="Q3" s="7" t="s">
        <v>25</v>
      </c>
      <c r="R3" s="8" t="s">
        <v>27</v>
      </c>
      <c r="S3" s="8" t="s">
        <v>59</v>
      </c>
      <c r="T3" s="8" t="s">
        <v>29</v>
      </c>
      <c r="U3" s="8" t="s">
        <v>30</v>
      </c>
      <c r="V3" s="9" t="s">
        <v>60</v>
      </c>
      <c r="W3" s="2" t="s">
        <v>31</v>
      </c>
      <c r="X3" s="2" t="s">
        <v>41</v>
      </c>
    </row>
    <row r="4" spans="1:24" x14ac:dyDescent="0.3">
      <c r="B4" t="str">
        <f>IF($G4=$G3,"Ocultar","Mostrar")</f>
        <v>Mostrar</v>
      </c>
      <c r="C4" t="str">
        <f>""</f>
        <v/>
      </c>
      <c r="D4" t="str">
        <f>""</f>
        <v/>
      </c>
      <c r="E4" t="str">
        <f>""</f>
        <v/>
      </c>
      <c r="F4" t="str">
        <f>""</f>
        <v/>
      </c>
      <c r="G4" s="3" t="str">
        <f>""</f>
        <v/>
      </c>
      <c r="H4" s="3" t="str">
        <f>""</f>
        <v/>
      </c>
      <c r="I4" s="3" t="str">
        <f>""</f>
        <v/>
      </c>
      <c r="J4" s="3" t="str">
        <f>""</f>
        <v/>
      </c>
      <c r="K4" s="3" t="str">
        <f>""</f>
        <v/>
      </c>
      <c r="L4" s="3" t="str">
        <f>""</f>
        <v/>
      </c>
      <c r="M4" s="3" t="str">
        <f>""</f>
        <v/>
      </c>
      <c r="N4" s="3" t="str">
        <f>""</f>
        <v/>
      </c>
      <c r="O4" s="3" t="str">
        <f>""</f>
        <v/>
      </c>
      <c r="P4" s="3" t="str">
        <f>""</f>
        <v/>
      </c>
      <c r="Q4" s="3" t="str">
        <f>""</f>
        <v/>
      </c>
      <c r="R4" s="3" t="str">
        <f>""</f>
        <v/>
      </c>
      <c r="S4" s="3" t="str">
        <f>""</f>
        <v/>
      </c>
      <c r="T4" s="3" t="str">
        <f>""</f>
        <v/>
      </c>
      <c r="U4" s="3" t="str">
        <f>""</f>
        <v/>
      </c>
      <c r="V4" s="3" t="str">
        <f>""</f>
        <v/>
      </c>
      <c r="W4" s="3" t="str">
        <f>""</f>
        <v/>
      </c>
      <c r="X4" s="18">
        <v>0</v>
      </c>
    </row>
    <row r="5" spans="1:24" hidden="1" x14ac:dyDescent="0.3">
      <c r="B5" t="str">
        <f>IF($H5=$H4,"Ocultar","Mostrar")</f>
        <v>Ocultar</v>
      </c>
      <c r="C5" t="str">
        <f>""</f>
        <v/>
      </c>
      <c r="E5" t="str">
        <f>""</f>
        <v/>
      </c>
      <c r="F5" t="str">
        <f>""</f>
        <v/>
      </c>
      <c r="G5" s="3" t="str">
        <f>""</f>
        <v/>
      </c>
      <c r="H5" s="3" t="str">
        <f>""</f>
        <v/>
      </c>
      <c r="I5" s="3" t="str">
        <f>""</f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18" t="str">
        <f>""</f>
        <v/>
      </c>
    </row>
    <row r="7" spans="1:24" x14ac:dyDescent="0.3">
      <c r="W7" s="11" t="s">
        <v>43</v>
      </c>
      <c r="X7" s="22">
        <f>SUM(X4:X6)</f>
        <v>0</v>
      </c>
    </row>
  </sheetData>
  <mergeCells count="2">
    <mergeCell ref="K2:P2"/>
    <mergeCell ref="Q2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H7"/>
  <sheetViews>
    <sheetView topLeftCell="C2" workbookViewId="0">
      <selection activeCell="F3" sqref="F3:F5"/>
    </sheetView>
  </sheetViews>
  <sheetFormatPr baseColWidth="10" defaultRowHeight="14.4" x14ac:dyDescent="0.3"/>
  <cols>
    <col min="1" max="2" width="11.44140625" hidden="1" customWidth="1"/>
    <col min="3" max="3" width="13.6640625" bestFit="1" customWidth="1"/>
    <col min="4" max="4" width="25.5546875" bestFit="1" customWidth="1"/>
    <col min="5" max="5" width="10.44140625" bestFit="1" customWidth="1"/>
    <col min="6" max="6" width="43.88671875" bestFit="1" customWidth="1"/>
    <col min="7" max="7" width="9.33203125" bestFit="1" customWidth="1"/>
    <col min="8" max="8" width="8.44140625" bestFit="1" customWidth="1"/>
  </cols>
  <sheetData>
    <row r="1" spans="1:8" hidden="1" x14ac:dyDescent="0.3">
      <c r="A1" t="s">
        <v>4475</v>
      </c>
      <c r="B1" s="5" t="s">
        <v>4</v>
      </c>
      <c r="C1" t="s">
        <v>15</v>
      </c>
      <c r="D1" t="s">
        <v>15</v>
      </c>
      <c r="E1" t="s">
        <v>15</v>
      </c>
      <c r="F1" t="s">
        <v>15</v>
      </c>
      <c r="G1" t="s">
        <v>15</v>
      </c>
      <c r="H1" t="s">
        <v>15</v>
      </c>
    </row>
    <row r="2" spans="1:8" x14ac:dyDescent="0.3">
      <c r="B2" s="5"/>
      <c r="C2" s="2" t="s">
        <v>19</v>
      </c>
      <c r="D2" s="2" t="s">
        <v>16</v>
      </c>
      <c r="E2" s="2" t="s">
        <v>61</v>
      </c>
      <c r="F2" s="2" t="s">
        <v>36</v>
      </c>
      <c r="G2" s="2" t="s">
        <v>37</v>
      </c>
      <c r="H2" s="2" t="s">
        <v>62</v>
      </c>
    </row>
    <row r="3" spans="1:8" x14ac:dyDescent="0.3">
      <c r="B3" t="str">
        <f>"""Navision"",""MEDIAPOST SPAIN"",""7098046"",""36"",""PF26-00004176"",""72"",""ETIQUETAR LA ENTRADA DRP260008132"",""67"",""22/04/2026"",""4"",""0632"",""5"",""053"",""41"",""1"",""17"",""11,11"",""65"",""5097941"""</f>
        <v>"Navision","MEDIAPOST SPAIN","7098046","36","PF26-00004176","72","ETIQUETAR LA ENTRADA DRP260008132","67","22/04/2026","4","0632","5","053","41","1","17","11,11","65","5097941"</v>
      </c>
      <c r="C3" s="3" t="str">
        <f>"PF26-00004176"</f>
        <v>PF26-00004176</v>
      </c>
      <c r="D3" t="str">
        <f>"053 PRUEBA PILOTO INPOST"</f>
        <v>053 PRUEBA PILOTO INPOST</v>
      </c>
      <c r="E3" s="4">
        <v>46134</v>
      </c>
      <c r="F3" s="3" t="str">
        <f>"ETIQUETAR LA ENTRADA DRP260008132"</f>
        <v>ETIQUETAR LA ENTRADA DRP260008132</v>
      </c>
      <c r="G3" s="3">
        <v>1</v>
      </c>
      <c r="H3" s="18">
        <v>11.11</v>
      </c>
    </row>
    <row r="4" spans="1:8" x14ac:dyDescent="0.3">
      <c r="A4" t="s">
        <v>299</v>
      </c>
      <c r="B4" t="str">
        <f>"""Navision"",""MEDIAPOST SPAIN"",""7098046"",""36"",""PF26-00004176"",""72"",""ETIQUETAR Y EMBOLSAR ENTRADA DRP260007896"",""67"",""22/04/2026"",""4"",""0632"",""5"",""053"",""41"",""1"",""17"",""66,65"",""65"",""5097942"""</f>
        <v>"Navision","MEDIAPOST SPAIN","7098046","36","PF26-00004176","72","ETIQUETAR Y EMBOLSAR ENTRADA DRP260007896","67","22/04/2026","4","0632","5","053","41","1","17","66,65","65","5097942"</v>
      </c>
      <c r="C4" s="3" t="str">
        <f>"PF26-00004176"</f>
        <v>PF26-00004176</v>
      </c>
      <c r="D4" t="str">
        <f>"053 PRUEBA PILOTO INPOST"</f>
        <v>053 PRUEBA PILOTO INPOST</v>
      </c>
      <c r="E4" s="4">
        <v>46134</v>
      </c>
      <c r="F4" s="3" t="str">
        <f>"ETIQUETAR Y EMBOLSAR ENTRADA DRP260007896"</f>
        <v>ETIQUETAR Y EMBOLSAR ENTRADA DRP260007896</v>
      </c>
      <c r="G4" s="3">
        <v>1</v>
      </c>
      <c r="H4" s="18">
        <v>66.650000000000006</v>
      </c>
    </row>
    <row r="5" spans="1:8" x14ac:dyDescent="0.3">
      <c r="A5" t="s">
        <v>299</v>
      </c>
      <c r="B5" t="str">
        <f>"""Navision"",""MEDIAPOST SPAIN"",""7098046"",""36"",""PF26-00004176"",""72"",""etiquetas y bolsas entrada drp260007896"",""67"",""22/04/2026"",""4"",""0632"",""5"",""053"",""41"",""1"",""17"",""7,27"",""65"",""5097943"""</f>
        <v>"Navision","MEDIAPOST SPAIN","7098046","36","PF26-00004176","72","etiquetas y bolsas entrada drp260007896","67","22/04/2026","4","0632","5","053","41","1","17","7,27","65","5097943"</v>
      </c>
      <c r="C5" s="3" t="str">
        <f>"PF26-00004176"</f>
        <v>PF26-00004176</v>
      </c>
      <c r="D5" t="str">
        <f>"053 PRUEBA PILOTO INPOST"</f>
        <v>053 PRUEBA PILOTO INPOST</v>
      </c>
      <c r="E5" s="4">
        <v>46134</v>
      </c>
      <c r="F5" s="3" t="str">
        <f>"etiquetas y bolsas entrada drp260007896"</f>
        <v>etiquetas y bolsas entrada drp260007896</v>
      </c>
      <c r="G5" s="3">
        <v>1</v>
      </c>
      <c r="H5" s="18">
        <v>7.27</v>
      </c>
    </row>
    <row r="7" spans="1:8" x14ac:dyDescent="0.3">
      <c r="G7" s="11" t="s">
        <v>43</v>
      </c>
      <c r="H7" s="17">
        <f>SUM(H3:H6)</f>
        <v>85.03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9C5D7-7019-4AD1-8D89-E2691321EE18}">
  <sheetPr>
    <pageSetUpPr fitToPage="1"/>
  </sheetPr>
  <dimension ref="A1:H5"/>
  <sheetViews>
    <sheetView topLeftCell="D2" workbookViewId="0">
      <selection activeCell="F4" sqref="F4"/>
    </sheetView>
  </sheetViews>
  <sheetFormatPr baseColWidth="10" defaultRowHeight="14.4" x14ac:dyDescent="0.3"/>
  <cols>
    <col min="1" max="3" width="11.44140625" hidden="1" customWidth="1"/>
    <col min="4" max="4" width="10.109375" bestFit="1" customWidth="1"/>
    <col min="5" max="5" width="9.109375" bestFit="1" customWidth="1"/>
    <col min="6" max="6" width="11.33203125" bestFit="1" customWidth="1"/>
    <col min="7" max="7" width="9.33203125" bestFit="1" customWidth="1"/>
    <col min="8" max="8" width="8.109375" style="25" bestFit="1" customWidth="1"/>
  </cols>
  <sheetData>
    <row r="1" spans="1:8" hidden="1" x14ac:dyDescent="0.3">
      <c r="A1" t="s">
        <v>4485</v>
      </c>
      <c r="B1" s="5" t="s">
        <v>4</v>
      </c>
      <c r="C1" s="5" t="s">
        <v>4</v>
      </c>
      <c r="D1" t="s">
        <v>15</v>
      </c>
      <c r="E1" t="s">
        <v>15</v>
      </c>
      <c r="F1" t="s">
        <v>15</v>
      </c>
      <c r="G1" t="s">
        <v>15</v>
      </c>
      <c r="H1" s="25" t="s">
        <v>15</v>
      </c>
    </row>
    <row r="2" spans="1:8" x14ac:dyDescent="0.3">
      <c r="B2" s="5"/>
      <c r="C2" s="5"/>
      <c r="D2" s="2" t="s">
        <v>19</v>
      </c>
      <c r="E2" s="2" t="s">
        <v>16</v>
      </c>
      <c r="F2" s="2" t="s">
        <v>36</v>
      </c>
      <c r="G2" s="2" t="s">
        <v>37</v>
      </c>
      <c r="H2" s="26" t="s">
        <v>62</v>
      </c>
    </row>
    <row r="3" spans="1:8" x14ac:dyDescent="0.3">
      <c r="B3" t="str">
        <f>""</f>
        <v/>
      </c>
      <c r="C3" t="str">
        <f>""</f>
        <v/>
      </c>
      <c r="D3" s="3" t="str">
        <f>""</f>
        <v/>
      </c>
      <c r="E3" t="str">
        <f>""</f>
        <v/>
      </c>
      <c r="F3" s="3" t="str">
        <f>""</f>
        <v/>
      </c>
      <c r="G3" s="3" t="str">
        <f>""</f>
        <v/>
      </c>
      <c r="H3" s="27" t="str">
        <f>""</f>
        <v/>
      </c>
    </row>
    <row r="5" spans="1:8" x14ac:dyDescent="0.3">
      <c r="G5" s="11" t="s">
        <v>43</v>
      </c>
      <c r="H5" s="12">
        <f>SUM(H3:H4)</f>
        <v>0</v>
      </c>
    </row>
  </sheetData>
  <pageMargins left="0.70866141732283472" right="0.70866141732283472" top="0.74803149606299213" bottom="0.74803149606299213" header="0.31496062992125984" footer="0.31496062992125984"/>
  <pageSetup paperSize="9" scale="88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/>
  <dimension ref="A1:C9"/>
  <sheetViews>
    <sheetView tabSelected="1" topLeftCell="B2" workbookViewId="0">
      <selection activeCell="K26" sqref="K26"/>
    </sheetView>
  </sheetViews>
  <sheetFormatPr baseColWidth="10" defaultRowHeight="14.4" x14ac:dyDescent="0.3"/>
  <cols>
    <col min="1" max="1" width="11.44140625" hidden="1" customWidth="1"/>
    <col min="2" max="2" width="18.6640625" bestFit="1" customWidth="1"/>
  </cols>
  <sheetData>
    <row r="1" spans="1:3" hidden="1" x14ac:dyDescent="0.3">
      <c r="A1" t="s">
        <v>67</v>
      </c>
    </row>
    <row r="2" spans="1:3" x14ac:dyDescent="0.3">
      <c r="B2" s="2" t="s">
        <v>31</v>
      </c>
      <c r="C2" s="2" t="s">
        <v>62</v>
      </c>
    </row>
    <row r="3" spans="1:3" x14ac:dyDescent="0.3">
      <c r="B3" t="s">
        <v>76</v>
      </c>
      <c r="C3" s="16">
        <f>almacenaje</f>
        <v>294.94412799999998</v>
      </c>
    </row>
    <row r="4" spans="1:3" x14ac:dyDescent="0.3">
      <c r="B4" t="s">
        <v>63</v>
      </c>
      <c r="C4" s="16">
        <f>recepciones</f>
        <v>48.512750370000006</v>
      </c>
    </row>
    <row r="5" spans="1:3" x14ac:dyDescent="0.3">
      <c r="B5" t="s">
        <v>64</v>
      </c>
      <c r="C5" s="16">
        <f>pedidos</f>
        <v>311.88065699999999</v>
      </c>
    </row>
    <row r="6" spans="1:3" x14ac:dyDescent="0.3">
      <c r="B6" t="s">
        <v>65</v>
      </c>
      <c r="C6" s="16">
        <f>transporte</f>
        <v>0</v>
      </c>
    </row>
    <row r="7" spans="1:3" x14ac:dyDescent="0.3">
      <c r="B7" t="s">
        <v>66</v>
      </c>
      <c r="C7" s="16">
        <f>cargos</f>
        <v>85.03</v>
      </c>
    </row>
    <row r="8" spans="1:3" x14ac:dyDescent="0.3">
      <c r="B8" t="s">
        <v>310</v>
      </c>
      <c r="C8" s="16">
        <f>fijos</f>
        <v>0</v>
      </c>
    </row>
    <row r="9" spans="1:3" x14ac:dyDescent="0.3">
      <c r="B9" s="11" t="s">
        <v>43</v>
      </c>
      <c r="C9" s="12">
        <f>ROUNDUP(SUM(C3:C8),2)</f>
        <v>740.37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B03E-ACEE-4D16-856D-14B18254BBCF}">
  <dimension ref="A1:E9"/>
  <sheetViews>
    <sheetView workbookViewId="0"/>
  </sheetViews>
  <sheetFormatPr baseColWidth="10" defaultRowHeight="14.4" x14ac:dyDescent="0.3"/>
  <sheetData>
    <row r="1" spans="1:5" x14ac:dyDescent="0.3">
      <c r="A1" s="23" t="s">
        <v>320</v>
      </c>
      <c r="B1" s="23" t="s">
        <v>0</v>
      </c>
      <c r="C1" s="23" t="s">
        <v>1</v>
      </c>
      <c r="D1" s="23" t="s">
        <v>2</v>
      </c>
      <c r="E1" s="23" t="s">
        <v>3</v>
      </c>
    </row>
    <row r="2" spans="1:5" x14ac:dyDescent="0.3">
      <c r="A2" s="23" t="s">
        <v>4</v>
      </c>
      <c r="B2" s="23" t="s">
        <v>5</v>
      </c>
      <c r="C2" s="23" t="s">
        <v>6</v>
      </c>
    </row>
    <row r="3" spans="1:5" x14ac:dyDescent="0.3">
      <c r="A3" s="23" t="s">
        <v>4</v>
      </c>
      <c r="B3" s="23" t="s">
        <v>7</v>
      </c>
      <c r="C3" s="23" t="s">
        <v>8</v>
      </c>
    </row>
    <row r="4" spans="1:5" x14ac:dyDescent="0.3">
      <c r="A4" s="23" t="s">
        <v>9</v>
      </c>
      <c r="B4" s="23" t="s">
        <v>10</v>
      </c>
      <c r="C4" s="23" t="s">
        <v>4312</v>
      </c>
      <c r="D4" s="23" t="s">
        <v>77</v>
      </c>
    </row>
    <row r="5" spans="1:5" x14ac:dyDescent="0.3">
      <c r="A5" s="23" t="s">
        <v>9</v>
      </c>
      <c r="B5" s="23" t="s">
        <v>14</v>
      </c>
      <c r="C5" s="23" t="s">
        <v>4313</v>
      </c>
      <c r="D5" s="23" t="s">
        <v>78</v>
      </c>
    </row>
    <row r="6" spans="1:5" x14ac:dyDescent="0.3">
      <c r="A6" s="23" t="s">
        <v>9</v>
      </c>
      <c r="B6" s="23" t="s">
        <v>11</v>
      </c>
    </row>
    <row r="7" spans="1:5" x14ac:dyDescent="0.3">
      <c r="A7" s="23" t="s">
        <v>9</v>
      </c>
      <c r="B7" s="23" t="s">
        <v>12</v>
      </c>
    </row>
    <row r="8" spans="1:5" x14ac:dyDescent="0.3">
      <c r="A8" s="23" t="s">
        <v>9</v>
      </c>
      <c r="B8" s="23" t="s">
        <v>13</v>
      </c>
      <c r="E8" s="23" t="s">
        <v>79</v>
      </c>
    </row>
    <row r="9" spans="1:5" x14ac:dyDescent="0.3">
      <c r="A9" s="23" t="s">
        <v>4</v>
      </c>
      <c r="B9" s="23" t="s">
        <v>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3555-3712-4275-AA95-DB8388D71CB4}">
  <dimension ref="A1:E9"/>
  <sheetViews>
    <sheetView workbookViewId="0"/>
  </sheetViews>
  <sheetFormatPr baseColWidth="10" defaultRowHeight="14.4" x14ac:dyDescent="0.3"/>
  <sheetData>
    <row r="1" spans="1:5" x14ac:dyDescent="0.3">
      <c r="A1" s="23" t="s">
        <v>320</v>
      </c>
      <c r="B1" s="23" t="s">
        <v>0</v>
      </c>
      <c r="C1" s="23" t="s">
        <v>1</v>
      </c>
      <c r="D1" s="23" t="s">
        <v>2</v>
      </c>
      <c r="E1" s="23" t="s">
        <v>3</v>
      </c>
    </row>
    <row r="2" spans="1:5" x14ac:dyDescent="0.3">
      <c r="A2" s="23" t="s">
        <v>4</v>
      </c>
      <c r="B2" s="23" t="s">
        <v>5</v>
      </c>
      <c r="C2" s="23" t="s">
        <v>6</v>
      </c>
    </row>
    <row r="3" spans="1:5" x14ac:dyDescent="0.3">
      <c r="A3" s="23" t="s">
        <v>4</v>
      </c>
      <c r="B3" s="23" t="s">
        <v>7</v>
      </c>
      <c r="C3" s="23" t="s">
        <v>8</v>
      </c>
    </row>
    <row r="4" spans="1:5" x14ac:dyDescent="0.3">
      <c r="A4" s="23" t="s">
        <v>9</v>
      </c>
      <c r="B4" s="23" t="s">
        <v>10</v>
      </c>
      <c r="C4" s="23" t="s">
        <v>4312</v>
      </c>
      <c r="D4" s="23" t="s">
        <v>81</v>
      </c>
    </row>
    <row r="5" spans="1:5" x14ac:dyDescent="0.3">
      <c r="A5" s="23" t="s">
        <v>9</v>
      </c>
      <c r="B5" s="23" t="s">
        <v>14</v>
      </c>
      <c r="C5" s="23" t="s">
        <v>4313</v>
      </c>
      <c r="D5" s="23" t="s">
        <v>82</v>
      </c>
    </row>
    <row r="6" spans="1:5" x14ac:dyDescent="0.3">
      <c r="A6" s="23" t="s">
        <v>9</v>
      </c>
      <c r="B6" s="23" t="s">
        <v>11</v>
      </c>
    </row>
    <row r="7" spans="1:5" x14ac:dyDescent="0.3">
      <c r="A7" s="23" t="s">
        <v>9</v>
      </c>
      <c r="B7" s="23" t="s">
        <v>12</v>
      </c>
    </row>
    <row r="8" spans="1:5" x14ac:dyDescent="0.3">
      <c r="A8" s="23" t="s">
        <v>9</v>
      </c>
      <c r="B8" s="23" t="s">
        <v>13</v>
      </c>
      <c r="E8" s="23" t="s">
        <v>83</v>
      </c>
    </row>
    <row r="9" spans="1:5" x14ac:dyDescent="0.3">
      <c r="A9" s="23" t="s">
        <v>4</v>
      </c>
      <c r="B9" s="23" t="s">
        <v>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62004-DFAA-4816-9E63-BDBAD77FFAC9}">
  <dimension ref="A1:E5"/>
  <sheetViews>
    <sheetView workbookViewId="0"/>
  </sheetViews>
  <sheetFormatPr baseColWidth="10" defaultRowHeight="14.4" x14ac:dyDescent="0.3"/>
  <sheetData>
    <row r="1" spans="1:5" x14ac:dyDescent="0.3">
      <c r="A1" s="23" t="s">
        <v>321</v>
      </c>
      <c r="B1" s="23" t="s">
        <v>4</v>
      </c>
      <c r="C1" s="23" t="s">
        <v>15</v>
      </c>
      <c r="D1" s="23" t="s">
        <v>15</v>
      </c>
    </row>
    <row r="2" spans="1:5" x14ac:dyDescent="0.3">
      <c r="C2" s="23" t="s">
        <v>74</v>
      </c>
      <c r="D2" s="23" t="s">
        <v>75</v>
      </c>
    </row>
    <row r="3" spans="1:5" x14ac:dyDescent="0.3">
      <c r="B3" s="23" t="s">
        <v>300</v>
      </c>
      <c r="C3" s="23" t="s">
        <v>85</v>
      </c>
      <c r="D3" s="23" t="s">
        <v>86</v>
      </c>
      <c r="E3" s="23" t="s">
        <v>87</v>
      </c>
    </row>
    <row r="5" spans="1:5" x14ac:dyDescent="0.3">
      <c r="C5" s="23" t="s">
        <v>43</v>
      </c>
      <c r="D5" s="23" t="s">
        <v>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D5695-10D2-4A0E-AE7E-6661E40D08D8}">
  <dimension ref="A1:E5"/>
  <sheetViews>
    <sheetView workbookViewId="0"/>
  </sheetViews>
  <sheetFormatPr baseColWidth="10" defaultRowHeight="14.4" x14ac:dyDescent="0.3"/>
  <sheetData>
    <row r="1" spans="1:5" x14ac:dyDescent="0.3">
      <c r="A1" s="23" t="s">
        <v>321</v>
      </c>
      <c r="B1" s="23" t="s">
        <v>4</v>
      </c>
      <c r="C1" s="23" t="s">
        <v>15</v>
      </c>
      <c r="D1" s="23" t="s">
        <v>15</v>
      </c>
    </row>
    <row r="2" spans="1:5" x14ac:dyDescent="0.3">
      <c r="C2" s="23" t="s">
        <v>74</v>
      </c>
      <c r="D2" s="23" t="s">
        <v>75</v>
      </c>
    </row>
    <row r="3" spans="1:5" x14ac:dyDescent="0.3">
      <c r="B3" s="23" t="s">
        <v>301</v>
      </c>
      <c r="C3" s="23" t="s">
        <v>89</v>
      </c>
      <c r="D3" s="23" t="s">
        <v>90</v>
      </c>
      <c r="E3" s="23" t="s">
        <v>91</v>
      </c>
    </row>
    <row r="5" spans="1:5" x14ac:dyDescent="0.3">
      <c r="C5" s="23" t="s">
        <v>43</v>
      </c>
      <c r="D5" s="23" t="s">
        <v>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A6FC-FD76-42F8-8932-3DC54B7897F7}">
  <dimension ref="A1:AG6"/>
  <sheetViews>
    <sheetView workbookViewId="0"/>
  </sheetViews>
  <sheetFormatPr baseColWidth="10" defaultRowHeight="14.4" x14ac:dyDescent="0.3"/>
  <sheetData>
    <row r="1" spans="1:33" x14ac:dyDescent="0.3">
      <c r="A1" s="23" t="s">
        <v>323</v>
      </c>
      <c r="B1" s="23" t="s">
        <v>4</v>
      </c>
      <c r="C1" s="23" t="s">
        <v>4</v>
      </c>
      <c r="D1" s="23" t="s">
        <v>15</v>
      </c>
      <c r="E1" s="23" t="s">
        <v>15</v>
      </c>
      <c r="F1" s="23" t="s">
        <v>15</v>
      </c>
      <c r="G1" s="23" t="s">
        <v>15</v>
      </c>
      <c r="H1" s="23" t="s">
        <v>15</v>
      </c>
      <c r="I1" s="23" t="s">
        <v>15</v>
      </c>
      <c r="J1" s="23" t="s">
        <v>15</v>
      </c>
      <c r="K1" s="23" t="s">
        <v>15</v>
      </c>
      <c r="L1" s="23" t="s">
        <v>15</v>
      </c>
      <c r="M1" s="23" t="s">
        <v>15</v>
      </c>
      <c r="N1" s="23" t="s">
        <v>15</v>
      </c>
      <c r="O1" s="23" t="s">
        <v>15</v>
      </c>
      <c r="P1" s="23" t="s">
        <v>15</v>
      </c>
      <c r="Q1" s="23" t="s">
        <v>15</v>
      </c>
      <c r="R1" s="23" t="s">
        <v>15</v>
      </c>
      <c r="S1" s="23" t="s">
        <v>15</v>
      </c>
      <c r="T1" s="23" t="s">
        <v>15</v>
      </c>
      <c r="U1" s="23" t="s">
        <v>15</v>
      </c>
      <c r="V1" s="23" t="s">
        <v>15</v>
      </c>
      <c r="W1" s="23" t="s">
        <v>15</v>
      </c>
      <c r="Y1" s="23" t="s">
        <v>15</v>
      </c>
      <c r="Z1" s="23" t="s">
        <v>15</v>
      </c>
      <c r="AA1" s="23" t="s">
        <v>15</v>
      </c>
      <c r="AB1" s="23" t="s">
        <v>15</v>
      </c>
      <c r="AC1" s="23" t="s">
        <v>15</v>
      </c>
      <c r="AE1" s="23" t="s">
        <v>15</v>
      </c>
      <c r="AF1" s="23" t="s">
        <v>15</v>
      </c>
      <c r="AG1" s="23" t="s">
        <v>4</v>
      </c>
    </row>
    <row r="2" spans="1:33" x14ac:dyDescent="0.3">
      <c r="L2" s="23" t="s">
        <v>17</v>
      </c>
      <c r="Z2" s="23" t="s">
        <v>18</v>
      </c>
    </row>
    <row r="3" spans="1:33" x14ac:dyDescent="0.3">
      <c r="D3" s="23" t="s">
        <v>19</v>
      </c>
      <c r="E3" s="23" t="s">
        <v>16</v>
      </c>
      <c r="F3" s="23" t="s">
        <v>20</v>
      </c>
      <c r="G3" s="23" t="s">
        <v>21</v>
      </c>
      <c r="H3" s="23" t="s">
        <v>22</v>
      </c>
      <c r="I3" s="23" t="s">
        <v>68</v>
      </c>
      <c r="J3" s="23" t="s">
        <v>23</v>
      </c>
      <c r="K3" s="23" t="s">
        <v>24</v>
      </c>
      <c r="L3" s="23" t="s">
        <v>25</v>
      </c>
      <c r="M3" s="23" t="s">
        <v>26</v>
      </c>
      <c r="N3" s="23" t="s">
        <v>27</v>
      </c>
      <c r="O3" s="23" t="s">
        <v>28</v>
      </c>
      <c r="P3" s="23" t="s">
        <v>29</v>
      </c>
      <c r="Q3" s="23" t="s">
        <v>30</v>
      </c>
      <c r="R3" s="23" t="s">
        <v>60</v>
      </c>
      <c r="S3" s="23" t="s">
        <v>31</v>
      </c>
      <c r="T3" s="23" t="s">
        <v>32</v>
      </c>
      <c r="U3" s="23" t="s">
        <v>33</v>
      </c>
      <c r="V3" s="23" t="s">
        <v>34</v>
      </c>
      <c r="W3" s="23" t="s">
        <v>35</v>
      </c>
      <c r="X3" s="23" t="s">
        <v>36</v>
      </c>
      <c r="Y3" s="23" t="s">
        <v>37</v>
      </c>
      <c r="Z3" s="23" t="s">
        <v>38</v>
      </c>
      <c r="AA3" s="23" t="s">
        <v>39</v>
      </c>
      <c r="AB3" s="23" t="s">
        <v>40</v>
      </c>
      <c r="AC3" s="23" t="s">
        <v>70</v>
      </c>
      <c r="AD3" s="23" t="s">
        <v>71</v>
      </c>
      <c r="AE3" s="23" t="s">
        <v>41</v>
      </c>
      <c r="AF3" s="23" t="s">
        <v>42</v>
      </c>
    </row>
    <row r="4" spans="1:33" ht="409.6" x14ac:dyDescent="0.3">
      <c r="B4" s="24" t="s">
        <v>322</v>
      </c>
      <c r="C4" s="23" t="s">
        <v>93</v>
      </c>
      <c r="D4" s="23" t="s">
        <v>94</v>
      </c>
      <c r="E4" s="23" t="s">
        <v>95</v>
      </c>
      <c r="F4" s="23" t="s">
        <v>96</v>
      </c>
      <c r="G4" s="23" t="s">
        <v>97</v>
      </c>
      <c r="H4" s="23" t="s">
        <v>98</v>
      </c>
      <c r="I4" s="23" t="s">
        <v>99</v>
      </c>
      <c r="J4" s="23" t="s">
        <v>100</v>
      </c>
      <c r="K4" s="23" t="s">
        <v>101</v>
      </c>
      <c r="L4" s="23" t="s">
        <v>102</v>
      </c>
      <c r="M4" s="23" t="s">
        <v>103</v>
      </c>
      <c r="N4" s="23" t="s">
        <v>104</v>
      </c>
      <c r="O4" s="23" t="s">
        <v>105</v>
      </c>
      <c r="P4" s="23" t="s">
        <v>106</v>
      </c>
      <c r="Q4" s="23" t="s">
        <v>107</v>
      </c>
      <c r="R4" s="23" t="s">
        <v>108</v>
      </c>
      <c r="S4" s="23" t="s">
        <v>109</v>
      </c>
      <c r="T4" s="23" t="s">
        <v>110</v>
      </c>
      <c r="U4" s="23" t="s">
        <v>111</v>
      </c>
      <c r="V4" s="23" t="s">
        <v>112</v>
      </c>
      <c r="W4" s="23" t="s">
        <v>113</v>
      </c>
      <c r="X4" s="23" t="s">
        <v>114</v>
      </c>
      <c r="Y4" s="23" t="s">
        <v>115</v>
      </c>
      <c r="Z4" s="23" t="s">
        <v>116</v>
      </c>
      <c r="AA4" s="23" t="s">
        <v>117</v>
      </c>
      <c r="AB4" s="23" t="s">
        <v>306</v>
      </c>
      <c r="AC4" s="23" t="s">
        <v>118</v>
      </c>
      <c r="AD4" s="23" t="s">
        <v>119</v>
      </c>
      <c r="AE4" s="23" t="s">
        <v>120</v>
      </c>
      <c r="AF4" s="23" t="s">
        <v>121</v>
      </c>
      <c r="AG4" s="23" t="s">
        <v>302</v>
      </c>
    </row>
    <row r="6" spans="1:33" x14ac:dyDescent="0.3">
      <c r="Y6" s="23" t="s">
        <v>43</v>
      </c>
      <c r="Z6" s="23" t="s">
        <v>122</v>
      </c>
      <c r="AA6" s="23" t="s">
        <v>123</v>
      </c>
      <c r="AB6" s="23" t="s">
        <v>124</v>
      </c>
      <c r="AC6" s="23" t="s">
        <v>125</v>
      </c>
      <c r="AD6" s="23" t="s">
        <v>126</v>
      </c>
      <c r="AE6" s="23" t="s">
        <v>127</v>
      </c>
      <c r="AF6" s="23" t="s">
        <v>128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B64E6-84D5-461A-A063-161D2F3D7629}">
  <dimension ref="A1:AG6"/>
  <sheetViews>
    <sheetView workbookViewId="0"/>
  </sheetViews>
  <sheetFormatPr baseColWidth="10" defaultRowHeight="14.4" x14ac:dyDescent="0.3"/>
  <sheetData>
    <row r="1" spans="1:33" x14ac:dyDescent="0.3">
      <c r="A1" s="23" t="s">
        <v>323</v>
      </c>
      <c r="B1" s="23" t="s">
        <v>4</v>
      </c>
      <c r="C1" s="23" t="s">
        <v>4</v>
      </c>
      <c r="D1" s="23" t="s">
        <v>15</v>
      </c>
      <c r="E1" s="23" t="s">
        <v>15</v>
      </c>
      <c r="F1" s="23" t="s">
        <v>15</v>
      </c>
      <c r="G1" s="23" t="s">
        <v>15</v>
      </c>
      <c r="H1" s="23" t="s">
        <v>15</v>
      </c>
      <c r="I1" s="23" t="s">
        <v>15</v>
      </c>
      <c r="J1" s="23" t="s">
        <v>15</v>
      </c>
      <c r="K1" s="23" t="s">
        <v>15</v>
      </c>
      <c r="L1" s="23" t="s">
        <v>15</v>
      </c>
      <c r="M1" s="23" t="s">
        <v>15</v>
      </c>
      <c r="N1" s="23" t="s">
        <v>15</v>
      </c>
      <c r="O1" s="23" t="s">
        <v>15</v>
      </c>
      <c r="P1" s="23" t="s">
        <v>15</v>
      </c>
      <c r="Q1" s="23" t="s">
        <v>15</v>
      </c>
      <c r="R1" s="23" t="s">
        <v>15</v>
      </c>
      <c r="S1" s="23" t="s">
        <v>15</v>
      </c>
      <c r="T1" s="23" t="s">
        <v>15</v>
      </c>
      <c r="U1" s="23" t="s">
        <v>15</v>
      </c>
      <c r="V1" s="23" t="s">
        <v>15</v>
      </c>
      <c r="W1" s="23" t="s">
        <v>15</v>
      </c>
      <c r="Y1" s="23" t="s">
        <v>15</v>
      </c>
      <c r="Z1" s="23" t="s">
        <v>15</v>
      </c>
      <c r="AA1" s="23" t="s">
        <v>15</v>
      </c>
      <c r="AB1" s="23" t="s">
        <v>15</v>
      </c>
      <c r="AC1" s="23" t="s">
        <v>15</v>
      </c>
      <c r="AE1" s="23" t="s">
        <v>15</v>
      </c>
      <c r="AF1" s="23" t="s">
        <v>15</v>
      </c>
      <c r="AG1" s="23" t="s">
        <v>4</v>
      </c>
    </row>
    <row r="2" spans="1:33" x14ac:dyDescent="0.3">
      <c r="L2" s="23" t="s">
        <v>17</v>
      </c>
      <c r="Z2" s="23" t="s">
        <v>18</v>
      </c>
    </row>
    <row r="3" spans="1:33" x14ac:dyDescent="0.3">
      <c r="D3" s="23" t="s">
        <v>19</v>
      </c>
      <c r="E3" s="23" t="s">
        <v>16</v>
      </c>
      <c r="F3" s="23" t="s">
        <v>20</v>
      </c>
      <c r="G3" s="23" t="s">
        <v>21</v>
      </c>
      <c r="H3" s="23" t="s">
        <v>22</v>
      </c>
      <c r="I3" s="23" t="s">
        <v>68</v>
      </c>
      <c r="J3" s="23" t="s">
        <v>23</v>
      </c>
      <c r="K3" s="23" t="s">
        <v>24</v>
      </c>
      <c r="L3" s="23" t="s">
        <v>25</v>
      </c>
      <c r="M3" s="23" t="s">
        <v>26</v>
      </c>
      <c r="N3" s="23" t="s">
        <v>27</v>
      </c>
      <c r="O3" s="23" t="s">
        <v>28</v>
      </c>
      <c r="P3" s="23" t="s">
        <v>29</v>
      </c>
      <c r="Q3" s="23" t="s">
        <v>30</v>
      </c>
      <c r="R3" s="23" t="s">
        <v>60</v>
      </c>
      <c r="S3" s="23" t="s">
        <v>31</v>
      </c>
      <c r="T3" s="23" t="s">
        <v>32</v>
      </c>
      <c r="U3" s="23" t="s">
        <v>33</v>
      </c>
      <c r="V3" s="23" t="s">
        <v>34</v>
      </c>
      <c r="W3" s="23" t="s">
        <v>35</v>
      </c>
      <c r="X3" s="23" t="s">
        <v>36</v>
      </c>
      <c r="Y3" s="23" t="s">
        <v>37</v>
      </c>
      <c r="Z3" s="23" t="s">
        <v>38</v>
      </c>
      <c r="AA3" s="23" t="s">
        <v>39</v>
      </c>
      <c r="AB3" s="23" t="s">
        <v>40</v>
      </c>
      <c r="AC3" s="23" t="s">
        <v>70</v>
      </c>
      <c r="AD3" s="23" t="s">
        <v>71</v>
      </c>
      <c r="AE3" s="23" t="s">
        <v>41</v>
      </c>
      <c r="AF3" s="23" t="s">
        <v>42</v>
      </c>
    </row>
    <row r="4" spans="1:33" ht="409.6" x14ac:dyDescent="0.3">
      <c r="B4" s="24" t="s">
        <v>324</v>
      </c>
      <c r="C4" s="23" t="s">
        <v>129</v>
      </c>
      <c r="D4" s="23" t="s">
        <v>130</v>
      </c>
      <c r="E4" s="23" t="s">
        <v>131</v>
      </c>
      <c r="F4" s="23" t="s">
        <v>132</v>
      </c>
      <c r="G4" s="23" t="s">
        <v>133</v>
      </c>
      <c r="H4" s="23" t="s">
        <v>134</v>
      </c>
      <c r="I4" s="23" t="s">
        <v>135</v>
      </c>
      <c r="J4" s="23" t="s">
        <v>136</v>
      </c>
      <c r="K4" s="23" t="s">
        <v>137</v>
      </c>
      <c r="L4" s="23" t="s">
        <v>138</v>
      </c>
      <c r="M4" s="23" t="s">
        <v>139</v>
      </c>
      <c r="N4" s="23" t="s">
        <v>140</v>
      </c>
      <c r="O4" s="23" t="s">
        <v>141</v>
      </c>
      <c r="P4" s="23" t="s">
        <v>142</v>
      </c>
      <c r="Q4" s="23" t="s">
        <v>143</v>
      </c>
      <c r="R4" s="23" t="s">
        <v>144</v>
      </c>
      <c r="S4" s="23" t="s">
        <v>145</v>
      </c>
      <c r="T4" s="23" t="s">
        <v>146</v>
      </c>
      <c r="U4" s="23" t="s">
        <v>147</v>
      </c>
      <c r="V4" s="23" t="s">
        <v>148</v>
      </c>
      <c r="W4" s="23" t="s">
        <v>149</v>
      </c>
      <c r="X4" s="23" t="s">
        <v>150</v>
      </c>
      <c r="Y4" s="23" t="s">
        <v>151</v>
      </c>
      <c r="Z4" s="23" t="s">
        <v>152</v>
      </c>
      <c r="AA4" s="23" t="s">
        <v>153</v>
      </c>
      <c r="AB4" s="23" t="s">
        <v>307</v>
      </c>
      <c r="AC4" s="23" t="s">
        <v>154</v>
      </c>
      <c r="AD4" s="23" t="s">
        <v>155</v>
      </c>
      <c r="AE4" s="23" t="s">
        <v>156</v>
      </c>
      <c r="AF4" s="23" t="s">
        <v>157</v>
      </c>
      <c r="AG4" s="23" t="s">
        <v>303</v>
      </c>
    </row>
    <row r="6" spans="1:33" x14ac:dyDescent="0.3">
      <c r="Y6" s="23" t="s">
        <v>43</v>
      </c>
      <c r="Z6" s="23" t="s">
        <v>158</v>
      </c>
      <c r="AA6" s="23" t="s">
        <v>159</v>
      </c>
      <c r="AB6" s="23" t="s">
        <v>160</v>
      </c>
      <c r="AC6" s="23" t="s">
        <v>161</v>
      </c>
      <c r="AD6" s="23" t="s">
        <v>162</v>
      </c>
      <c r="AE6" s="23" t="s">
        <v>163</v>
      </c>
      <c r="AF6" s="23" t="s">
        <v>164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9DBC7-3552-4F59-AED2-6313E9EB1654}">
  <dimension ref="A1:AJ6"/>
  <sheetViews>
    <sheetView workbookViewId="0"/>
  </sheetViews>
  <sheetFormatPr baseColWidth="10" defaultRowHeight="14.4" x14ac:dyDescent="0.3"/>
  <sheetData>
    <row r="1" spans="1:36" x14ac:dyDescent="0.3">
      <c r="A1" s="23" t="s">
        <v>326</v>
      </c>
      <c r="B1" s="23" t="s">
        <v>4</v>
      </c>
      <c r="C1" s="23" t="s">
        <v>4</v>
      </c>
      <c r="D1" s="23" t="s">
        <v>15</v>
      </c>
      <c r="E1" s="23" t="s">
        <v>15</v>
      </c>
      <c r="F1" s="23" t="s">
        <v>15</v>
      </c>
      <c r="G1" s="23" t="s">
        <v>15</v>
      </c>
      <c r="H1" s="23" t="s">
        <v>15</v>
      </c>
      <c r="I1" s="23" t="s">
        <v>15</v>
      </c>
      <c r="J1" s="23" t="s">
        <v>15</v>
      </c>
      <c r="K1" s="23" t="s">
        <v>15</v>
      </c>
      <c r="L1" s="23" t="s">
        <v>15</v>
      </c>
      <c r="M1" s="23" t="s">
        <v>15</v>
      </c>
      <c r="N1" s="23" t="s">
        <v>15</v>
      </c>
      <c r="O1" s="23" t="s">
        <v>15</v>
      </c>
      <c r="P1" s="23" t="s">
        <v>15</v>
      </c>
      <c r="Q1" s="23" t="s">
        <v>15</v>
      </c>
      <c r="R1" s="23" t="s">
        <v>15</v>
      </c>
      <c r="S1" s="23" t="s">
        <v>15</v>
      </c>
      <c r="T1" s="23" t="s">
        <v>15</v>
      </c>
      <c r="U1" s="23" t="s">
        <v>15</v>
      </c>
      <c r="V1" s="23" t="s">
        <v>15</v>
      </c>
      <c r="W1" s="23" t="s">
        <v>15</v>
      </c>
      <c r="Y1" s="23" t="s">
        <v>15</v>
      </c>
      <c r="Z1" s="23" t="s">
        <v>15</v>
      </c>
      <c r="AA1" s="23" t="s">
        <v>15</v>
      </c>
      <c r="AB1" s="23" t="s">
        <v>15</v>
      </c>
      <c r="AC1" s="23" t="s">
        <v>15</v>
      </c>
      <c r="AD1" s="23" t="s">
        <v>15</v>
      </c>
      <c r="AE1" s="23" t="s">
        <v>15</v>
      </c>
      <c r="AF1" s="23" t="s">
        <v>15</v>
      </c>
      <c r="AG1" s="23" t="s">
        <v>15</v>
      </c>
      <c r="AH1" s="23" t="s">
        <v>15</v>
      </c>
      <c r="AI1" s="23" t="s">
        <v>15</v>
      </c>
      <c r="AJ1" s="23" t="s">
        <v>4</v>
      </c>
    </row>
    <row r="2" spans="1:36" x14ac:dyDescent="0.3">
      <c r="L2" s="23" t="s">
        <v>17</v>
      </c>
      <c r="Z2" s="23" t="s">
        <v>18</v>
      </c>
    </row>
    <row r="3" spans="1:36" x14ac:dyDescent="0.3">
      <c r="D3" s="23" t="s">
        <v>19</v>
      </c>
      <c r="E3" s="23" t="s">
        <v>16</v>
      </c>
      <c r="F3" s="23" t="s">
        <v>20</v>
      </c>
      <c r="G3" s="23" t="s">
        <v>23</v>
      </c>
      <c r="H3" s="23" t="s">
        <v>21</v>
      </c>
      <c r="I3" s="23" t="s">
        <v>22</v>
      </c>
      <c r="J3" s="23" t="s">
        <v>44</v>
      </c>
      <c r="K3" s="23" t="s">
        <v>45</v>
      </c>
      <c r="L3" s="23" t="s">
        <v>25</v>
      </c>
      <c r="M3" s="23" t="s">
        <v>26</v>
      </c>
      <c r="N3" s="23" t="s">
        <v>27</v>
      </c>
      <c r="O3" s="23" t="s">
        <v>28</v>
      </c>
      <c r="P3" s="23" t="s">
        <v>29</v>
      </c>
      <c r="Q3" s="23" t="s">
        <v>30</v>
      </c>
      <c r="R3" s="23" t="s">
        <v>60</v>
      </c>
      <c r="S3" s="23" t="s">
        <v>31</v>
      </c>
      <c r="T3" s="23" t="s">
        <v>46</v>
      </c>
      <c r="U3" s="23" t="s">
        <v>47</v>
      </c>
      <c r="V3" s="23" t="s">
        <v>48</v>
      </c>
      <c r="W3" s="23" t="s">
        <v>35</v>
      </c>
      <c r="X3" s="23" t="s">
        <v>36</v>
      </c>
      <c r="Y3" s="23" t="s">
        <v>37</v>
      </c>
      <c r="Z3" s="23" t="s">
        <v>49</v>
      </c>
      <c r="AA3" s="23" t="s">
        <v>50</v>
      </c>
      <c r="AB3" s="23" t="s">
        <v>41</v>
      </c>
      <c r="AC3" s="23" t="s">
        <v>51</v>
      </c>
      <c r="AD3" s="23" t="s">
        <v>52</v>
      </c>
      <c r="AE3" s="23" t="s">
        <v>53</v>
      </c>
      <c r="AF3" s="23" t="s">
        <v>40</v>
      </c>
      <c r="AG3" s="23" t="s">
        <v>70</v>
      </c>
      <c r="AH3" s="23" t="s">
        <v>54</v>
      </c>
      <c r="AI3" s="23" t="s">
        <v>42</v>
      </c>
    </row>
    <row r="4" spans="1:36" ht="409.6" x14ac:dyDescent="0.3">
      <c r="B4" s="24" t="s">
        <v>325</v>
      </c>
      <c r="C4" s="23" t="s">
        <v>165</v>
      </c>
      <c r="D4" s="23" t="s">
        <v>94</v>
      </c>
      <c r="E4" s="23" t="s">
        <v>166</v>
      </c>
      <c r="F4" s="23" t="s">
        <v>167</v>
      </c>
      <c r="G4" s="23" t="s">
        <v>168</v>
      </c>
      <c r="H4" s="23" t="s">
        <v>169</v>
      </c>
      <c r="I4" s="23" t="s">
        <v>98</v>
      </c>
      <c r="J4" s="23" t="s">
        <v>99</v>
      </c>
      <c r="K4" s="23" t="s">
        <v>101</v>
      </c>
      <c r="L4" s="23" t="s">
        <v>170</v>
      </c>
      <c r="M4" s="23" t="s">
        <v>171</v>
      </c>
      <c r="N4" s="23" t="s">
        <v>172</v>
      </c>
      <c r="O4" s="23" t="s">
        <v>173</v>
      </c>
      <c r="P4" s="23" t="s">
        <v>174</v>
      </c>
      <c r="Q4" s="23" t="s">
        <v>175</v>
      </c>
      <c r="R4" s="23" t="s">
        <v>176</v>
      </c>
      <c r="S4" s="23" t="s">
        <v>109</v>
      </c>
      <c r="T4" s="23" t="s">
        <v>110</v>
      </c>
      <c r="U4" s="23" t="s">
        <v>177</v>
      </c>
      <c r="V4" s="23" t="s">
        <v>178</v>
      </c>
      <c r="W4" s="23" t="s">
        <v>179</v>
      </c>
      <c r="X4" s="23" t="s">
        <v>180</v>
      </c>
      <c r="Y4" s="23" t="s">
        <v>181</v>
      </c>
      <c r="Z4" s="23" t="s">
        <v>182</v>
      </c>
      <c r="AA4" s="23" t="s">
        <v>183</v>
      </c>
      <c r="AB4" s="23" t="s">
        <v>184</v>
      </c>
      <c r="AC4" s="23" t="s">
        <v>185</v>
      </c>
      <c r="AD4" s="23" t="s">
        <v>186</v>
      </c>
      <c r="AE4" s="23" t="s">
        <v>187</v>
      </c>
      <c r="AF4" s="23" t="s">
        <v>308</v>
      </c>
      <c r="AG4" s="23" t="s">
        <v>188</v>
      </c>
      <c r="AH4" s="23" t="s">
        <v>189</v>
      </c>
      <c r="AI4" s="23" t="s">
        <v>190</v>
      </c>
      <c r="AJ4" s="23" t="s">
        <v>304</v>
      </c>
    </row>
    <row r="6" spans="1:36" x14ac:dyDescent="0.3">
      <c r="Y6" s="23" t="s">
        <v>43</v>
      </c>
      <c r="Z6" s="23" t="s">
        <v>122</v>
      </c>
      <c r="AA6" s="23" t="s">
        <v>123</v>
      </c>
      <c r="AB6" s="23" t="s">
        <v>124</v>
      </c>
      <c r="AC6" s="23" t="s">
        <v>125</v>
      </c>
      <c r="AD6" s="23" t="s">
        <v>126</v>
      </c>
      <c r="AE6" s="23" t="s">
        <v>127</v>
      </c>
      <c r="AF6" s="23" t="s">
        <v>128</v>
      </c>
      <c r="AG6" s="23" t="s">
        <v>191</v>
      </c>
      <c r="AH6" s="23" t="s">
        <v>192</v>
      </c>
      <c r="AI6" s="23" t="s">
        <v>193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8139-37FB-44C6-A936-3A566B9CF48F}">
  <dimension ref="A1:AJ6"/>
  <sheetViews>
    <sheetView workbookViewId="0"/>
  </sheetViews>
  <sheetFormatPr baseColWidth="10" defaultRowHeight="14.4" x14ac:dyDescent="0.3"/>
  <sheetData>
    <row r="1" spans="1:36" x14ac:dyDescent="0.3">
      <c r="A1" s="23" t="s">
        <v>326</v>
      </c>
      <c r="B1" s="23" t="s">
        <v>4</v>
      </c>
      <c r="C1" s="23" t="s">
        <v>4</v>
      </c>
      <c r="D1" s="23" t="s">
        <v>15</v>
      </c>
      <c r="E1" s="23" t="s">
        <v>15</v>
      </c>
      <c r="F1" s="23" t="s">
        <v>15</v>
      </c>
      <c r="G1" s="23" t="s">
        <v>15</v>
      </c>
      <c r="H1" s="23" t="s">
        <v>15</v>
      </c>
      <c r="I1" s="23" t="s">
        <v>15</v>
      </c>
      <c r="J1" s="23" t="s">
        <v>15</v>
      </c>
      <c r="K1" s="23" t="s">
        <v>15</v>
      </c>
      <c r="L1" s="23" t="s">
        <v>15</v>
      </c>
      <c r="M1" s="23" t="s">
        <v>15</v>
      </c>
      <c r="N1" s="23" t="s">
        <v>15</v>
      </c>
      <c r="O1" s="23" t="s">
        <v>15</v>
      </c>
      <c r="P1" s="23" t="s">
        <v>15</v>
      </c>
      <c r="Q1" s="23" t="s">
        <v>15</v>
      </c>
      <c r="R1" s="23" t="s">
        <v>15</v>
      </c>
      <c r="S1" s="23" t="s">
        <v>15</v>
      </c>
      <c r="T1" s="23" t="s">
        <v>15</v>
      </c>
      <c r="U1" s="23" t="s">
        <v>15</v>
      </c>
      <c r="V1" s="23" t="s">
        <v>15</v>
      </c>
      <c r="W1" s="23" t="s">
        <v>15</v>
      </c>
      <c r="Y1" s="23" t="s">
        <v>15</v>
      </c>
      <c r="Z1" s="23" t="s">
        <v>15</v>
      </c>
      <c r="AA1" s="23" t="s">
        <v>15</v>
      </c>
      <c r="AB1" s="23" t="s">
        <v>15</v>
      </c>
      <c r="AC1" s="23" t="s">
        <v>15</v>
      </c>
      <c r="AD1" s="23" t="s">
        <v>15</v>
      </c>
      <c r="AE1" s="23" t="s">
        <v>15</v>
      </c>
      <c r="AF1" s="23" t="s">
        <v>15</v>
      </c>
      <c r="AG1" s="23" t="s">
        <v>15</v>
      </c>
      <c r="AH1" s="23" t="s">
        <v>15</v>
      </c>
      <c r="AI1" s="23" t="s">
        <v>15</v>
      </c>
      <c r="AJ1" s="23" t="s">
        <v>4</v>
      </c>
    </row>
    <row r="2" spans="1:36" x14ac:dyDescent="0.3">
      <c r="L2" s="23" t="s">
        <v>17</v>
      </c>
      <c r="Z2" s="23" t="s">
        <v>18</v>
      </c>
    </row>
    <row r="3" spans="1:36" x14ac:dyDescent="0.3">
      <c r="D3" s="23" t="s">
        <v>19</v>
      </c>
      <c r="E3" s="23" t="s">
        <v>16</v>
      </c>
      <c r="F3" s="23" t="s">
        <v>20</v>
      </c>
      <c r="G3" s="23" t="s">
        <v>23</v>
      </c>
      <c r="H3" s="23" t="s">
        <v>21</v>
      </c>
      <c r="I3" s="23" t="s">
        <v>22</v>
      </c>
      <c r="J3" s="23" t="s">
        <v>44</v>
      </c>
      <c r="K3" s="23" t="s">
        <v>45</v>
      </c>
      <c r="L3" s="23" t="s">
        <v>25</v>
      </c>
      <c r="M3" s="23" t="s">
        <v>26</v>
      </c>
      <c r="N3" s="23" t="s">
        <v>27</v>
      </c>
      <c r="O3" s="23" t="s">
        <v>28</v>
      </c>
      <c r="P3" s="23" t="s">
        <v>29</v>
      </c>
      <c r="Q3" s="23" t="s">
        <v>30</v>
      </c>
      <c r="R3" s="23" t="s">
        <v>60</v>
      </c>
      <c r="S3" s="23" t="s">
        <v>31</v>
      </c>
      <c r="T3" s="23" t="s">
        <v>46</v>
      </c>
      <c r="U3" s="23" t="s">
        <v>47</v>
      </c>
      <c r="V3" s="23" t="s">
        <v>48</v>
      </c>
      <c r="W3" s="23" t="s">
        <v>35</v>
      </c>
      <c r="X3" s="23" t="s">
        <v>36</v>
      </c>
      <c r="Y3" s="23" t="s">
        <v>37</v>
      </c>
      <c r="Z3" s="23" t="s">
        <v>49</v>
      </c>
      <c r="AA3" s="23" t="s">
        <v>50</v>
      </c>
      <c r="AB3" s="23" t="s">
        <v>41</v>
      </c>
      <c r="AC3" s="23" t="s">
        <v>51</v>
      </c>
      <c r="AD3" s="23" t="s">
        <v>52</v>
      </c>
      <c r="AE3" s="23" t="s">
        <v>53</v>
      </c>
      <c r="AF3" s="23" t="s">
        <v>40</v>
      </c>
      <c r="AG3" s="23" t="s">
        <v>70</v>
      </c>
      <c r="AH3" s="23" t="s">
        <v>54</v>
      </c>
      <c r="AI3" s="23" t="s">
        <v>42</v>
      </c>
    </row>
    <row r="4" spans="1:36" ht="409.6" x14ac:dyDescent="0.3">
      <c r="B4" s="24" t="s">
        <v>327</v>
      </c>
      <c r="C4" s="23" t="s">
        <v>194</v>
      </c>
      <c r="D4" s="23" t="s">
        <v>130</v>
      </c>
      <c r="E4" s="23" t="s">
        <v>195</v>
      </c>
      <c r="F4" s="23" t="s">
        <v>196</v>
      </c>
      <c r="G4" s="23" t="s">
        <v>197</v>
      </c>
      <c r="H4" s="23" t="s">
        <v>198</v>
      </c>
      <c r="I4" s="23" t="s">
        <v>134</v>
      </c>
      <c r="J4" s="23" t="s">
        <v>135</v>
      </c>
      <c r="K4" s="23" t="s">
        <v>137</v>
      </c>
      <c r="L4" s="23" t="s">
        <v>199</v>
      </c>
      <c r="M4" s="23" t="s">
        <v>200</v>
      </c>
      <c r="N4" s="23" t="s">
        <v>201</v>
      </c>
      <c r="O4" s="23" t="s">
        <v>202</v>
      </c>
      <c r="P4" s="23" t="s">
        <v>203</v>
      </c>
      <c r="Q4" s="23" t="s">
        <v>204</v>
      </c>
      <c r="R4" s="23" t="s">
        <v>205</v>
      </c>
      <c r="S4" s="23" t="s">
        <v>145</v>
      </c>
      <c r="T4" s="23" t="s">
        <v>146</v>
      </c>
      <c r="U4" s="23" t="s">
        <v>206</v>
      </c>
      <c r="V4" s="23" t="s">
        <v>207</v>
      </c>
      <c r="W4" s="23" t="s">
        <v>208</v>
      </c>
      <c r="X4" s="23" t="s">
        <v>209</v>
      </c>
      <c r="Y4" s="23" t="s">
        <v>210</v>
      </c>
      <c r="Z4" s="23" t="s">
        <v>211</v>
      </c>
      <c r="AA4" s="23" t="s">
        <v>212</v>
      </c>
      <c r="AB4" s="23" t="s">
        <v>213</v>
      </c>
      <c r="AC4" s="23" t="s">
        <v>214</v>
      </c>
      <c r="AD4" s="23" t="s">
        <v>215</v>
      </c>
      <c r="AE4" s="23" t="s">
        <v>216</v>
      </c>
      <c r="AF4" s="23" t="s">
        <v>309</v>
      </c>
      <c r="AG4" s="23" t="s">
        <v>217</v>
      </c>
      <c r="AH4" s="23" t="s">
        <v>218</v>
      </c>
      <c r="AI4" s="23" t="s">
        <v>219</v>
      </c>
      <c r="AJ4" s="23" t="s">
        <v>305</v>
      </c>
    </row>
    <row r="6" spans="1:36" x14ac:dyDescent="0.3">
      <c r="Y6" s="23" t="s">
        <v>43</v>
      </c>
      <c r="Z6" s="23" t="s">
        <v>158</v>
      </c>
      <c r="AA6" s="23" t="s">
        <v>159</v>
      </c>
      <c r="AB6" s="23" t="s">
        <v>160</v>
      </c>
      <c r="AC6" s="23" t="s">
        <v>161</v>
      </c>
      <c r="AD6" s="23" t="s">
        <v>162</v>
      </c>
      <c r="AE6" s="23" t="s">
        <v>163</v>
      </c>
      <c r="AF6" s="23" t="s">
        <v>164</v>
      </c>
      <c r="AG6" s="23" t="s">
        <v>220</v>
      </c>
      <c r="AH6" s="23" t="s">
        <v>221</v>
      </c>
      <c r="AI6" s="23" t="s">
        <v>222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157C-851A-421D-A6FA-33C2CD680CC9}">
  <dimension ref="A1:X7"/>
  <sheetViews>
    <sheetView workbookViewId="0"/>
  </sheetViews>
  <sheetFormatPr baseColWidth="10" defaultRowHeight="14.4" x14ac:dyDescent="0.3"/>
  <sheetData>
    <row r="1" spans="1:24" x14ac:dyDescent="0.3">
      <c r="A1" s="23" t="s">
        <v>329</v>
      </c>
      <c r="B1" s="23" t="s">
        <v>72</v>
      </c>
      <c r="C1" s="23" t="s">
        <v>4</v>
      </c>
      <c r="D1" s="23" t="s">
        <v>4</v>
      </c>
      <c r="E1" s="23" t="s">
        <v>15</v>
      </c>
      <c r="F1" s="23" t="s">
        <v>15</v>
      </c>
      <c r="G1" s="23" t="s">
        <v>15</v>
      </c>
      <c r="H1" s="23" t="s">
        <v>15</v>
      </c>
      <c r="I1" s="23" t="s">
        <v>15</v>
      </c>
      <c r="J1" s="23" t="s">
        <v>15</v>
      </c>
      <c r="K1" s="23" t="s">
        <v>15</v>
      </c>
      <c r="L1" s="23" t="s">
        <v>15</v>
      </c>
      <c r="M1" s="23" t="s">
        <v>15</v>
      </c>
      <c r="N1" s="23" t="s">
        <v>15</v>
      </c>
      <c r="O1" s="23" t="s">
        <v>15</v>
      </c>
      <c r="P1" s="23" t="s">
        <v>15</v>
      </c>
      <c r="Q1" s="23" t="s">
        <v>15</v>
      </c>
      <c r="R1" s="23" t="s">
        <v>15</v>
      </c>
      <c r="S1" s="23" t="s">
        <v>15</v>
      </c>
      <c r="T1" s="23" t="s">
        <v>15</v>
      </c>
      <c r="U1" s="23" t="s">
        <v>15</v>
      </c>
      <c r="V1" s="23" t="s">
        <v>15</v>
      </c>
      <c r="W1" s="23" t="s">
        <v>15</v>
      </c>
      <c r="X1" s="23" t="s">
        <v>15</v>
      </c>
    </row>
    <row r="2" spans="1:24" x14ac:dyDescent="0.3">
      <c r="K2" s="23" t="s">
        <v>55</v>
      </c>
      <c r="Q2" s="23" t="s">
        <v>56</v>
      </c>
    </row>
    <row r="3" spans="1:24" x14ac:dyDescent="0.3">
      <c r="E3" s="23" t="s">
        <v>19</v>
      </c>
      <c r="F3" s="23" t="s">
        <v>16</v>
      </c>
      <c r="G3" s="23" t="s">
        <v>57</v>
      </c>
      <c r="H3" s="23" t="s">
        <v>73</v>
      </c>
      <c r="I3" s="23" t="s">
        <v>69</v>
      </c>
      <c r="J3" s="23" t="s">
        <v>58</v>
      </c>
      <c r="K3" s="23" t="s">
        <v>25</v>
      </c>
      <c r="L3" s="23" t="s">
        <v>27</v>
      </c>
      <c r="M3" s="23" t="s">
        <v>59</v>
      </c>
      <c r="N3" s="23" t="s">
        <v>29</v>
      </c>
      <c r="O3" s="23" t="s">
        <v>30</v>
      </c>
      <c r="P3" s="23" t="s">
        <v>60</v>
      </c>
      <c r="Q3" s="23" t="s">
        <v>25</v>
      </c>
      <c r="R3" s="23" t="s">
        <v>27</v>
      </c>
      <c r="S3" s="23" t="s">
        <v>59</v>
      </c>
      <c r="T3" s="23" t="s">
        <v>29</v>
      </c>
      <c r="U3" s="23" t="s">
        <v>30</v>
      </c>
      <c r="V3" s="23" t="s">
        <v>60</v>
      </c>
      <c r="W3" s="23" t="s">
        <v>31</v>
      </c>
      <c r="X3" s="23" t="s">
        <v>41</v>
      </c>
    </row>
    <row r="4" spans="1:24" x14ac:dyDescent="0.3">
      <c r="B4" s="23" t="s">
        <v>223</v>
      </c>
      <c r="C4" s="23" t="s">
        <v>328</v>
      </c>
      <c r="D4" s="23" t="s">
        <v>224</v>
      </c>
      <c r="E4" s="23" t="s">
        <v>225</v>
      </c>
      <c r="F4" s="23" t="s">
        <v>226</v>
      </c>
      <c r="G4" s="23" t="s">
        <v>227</v>
      </c>
      <c r="H4" s="23" t="s">
        <v>228</v>
      </c>
      <c r="I4" s="23" t="s">
        <v>229</v>
      </c>
      <c r="J4" s="23" t="s">
        <v>230</v>
      </c>
      <c r="K4" s="23" t="s">
        <v>231</v>
      </c>
      <c r="L4" s="23" t="s">
        <v>232</v>
      </c>
      <c r="M4" s="23" t="s">
        <v>233</v>
      </c>
      <c r="N4" s="23" t="s">
        <v>234</v>
      </c>
      <c r="O4" s="23" t="s">
        <v>235</v>
      </c>
      <c r="P4" s="23" t="s">
        <v>236</v>
      </c>
      <c r="Q4" s="23" t="s">
        <v>237</v>
      </c>
      <c r="R4" s="23" t="s">
        <v>238</v>
      </c>
      <c r="S4" s="23" t="s">
        <v>239</v>
      </c>
      <c r="T4" s="23" t="s">
        <v>240</v>
      </c>
      <c r="U4" s="23" t="s">
        <v>241</v>
      </c>
      <c r="V4" s="23" t="s">
        <v>242</v>
      </c>
      <c r="W4" s="23" t="s">
        <v>243</v>
      </c>
      <c r="X4" s="23" t="s">
        <v>244</v>
      </c>
    </row>
    <row r="5" spans="1:24" x14ac:dyDescent="0.3">
      <c r="B5" s="23" t="s">
        <v>245</v>
      </c>
      <c r="C5" s="23" t="s">
        <v>246</v>
      </c>
      <c r="E5" s="23" t="s">
        <v>247</v>
      </c>
      <c r="F5" s="23" t="s">
        <v>248</v>
      </c>
      <c r="G5" s="23" t="s">
        <v>249</v>
      </c>
      <c r="H5" s="23" t="s">
        <v>250</v>
      </c>
      <c r="I5" s="23" t="s">
        <v>251</v>
      </c>
      <c r="X5" s="23" t="s">
        <v>252</v>
      </c>
    </row>
    <row r="7" spans="1:24" x14ac:dyDescent="0.3">
      <c r="W7" s="23" t="s">
        <v>43</v>
      </c>
      <c r="X7" s="23" t="s">
        <v>253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20AEB-25F2-4DF3-A049-D87F660566BA}">
  <dimension ref="A1:X7"/>
  <sheetViews>
    <sheetView workbookViewId="0"/>
  </sheetViews>
  <sheetFormatPr baseColWidth="10" defaultRowHeight="14.4" x14ac:dyDescent="0.3"/>
  <sheetData>
    <row r="1" spans="1:24" x14ac:dyDescent="0.3">
      <c r="A1" s="23" t="s">
        <v>329</v>
      </c>
      <c r="B1" s="23" t="s">
        <v>72</v>
      </c>
      <c r="C1" s="23" t="s">
        <v>4</v>
      </c>
      <c r="D1" s="23" t="s">
        <v>4</v>
      </c>
      <c r="E1" s="23" t="s">
        <v>15</v>
      </c>
      <c r="F1" s="23" t="s">
        <v>15</v>
      </c>
      <c r="G1" s="23" t="s">
        <v>15</v>
      </c>
      <c r="H1" s="23" t="s">
        <v>15</v>
      </c>
      <c r="I1" s="23" t="s">
        <v>15</v>
      </c>
      <c r="J1" s="23" t="s">
        <v>15</v>
      </c>
      <c r="K1" s="23" t="s">
        <v>15</v>
      </c>
      <c r="L1" s="23" t="s">
        <v>15</v>
      </c>
      <c r="M1" s="23" t="s">
        <v>15</v>
      </c>
      <c r="N1" s="23" t="s">
        <v>15</v>
      </c>
      <c r="O1" s="23" t="s">
        <v>15</v>
      </c>
      <c r="P1" s="23" t="s">
        <v>15</v>
      </c>
      <c r="Q1" s="23" t="s">
        <v>15</v>
      </c>
      <c r="R1" s="23" t="s">
        <v>15</v>
      </c>
      <c r="S1" s="23" t="s">
        <v>15</v>
      </c>
      <c r="T1" s="23" t="s">
        <v>15</v>
      </c>
      <c r="U1" s="23" t="s">
        <v>15</v>
      </c>
      <c r="V1" s="23" t="s">
        <v>15</v>
      </c>
      <c r="W1" s="23" t="s">
        <v>15</v>
      </c>
      <c r="X1" s="23" t="s">
        <v>15</v>
      </c>
    </row>
    <row r="2" spans="1:24" x14ac:dyDescent="0.3">
      <c r="K2" s="23" t="s">
        <v>55</v>
      </c>
      <c r="Q2" s="23" t="s">
        <v>56</v>
      </c>
    </row>
    <row r="3" spans="1:24" x14ac:dyDescent="0.3">
      <c r="E3" s="23" t="s">
        <v>19</v>
      </c>
      <c r="F3" s="23" t="s">
        <v>16</v>
      </c>
      <c r="G3" s="23" t="s">
        <v>57</v>
      </c>
      <c r="H3" s="23" t="s">
        <v>73</v>
      </c>
      <c r="I3" s="23" t="s">
        <v>69</v>
      </c>
      <c r="J3" s="23" t="s">
        <v>58</v>
      </c>
      <c r="K3" s="23" t="s">
        <v>25</v>
      </c>
      <c r="L3" s="23" t="s">
        <v>27</v>
      </c>
      <c r="M3" s="23" t="s">
        <v>59</v>
      </c>
      <c r="N3" s="23" t="s">
        <v>29</v>
      </c>
      <c r="O3" s="23" t="s">
        <v>30</v>
      </c>
      <c r="P3" s="23" t="s">
        <v>60</v>
      </c>
      <c r="Q3" s="23" t="s">
        <v>25</v>
      </c>
      <c r="R3" s="23" t="s">
        <v>27</v>
      </c>
      <c r="S3" s="23" t="s">
        <v>59</v>
      </c>
      <c r="T3" s="23" t="s">
        <v>29</v>
      </c>
      <c r="U3" s="23" t="s">
        <v>30</v>
      </c>
      <c r="V3" s="23" t="s">
        <v>60</v>
      </c>
      <c r="W3" s="23" t="s">
        <v>31</v>
      </c>
      <c r="X3" s="23" t="s">
        <v>41</v>
      </c>
    </row>
    <row r="4" spans="1:24" x14ac:dyDescent="0.3">
      <c r="B4" s="23" t="s">
        <v>254</v>
      </c>
      <c r="C4" s="23" t="s">
        <v>330</v>
      </c>
      <c r="D4" s="23" t="s">
        <v>255</v>
      </c>
      <c r="E4" s="23" t="s">
        <v>256</v>
      </c>
      <c r="F4" s="23" t="s">
        <v>257</v>
      </c>
      <c r="G4" s="23" t="s">
        <v>258</v>
      </c>
      <c r="H4" s="23" t="s">
        <v>259</v>
      </c>
      <c r="I4" s="23" t="s">
        <v>260</v>
      </c>
      <c r="J4" s="23" t="s">
        <v>261</v>
      </c>
      <c r="K4" s="23" t="s">
        <v>262</v>
      </c>
      <c r="L4" s="23" t="s">
        <v>263</v>
      </c>
      <c r="M4" s="23" t="s">
        <v>264</v>
      </c>
      <c r="N4" s="23" t="s">
        <v>265</v>
      </c>
      <c r="O4" s="23" t="s">
        <v>266</v>
      </c>
      <c r="P4" s="23" t="s">
        <v>267</v>
      </c>
      <c r="Q4" s="23" t="s">
        <v>268</v>
      </c>
      <c r="R4" s="23" t="s">
        <v>269</v>
      </c>
      <c r="S4" s="23" t="s">
        <v>270</v>
      </c>
      <c r="T4" s="23" t="s">
        <v>271</v>
      </c>
      <c r="U4" s="23" t="s">
        <v>272</v>
      </c>
      <c r="V4" s="23" t="s">
        <v>273</v>
      </c>
      <c r="W4" s="23" t="s">
        <v>274</v>
      </c>
      <c r="X4" s="23" t="s">
        <v>275</v>
      </c>
    </row>
    <row r="5" spans="1:24" x14ac:dyDescent="0.3">
      <c r="B5" s="23" t="s">
        <v>276</v>
      </c>
      <c r="C5" s="23" t="s">
        <v>277</v>
      </c>
      <c r="E5" s="23" t="s">
        <v>278</v>
      </c>
      <c r="F5" s="23" t="s">
        <v>279</v>
      </c>
      <c r="G5" s="23" t="s">
        <v>280</v>
      </c>
      <c r="H5" s="23" t="s">
        <v>281</v>
      </c>
      <c r="I5" s="23" t="s">
        <v>282</v>
      </c>
      <c r="X5" s="23" t="s">
        <v>283</v>
      </c>
    </row>
    <row r="7" spans="1:24" x14ac:dyDescent="0.3">
      <c r="W7" s="23" t="s">
        <v>43</v>
      </c>
      <c r="X7" s="23" t="s">
        <v>284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94CA-ABCB-4887-A0B9-F4F9FB783614}">
  <dimension ref="A1:H5"/>
  <sheetViews>
    <sheetView workbookViewId="0"/>
  </sheetViews>
  <sheetFormatPr baseColWidth="10" defaultRowHeight="14.4" x14ac:dyDescent="0.3"/>
  <sheetData>
    <row r="1" spans="1:8" x14ac:dyDescent="0.3">
      <c r="A1" s="23" t="s">
        <v>331</v>
      </c>
      <c r="B1" s="23" t="s">
        <v>4</v>
      </c>
      <c r="C1" s="23" t="s">
        <v>15</v>
      </c>
      <c r="D1" s="23" t="s">
        <v>15</v>
      </c>
      <c r="E1" s="23" t="s">
        <v>15</v>
      </c>
      <c r="F1" s="23" t="s">
        <v>15</v>
      </c>
      <c r="G1" s="23" t="s">
        <v>15</v>
      </c>
      <c r="H1" s="23" t="s">
        <v>15</v>
      </c>
    </row>
    <row r="2" spans="1:8" x14ac:dyDescent="0.3">
      <c r="C2" s="23" t="s">
        <v>19</v>
      </c>
      <c r="D2" s="23" t="s">
        <v>16</v>
      </c>
      <c r="E2" s="23" t="s">
        <v>61</v>
      </c>
      <c r="F2" s="23" t="s">
        <v>36</v>
      </c>
      <c r="G2" s="23" t="s">
        <v>37</v>
      </c>
      <c r="H2" s="23" t="s">
        <v>62</v>
      </c>
    </row>
    <row r="3" spans="1:8" x14ac:dyDescent="0.3">
      <c r="B3" s="23" t="s">
        <v>285</v>
      </c>
      <c r="C3" s="23" t="s">
        <v>286</v>
      </c>
      <c r="D3" s="23" t="s">
        <v>287</v>
      </c>
      <c r="E3" s="23" t="s">
        <v>288</v>
      </c>
      <c r="F3" s="23" t="s">
        <v>289</v>
      </c>
      <c r="G3" s="23" t="s">
        <v>290</v>
      </c>
      <c r="H3" s="23" t="s">
        <v>86</v>
      </c>
    </row>
    <row r="5" spans="1:8" x14ac:dyDescent="0.3">
      <c r="G5" s="23" t="s">
        <v>43</v>
      </c>
      <c r="H5" s="23" t="s">
        <v>291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B249-6A4F-43F1-948E-C32A4296184C}">
  <dimension ref="A1:H5"/>
  <sheetViews>
    <sheetView workbookViewId="0"/>
  </sheetViews>
  <sheetFormatPr baseColWidth="10" defaultRowHeight="14.4" x14ac:dyDescent="0.3"/>
  <sheetData>
    <row r="1" spans="1:8" x14ac:dyDescent="0.3">
      <c r="A1" s="23" t="s">
        <v>331</v>
      </c>
      <c r="B1" s="23" t="s">
        <v>4</v>
      </c>
      <c r="C1" s="23" t="s">
        <v>15</v>
      </c>
      <c r="D1" s="23" t="s">
        <v>15</v>
      </c>
      <c r="E1" s="23" t="s">
        <v>15</v>
      </c>
      <c r="F1" s="23" t="s">
        <v>15</v>
      </c>
      <c r="G1" s="23" t="s">
        <v>15</v>
      </c>
      <c r="H1" s="23" t="s">
        <v>15</v>
      </c>
    </row>
    <row r="2" spans="1:8" x14ac:dyDescent="0.3">
      <c r="C2" s="23" t="s">
        <v>19</v>
      </c>
      <c r="D2" s="23" t="s">
        <v>16</v>
      </c>
      <c r="E2" s="23" t="s">
        <v>61</v>
      </c>
      <c r="F2" s="23" t="s">
        <v>36</v>
      </c>
      <c r="G2" s="23" t="s">
        <v>37</v>
      </c>
      <c r="H2" s="23" t="s">
        <v>62</v>
      </c>
    </row>
    <row r="3" spans="1:8" x14ac:dyDescent="0.3">
      <c r="B3" s="23" t="s">
        <v>292</v>
      </c>
      <c r="C3" s="23" t="s">
        <v>293</v>
      </c>
      <c r="D3" s="23" t="s">
        <v>294</v>
      </c>
      <c r="E3" s="23" t="s">
        <v>295</v>
      </c>
      <c r="F3" s="23" t="s">
        <v>296</v>
      </c>
      <c r="G3" s="23" t="s">
        <v>297</v>
      </c>
      <c r="H3" s="23" t="s">
        <v>90</v>
      </c>
    </row>
    <row r="5" spans="1:8" x14ac:dyDescent="0.3">
      <c r="G5" s="23" t="s">
        <v>43</v>
      </c>
      <c r="H5" s="23" t="s">
        <v>298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BEFE6-8B56-4AD7-A561-784BDFD95B8E}">
  <dimension ref="A1:H5"/>
  <sheetViews>
    <sheetView workbookViewId="0"/>
  </sheetViews>
  <sheetFormatPr baseColWidth="10" defaultRowHeight="14.4" x14ac:dyDescent="0.3"/>
  <sheetData>
    <row r="1" spans="1:8" x14ac:dyDescent="0.3">
      <c r="A1" s="23" t="s">
        <v>332</v>
      </c>
      <c r="B1" s="23" t="s">
        <v>4</v>
      </c>
      <c r="C1" s="23" t="s">
        <v>4</v>
      </c>
      <c r="D1" s="23" t="s">
        <v>15</v>
      </c>
      <c r="E1" s="23" t="s">
        <v>15</v>
      </c>
      <c r="F1" s="23" t="s">
        <v>15</v>
      </c>
      <c r="G1" s="23" t="s">
        <v>15</v>
      </c>
      <c r="H1" s="23" t="s">
        <v>15</v>
      </c>
    </row>
    <row r="2" spans="1:8" x14ac:dyDescent="0.3">
      <c r="D2" s="23" t="s">
        <v>19</v>
      </c>
      <c r="E2" s="23" t="s">
        <v>16</v>
      </c>
      <c r="F2" s="23" t="s">
        <v>36</v>
      </c>
      <c r="G2" s="23" t="s">
        <v>37</v>
      </c>
      <c r="H2" s="23" t="s">
        <v>62</v>
      </c>
    </row>
    <row r="3" spans="1:8" x14ac:dyDescent="0.3">
      <c r="B3" s="23" t="s">
        <v>315</v>
      </c>
      <c r="C3" s="23" t="s">
        <v>311</v>
      </c>
      <c r="D3" s="23" t="s">
        <v>286</v>
      </c>
      <c r="E3" s="23" t="s">
        <v>312</v>
      </c>
      <c r="F3" s="23" t="s">
        <v>317</v>
      </c>
      <c r="G3" s="23" t="s">
        <v>290</v>
      </c>
      <c r="H3" s="23" t="s">
        <v>86</v>
      </c>
    </row>
    <row r="5" spans="1:8" x14ac:dyDescent="0.3">
      <c r="G5" s="23" t="s">
        <v>43</v>
      </c>
      <c r="H5" s="23" t="s">
        <v>291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F3200-792F-4FD3-8A95-CDD2E6D6720C}">
  <dimension ref="A1:H5"/>
  <sheetViews>
    <sheetView workbookViewId="0"/>
  </sheetViews>
  <sheetFormatPr baseColWidth="10" defaultRowHeight="14.4" x14ac:dyDescent="0.3"/>
  <sheetData>
    <row r="1" spans="1:8" x14ac:dyDescent="0.3">
      <c r="A1" s="23" t="s">
        <v>332</v>
      </c>
      <c r="B1" s="23" t="s">
        <v>4</v>
      </c>
      <c r="C1" s="23" t="s">
        <v>4</v>
      </c>
      <c r="D1" s="23" t="s">
        <v>15</v>
      </c>
      <c r="E1" s="23" t="s">
        <v>15</v>
      </c>
      <c r="F1" s="23" t="s">
        <v>15</v>
      </c>
      <c r="G1" s="23" t="s">
        <v>15</v>
      </c>
      <c r="H1" s="23" t="s">
        <v>15</v>
      </c>
    </row>
    <row r="2" spans="1:8" x14ac:dyDescent="0.3">
      <c r="D2" s="23" t="s">
        <v>19</v>
      </c>
      <c r="E2" s="23" t="s">
        <v>16</v>
      </c>
      <c r="F2" s="23" t="s">
        <v>36</v>
      </c>
      <c r="G2" s="23" t="s">
        <v>37</v>
      </c>
      <c r="H2" s="23" t="s">
        <v>62</v>
      </c>
    </row>
    <row r="3" spans="1:8" x14ac:dyDescent="0.3">
      <c r="B3" s="23" t="s">
        <v>316</v>
      </c>
      <c r="C3" s="23" t="s">
        <v>313</v>
      </c>
      <c r="D3" s="23" t="s">
        <v>293</v>
      </c>
      <c r="E3" s="23" t="s">
        <v>314</v>
      </c>
      <c r="F3" s="23" t="s">
        <v>318</v>
      </c>
      <c r="G3" s="23" t="s">
        <v>297</v>
      </c>
      <c r="H3" s="23" t="s">
        <v>90</v>
      </c>
    </row>
    <row r="5" spans="1:8" x14ac:dyDescent="0.3">
      <c r="G5" s="23" t="s">
        <v>43</v>
      </c>
      <c r="H5" s="23" t="s">
        <v>298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46731-EB46-4042-B14B-0994B0D58C69}">
  <dimension ref="A1:E9"/>
  <sheetViews>
    <sheetView workbookViewId="0"/>
  </sheetViews>
  <sheetFormatPr baseColWidth="10" defaultRowHeight="14.4" x14ac:dyDescent="0.3"/>
  <sheetData>
    <row r="1" spans="1:5" x14ac:dyDescent="0.3">
      <c r="A1" s="23" t="s">
        <v>4315</v>
      </c>
      <c r="B1" s="23" t="s">
        <v>0</v>
      </c>
      <c r="C1" s="23" t="s">
        <v>1</v>
      </c>
      <c r="D1" s="23" t="s">
        <v>2</v>
      </c>
      <c r="E1" s="23" t="s">
        <v>3</v>
      </c>
    </row>
    <row r="2" spans="1:5" x14ac:dyDescent="0.3">
      <c r="A2" s="23" t="s">
        <v>4</v>
      </c>
      <c r="B2" s="23" t="s">
        <v>5</v>
      </c>
      <c r="C2" s="23" t="s">
        <v>6</v>
      </c>
    </row>
    <row r="3" spans="1:5" x14ac:dyDescent="0.3">
      <c r="A3" s="23" t="s">
        <v>4</v>
      </c>
      <c r="B3" s="23" t="s">
        <v>7</v>
      </c>
      <c r="C3" s="23" t="s">
        <v>8</v>
      </c>
    </row>
    <row r="4" spans="1:5" x14ac:dyDescent="0.3">
      <c r="A4" s="23" t="s">
        <v>9</v>
      </c>
      <c r="B4" s="23" t="s">
        <v>10</v>
      </c>
      <c r="C4" s="23" t="s">
        <v>4312</v>
      </c>
      <c r="D4" s="23" t="s">
        <v>77</v>
      </c>
    </row>
    <row r="5" spans="1:5" x14ac:dyDescent="0.3">
      <c r="A5" s="23" t="s">
        <v>9</v>
      </c>
      <c r="B5" s="23" t="s">
        <v>14</v>
      </c>
      <c r="C5" s="23" t="s">
        <v>4313</v>
      </c>
      <c r="D5" s="23" t="s">
        <v>78</v>
      </c>
    </row>
    <row r="6" spans="1:5" x14ac:dyDescent="0.3">
      <c r="A6" s="23" t="s">
        <v>9</v>
      </c>
      <c r="B6" s="23" t="s">
        <v>11</v>
      </c>
    </row>
    <row r="7" spans="1:5" x14ac:dyDescent="0.3">
      <c r="A7" s="23" t="s">
        <v>9</v>
      </c>
      <c r="B7" s="23" t="s">
        <v>12</v>
      </c>
    </row>
    <row r="8" spans="1:5" x14ac:dyDescent="0.3">
      <c r="A8" s="23" t="s">
        <v>9</v>
      </c>
      <c r="B8" s="23" t="s">
        <v>13</v>
      </c>
      <c r="E8" s="23" t="s">
        <v>79</v>
      </c>
    </row>
    <row r="9" spans="1:5" x14ac:dyDescent="0.3">
      <c r="A9" s="23" t="s">
        <v>4</v>
      </c>
      <c r="B9" s="23" t="s">
        <v>80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41F8-82D8-4A4E-8FE6-1E6F21D699A3}">
  <dimension ref="A1:E18"/>
  <sheetViews>
    <sheetView workbookViewId="0"/>
  </sheetViews>
  <sheetFormatPr baseColWidth="10" defaultRowHeight="14.4" x14ac:dyDescent="0.3"/>
  <sheetData>
    <row r="1" spans="1:5" x14ac:dyDescent="0.3">
      <c r="A1" s="23" t="s">
        <v>4331</v>
      </c>
      <c r="B1" s="23" t="s">
        <v>4</v>
      </c>
      <c r="C1" s="23" t="s">
        <v>15</v>
      </c>
      <c r="D1" s="23" t="s">
        <v>15</v>
      </c>
    </row>
    <row r="2" spans="1:5" x14ac:dyDescent="0.3">
      <c r="C2" s="23" t="s">
        <v>74</v>
      </c>
      <c r="D2" s="23" t="s">
        <v>75</v>
      </c>
    </row>
    <row r="3" spans="1:5" x14ac:dyDescent="0.3">
      <c r="B3" s="23" t="s">
        <v>300</v>
      </c>
      <c r="C3" s="23" t="s">
        <v>85</v>
      </c>
      <c r="D3" s="23" t="s">
        <v>86</v>
      </c>
      <c r="E3" s="23" t="s">
        <v>87</v>
      </c>
    </row>
    <row r="4" spans="1:5" x14ac:dyDescent="0.3">
      <c r="A4" s="23" t="s">
        <v>299</v>
      </c>
      <c r="B4" s="23" t="s">
        <v>4317</v>
      </c>
      <c r="C4" s="23" t="s">
        <v>333</v>
      </c>
      <c r="D4" s="23" t="s">
        <v>319</v>
      </c>
      <c r="E4" s="23" t="s">
        <v>358</v>
      </c>
    </row>
    <row r="5" spans="1:5" x14ac:dyDescent="0.3">
      <c r="A5" s="23" t="s">
        <v>299</v>
      </c>
      <c r="B5" s="23" t="s">
        <v>4318</v>
      </c>
      <c r="C5" s="23" t="s">
        <v>334</v>
      </c>
      <c r="D5" s="23" t="s">
        <v>346</v>
      </c>
      <c r="E5" s="23" t="s">
        <v>359</v>
      </c>
    </row>
    <row r="6" spans="1:5" x14ac:dyDescent="0.3">
      <c r="A6" s="23" t="s">
        <v>299</v>
      </c>
      <c r="B6" s="23" t="s">
        <v>4319</v>
      </c>
      <c r="C6" s="23" t="s">
        <v>335</v>
      </c>
      <c r="D6" s="23" t="s">
        <v>347</v>
      </c>
      <c r="E6" s="23" t="s">
        <v>360</v>
      </c>
    </row>
    <row r="7" spans="1:5" x14ac:dyDescent="0.3">
      <c r="A7" s="23" t="s">
        <v>299</v>
      </c>
      <c r="B7" s="23" t="s">
        <v>4320</v>
      </c>
      <c r="C7" s="23" t="s">
        <v>336</v>
      </c>
      <c r="D7" s="23" t="s">
        <v>348</v>
      </c>
      <c r="E7" s="23" t="s">
        <v>361</v>
      </c>
    </row>
    <row r="8" spans="1:5" x14ac:dyDescent="0.3">
      <c r="A8" s="23" t="s">
        <v>299</v>
      </c>
      <c r="B8" s="23" t="s">
        <v>4321</v>
      </c>
      <c r="C8" s="23" t="s">
        <v>337</v>
      </c>
      <c r="D8" s="23" t="s">
        <v>349</v>
      </c>
      <c r="E8" s="23" t="s">
        <v>362</v>
      </c>
    </row>
    <row r="9" spans="1:5" x14ac:dyDescent="0.3">
      <c r="A9" s="23" t="s">
        <v>299</v>
      </c>
      <c r="B9" s="23" t="s">
        <v>4322</v>
      </c>
      <c r="C9" s="23" t="s">
        <v>338</v>
      </c>
      <c r="D9" s="23" t="s">
        <v>350</v>
      </c>
      <c r="E9" s="23" t="s">
        <v>363</v>
      </c>
    </row>
    <row r="10" spans="1:5" x14ac:dyDescent="0.3">
      <c r="A10" s="23" t="s">
        <v>299</v>
      </c>
      <c r="B10" s="23" t="s">
        <v>4323</v>
      </c>
      <c r="C10" s="23" t="s">
        <v>339</v>
      </c>
      <c r="D10" s="23" t="s">
        <v>351</v>
      </c>
      <c r="E10" s="23" t="s">
        <v>364</v>
      </c>
    </row>
    <row r="11" spans="1:5" x14ac:dyDescent="0.3">
      <c r="A11" s="23" t="s">
        <v>299</v>
      </c>
      <c r="B11" s="23" t="s">
        <v>4324</v>
      </c>
      <c r="C11" s="23" t="s">
        <v>340</v>
      </c>
      <c r="D11" s="23" t="s">
        <v>352</v>
      </c>
      <c r="E11" s="23" t="s">
        <v>365</v>
      </c>
    </row>
    <row r="12" spans="1:5" x14ac:dyDescent="0.3">
      <c r="A12" s="23" t="s">
        <v>299</v>
      </c>
      <c r="B12" s="23" t="s">
        <v>4325</v>
      </c>
      <c r="C12" s="23" t="s">
        <v>341</v>
      </c>
      <c r="D12" s="23" t="s">
        <v>353</v>
      </c>
      <c r="E12" s="23" t="s">
        <v>366</v>
      </c>
    </row>
    <row r="13" spans="1:5" x14ac:dyDescent="0.3">
      <c r="A13" s="23" t="s">
        <v>299</v>
      </c>
      <c r="B13" s="23" t="s">
        <v>4326</v>
      </c>
      <c r="C13" s="23" t="s">
        <v>342</v>
      </c>
      <c r="D13" s="23" t="s">
        <v>354</v>
      </c>
      <c r="E13" s="23" t="s">
        <v>367</v>
      </c>
    </row>
    <row r="14" spans="1:5" x14ac:dyDescent="0.3">
      <c r="A14" s="23" t="s">
        <v>299</v>
      </c>
      <c r="B14" s="23" t="s">
        <v>4327</v>
      </c>
      <c r="C14" s="23" t="s">
        <v>343</v>
      </c>
      <c r="D14" s="23" t="s">
        <v>355</v>
      </c>
      <c r="E14" s="23" t="s">
        <v>368</v>
      </c>
    </row>
    <row r="15" spans="1:5" x14ac:dyDescent="0.3">
      <c r="A15" s="23" t="s">
        <v>299</v>
      </c>
      <c r="B15" s="23" t="s">
        <v>4328</v>
      </c>
      <c r="C15" s="23" t="s">
        <v>344</v>
      </c>
      <c r="D15" s="23" t="s">
        <v>356</v>
      </c>
      <c r="E15" s="23" t="s">
        <v>369</v>
      </c>
    </row>
    <row r="16" spans="1:5" x14ac:dyDescent="0.3">
      <c r="A16" s="23" t="s">
        <v>299</v>
      </c>
      <c r="B16" s="23" t="s">
        <v>4329</v>
      </c>
      <c r="C16" s="23" t="s">
        <v>345</v>
      </c>
      <c r="D16" s="23" t="s">
        <v>357</v>
      </c>
      <c r="E16" s="23" t="s">
        <v>370</v>
      </c>
    </row>
    <row r="18" spans="3:4" x14ac:dyDescent="0.3">
      <c r="C18" s="23" t="s">
        <v>43</v>
      </c>
      <c r="D18" s="23" t="s">
        <v>4330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581E-4DD0-4EF9-A4B6-4C19A98C7E73}">
  <dimension ref="A1:AG22"/>
  <sheetViews>
    <sheetView workbookViewId="0"/>
  </sheetViews>
  <sheetFormatPr baseColWidth="10" defaultRowHeight="14.4" x14ac:dyDescent="0.3"/>
  <sheetData>
    <row r="1" spans="1:33" x14ac:dyDescent="0.3">
      <c r="A1" s="23" t="s">
        <v>4356</v>
      </c>
      <c r="B1" s="23" t="s">
        <v>4</v>
      </c>
      <c r="C1" s="23" t="s">
        <v>4</v>
      </c>
      <c r="D1" s="23" t="s">
        <v>15</v>
      </c>
      <c r="E1" s="23" t="s">
        <v>15</v>
      </c>
      <c r="F1" s="23" t="s">
        <v>15</v>
      </c>
      <c r="G1" s="23" t="s">
        <v>15</v>
      </c>
      <c r="H1" s="23" t="s">
        <v>15</v>
      </c>
      <c r="I1" s="23" t="s">
        <v>15</v>
      </c>
      <c r="J1" s="23" t="s">
        <v>15</v>
      </c>
      <c r="K1" s="23" t="s">
        <v>15</v>
      </c>
      <c r="L1" s="23" t="s">
        <v>15</v>
      </c>
      <c r="M1" s="23" t="s">
        <v>15</v>
      </c>
      <c r="N1" s="23" t="s">
        <v>15</v>
      </c>
      <c r="O1" s="23" t="s">
        <v>15</v>
      </c>
      <c r="P1" s="23" t="s">
        <v>15</v>
      </c>
      <c r="Q1" s="23" t="s">
        <v>15</v>
      </c>
      <c r="R1" s="23" t="s">
        <v>15</v>
      </c>
      <c r="S1" s="23" t="s">
        <v>15</v>
      </c>
      <c r="T1" s="23" t="s">
        <v>15</v>
      </c>
      <c r="U1" s="23" t="s">
        <v>15</v>
      </c>
      <c r="V1" s="23" t="s">
        <v>15</v>
      </c>
      <c r="W1" s="23" t="s">
        <v>15</v>
      </c>
      <c r="Y1" s="23" t="s">
        <v>15</v>
      </c>
      <c r="Z1" s="23" t="s">
        <v>15</v>
      </c>
      <c r="AA1" s="23" t="s">
        <v>15</v>
      </c>
      <c r="AB1" s="23" t="s">
        <v>15</v>
      </c>
      <c r="AC1" s="23" t="s">
        <v>15</v>
      </c>
      <c r="AE1" s="23" t="s">
        <v>15</v>
      </c>
      <c r="AF1" s="23" t="s">
        <v>15</v>
      </c>
      <c r="AG1" s="23" t="s">
        <v>4</v>
      </c>
    </row>
    <row r="2" spans="1:33" x14ac:dyDescent="0.3">
      <c r="L2" s="23" t="s">
        <v>17</v>
      </c>
      <c r="Z2" s="23" t="s">
        <v>18</v>
      </c>
    </row>
    <row r="3" spans="1:33" x14ac:dyDescent="0.3">
      <c r="D3" s="23" t="s">
        <v>19</v>
      </c>
      <c r="E3" s="23" t="s">
        <v>16</v>
      </c>
      <c r="F3" s="23" t="s">
        <v>20</v>
      </c>
      <c r="G3" s="23" t="s">
        <v>21</v>
      </c>
      <c r="H3" s="23" t="s">
        <v>22</v>
      </c>
      <c r="I3" s="23" t="s">
        <v>68</v>
      </c>
      <c r="J3" s="23" t="s">
        <v>23</v>
      </c>
      <c r="K3" s="23" t="s">
        <v>24</v>
      </c>
      <c r="L3" s="23" t="s">
        <v>25</v>
      </c>
      <c r="M3" s="23" t="s">
        <v>26</v>
      </c>
      <c r="N3" s="23" t="s">
        <v>27</v>
      </c>
      <c r="O3" s="23" t="s">
        <v>28</v>
      </c>
      <c r="P3" s="23" t="s">
        <v>29</v>
      </c>
      <c r="Q3" s="23" t="s">
        <v>30</v>
      </c>
      <c r="R3" s="23" t="s">
        <v>60</v>
      </c>
      <c r="S3" s="23" t="s">
        <v>31</v>
      </c>
      <c r="T3" s="23" t="s">
        <v>32</v>
      </c>
      <c r="U3" s="23" t="s">
        <v>33</v>
      </c>
      <c r="V3" s="23" t="s">
        <v>34</v>
      </c>
      <c r="W3" s="23" t="s">
        <v>35</v>
      </c>
      <c r="X3" s="23" t="s">
        <v>36</v>
      </c>
      <c r="Y3" s="23" t="s">
        <v>37</v>
      </c>
      <c r="Z3" s="23" t="s">
        <v>38</v>
      </c>
      <c r="AA3" s="23" t="s">
        <v>39</v>
      </c>
      <c r="AB3" s="23" t="s">
        <v>40</v>
      </c>
      <c r="AC3" s="23" t="s">
        <v>70</v>
      </c>
      <c r="AD3" s="23" t="s">
        <v>71</v>
      </c>
      <c r="AE3" s="23" t="s">
        <v>41</v>
      </c>
      <c r="AF3" s="23" t="s">
        <v>42</v>
      </c>
    </row>
    <row r="4" spans="1:33" ht="409.6" x14ac:dyDescent="0.3">
      <c r="B4" s="24" t="s">
        <v>322</v>
      </c>
      <c r="C4" s="23" t="s">
        <v>93</v>
      </c>
      <c r="D4" s="23" t="s">
        <v>94</v>
      </c>
      <c r="E4" s="23" t="s">
        <v>95</v>
      </c>
      <c r="F4" s="23" t="s">
        <v>96</v>
      </c>
      <c r="G4" s="23" t="s">
        <v>97</v>
      </c>
      <c r="H4" s="23" t="s">
        <v>98</v>
      </c>
      <c r="I4" s="23" t="s">
        <v>99</v>
      </c>
      <c r="J4" s="23" t="s">
        <v>100</v>
      </c>
      <c r="K4" s="23" t="s">
        <v>101</v>
      </c>
      <c r="L4" s="23" t="s">
        <v>102</v>
      </c>
      <c r="M4" s="23" t="s">
        <v>103</v>
      </c>
      <c r="N4" s="23" t="s">
        <v>104</v>
      </c>
      <c r="O4" s="23" t="s">
        <v>105</v>
      </c>
      <c r="P4" s="23" t="s">
        <v>106</v>
      </c>
      <c r="Q4" s="23" t="s">
        <v>107</v>
      </c>
      <c r="R4" s="23" t="s">
        <v>108</v>
      </c>
      <c r="S4" s="23" t="s">
        <v>109</v>
      </c>
      <c r="T4" s="23" t="s">
        <v>110</v>
      </c>
      <c r="U4" s="23" t="s">
        <v>111</v>
      </c>
      <c r="V4" s="23" t="s">
        <v>112</v>
      </c>
      <c r="W4" s="23" t="s">
        <v>113</v>
      </c>
      <c r="X4" s="23" t="s">
        <v>114</v>
      </c>
      <c r="Y4" s="23" t="s">
        <v>115</v>
      </c>
      <c r="Z4" s="23" t="s">
        <v>116</v>
      </c>
      <c r="AA4" s="23" t="s">
        <v>117</v>
      </c>
      <c r="AB4" s="23" t="s">
        <v>306</v>
      </c>
      <c r="AC4" s="23" t="s">
        <v>118</v>
      </c>
      <c r="AD4" s="23" t="s">
        <v>119</v>
      </c>
      <c r="AE4" s="23" t="s">
        <v>120</v>
      </c>
      <c r="AF4" s="23" t="s">
        <v>121</v>
      </c>
      <c r="AG4" s="23" t="s">
        <v>302</v>
      </c>
    </row>
    <row r="5" spans="1:33" x14ac:dyDescent="0.3">
      <c r="A5" s="23" t="s">
        <v>299</v>
      </c>
      <c r="B5" s="23" t="s">
        <v>4333</v>
      </c>
      <c r="C5" s="23" t="s">
        <v>1379</v>
      </c>
      <c r="D5" s="23" t="s">
        <v>371</v>
      </c>
      <c r="E5" s="23" t="s">
        <v>372</v>
      </c>
      <c r="F5" s="23" t="s">
        <v>373</v>
      </c>
      <c r="G5" s="23" t="s">
        <v>374</v>
      </c>
      <c r="H5" s="23" t="s">
        <v>375</v>
      </c>
      <c r="I5" s="23" t="s">
        <v>376</v>
      </c>
      <c r="J5" s="23" t="s">
        <v>377</v>
      </c>
      <c r="K5" s="23" t="s">
        <v>378</v>
      </c>
      <c r="L5" s="23" t="s">
        <v>379</v>
      </c>
      <c r="M5" s="23" t="s">
        <v>380</v>
      </c>
      <c r="N5" s="23" t="s">
        <v>381</v>
      </c>
      <c r="O5" s="23" t="s">
        <v>382</v>
      </c>
      <c r="P5" s="23" t="s">
        <v>383</v>
      </c>
      <c r="Q5" s="23" t="s">
        <v>384</v>
      </c>
      <c r="R5" s="23" t="s">
        <v>385</v>
      </c>
      <c r="S5" s="23" t="s">
        <v>386</v>
      </c>
      <c r="T5" s="23" t="s">
        <v>387</v>
      </c>
      <c r="U5" s="23" t="s">
        <v>388</v>
      </c>
      <c r="V5" s="23" t="s">
        <v>389</v>
      </c>
      <c r="W5" s="23" t="s">
        <v>390</v>
      </c>
      <c r="X5" s="23" t="s">
        <v>391</v>
      </c>
      <c r="Y5" s="23" t="s">
        <v>392</v>
      </c>
      <c r="Z5" s="23" t="s">
        <v>393</v>
      </c>
      <c r="AA5" s="23" t="s">
        <v>394</v>
      </c>
      <c r="AB5" s="23" t="s">
        <v>395</v>
      </c>
      <c r="AC5" s="23" t="s">
        <v>396</v>
      </c>
      <c r="AD5" s="23" t="s">
        <v>397</v>
      </c>
      <c r="AE5" s="23" t="s">
        <v>398</v>
      </c>
      <c r="AF5" s="23" t="s">
        <v>399</v>
      </c>
      <c r="AG5" s="23" t="s">
        <v>400</v>
      </c>
    </row>
    <row r="6" spans="1:33" x14ac:dyDescent="0.3">
      <c r="A6" s="23" t="s">
        <v>299</v>
      </c>
      <c r="B6" s="23" t="s">
        <v>4334</v>
      </c>
      <c r="C6" s="23" t="s">
        <v>1380</v>
      </c>
      <c r="D6" s="23" t="s">
        <v>401</v>
      </c>
      <c r="E6" s="23" t="s">
        <v>402</v>
      </c>
      <c r="F6" s="23" t="s">
        <v>403</v>
      </c>
      <c r="G6" s="23" t="s">
        <v>404</v>
      </c>
      <c r="H6" s="23" t="s">
        <v>405</v>
      </c>
      <c r="I6" s="23" t="s">
        <v>406</v>
      </c>
      <c r="J6" s="23" t="s">
        <v>407</v>
      </c>
      <c r="K6" s="23" t="s">
        <v>408</v>
      </c>
      <c r="L6" s="23" t="s">
        <v>409</v>
      </c>
      <c r="M6" s="23" t="s">
        <v>410</v>
      </c>
      <c r="N6" s="23" t="s">
        <v>411</v>
      </c>
      <c r="O6" s="23" t="s">
        <v>412</v>
      </c>
      <c r="P6" s="23" t="s">
        <v>413</v>
      </c>
      <c r="Q6" s="23" t="s">
        <v>414</v>
      </c>
      <c r="R6" s="23" t="s">
        <v>415</v>
      </c>
      <c r="S6" s="23" t="s">
        <v>416</v>
      </c>
      <c r="T6" s="23" t="s">
        <v>417</v>
      </c>
      <c r="U6" s="23" t="s">
        <v>418</v>
      </c>
      <c r="V6" s="23" t="s">
        <v>419</v>
      </c>
      <c r="W6" s="23" t="s">
        <v>420</v>
      </c>
      <c r="X6" s="23" t="s">
        <v>421</v>
      </c>
      <c r="Y6" s="23" t="s">
        <v>422</v>
      </c>
      <c r="Z6" s="23" t="s">
        <v>423</v>
      </c>
      <c r="AA6" s="23" t="s">
        <v>424</v>
      </c>
      <c r="AB6" s="23" t="s">
        <v>425</v>
      </c>
      <c r="AC6" s="23" t="s">
        <v>426</v>
      </c>
      <c r="AD6" s="23" t="s">
        <v>427</v>
      </c>
      <c r="AE6" s="23" t="s">
        <v>428</v>
      </c>
      <c r="AF6" s="23" t="s">
        <v>429</v>
      </c>
      <c r="AG6" s="23" t="s">
        <v>430</v>
      </c>
    </row>
    <row r="7" spans="1:33" x14ac:dyDescent="0.3">
      <c r="A7" s="23" t="s">
        <v>299</v>
      </c>
      <c r="B7" s="23" t="s">
        <v>4335</v>
      </c>
      <c r="C7" s="23" t="s">
        <v>1381</v>
      </c>
      <c r="D7" s="23" t="s">
        <v>431</v>
      </c>
      <c r="E7" s="23" t="s">
        <v>432</v>
      </c>
      <c r="F7" s="23" t="s">
        <v>433</v>
      </c>
      <c r="G7" s="23" t="s">
        <v>434</v>
      </c>
      <c r="H7" s="23" t="s">
        <v>435</v>
      </c>
      <c r="I7" s="23" t="s">
        <v>436</v>
      </c>
      <c r="J7" s="23" t="s">
        <v>437</v>
      </c>
      <c r="K7" s="23" t="s">
        <v>438</v>
      </c>
      <c r="L7" s="23" t="s">
        <v>439</v>
      </c>
      <c r="M7" s="23" t="s">
        <v>440</v>
      </c>
      <c r="N7" s="23" t="s">
        <v>441</v>
      </c>
      <c r="O7" s="23" t="s">
        <v>442</v>
      </c>
      <c r="P7" s="23" t="s">
        <v>443</v>
      </c>
      <c r="Q7" s="23" t="s">
        <v>444</v>
      </c>
      <c r="R7" s="23" t="s">
        <v>445</v>
      </c>
      <c r="S7" s="23" t="s">
        <v>446</v>
      </c>
      <c r="T7" s="23" t="s">
        <v>447</v>
      </c>
      <c r="U7" s="23" t="s">
        <v>448</v>
      </c>
      <c r="V7" s="23" t="s">
        <v>449</v>
      </c>
      <c r="W7" s="23" t="s">
        <v>450</v>
      </c>
      <c r="X7" s="23" t="s">
        <v>451</v>
      </c>
      <c r="Y7" s="23" t="s">
        <v>452</v>
      </c>
      <c r="Z7" s="23" t="s">
        <v>453</v>
      </c>
      <c r="AA7" s="23" t="s">
        <v>454</v>
      </c>
      <c r="AB7" s="23" t="s">
        <v>455</v>
      </c>
      <c r="AC7" s="23" t="s">
        <v>456</v>
      </c>
      <c r="AD7" s="23" t="s">
        <v>457</v>
      </c>
      <c r="AE7" s="23" t="s">
        <v>458</v>
      </c>
      <c r="AF7" s="23" t="s">
        <v>459</v>
      </c>
      <c r="AG7" s="23" t="s">
        <v>460</v>
      </c>
    </row>
    <row r="8" spans="1:33" x14ac:dyDescent="0.3">
      <c r="A8" s="23" t="s">
        <v>299</v>
      </c>
      <c r="B8" s="23" t="s">
        <v>4336</v>
      </c>
      <c r="C8" s="23" t="s">
        <v>1382</v>
      </c>
      <c r="D8" s="23" t="s">
        <v>461</v>
      </c>
      <c r="E8" s="23" t="s">
        <v>462</v>
      </c>
      <c r="F8" s="23" t="s">
        <v>463</v>
      </c>
      <c r="G8" s="23" t="s">
        <v>464</v>
      </c>
      <c r="H8" s="23" t="s">
        <v>465</v>
      </c>
      <c r="I8" s="23" t="s">
        <v>466</v>
      </c>
      <c r="J8" s="23" t="s">
        <v>467</v>
      </c>
      <c r="K8" s="23" t="s">
        <v>468</v>
      </c>
      <c r="L8" s="23" t="s">
        <v>469</v>
      </c>
      <c r="M8" s="23" t="s">
        <v>470</v>
      </c>
      <c r="N8" s="23" t="s">
        <v>471</v>
      </c>
      <c r="O8" s="23" t="s">
        <v>472</v>
      </c>
      <c r="P8" s="23" t="s">
        <v>473</v>
      </c>
      <c r="Q8" s="23" t="s">
        <v>474</v>
      </c>
      <c r="R8" s="23" t="s">
        <v>475</v>
      </c>
      <c r="S8" s="23" t="s">
        <v>476</v>
      </c>
      <c r="T8" s="23" t="s">
        <v>477</v>
      </c>
      <c r="U8" s="23" t="s">
        <v>478</v>
      </c>
      <c r="V8" s="23" t="s">
        <v>479</v>
      </c>
      <c r="W8" s="23" t="s">
        <v>480</v>
      </c>
      <c r="X8" s="23" t="s">
        <v>481</v>
      </c>
      <c r="Y8" s="23" t="s">
        <v>482</v>
      </c>
      <c r="Z8" s="23" t="s">
        <v>483</v>
      </c>
      <c r="AA8" s="23" t="s">
        <v>484</v>
      </c>
      <c r="AB8" s="23" t="s">
        <v>485</v>
      </c>
      <c r="AC8" s="23" t="s">
        <v>486</v>
      </c>
      <c r="AD8" s="23" t="s">
        <v>487</v>
      </c>
      <c r="AE8" s="23" t="s">
        <v>488</v>
      </c>
      <c r="AF8" s="23" t="s">
        <v>489</v>
      </c>
      <c r="AG8" s="23" t="s">
        <v>490</v>
      </c>
    </row>
    <row r="9" spans="1:33" x14ac:dyDescent="0.3">
      <c r="A9" s="23" t="s">
        <v>299</v>
      </c>
      <c r="B9" s="23" t="s">
        <v>4337</v>
      </c>
      <c r="C9" s="23" t="s">
        <v>1383</v>
      </c>
      <c r="D9" s="23" t="s">
        <v>491</v>
      </c>
      <c r="E9" s="23" t="s">
        <v>492</v>
      </c>
      <c r="F9" s="23" t="s">
        <v>493</v>
      </c>
      <c r="G9" s="23" t="s">
        <v>494</v>
      </c>
      <c r="H9" s="23" t="s">
        <v>495</v>
      </c>
      <c r="I9" s="23" t="s">
        <v>496</v>
      </c>
      <c r="J9" s="23" t="s">
        <v>497</v>
      </c>
      <c r="K9" s="23" t="s">
        <v>498</v>
      </c>
      <c r="L9" s="23" t="s">
        <v>499</v>
      </c>
      <c r="M9" s="23" t="s">
        <v>500</v>
      </c>
      <c r="N9" s="23" t="s">
        <v>501</v>
      </c>
      <c r="O9" s="23" t="s">
        <v>502</v>
      </c>
      <c r="P9" s="23" t="s">
        <v>503</v>
      </c>
      <c r="Q9" s="23" t="s">
        <v>504</v>
      </c>
      <c r="R9" s="23" t="s">
        <v>505</v>
      </c>
      <c r="S9" s="23" t="s">
        <v>506</v>
      </c>
      <c r="T9" s="23" t="s">
        <v>507</v>
      </c>
      <c r="U9" s="23" t="s">
        <v>508</v>
      </c>
      <c r="V9" s="23" t="s">
        <v>509</v>
      </c>
      <c r="W9" s="23" t="s">
        <v>510</v>
      </c>
      <c r="X9" s="23" t="s">
        <v>511</v>
      </c>
      <c r="Y9" s="23" t="s">
        <v>512</v>
      </c>
      <c r="Z9" s="23" t="s">
        <v>513</v>
      </c>
      <c r="AA9" s="23" t="s">
        <v>514</v>
      </c>
      <c r="AB9" s="23" t="s">
        <v>515</v>
      </c>
      <c r="AC9" s="23" t="s">
        <v>516</v>
      </c>
      <c r="AD9" s="23" t="s">
        <v>517</v>
      </c>
      <c r="AE9" s="23" t="s">
        <v>518</v>
      </c>
      <c r="AF9" s="23" t="s">
        <v>519</v>
      </c>
      <c r="AG9" s="23" t="s">
        <v>520</v>
      </c>
    </row>
    <row r="10" spans="1:33" x14ac:dyDescent="0.3">
      <c r="A10" s="23" t="s">
        <v>299</v>
      </c>
      <c r="B10" s="23" t="s">
        <v>4338</v>
      </c>
      <c r="C10" s="23" t="s">
        <v>1384</v>
      </c>
      <c r="D10" s="23" t="s">
        <v>521</v>
      </c>
      <c r="E10" s="23" t="s">
        <v>522</v>
      </c>
      <c r="F10" s="23" t="s">
        <v>523</v>
      </c>
      <c r="G10" s="23" t="s">
        <v>524</v>
      </c>
      <c r="H10" s="23" t="s">
        <v>525</v>
      </c>
      <c r="I10" s="23" t="s">
        <v>526</v>
      </c>
      <c r="J10" s="23" t="s">
        <v>527</v>
      </c>
      <c r="K10" s="23" t="s">
        <v>528</v>
      </c>
      <c r="L10" s="23" t="s">
        <v>529</v>
      </c>
      <c r="M10" s="23" t="s">
        <v>530</v>
      </c>
      <c r="N10" s="23" t="s">
        <v>531</v>
      </c>
      <c r="O10" s="23" t="s">
        <v>532</v>
      </c>
      <c r="P10" s="23" t="s">
        <v>533</v>
      </c>
      <c r="Q10" s="23" t="s">
        <v>534</v>
      </c>
      <c r="R10" s="23" t="s">
        <v>535</v>
      </c>
      <c r="S10" s="23" t="s">
        <v>536</v>
      </c>
      <c r="T10" s="23" t="s">
        <v>537</v>
      </c>
      <c r="U10" s="23" t="s">
        <v>538</v>
      </c>
      <c r="V10" s="23" t="s">
        <v>539</v>
      </c>
      <c r="W10" s="23" t="s">
        <v>540</v>
      </c>
      <c r="X10" s="23" t="s">
        <v>541</v>
      </c>
      <c r="Y10" s="23" t="s">
        <v>542</v>
      </c>
      <c r="Z10" s="23" t="s">
        <v>543</v>
      </c>
      <c r="AA10" s="23" t="s">
        <v>544</v>
      </c>
      <c r="AB10" s="23" t="s">
        <v>545</v>
      </c>
      <c r="AC10" s="23" t="s">
        <v>546</v>
      </c>
      <c r="AD10" s="23" t="s">
        <v>547</v>
      </c>
      <c r="AE10" s="23" t="s">
        <v>548</v>
      </c>
      <c r="AF10" s="23" t="s">
        <v>549</v>
      </c>
      <c r="AG10" s="23" t="s">
        <v>550</v>
      </c>
    </row>
    <row r="11" spans="1:33" x14ac:dyDescent="0.3">
      <c r="A11" s="23" t="s">
        <v>299</v>
      </c>
      <c r="B11" s="23" t="s">
        <v>4339</v>
      </c>
      <c r="C11" s="23" t="s">
        <v>1385</v>
      </c>
      <c r="D11" s="23" t="s">
        <v>551</v>
      </c>
      <c r="E11" s="23" t="s">
        <v>552</v>
      </c>
      <c r="F11" s="23" t="s">
        <v>553</v>
      </c>
      <c r="G11" s="23" t="s">
        <v>554</v>
      </c>
      <c r="H11" s="23" t="s">
        <v>555</v>
      </c>
      <c r="I11" s="23" t="s">
        <v>556</v>
      </c>
      <c r="J11" s="23" t="s">
        <v>557</v>
      </c>
      <c r="K11" s="23" t="s">
        <v>558</v>
      </c>
      <c r="L11" s="23" t="s">
        <v>559</v>
      </c>
      <c r="M11" s="23" t="s">
        <v>560</v>
      </c>
      <c r="N11" s="23" t="s">
        <v>561</v>
      </c>
      <c r="O11" s="23" t="s">
        <v>562</v>
      </c>
      <c r="P11" s="23" t="s">
        <v>563</v>
      </c>
      <c r="Q11" s="23" t="s">
        <v>564</v>
      </c>
      <c r="R11" s="23" t="s">
        <v>565</v>
      </c>
      <c r="S11" s="23" t="s">
        <v>566</v>
      </c>
      <c r="T11" s="23" t="s">
        <v>567</v>
      </c>
      <c r="U11" s="23" t="s">
        <v>568</v>
      </c>
      <c r="V11" s="23" t="s">
        <v>569</v>
      </c>
      <c r="W11" s="23" t="s">
        <v>570</v>
      </c>
      <c r="X11" s="23" t="s">
        <v>571</v>
      </c>
      <c r="Y11" s="23" t="s">
        <v>572</v>
      </c>
      <c r="Z11" s="23" t="s">
        <v>573</v>
      </c>
      <c r="AA11" s="23" t="s">
        <v>574</v>
      </c>
      <c r="AB11" s="23" t="s">
        <v>575</v>
      </c>
      <c r="AC11" s="23" t="s">
        <v>576</v>
      </c>
      <c r="AD11" s="23" t="s">
        <v>577</v>
      </c>
      <c r="AE11" s="23" t="s">
        <v>578</v>
      </c>
      <c r="AF11" s="23" t="s">
        <v>579</v>
      </c>
      <c r="AG11" s="23" t="s">
        <v>580</v>
      </c>
    </row>
    <row r="12" spans="1:33" x14ac:dyDescent="0.3">
      <c r="A12" s="23" t="s">
        <v>299</v>
      </c>
      <c r="B12" s="23" t="s">
        <v>4340</v>
      </c>
      <c r="C12" s="23" t="s">
        <v>1386</v>
      </c>
      <c r="D12" s="23" t="s">
        <v>581</v>
      </c>
      <c r="E12" s="23" t="s">
        <v>582</v>
      </c>
      <c r="F12" s="23" t="s">
        <v>583</v>
      </c>
      <c r="G12" s="23" t="s">
        <v>584</v>
      </c>
      <c r="H12" s="23" t="s">
        <v>585</v>
      </c>
      <c r="I12" s="23" t="s">
        <v>586</v>
      </c>
      <c r="J12" s="23" t="s">
        <v>587</v>
      </c>
      <c r="K12" s="23" t="s">
        <v>588</v>
      </c>
      <c r="L12" s="23" t="s">
        <v>589</v>
      </c>
      <c r="M12" s="23" t="s">
        <v>590</v>
      </c>
      <c r="N12" s="23" t="s">
        <v>591</v>
      </c>
      <c r="O12" s="23" t="s">
        <v>592</v>
      </c>
      <c r="P12" s="23" t="s">
        <v>593</v>
      </c>
      <c r="Q12" s="23" t="s">
        <v>594</v>
      </c>
      <c r="R12" s="23" t="s">
        <v>595</v>
      </c>
      <c r="S12" s="23" t="s">
        <v>596</v>
      </c>
      <c r="T12" s="23" t="s">
        <v>597</v>
      </c>
      <c r="U12" s="23" t="s">
        <v>598</v>
      </c>
      <c r="V12" s="23" t="s">
        <v>599</v>
      </c>
      <c r="W12" s="23" t="s">
        <v>600</v>
      </c>
      <c r="X12" s="23" t="s">
        <v>601</v>
      </c>
      <c r="Y12" s="23" t="s">
        <v>602</v>
      </c>
      <c r="Z12" s="23" t="s">
        <v>603</v>
      </c>
      <c r="AA12" s="23" t="s">
        <v>604</v>
      </c>
      <c r="AB12" s="23" t="s">
        <v>605</v>
      </c>
      <c r="AC12" s="23" t="s">
        <v>606</v>
      </c>
      <c r="AD12" s="23" t="s">
        <v>607</v>
      </c>
      <c r="AE12" s="23" t="s">
        <v>608</v>
      </c>
      <c r="AF12" s="23" t="s">
        <v>609</v>
      </c>
      <c r="AG12" s="23" t="s">
        <v>610</v>
      </c>
    </row>
    <row r="13" spans="1:33" x14ac:dyDescent="0.3">
      <c r="A13" s="23" t="s">
        <v>299</v>
      </c>
      <c r="B13" s="23" t="s">
        <v>4341</v>
      </c>
      <c r="C13" s="23" t="s">
        <v>1387</v>
      </c>
      <c r="D13" s="23" t="s">
        <v>611</v>
      </c>
      <c r="E13" s="23" t="s">
        <v>612</v>
      </c>
      <c r="F13" s="23" t="s">
        <v>613</v>
      </c>
      <c r="G13" s="23" t="s">
        <v>614</v>
      </c>
      <c r="H13" s="23" t="s">
        <v>615</v>
      </c>
      <c r="I13" s="23" t="s">
        <v>616</v>
      </c>
      <c r="J13" s="23" t="s">
        <v>617</v>
      </c>
      <c r="K13" s="23" t="s">
        <v>618</v>
      </c>
      <c r="L13" s="23" t="s">
        <v>619</v>
      </c>
      <c r="M13" s="23" t="s">
        <v>620</v>
      </c>
      <c r="N13" s="23" t="s">
        <v>621</v>
      </c>
      <c r="O13" s="23" t="s">
        <v>622</v>
      </c>
      <c r="P13" s="23" t="s">
        <v>623</v>
      </c>
      <c r="Q13" s="23" t="s">
        <v>624</v>
      </c>
      <c r="R13" s="23" t="s">
        <v>625</v>
      </c>
      <c r="S13" s="23" t="s">
        <v>626</v>
      </c>
      <c r="T13" s="23" t="s">
        <v>627</v>
      </c>
      <c r="U13" s="23" t="s">
        <v>628</v>
      </c>
      <c r="V13" s="23" t="s">
        <v>629</v>
      </c>
      <c r="W13" s="23" t="s">
        <v>630</v>
      </c>
      <c r="X13" s="23" t="s">
        <v>631</v>
      </c>
      <c r="Y13" s="23" t="s">
        <v>632</v>
      </c>
      <c r="Z13" s="23" t="s">
        <v>633</v>
      </c>
      <c r="AA13" s="23" t="s">
        <v>634</v>
      </c>
      <c r="AB13" s="23" t="s">
        <v>635</v>
      </c>
      <c r="AC13" s="23" t="s">
        <v>636</v>
      </c>
      <c r="AD13" s="23" t="s">
        <v>637</v>
      </c>
      <c r="AE13" s="23" t="s">
        <v>638</v>
      </c>
      <c r="AF13" s="23" t="s">
        <v>639</v>
      </c>
      <c r="AG13" s="23" t="s">
        <v>640</v>
      </c>
    </row>
    <row r="14" spans="1:33" x14ac:dyDescent="0.3">
      <c r="A14" s="23" t="s">
        <v>299</v>
      </c>
      <c r="B14" s="23" t="s">
        <v>4342</v>
      </c>
      <c r="C14" s="23" t="s">
        <v>1388</v>
      </c>
      <c r="D14" s="23" t="s">
        <v>641</v>
      </c>
      <c r="E14" s="23" t="s">
        <v>642</v>
      </c>
      <c r="F14" s="23" t="s">
        <v>643</v>
      </c>
      <c r="G14" s="23" t="s">
        <v>644</v>
      </c>
      <c r="H14" s="23" t="s">
        <v>645</v>
      </c>
      <c r="I14" s="23" t="s">
        <v>646</v>
      </c>
      <c r="J14" s="23" t="s">
        <v>647</v>
      </c>
      <c r="K14" s="23" t="s">
        <v>648</v>
      </c>
      <c r="L14" s="23" t="s">
        <v>649</v>
      </c>
      <c r="M14" s="23" t="s">
        <v>650</v>
      </c>
      <c r="N14" s="23" t="s">
        <v>651</v>
      </c>
      <c r="O14" s="23" t="s">
        <v>652</v>
      </c>
      <c r="P14" s="23" t="s">
        <v>653</v>
      </c>
      <c r="Q14" s="23" t="s">
        <v>654</v>
      </c>
      <c r="R14" s="23" t="s">
        <v>655</v>
      </c>
      <c r="S14" s="23" t="s">
        <v>656</v>
      </c>
      <c r="T14" s="23" t="s">
        <v>657</v>
      </c>
      <c r="U14" s="23" t="s">
        <v>658</v>
      </c>
      <c r="V14" s="23" t="s">
        <v>659</v>
      </c>
      <c r="W14" s="23" t="s">
        <v>660</v>
      </c>
      <c r="X14" s="23" t="s">
        <v>661</v>
      </c>
      <c r="Y14" s="23" t="s">
        <v>662</v>
      </c>
      <c r="Z14" s="23" t="s">
        <v>663</v>
      </c>
      <c r="AA14" s="23" t="s">
        <v>664</v>
      </c>
      <c r="AB14" s="23" t="s">
        <v>665</v>
      </c>
      <c r="AC14" s="23" t="s">
        <v>666</v>
      </c>
      <c r="AD14" s="23" t="s">
        <v>667</v>
      </c>
      <c r="AE14" s="23" t="s">
        <v>668</v>
      </c>
      <c r="AF14" s="23" t="s">
        <v>669</v>
      </c>
      <c r="AG14" s="23" t="s">
        <v>670</v>
      </c>
    </row>
    <row r="15" spans="1:33" x14ac:dyDescent="0.3">
      <c r="A15" s="23" t="s">
        <v>299</v>
      </c>
      <c r="B15" s="23" t="s">
        <v>4343</v>
      </c>
      <c r="C15" s="23" t="s">
        <v>1389</v>
      </c>
      <c r="D15" s="23" t="s">
        <v>671</v>
      </c>
      <c r="E15" s="23" t="s">
        <v>672</v>
      </c>
      <c r="F15" s="23" t="s">
        <v>673</v>
      </c>
      <c r="G15" s="23" t="s">
        <v>674</v>
      </c>
      <c r="H15" s="23" t="s">
        <v>675</v>
      </c>
      <c r="I15" s="23" t="s">
        <v>676</v>
      </c>
      <c r="J15" s="23" t="s">
        <v>677</v>
      </c>
      <c r="K15" s="23" t="s">
        <v>678</v>
      </c>
      <c r="L15" s="23" t="s">
        <v>679</v>
      </c>
      <c r="M15" s="23" t="s">
        <v>680</v>
      </c>
      <c r="N15" s="23" t="s">
        <v>681</v>
      </c>
      <c r="O15" s="23" t="s">
        <v>682</v>
      </c>
      <c r="P15" s="23" t="s">
        <v>683</v>
      </c>
      <c r="Q15" s="23" t="s">
        <v>684</v>
      </c>
      <c r="R15" s="23" t="s">
        <v>685</v>
      </c>
      <c r="S15" s="23" t="s">
        <v>686</v>
      </c>
      <c r="T15" s="23" t="s">
        <v>687</v>
      </c>
      <c r="U15" s="23" t="s">
        <v>688</v>
      </c>
      <c r="V15" s="23" t="s">
        <v>689</v>
      </c>
      <c r="W15" s="23" t="s">
        <v>690</v>
      </c>
      <c r="X15" s="23" t="s">
        <v>691</v>
      </c>
      <c r="Y15" s="23" t="s">
        <v>692</v>
      </c>
      <c r="Z15" s="23" t="s">
        <v>693</v>
      </c>
      <c r="AA15" s="23" t="s">
        <v>694</v>
      </c>
      <c r="AB15" s="23" t="s">
        <v>695</v>
      </c>
      <c r="AC15" s="23" t="s">
        <v>696</v>
      </c>
      <c r="AD15" s="23" t="s">
        <v>697</v>
      </c>
      <c r="AE15" s="23" t="s">
        <v>698</v>
      </c>
      <c r="AF15" s="23" t="s">
        <v>699</v>
      </c>
      <c r="AG15" s="23" t="s">
        <v>700</v>
      </c>
    </row>
    <row r="16" spans="1:33" x14ac:dyDescent="0.3">
      <c r="A16" s="23" t="s">
        <v>299</v>
      </c>
      <c r="B16" s="23" t="s">
        <v>4344</v>
      </c>
      <c r="C16" s="23" t="s">
        <v>1390</v>
      </c>
      <c r="D16" s="23" t="s">
        <v>701</v>
      </c>
      <c r="E16" s="23" t="s">
        <v>702</v>
      </c>
      <c r="F16" s="23" t="s">
        <v>703</v>
      </c>
      <c r="G16" s="23" t="s">
        <v>704</v>
      </c>
      <c r="H16" s="23" t="s">
        <v>705</v>
      </c>
      <c r="I16" s="23" t="s">
        <v>706</v>
      </c>
      <c r="J16" s="23" t="s">
        <v>707</v>
      </c>
      <c r="K16" s="23" t="s">
        <v>708</v>
      </c>
      <c r="L16" s="23" t="s">
        <v>709</v>
      </c>
      <c r="M16" s="23" t="s">
        <v>710</v>
      </c>
      <c r="N16" s="23" t="s">
        <v>711</v>
      </c>
      <c r="O16" s="23" t="s">
        <v>712</v>
      </c>
      <c r="P16" s="23" t="s">
        <v>713</v>
      </c>
      <c r="Q16" s="23" t="s">
        <v>714</v>
      </c>
      <c r="R16" s="23" t="s">
        <v>715</v>
      </c>
      <c r="S16" s="23" t="s">
        <v>716</v>
      </c>
      <c r="T16" s="23" t="s">
        <v>717</v>
      </c>
      <c r="U16" s="23" t="s">
        <v>718</v>
      </c>
      <c r="V16" s="23" t="s">
        <v>719</v>
      </c>
      <c r="W16" s="23" t="s">
        <v>720</v>
      </c>
      <c r="X16" s="23" t="s">
        <v>721</v>
      </c>
      <c r="Y16" s="23" t="s">
        <v>722</v>
      </c>
      <c r="Z16" s="23" t="s">
        <v>723</v>
      </c>
      <c r="AA16" s="23" t="s">
        <v>724</v>
      </c>
      <c r="AB16" s="23" t="s">
        <v>725</v>
      </c>
      <c r="AC16" s="23" t="s">
        <v>726</v>
      </c>
      <c r="AD16" s="23" t="s">
        <v>727</v>
      </c>
      <c r="AE16" s="23" t="s">
        <v>728</v>
      </c>
      <c r="AF16" s="23" t="s">
        <v>729</v>
      </c>
      <c r="AG16" s="23" t="s">
        <v>730</v>
      </c>
    </row>
    <row r="17" spans="1:33" x14ac:dyDescent="0.3">
      <c r="A17" s="23" t="s">
        <v>299</v>
      </c>
      <c r="B17" s="23" t="s">
        <v>4345</v>
      </c>
      <c r="C17" s="23" t="s">
        <v>1391</v>
      </c>
      <c r="D17" s="23" t="s">
        <v>731</v>
      </c>
      <c r="E17" s="23" t="s">
        <v>732</v>
      </c>
      <c r="F17" s="23" t="s">
        <v>733</v>
      </c>
      <c r="G17" s="23" t="s">
        <v>734</v>
      </c>
      <c r="H17" s="23" t="s">
        <v>735</v>
      </c>
      <c r="I17" s="23" t="s">
        <v>736</v>
      </c>
      <c r="J17" s="23" t="s">
        <v>737</v>
      </c>
      <c r="K17" s="23" t="s">
        <v>738</v>
      </c>
      <c r="L17" s="23" t="s">
        <v>739</v>
      </c>
      <c r="M17" s="23" t="s">
        <v>740</v>
      </c>
      <c r="N17" s="23" t="s">
        <v>741</v>
      </c>
      <c r="O17" s="23" t="s">
        <v>742</v>
      </c>
      <c r="P17" s="23" t="s">
        <v>743</v>
      </c>
      <c r="Q17" s="23" t="s">
        <v>744</v>
      </c>
      <c r="R17" s="23" t="s">
        <v>745</v>
      </c>
      <c r="S17" s="23" t="s">
        <v>746</v>
      </c>
      <c r="T17" s="23" t="s">
        <v>747</v>
      </c>
      <c r="U17" s="23" t="s">
        <v>748</v>
      </c>
      <c r="V17" s="23" t="s">
        <v>749</v>
      </c>
      <c r="W17" s="23" t="s">
        <v>750</v>
      </c>
      <c r="X17" s="23" t="s">
        <v>751</v>
      </c>
      <c r="Y17" s="23" t="s">
        <v>752</v>
      </c>
      <c r="Z17" s="23" t="s">
        <v>753</v>
      </c>
      <c r="AA17" s="23" t="s">
        <v>754</v>
      </c>
      <c r="AB17" s="23" t="s">
        <v>755</v>
      </c>
      <c r="AC17" s="23" t="s">
        <v>756</v>
      </c>
      <c r="AD17" s="23" t="s">
        <v>757</v>
      </c>
      <c r="AE17" s="23" t="s">
        <v>758</v>
      </c>
      <c r="AF17" s="23" t="s">
        <v>759</v>
      </c>
      <c r="AG17" s="23" t="s">
        <v>760</v>
      </c>
    </row>
    <row r="18" spans="1:33" x14ac:dyDescent="0.3">
      <c r="A18" s="23" t="s">
        <v>299</v>
      </c>
      <c r="B18" s="23" t="s">
        <v>4346</v>
      </c>
      <c r="C18" s="23" t="s">
        <v>1392</v>
      </c>
      <c r="D18" s="23" t="s">
        <v>761</v>
      </c>
      <c r="E18" s="23" t="s">
        <v>762</v>
      </c>
      <c r="F18" s="23" t="s">
        <v>763</v>
      </c>
      <c r="G18" s="23" t="s">
        <v>764</v>
      </c>
      <c r="H18" s="23" t="s">
        <v>765</v>
      </c>
      <c r="I18" s="23" t="s">
        <v>766</v>
      </c>
      <c r="J18" s="23" t="s">
        <v>767</v>
      </c>
      <c r="K18" s="23" t="s">
        <v>768</v>
      </c>
      <c r="L18" s="23" t="s">
        <v>769</v>
      </c>
      <c r="M18" s="23" t="s">
        <v>770</v>
      </c>
      <c r="N18" s="23" t="s">
        <v>771</v>
      </c>
      <c r="O18" s="23" t="s">
        <v>772</v>
      </c>
      <c r="P18" s="23" t="s">
        <v>773</v>
      </c>
      <c r="Q18" s="23" t="s">
        <v>774</v>
      </c>
      <c r="R18" s="23" t="s">
        <v>775</v>
      </c>
      <c r="S18" s="23" t="s">
        <v>776</v>
      </c>
      <c r="T18" s="23" t="s">
        <v>777</v>
      </c>
      <c r="U18" s="23" t="s">
        <v>778</v>
      </c>
      <c r="V18" s="23" t="s">
        <v>779</v>
      </c>
      <c r="W18" s="23" t="s">
        <v>780</v>
      </c>
      <c r="X18" s="23" t="s">
        <v>781</v>
      </c>
      <c r="Y18" s="23" t="s">
        <v>782</v>
      </c>
      <c r="Z18" s="23" t="s">
        <v>783</v>
      </c>
      <c r="AA18" s="23" t="s">
        <v>784</v>
      </c>
      <c r="AB18" s="23" t="s">
        <v>785</v>
      </c>
      <c r="AC18" s="23" t="s">
        <v>786</v>
      </c>
      <c r="AD18" s="23" t="s">
        <v>787</v>
      </c>
      <c r="AE18" s="23" t="s">
        <v>788</v>
      </c>
      <c r="AF18" s="23" t="s">
        <v>789</v>
      </c>
      <c r="AG18" s="23" t="s">
        <v>790</v>
      </c>
    </row>
    <row r="19" spans="1:33" x14ac:dyDescent="0.3">
      <c r="A19" s="23" t="s">
        <v>299</v>
      </c>
      <c r="B19" s="23" t="s">
        <v>4347</v>
      </c>
      <c r="C19" s="23" t="s">
        <v>1393</v>
      </c>
      <c r="D19" s="23" t="s">
        <v>791</v>
      </c>
      <c r="E19" s="23" t="s">
        <v>792</v>
      </c>
      <c r="F19" s="23" t="s">
        <v>793</v>
      </c>
      <c r="G19" s="23" t="s">
        <v>794</v>
      </c>
      <c r="H19" s="23" t="s">
        <v>795</v>
      </c>
      <c r="I19" s="23" t="s">
        <v>796</v>
      </c>
      <c r="J19" s="23" t="s">
        <v>797</v>
      </c>
      <c r="K19" s="23" t="s">
        <v>798</v>
      </c>
      <c r="L19" s="23" t="s">
        <v>799</v>
      </c>
      <c r="M19" s="23" t="s">
        <v>800</v>
      </c>
      <c r="N19" s="23" t="s">
        <v>801</v>
      </c>
      <c r="O19" s="23" t="s">
        <v>802</v>
      </c>
      <c r="P19" s="23" t="s">
        <v>803</v>
      </c>
      <c r="Q19" s="23" t="s">
        <v>804</v>
      </c>
      <c r="R19" s="23" t="s">
        <v>805</v>
      </c>
      <c r="S19" s="23" t="s">
        <v>806</v>
      </c>
      <c r="T19" s="23" t="s">
        <v>807</v>
      </c>
      <c r="U19" s="23" t="s">
        <v>808</v>
      </c>
      <c r="V19" s="23" t="s">
        <v>809</v>
      </c>
      <c r="W19" s="23" t="s">
        <v>810</v>
      </c>
      <c r="X19" s="23" t="s">
        <v>811</v>
      </c>
      <c r="Y19" s="23" t="s">
        <v>812</v>
      </c>
      <c r="Z19" s="23" t="s">
        <v>813</v>
      </c>
      <c r="AA19" s="23" t="s">
        <v>814</v>
      </c>
      <c r="AB19" s="23" t="s">
        <v>815</v>
      </c>
      <c r="AC19" s="23" t="s">
        <v>816</v>
      </c>
      <c r="AD19" s="23" t="s">
        <v>817</v>
      </c>
      <c r="AE19" s="23" t="s">
        <v>818</v>
      </c>
      <c r="AF19" s="23" t="s">
        <v>819</v>
      </c>
      <c r="AG19" s="23" t="s">
        <v>820</v>
      </c>
    </row>
    <row r="20" spans="1:33" x14ac:dyDescent="0.3">
      <c r="A20" s="23" t="s">
        <v>299</v>
      </c>
      <c r="B20" s="23" t="s">
        <v>4348</v>
      </c>
      <c r="C20" s="23" t="s">
        <v>1394</v>
      </c>
      <c r="D20" s="23" t="s">
        <v>821</v>
      </c>
      <c r="E20" s="23" t="s">
        <v>822</v>
      </c>
      <c r="F20" s="23" t="s">
        <v>823</v>
      </c>
      <c r="G20" s="23" t="s">
        <v>824</v>
      </c>
      <c r="H20" s="23" t="s">
        <v>825</v>
      </c>
      <c r="I20" s="23" t="s">
        <v>826</v>
      </c>
      <c r="J20" s="23" t="s">
        <v>827</v>
      </c>
      <c r="K20" s="23" t="s">
        <v>828</v>
      </c>
      <c r="L20" s="23" t="s">
        <v>829</v>
      </c>
      <c r="M20" s="23" t="s">
        <v>830</v>
      </c>
      <c r="N20" s="23" t="s">
        <v>831</v>
      </c>
      <c r="O20" s="23" t="s">
        <v>832</v>
      </c>
      <c r="P20" s="23" t="s">
        <v>833</v>
      </c>
      <c r="Q20" s="23" t="s">
        <v>834</v>
      </c>
      <c r="R20" s="23" t="s">
        <v>835</v>
      </c>
      <c r="S20" s="23" t="s">
        <v>836</v>
      </c>
      <c r="T20" s="23" t="s">
        <v>837</v>
      </c>
      <c r="U20" s="23" t="s">
        <v>838</v>
      </c>
      <c r="V20" s="23" t="s">
        <v>839</v>
      </c>
      <c r="W20" s="23" t="s">
        <v>840</v>
      </c>
      <c r="X20" s="23" t="s">
        <v>841</v>
      </c>
      <c r="Y20" s="23" t="s">
        <v>842</v>
      </c>
      <c r="Z20" s="23" t="s">
        <v>843</v>
      </c>
      <c r="AA20" s="23" t="s">
        <v>844</v>
      </c>
      <c r="AB20" s="23" t="s">
        <v>845</v>
      </c>
      <c r="AC20" s="23" t="s">
        <v>846</v>
      </c>
      <c r="AD20" s="23" t="s">
        <v>847</v>
      </c>
      <c r="AE20" s="23" t="s">
        <v>848</v>
      </c>
      <c r="AF20" s="23" t="s">
        <v>849</v>
      </c>
      <c r="AG20" s="23" t="s">
        <v>850</v>
      </c>
    </row>
    <row r="22" spans="1:33" x14ac:dyDescent="0.3">
      <c r="Y22" s="23" t="s">
        <v>43</v>
      </c>
      <c r="Z22" s="23" t="s">
        <v>4349</v>
      </c>
      <c r="AA22" s="23" t="s">
        <v>4350</v>
      </c>
      <c r="AB22" s="23" t="s">
        <v>4351</v>
      </c>
      <c r="AC22" s="23" t="s">
        <v>4352</v>
      </c>
      <c r="AD22" s="23" t="s">
        <v>4353</v>
      </c>
      <c r="AE22" s="23" t="s">
        <v>4354</v>
      </c>
      <c r="AF22" s="23" t="s">
        <v>4355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D754-E504-4FEB-9821-0FDC5EEDFBBD}">
  <dimension ref="A1:AJ110"/>
  <sheetViews>
    <sheetView workbookViewId="0"/>
  </sheetViews>
  <sheetFormatPr baseColWidth="10" defaultRowHeight="14.4" x14ac:dyDescent="0.3"/>
  <sheetData>
    <row r="1" spans="1:36" x14ac:dyDescent="0.3">
      <c r="A1" s="23" t="s">
        <v>4472</v>
      </c>
      <c r="B1" s="23" t="s">
        <v>4</v>
      </c>
      <c r="C1" s="23" t="s">
        <v>4</v>
      </c>
      <c r="D1" s="23" t="s">
        <v>15</v>
      </c>
      <c r="E1" s="23" t="s">
        <v>15</v>
      </c>
      <c r="F1" s="23" t="s">
        <v>15</v>
      </c>
      <c r="G1" s="23" t="s">
        <v>15</v>
      </c>
      <c r="H1" s="23" t="s">
        <v>15</v>
      </c>
      <c r="I1" s="23" t="s">
        <v>15</v>
      </c>
      <c r="J1" s="23" t="s">
        <v>15</v>
      </c>
      <c r="K1" s="23" t="s">
        <v>15</v>
      </c>
      <c r="L1" s="23" t="s">
        <v>15</v>
      </c>
      <c r="M1" s="23" t="s">
        <v>15</v>
      </c>
      <c r="N1" s="23" t="s">
        <v>15</v>
      </c>
      <c r="O1" s="23" t="s">
        <v>15</v>
      </c>
      <c r="P1" s="23" t="s">
        <v>15</v>
      </c>
      <c r="Q1" s="23" t="s">
        <v>15</v>
      </c>
      <c r="R1" s="23" t="s">
        <v>15</v>
      </c>
      <c r="S1" s="23" t="s">
        <v>15</v>
      </c>
      <c r="T1" s="23" t="s">
        <v>15</v>
      </c>
      <c r="U1" s="23" t="s">
        <v>15</v>
      </c>
      <c r="V1" s="23" t="s">
        <v>15</v>
      </c>
      <c r="W1" s="23" t="s">
        <v>15</v>
      </c>
      <c r="Y1" s="23" t="s">
        <v>15</v>
      </c>
      <c r="Z1" s="23" t="s">
        <v>15</v>
      </c>
      <c r="AA1" s="23" t="s">
        <v>15</v>
      </c>
      <c r="AB1" s="23" t="s">
        <v>15</v>
      </c>
      <c r="AC1" s="23" t="s">
        <v>15</v>
      </c>
      <c r="AD1" s="23" t="s">
        <v>15</v>
      </c>
      <c r="AE1" s="23" t="s">
        <v>15</v>
      </c>
      <c r="AF1" s="23" t="s">
        <v>15</v>
      </c>
      <c r="AG1" s="23" t="s">
        <v>15</v>
      </c>
      <c r="AH1" s="23" t="s">
        <v>15</v>
      </c>
      <c r="AI1" s="23" t="s">
        <v>15</v>
      </c>
      <c r="AJ1" s="23" t="s">
        <v>4</v>
      </c>
    </row>
    <row r="2" spans="1:36" x14ac:dyDescent="0.3">
      <c r="L2" s="23" t="s">
        <v>17</v>
      </c>
      <c r="Z2" s="23" t="s">
        <v>18</v>
      </c>
    </row>
    <row r="3" spans="1:36" x14ac:dyDescent="0.3">
      <c r="D3" s="23" t="s">
        <v>19</v>
      </c>
      <c r="E3" s="23" t="s">
        <v>16</v>
      </c>
      <c r="F3" s="23" t="s">
        <v>20</v>
      </c>
      <c r="G3" s="23" t="s">
        <v>23</v>
      </c>
      <c r="H3" s="23" t="s">
        <v>21</v>
      </c>
      <c r="I3" s="23" t="s">
        <v>22</v>
      </c>
      <c r="J3" s="23" t="s">
        <v>44</v>
      </c>
      <c r="K3" s="23" t="s">
        <v>45</v>
      </c>
      <c r="L3" s="23" t="s">
        <v>25</v>
      </c>
      <c r="M3" s="23" t="s">
        <v>26</v>
      </c>
      <c r="N3" s="23" t="s">
        <v>27</v>
      </c>
      <c r="O3" s="23" t="s">
        <v>28</v>
      </c>
      <c r="P3" s="23" t="s">
        <v>29</v>
      </c>
      <c r="Q3" s="23" t="s">
        <v>30</v>
      </c>
      <c r="R3" s="23" t="s">
        <v>60</v>
      </c>
      <c r="S3" s="23" t="s">
        <v>31</v>
      </c>
      <c r="T3" s="23" t="s">
        <v>46</v>
      </c>
      <c r="U3" s="23" t="s">
        <v>47</v>
      </c>
      <c r="V3" s="23" t="s">
        <v>48</v>
      </c>
      <c r="W3" s="23" t="s">
        <v>35</v>
      </c>
      <c r="X3" s="23" t="s">
        <v>36</v>
      </c>
      <c r="Y3" s="23" t="s">
        <v>37</v>
      </c>
      <c r="Z3" s="23" t="s">
        <v>49</v>
      </c>
      <c r="AA3" s="23" t="s">
        <v>50</v>
      </c>
      <c r="AB3" s="23" t="s">
        <v>41</v>
      </c>
      <c r="AC3" s="23" t="s">
        <v>51</v>
      </c>
      <c r="AD3" s="23" t="s">
        <v>52</v>
      </c>
      <c r="AE3" s="23" t="s">
        <v>53</v>
      </c>
      <c r="AF3" s="23" t="s">
        <v>40</v>
      </c>
      <c r="AG3" s="23" t="s">
        <v>70</v>
      </c>
      <c r="AH3" s="23" t="s">
        <v>54</v>
      </c>
      <c r="AI3" s="23" t="s">
        <v>42</v>
      </c>
    </row>
    <row r="4" spans="1:36" ht="409.6" x14ac:dyDescent="0.3">
      <c r="B4" s="24" t="s">
        <v>325</v>
      </c>
      <c r="C4" s="23" t="s">
        <v>165</v>
      </c>
      <c r="D4" s="23" t="s">
        <v>94</v>
      </c>
      <c r="E4" s="23" t="s">
        <v>166</v>
      </c>
      <c r="F4" s="23" t="s">
        <v>167</v>
      </c>
      <c r="G4" s="23" t="s">
        <v>168</v>
      </c>
      <c r="H4" s="23" t="s">
        <v>169</v>
      </c>
      <c r="I4" s="23" t="s">
        <v>98</v>
      </c>
      <c r="J4" s="23" t="s">
        <v>99</v>
      </c>
      <c r="K4" s="23" t="s">
        <v>101</v>
      </c>
      <c r="L4" s="23" t="s">
        <v>170</v>
      </c>
      <c r="M4" s="23" t="s">
        <v>171</v>
      </c>
      <c r="N4" s="23" t="s">
        <v>172</v>
      </c>
      <c r="O4" s="23" t="s">
        <v>173</v>
      </c>
      <c r="P4" s="23" t="s">
        <v>174</v>
      </c>
      <c r="Q4" s="23" t="s">
        <v>175</v>
      </c>
      <c r="R4" s="23" t="s">
        <v>176</v>
      </c>
      <c r="S4" s="23" t="s">
        <v>109</v>
      </c>
      <c r="T4" s="23" t="s">
        <v>110</v>
      </c>
      <c r="U4" s="23" t="s">
        <v>177</v>
      </c>
      <c r="V4" s="23" t="s">
        <v>178</v>
      </c>
      <c r="W4" s="23" t="s">
        <v>179</v>
      </c>
      <c r="X4" s="23" t="s">
        <v>180</v>
      </c>
      <c r="Y4" s="23" t="s">
        <v>181</v>
      </c>
      <c r="Z4" s="23" t="s">
        <v>182</v>
      </c>
      <c r="AA4" s="23" t="s">
        <v>183</v>
      </c>
      <c r="AB4" s="23" t="s">
        <v>184</v>
      </c>
      <c r="AC4" s="23" t="s">
        <v>185</v>
      </c>
      <c r="AD4" s="23" t="s">
        <v>186</v>
      </c>
      <c r="AE4" s="23" t="s">
        <v>187</v>
      </c>
      <c r="AF4" s="23" t="s">
        <v>308</v>
      </c>
      <c r="AG4" s="23" t="s">
        <v>188</v>
      </c>
      <c r="AH4" s="23" t="s">
        <v>189</v>
      </c>
      <c r="AI4" s="23" t="s">
        <v>190</v>
      </c>
      <c r="AJ4" s="23" t="s">
        <v>304</v>
      </c>
    </row>
    <row r="5" spans="1:36" x14ac:dyDescent="0.3">
      <c r="A5" s="23" t="s">
        <v>299</v>
      </c>
      <c r="B5" s="23" t="s">
        <v>4358</v>
      </c>
      <c r="C5" s="23" t="s">
        <v>3339</v>
      </c>
      <c r="D5" s="23" t="s">
        <v>371</v>
      </c>
      <c r="E5" s="23" t="s">
        <v>1395</v>
      </c>
      <c r="F5" s="23" t="s">
        <v>1396</v>
      </c>
      <c r="G5" s="23" t="s">
        <v>1397</v>
      </c>
      <c r="H5" s="23" t="s">
        <v>1398</v>
      </c>
      <c r="I5" s="23" t="s">
        <v>375</v>
      </c>
      <c r="J5" s="23" t="s">
        <v>376</v>
      </c>
      <c r="K5" s="23" t="s">
        <v>378</v>
      </c>
      <c r="L5" s="23" t="s">
        <v>1399</v>
      </c>
      <c r="M5" s="23" t="s">
        <v>1400</v>
      </c>
      <c r="N5" s="23" t="s">
        <v>1401</v>
      </c>
      <c r="O5" s="23" t="s">
        <v>1402</v>
      </c>
      <c r="P5" s="23" t="s">
        <v>1403</v>
      </c>
      <c r="Q5" s="23" t="s">
        <v>1404</v>
      </c>
      <c r="R5" s="23" t="s">
        <v>1405</v>
      </c>
      <c r="S5" s="23" t="s">
        <v>386</v>
      </c>
      <c r="T5" s="23" t="s">
        <v>387</v>
      </c>
      <c r="U5" s="23" t="s">
        <v>1406</v>
      </c>
      <c r="V5" s="23" t="s">
        <v>1407</v>
      </c>
      <c r="W5" s="23" t="s">
        <v>3420</v>
      </c>
      <c r="X5" s="23" t="s">
        <v>3501</v>
      </c>
      <c r="Y5" s="23" t="s">
        <v>3582</v>
      </c>
      <c r="Z5" s="23" t="s">
        <v>1408</v>
      </c>
      <c r="AA5" s="23" t="s">
        <v>1409</v>
      </c>
      <c r="AB5" s="23" t="s">
        <v>1410</v>
      </c>
      <c r="AC5" s="23" t="s">
        <v>1411</v>
      </c>
      <c r="AD5" s="23" t="s">
        <v>1412</v>
      </c>
      <c r="AE5" s="23" t="s">
        <v>1413</v>
      </c>
      <c r="AF5" s="23" t="s">
        <v>1414</v>
      </c>
      <c r="AG5" s="23" t="s">
        <v>1415</v>
      </c>
      <c r="AH5" s="23" t="s">
        <v>1416</v>
      </c>
      <c r="AI5" s="23" t="s">
        <v>1417</v>
      </c>
      <c r="AJ5" s="23" t="s">
        <v>1418</v>
      </c>
    </row>
    <row r="6" spans="1:36" x14ac:dyDescent="0.3">
      <c r="A6" s="23" t="s">
        <v>299</v>
      </c>
      <c r="B6" s="23" t="s">
        <v>4359</v>
      </c>
      <c r="C6" s="23" t="s">
        <v>3340</v>
      </c>
      <c r="D6" s="23" t="s">
        <v>401</v>
      </c>
      <c r="E6" s="23" t="s">
        <v>1419</v>
      </c>
      <c r="F6" s="23" t="s">
        <v>1420</v>
      </c>
      <c r="G6" s="23" t="s">
        <v>1421</v>
      </c>
      <c r="H6" s="23" t="s">
        <v>1422</v>
      </c>
      <c r="I6" s="23" t="s">
        <v>405</v>
      </c>
      <c r="J6" s="23" t="s">
        <v>406</v>
      </c>
      <c r="K6" s="23" t="s">
        <v>408</v>
      </c>
      <c r="L6" s="23" t="s">
        <v>1423</v>
      </c>
      <c r="M6" s="23" t="s">
        <v>1424</v>
      </c>
      <c r="N6" s="23" t="s">
        <v>1425</v>
      </c>
      <c r="O6" s="23" t="s">
        <v>1426</v>
      </c>
      <c r="P6" s="23" t="s">
        <v>1427</v>
      </c>
      <c r="Q6" s="23" t="s">
        <v>1428</v>
      </c>
      <c r="R6" s="23" t="s">
        <v>1429</v>
      </c>
      <c r="S6" s="23" t="s">
        <v>416</v>
      </c>
      <c r="T6" s="23" t="s">
        <v>417</v>
      </c>
      <c r="U6" s="23" t="s">
        <v>1430</v>
      </c>
      <c r="V6" s="23" t="s">
        <v>1431</v>
      </c>
      <c r="W6" s="23" t="s">
        <v>3421</v>
      </c>
      <c r="X6" s="23" t="s">
        <v>3502</v>
      </c>
      <c r="Y6" s="23" t="s">
        <v>3583</v>
      </c>
      <c r="Z6" s="23" t="s">
        <v>1432</v>
      </c>
      <c r="AA6" s="23" t="s">
        <v>1433</v>
      </c>
      <c r="AB6" s="23" t="s">
        <v>1434</v>
      </c>
      <c r="AC6" s="23" t="s">
        <v>1435</v>
      </c>
      <c r="AD6" s="23" t="s">
        <v>1436</v>
      </c>
      <c r="AE6" s="23" t="s">
        <v>1437</v>
      </c>
      <c r="AF6" s="23" t="s">
        <v>1438</v>
      </c>
      <c r="AG6" s="23" t="s">
        <v>1439</v>
      </c>
      <c r="AH6" s="23" t="s">
        <v>1440</v>
      </c>
      <c r="AI6" s="23" t="s">
        <v>1441</v>
      </c>
      <c r="AJ6" s="23" t="s">
        <v>1442</v>
      </c>
    </row>
    <row r="7" spans="1:36" x14ac:dyDescent="0.3">
      <c r="A7" s="23" t="s">
        <v>299</v>
      </c>
      <c r="B7" s="23" t="s">
        <v>4360</v>
      </c>
      <c r="C7" s="23" t="s">
        <v>3341</v>
      </c>
      <c r="D7" s="23" t="s">
        <v>431</v>
      </c>
      <c r="E7" s="23" t="s">
        <v>1443</v>
      </c>
      <c r="F7" s="23" t="s">
        <v>1444</v>
      </c>
      <c r="G7" s="23" t="s">
        <v>1445</v>
      </c>
      <c r="H7" s="23" t="s">
        <v>1446</v>
      </c>
      <c r="I7" s="23" t="s">
        <v>435</v>
      </c>
      <c r="J7" s="23" t="s">
        <v>436</v>
      </c>
      <c r="K7" s="23" t="s">
        <v>438</v>
      </c>
      <c r="L7" s="23" t="s">
        <v>1447</v>
      </c>
      <c r="M7" s="23" t="s">
        <v>1448</v>
      </c>
      <c r="N7" s="23" t="s">
        <v>1449</v>
      </c>
      <c r="O7" s="23" t="s">
        <v>1450</v>
      </c>
      <c r="P7" s="23" t="s">
        <v>1451</v>
      </c>
      <c r="Q7" s="23" t="s">
        <v>1452</v>
      </c>
      <c r="R7" s="23" t="s">
        <v>1453</v>
      </c>
      <c r="S7" s="23" t="s">
        <v>446</v>
      </c>
      <c r="T7" s="23" t="s">
        <v>447</v>
      </c>
      <c r="U7" s="23" t="s">
        <v>1454</v>
      </c>
      <c r="V7" s="23" t="s">
        <v>1455</v>
      </c>
      <c r="W7" s="23" t="s">
        <v>3422</v>
      </c>
      <c r="X7" s="23" t="s">
        <v>3503</v>
      </c>
      <c r="Y7" s="23" t="s">
        <v>3584</v>
      </c>
      <c r="Z7" s="23" t="s">
        <v>1456</v>
      </c>
      <c r="AA7" s="23" t="s">
        <v>1457</v>
      </c>
      <c r="AB7" s="23" t="s">
        <v>1458</v>
      </c>
      <c r="AC7" s="23" t="s">
        <v>1459</v>
      </c>
      <c r="AD7" s="23" t="s">
        <v>1460</v>
      </c>
      <c r="AE7" s="23" t="s">
        <v>1461</v>
      </c>
      <c r="AF7" s="23" t="s">
        <v>1462</v>
      </c>
      <c r="AG7" s="23" t="s">
        <v>1463</v>
      </c>
      <c r="AH7" s="23" t="s">
        <v>1464</v>
      </c>
      <c r="AI7" s="23" t="s">
        <v>1465</v>
      </c>
      <c r="AJ7" s="23" t="s">
        <v>1466</v>
      </c>
    </row>
    <row r="8" spans="1:36" x14ac:dyDescent="0.3">
      <c r="A8" s="23" t="s">
        <v>299</v>
      </c>
      <c r="B8" s="23" t="s">
        <v>4361</v>
      </c>
      <c r="C8" s="23" t="s">
        <v>3342</v>
      </c>
      <c r="D8" s="23" t="s">
        <v>461</v>
      </c>
      <c r="E8" s="23" t="s">
        <v>1467</v>
      </c>
      <c r="F8" s="23" t="s">
        <v>1468</v>
      </c>
      <c r="G8" s="23" t="s">
        <v>1469</v>
      </c>
      <c r="H8" s="23" t="s">
        <v>1470</v>
      </c>
      <c r="I8" s="23" t="s">
        <v>465</v>
      </c>
      <c r="J8" s="23" t="s">
        <v>466</v>
      </c>
      <c r="K8" s="23" t="s">
        <v>468</v>
      </c>
      <c r="L8" s="23" t="s">
        <v>1471</v>
      </c>
      <c r="M8" s="23" t="s">
        <v>1472</v>
      </c>
      <c r="N8" s="23" t="s">
        <v>1473</v>
      </c>
      <c r="O8" s="23" t="s">
        <v>1474</v>
      </c>
      <c r="P8" s="23" t="s">
        <v>1475</v>
      </c>
      <c r="Q8" s="23" t="s">
        <v>1476</v>
      </c>
      <c r="R8" s="23" t="s">
        <v>1477</v>
      </c>
      <c r="S8" s="23" t="s">
        <v>476</v>
      </c>
      <c r="T8" s="23" t="s">
        <v>477</v>
      </c>
      <c r="U8" s="23" t="s">
        <v>1478</v>
      </c>
      <c r="V8" s="23" t="s">
        <v>1479</v>
      </c>
      <c r="W8" s="23" t="s">
        <v>3423</v>
      </c>
      <c r="X8" s="23" t="s">
        <v>3504</v>
      </c>
      <c r="Y8" s="23" t="s">
        <v>3585</v>
      </c>
      <c r="Z8" s="23" t="s">
        <v>1480</v>
      </c>
      <c r="AA8" s="23" t="s">
        <v>1481</v>
      </c>
      <c r="AB8" s="23" t="s">
        <v>1482</v>
      </c>
      <c r="AC8" s="23" t="s">
        <v>1483</v>
      </c>
      <c r="AD8" s="23" t="s">
        <v>1484</v>
      </c>
      <c r="AE8" s="23" t="s">
        <v>1485</v>
      </c>
      <c r="AF8" s="23" t="s">
        <v>1486</v>
      </c>
      <c r="AG8" s="23" t="s">
        <v>1487</v>
      </c>
      <c r="AH8" s="23" t="s">
        <v>1488</v>
      </c>
      <c r="AI8" s="23" t="s">
        <v>1489</v>
      </c>
      <c r="AJ8" s="23" t="s">
        <v>1490</v>
      </c>
    </row>
    <row r="9" spans="1:36" x14ac:dyDescent="0.3">
      <c r="A9" s="23" t="s">
        <v>299</v>
      </c>
      <c r="B9" s="23" t="s">
        <v>4362</v>
      </c>
      <c r="C9" s="23" t="s">
        <v>3343</v>
      </c>
      <c r="D9" s="23" t="s">
        <v>491</v>
      </c>
      <c r="E9" s="23" t="s">
        <v>1491</v>
      </c>
      <c r="F9" s="23" t="s">
        <v>1492</v>
      </c>
      <c r="G9" s="23" t="s">
        <v>1493</v>
      </c>
      <c r="H9" s="23" t="s">
        <v>1494</v>
      </c>
      <c r="I9" s="23" t="s">
        <v>495</v>
      </c>
      <c r="J9" s="23" t="s">
        <v>496</v>
      </c>
      <c r="K9" s="23" t="s">
        <v>498</v>
      </c>
      <c r="L9" s="23" t="s">
        <v>1495</v>
      </c>
      <c r="M9" s="23" t="s">
        <v>1496</v>
      </c>
      <c r="N9" s="23" t="s">
        <v>1497</v>
      </c>
      <c r="O9" s="23" t="s">
        <v>1498</v>
      </c>
      <c r="P9" s="23" t="s">
        <v>1499</v>
      </c>
      <c r="Q9" s="23" t="s">
        <v>1500</v>
      </c>
      <c r="R9" s="23" t="s">
        <v>1501</v>
      </c>
      <c r="S9" s="23" t="s">
        <v>506</v>
      </c>
      <c r="T9" s="23" t="s">
        <v>507</v>
      </c>
      <c r="U9" s="23" t="s">
        <v>1502</v>
      </c>
      <c r="V9" s="23" t="s">
        <v>1503</v>
      </c>
      <c r="W9" s="23" t="s">
        <v>3424</v>
      </c>
      <c r="X9" s="23" t="s">
        <v>3505</v>
      </c>
      <c r="Y9" s="23" t="s">
        <v>3586</v>
      </c>
      <c r="Z9" s="23" t="s">
        <v>1504</v>
      </c>
      <c r="AA9" s="23" t="s">
        <v>1505</v>
      </c>
      <c r="AB9" s="23" t="s">
        <v>1506</v>
      </c>
      <c r="AC9" s="23" t="s">
        <v>1507</v>
      </c>
      <c r="AD9" s="23" t="s">
        <v>1508</v>
      </c>
      <c r="AE9" s="23" t="s">
        <v>1509</v>
      </c>
      <c r="AF9" s="23" t="s">
        <v>1510</v>
      </c>
      <c r="AG9" s="23" t="s">
        <v>1511</v>
      </c>
      <c r="AH9" s="23" t="s">
        <v>1512</v>
      </c>
      <c r="AI9" s="23" t="s">
        <v>1513</v>
      </c>
      <c r="AJ9" s="23" t="s">
        <v>1514</v>
      </c>
    </row>
    <row r="10" spans="1:36" x14ac:dyDescent="0.3">
      <c r="A10" s="23" t="s">
        <v>299</v>
      </c>
      <c r="B10" s="23" t="s">
        <v>4363</v>
      </c>
      <c r="C10" s="23" t="s">
        <v>3344</v>
      </c>
      <c r="D10" s="23" t="s">
        <v>521</v>
      </c>
      <c r="E10" s="23" t="s">
        <v>1515</v>
      </c>
      <c r="F10" s="23" t="s">
        <v>1516</v>
      </c>
      <c r="G10" s="23" t="s">
        <v>1517</v>
      </c>
      <c r="H10" s="23" t="s">
        <v>1518</v>
      </c>
      <c r="I10" s="23" t="s">
        <v>525</v>
      </c>
      <c r="J10" s="23" t="s">
        <v>526</v>
      </c>
      <c r="K10" s="23" t="s">
        <v>528</v>
      </c>
      <c r="L10" s="23" t="s">
        <v>1519</v>
      </c>
      <c r="M10" s="23" t="s">
        <v>1520</v>
      </c>
      <c r="N10" s="23" t="s">
        <v>1521</v>
      </c>
      <c r="O10" s="23" t="s">
        <v>1522</v>
      </c>
      <c r="P10" s="23" t="s">
        <v>1523</v>
      </c>
      <c r="Q10" s="23" t="s">
        <v>1524</v>
      </c>
      <c r="R10" s="23" t="s">
        <v>1525</v>
      </c>
      <c r="S10" s="23" t="s">
        <v>536</v>
      </c>
      <c r="T10" s="23" t="s">
        <v>537</v>
      </c>
      <c r="U10" s="23" t="s">
        <v>1526</v>
      </c>
      <c r="V10" s="23" t="s">
        <v>1527</v>
      </c>
      <c r="W10" s="23" t="s">
        <v>3425</v>
      </c>
      <c r="X10" s="23" t="s">
        <v>3506</v>
      </c>
      <c r="Y10" s="23" t="s">
        <v>3587</v>
      </c>
      <c r="Z10" s="23" t="s">
        <v>1528</v>
      </c>
      <c r="AA10" s="23" t="s">
        <v>1529</v>
      </c>
      <c r="AB10" s="23" t="s">
        <v>1530</v>
      </c>
      <c r="AC10" s="23" t="s">
        <v>1531</v>
      </c>
      <c r="AD10" s="23" t="s">
        <v>1532</v>
      </c>
      <c r="AE10" s="23" t="s">
        <v>1533</v>
      </c>
      <c r="AF10" s="23" t="s">
        <v>1534</v>
      </c>
      <c r="AG10" s="23" t="s">
        <v>1535</v>
      </c>
      <c r="AH10" s="23" t="s">
        <v>1536</v>
      </c>
      <c r="AI10" s="23" t="s">
        <v>1537</v>
      </c>
      <c r="AJ10" s="23" t="s">
        <v>1538</v>
      </c>
    </row>
    <row r="11" spans="1:36" x14ac:dyDescent="0.3">
      <c r="A11" s="23" t="s">
        <v>299</v>
      </c>
      <c r="B11" s="23" t="s">
        <v>4364</v>
      </c>
      <c r="C11" s="23" t="s">
        <v>3345</v>
      </c>
      <c r="D11" s="23" t="s">
        <v>551</v>
      </c>
      <c r="E11" s="23" t="s">
        <v>1539</v>
      </c>
      <c r="F11" s="23" t="s">
        <v>1540</v>
      </c>
      <c r="G11" s="23" t="s">
        <v>1541</v>
      </c>
      <c r="H11" s="23" t="s">
        <v>1542</v>
      </c>
      <c r="I11" s="23" t="s">
        <v>555</v>
      </c>
      <c r="J11" s="23" t="s">
        <v>556</v>
      </c>
      <c r="K11" s="23" t="s">
        <v>558</v>
      </c>
      <c r="L11" s="23" t="s">
        <v>1543</v>
      </c>
      <c r="M11" s="23" t="s">
        <v>1544</v>
      </c>
      <c r="N11" s="23" t="s">
        <v>1545</v>
      </c>
      <c r="O11" s="23" t="s">
        <v>1546</v>
      </c>
      <c r="P11" s="23" t="s">
        <v>1547</v>
      </c>
      <c r="Q11" s="23" t="s">
        <v>1548</v>
      </c>
      <c r="R11" s="23" t="s">
        <v>1549</v>
      </c>
      <c r="S11" s="23" t="s">
        <v>566</v>
      </c>
      <c r="T11" s="23" t="s">
        <v>567</v>
      </c>
      <c r="U11" s="23" t="s">
        <v>1550</v>
      </c>
      <c r="V11" s="23" t="s">
        <v>1551</v>
      </c>
      <c r="W11" s="23" t="s">
        <v>3426</v>
      </c>
      <c r="X11" s="23" t="s">
        <v>3507</v>
      </c>
      <c r="Y11" s="23" t="s">
        <v>3588</v>
      </c>
      <c r="Z11" s="23" t="s">
        <v>1552</v>
      </c>
      <c r="AA11" s="23" t="s">
        <v>1553</v>
      </c>
      <c r="AB11" s="23" t="s">
        <v>1554</v>
      </c>
      <c r="AC11" s="23" t="s">
        <v>1555</v>
      </c>
      <c r="AD11" s="23" t="s">
        <v>1556</v>
      </c>
      <c r="AE11" s="23" t="s">
        <v>1557</v>
      </c>
      <c r="AF11" s="23" t="s">
        <v>1558</v>
      </c>
      <c r="AG11" s="23" t="s">
        <v>1559</v>
      </c>
      <c r="AH11" s="23" t="s">
        <v>1560</v>
      </c>
      <c r="AI11" s="23" t="s">
        <v>1561</v>
      </c>
      <c r="AJ11" s="23" t="s">
        <v>1562</v>
      </c>
    </row>
    <row r="12" spans="1:36" x14ac:dyDescent="0.3">
      <c r="A12" s="23" t="s">
        <v>299</v>
      </c>
      <c r="B12" s="23" t="s">
        <v>4365</v>
      </c>
      <c r="C12" s="23" t="s">
        <v>3346</v>
      </c>
      <c r="D12" s="23" t="s">
        <v>581</v>
      </c>
      <c r="E12" s="23" t="s">
        <v>1563</v>
      </c>
      <c r="F12" s="23" t="s">
        <v>1564</v>
      </c>
      <c r="G12" s="23" t="s">
        <v>1565</v>
      </c>
      <c r="H12" s="23" t="s">
        <v>1566</v>
      </c>
      <c r="I12" s="23" t="s">
        <v>585</v>
      </c>
      <c r="J12" s="23" t="s">
        <v>586</v>
      </c>
      <c r="K12" s="23" t="s">
        <v>588</v>
      </c>
      <c r="L12" s="23" t="s">
        <v>1567</v>
      </c>
      <c r="M12" s="23" t="s">
        <v>1568</v>
      </c>
      <c r="N12" s="23" t="s">
        <v>1569</v>
      </c>
      <c r="O12" s="23" t="s">
        <v>1570</v>
      </c>
      <c r="P12" s="23" t="s">
        <v>1571</v>
      </c>
      <c r="Q12" s="23" t="s">
        <v>1572</v>
      </c>
      <c r="R12" s="23" t="s">
        <v>1573</v>
      </c>
      <c r="S12" s="23" t="s">
        <v>596</v>
      </c>
      <c r="T12" s="23" t="s">
        <v>597</v>
      </c>
      <c r="U12" s="23" t="s">
        <v>1574</v>
      </c>
      <c r="V12" s="23" t="s">
        <v>1575</v>
      </c>
      <c r="W12" s="23" t="s">
        <v>3427</v>
      </c>
      <c r="X12" s="23" t="s">
        <v>3508</v>
      </c>
      <c r="Y12" s="23" t="s">
        <v>3589</v>
      </c>
      <c r="Z12" s="23" t="s">
        <v>1576</v>
      </c>
      <c r="AA12" s="23" t="s">
        <v>1577</v>
      </c>
      <c r="AB12" s="23" t="s">
        <v>1578</v>
      </c>
      <c r="AC12" s="23" t="s">
        <v>1579</v>
      </c>
      <c r="AD12" s="23" t="s">
        <v>1580</v>
      </c>
      <c r="AE12" s="23" t="s">
        <v>1581</v>
      </c>
      <c r="AF12" s="23" t="s">
        <v>1582</v>
      </c>
      <c r="AG12" s="23" t="s">
        <v>1583</v>
      </c>
      <c r="AH12" s="23" t="s">
        <v>1584</v>
      </c>
      <c r="AI12" s="23" t="s">
        <v>1585</v>
      </c>
      <c r="AJ12" s="23" t="s">
        <v>1586</v>
      </c>
    </row>
    <row r="13" spans="1:36" x14ac:dyDescent="0.3">
      <c r="A13" s="23" t="s">
        <v>299</v>
      </c>
      <c r="B13" s="23" t="s">
        <v>4366</v>
      </c>
      <c r="C13" s="23" t="s">
        <v>3347</v>
      </c>
      <c r="D13" s="23" t="s">
        <v>611</v>
      </c>
      <c r="E13" s="23" t="s">
        <v>1587</v>
      </c>
      <c r="F13" s="23" t="s">
        <v>1588</v>
      </c>
      <c r="G13" s="23" t="s">
        <v>1589</v>
      </c>
      <c r="H13" s="23" t="s">
        <v>1590</v>
      </c>
      <c r="I13" s="23" t="s">
        <v>615</v>
      </c>
      <c r="J13" s="23" t="s">
        <v>616</v>
      </c>
      <c r="K13" s="23" t="s">
        <v>618</v>
      </c>
      <c r="L13" s="23" t="s">
        <v>1591</v>
      </c>
      <c r="M13" s="23" t="s">
        <v>1592</v>
      </c>
      <c r="N13" s="23" t="s">
        <v>1593</v>
      </c>
      <c r="O13" s="23" t="s">
        <v>1594</v>
      </c>
      <c r="P13" s="23" t="s">
        <v>1595</v>
      </c>
      <c r="Q13" s="23" t="s">
        <v>1596</v>
      </c>
      <c r="R13" s="23" t="s">
        <v>1597</v>
      </c>
      <c r="S13" s="23" t="s">
        <v>626</v>
      </c>
      <c r="T13" s="23" t="s">
        <v>627</v>
      </c>
      <c r="U13" s="23" t="s">
        <v>1598</v>
      </c>
      <c r="V13" s="23" t="s">
        <v>1599</v>
      </c>
      <c r="W13" s="23" t="s">
        <v>3428</v>
      </c>
      <c r="X13" s="23" t="s">
        <v>3509</v>
      </c>
      <c r="Y13" s="23" t="s">
        <v>3590</v>
      </c>
      <c r="Z13" s="23" t="s">
        <v>1600</v>
      </c>
      <c r="AA13" s="23" t="s">
        <v>1601</v>
      </c>
      <c r="AB13" s="23" t="s">
        <v>1602</v>
      </c>
      <c r="AC13" s="23" t="s">
        <v>1603</v>
      </c>
      <c r="AD13" s="23" t="s">
        <v>1604</v>
      </c>
      <c r="AE13" s="23" t="s">
        <v>1605</v>
      </c>
      <c r="AF13" s="23" t="s">
        <v>1606</v>
      </c>
      <c r="AG13" s="23" t="s">
        <v>1607</v>
      </c>
      <c r="AH13" s="23" t="s">
        <v>1608</v>
      </c>
      <c r="AI13" s="23" t="s">
        <v>1609</v>
      </c>
      <c r="AJ13" s="23" t="s">
        <v>1610</v>
      </c>
    </row>
    <row r="14" spans="1:36" x14ac:dyDescent="0.3">
      <c r="A14" s="23" t="s">
        <v>299</v>
      </c>
      <c r="B14" s="23" t="s">
        <v>4367</v>
      </c>
      <c r="C14" s="23" t="s">
        <v>3348</v>
      </c>
      <c r="D14" s="23" t="s">
        <v>641</v>
      </c>
      <c r="E14" s="23" t="s">
        <v>1611</v>
      </c>
      <c r="F14" s="23" t="s">
        <v>1612</v>
      </c>
      <c r="G14" s="23" t="s">
        <v>1613</v>
      </c>
      <c r="H14" s="23" t="s">
        <v>1614</v>
      </c>
      <c r="I14" s="23" t="s">
        <v>645</v>
      </c>
      <c r="J14" s="23" t="s">
        <v>646</v>
      </c>
      <c r="K14" s="23" t="s">
        <v>648</v>
      </c>
      <c r="L14" s="23" t="s">
        <v>1615</v>
      </c>
      <c r="M14" s="23" t="s">
        <v>1616</v>
      </c>
      <c r="N14" s="23" t="s">
        <v>1617</v>
      </c>
      <c r="O14" s="23" t="s">
        <v>1618</v>
      </c>
      <c r="P14" s="23" t="s">
        <v>1619</v>
      </c>
      <c r="Q14" s="23" t="s">
        <v>1620</v>
      </c>
      <c r="R14" s="23" t="s">
        <v>1621</v>
      </c>
      <c r="S14" s="23" t="s">
        <v>656</v>
      </c>
      <c r="T14" s="23" t="s">
        <v>657</v>
      </c>
      <c r="U14" s="23" t="s">
        <v>1622</v>
      </c>
      <c r="V14" s="23" t="s">
        <v>1623</v>
      </c>
      <c r="W14" s="23" t="s">
        <v>3429</v>
      </c>
      <c r="X14" s="23" t="s">
        <v>3510</v>
      </c>
      <c r="Y14" s="23" t="s">
        <v>3591</v>
      </c>
      <c r="Z14" s="23" t="s">
        <v>1624</v>
      </c>
      <c r="AA14" s="23" t="s">
        <v>1625</v>
      </c>
      <c r="AB14" s="23" t="s">
        <v>1626</v>
      </c>
      <c r="AC14" s="23" t="s">
        <v>1627</v>
      </c>
      <c r="AD14" s="23" t="s">
        <v>1628</v>
      </c>
      <c r="AE14" s="23" t="s">
        <v>1629</v>
      </c>
      <c r="AF14" s="23" t="s">
        <v>1630</v>
      </c>
      <c r="AG14" s="23" t="s">
        <v>1631</v>
      </c>
      <c r="AH14" s="23" t="s">
        <v>1632</v>
      </c>
      <c r="AI14" s="23" t="s">
        <v>1633</v>
      </c>
      <c r="AJ14" s="23" t="s">
        <v>1634</v>
      </c>
    </row>
    <row r="15" spans="1:36" x14ac:dyDescent="0.3">
      <c r="A15" s="23" t="s">
        <v>299</v>
      </c>
      <c r="B15" s="23" t="s">
        <v>4368</v>
      </c>
      <c r="C15" s="23" t="s">
        <v>3349</v>
      </c>
      <c r="D15" s="23" t="s">
        <v>671</v>
      </c>
      <c r="E15" s="23" t="s">
        <v>1635</v>
      </c>
      <c r="F15" s="23" t="s">
        <v>1636</v>
      </c>
      <c r="G15" s="23" t="s">
        <v>1637</v>
      </c>
      <c r="H15" s="23" t="s">
        <v>1638</v>
      </c>
      <c r="I15" s="23" t="s">
        <v>675</v>
      </c>
      <c r="J15" s="23" t="s">
        <v>676</v>
      </c>
      <c r="K15" s="23" t="s">
        <v>678</v>
      </c>
      <c r="L15" s="23" t="s">
        <v>1639</v>
      </c>
      <c r="M15" s="23" t="s">
        <v>1640</v>
      </c>
      <c r="N15" s="23" t="s">
        <v>1641</v>
      </c>
      <c r="O15" s="23" t="s">
        <v>1642</v>
      </c>
      <c r="P15" s="23" t="s">
        <v>1643</v>
      </c>
      <c r="Q15" s="23" t="s">
        <v>1644</v>
      </c>
      <c r="R15" s="23" t="s">
        <v>1645</v>
      </c>
      <c r="S15" s="23" t="s">
        <v>686</v>
      </c>
      <c r="T15" s="23" t="s">
        <v>687</v>
      </c>
      <c r="U15" s="23" t="s">
        <v>1646</v>
      </c>
      <c r="V15" s="23" t="s">
        <v>1647</v>
      </c>
      <c r="W15" s="23" t="s">
        <v>3430</v>
      </c>
      <c r="X15" s="23" t="s">
        <v>3511</v>
      </c>
      <c r="Y15" s="23" t="s">
        <v>3592</v>
      </c>
      <c r="Z15" s="23" t="s">
        <v>1648</v>
      </c>
      <c r="AA15" s="23" t="s">
        <v>1649</v>
      </c>
      <c r="AB15" s="23" t="s">
        <v>1650</v>
      </c>
      <c r="AC15" s="23" t="s">
        <v>1651</v>
      </c>
      <c r="AD15" s="23" t="s">
        <v>1652</v>
      </c>
      <c r="AE15" s="23" t="s">
        <v>1653</v>
      </c>
      <c r="AF15" s="23" t="s">
        <v>1654</v>
      </c>
      <c r="AG15" s="23" t="s">
        <v>1655</v>
      </c>
      <c r="AH15" s="23" t="s">
        <v>1656</v>
      </c>
      <c r="AI15" s="23" t="s">
        <v>1657</v>
      </c>
      <c r="AJ15" s="23" t="s">
        <v>1658</v>
      </c>
    </row>
    <row r="16" spans="1:36" x14ac:dyDescent="0.3">
      <c r="A16" s="23" t="s">
        <v>299</v>
      </c>
      <c r="B16" s="23" t="s">
        <v>4369</v>
      </c>
      <c r="C16" s="23" t="s">
        <v>3350</v>
      </c>
      <c r="D16" s="23" t="s">
        <v>701</v>
      </c>
      <c r="E16" s="23" t="s">
        <v>1659</v>
      </c>
      <c r="F16" s="23" t="s">
        <v>1660</v>
      </c>
      <c r="G16" s="23" t="s">
        <v>1661</v>
      </c>
      <c r="H16" s="23" t="s">
        <v>1662</v>
      </c>
      <c r="I16" s="23" t="s">
        <v>705</v>
      </c>
      <c r="J16" s="23" t="s">
        <v>706</v>
      </c>
      <c r="K16" s="23" t="s">
        <v>708</v>
      </c>
      <c r="L16" s="23" t="s">
        <v>1663</v>
      </c>
      <c r="M16" s="23" t="s">
        <v>1664</v>
      </c>
      <c r="N16" s="23" t="s">
        <v>1665</v>
      </c>
      <c r="O16" s="23" t="s">
        <v>1666</v>
      </c>
      <c r="P16" s="23" t="s">
        <v>1667</v>
      </c>
      <c r="Q16" s="23" t="s">
        <v>1668</v>
      </c>
      <c r="R16" s="23" t="s">
        <v>1669</v>
      </c>
      <c r="S16" s="23" t="s">
        <v>716</v>
      </c>
      <c r="T16" s="23" t="s">
        <v>717</v>
      </c>
      <c r="U16" s="23" t="s">
        <v>1670</v>
      </c>
      <c r="V16" s="23" t="s">
        <v>1671</v>
      </c>
      <c r="W16" s="23" t="s">
        <v>3431</v>
      </c>
      <c r="X16" s="23" t="s">
        <v>3512</v>
      </c>
      <c r="Y16" s="23" t="s">
        <v>3593</v>
      </c>
      <c r="Z16" s="23" t="s">
        <v>1672</v>
      </c>
      <c r="AA16" s="23" t="s">
        <v>1673</v>
      </c>
      <c r="AB16" s="23" t="s">
        <v>1674</v>
      </c>
      <c r="AC16" s="23" t="s">
        <v>1675</v>
      </c>
      <c r="AD16" s="23" t="s">
        <v>1676</v>
      </c>
      <c r="AE16" s="23" t="s">
        <v>1677</v>
      </c>
      <c r="AF16" s="23" t="s">
        <v>1678</v>
      </c>
      <c r="AG16" s="23" t="s">
        <v>1679</v>
      </c>
      <c r="AH16" s="23" t="s">
        <v>1680</v>
      </c>
      <c r="AI16" s="23" t="s">
        <v>1681</v>
      </c>
      <c r="AJ16" s="23" t="s">
        <v>1682</v>
      </c>
    </row>
    <row r="17" spans="1:36" x14ac:dyDescent="0.3">
      <c r="A17" s="23" t="s">
        <v>299</v>
      </c>
      <c r="B17" s="23" t="s">
        <v>4370</v>
      </c>
      <c r="C17" s="23" t="s">
        <v>3351</v>
      </c>
      <c r="D17" s="23" t="s">
        <v>731</v>
      </c>
      <c r="E17" s="23" t="s">
        <v>1683</v>
      </c>
      <c r="F17" s="23" t="s">
        <v>1684</v>
      </c>
      <c r="G17" s="23" t="s">
        <v>1685</v>
      </c>
      <c r="H17" s="23" t="s">
        <v>1686</v>
      </c>
      <c r="I17" s="23" t="s">
        <v>735</v>
      </c>
      <c r="J17" s="23" t="s">
        <v>736</v>
      </c>
      <c r="K17" s="23" t="s">
        <v>738</v>
      </c>
      <c r="L17" s="23" t="s">
        <v>1687</v>
      </c>
      <c r="M17" s="23" t="s">
        <v>1688</v>
      </c>
      <c r="N17" s="23" t="s">
        <v>1689</v>
      </c>
      <c r="O17" s="23" t="s">
        <v>1690</v>
      </c>
      <c r="P17" s="23" t="s">
        <v>1691</v>
      </c>
      <c r="Q17" s="23" t="s">
        <v>1692</v>
      </c>
      <c r="R17" s="23" t="s">
        <v>1693</v>
      </c>
      <c r="S17" s="23" t="s">
        <v>746</v>
      </c>
      <c r="T17" s="23" t="s">
        <v>747</v>
      </c>
      <c r="U17" s="23" t="s">
        <v>1694</v>
      </c>
      <c r="V17" s="23" t="s">
        <v>1695</v>
      </c>
      <c r="W17" s="23" t="s">
        <v>3432</v>
      </c>
      <c r="X17" s="23" t="s">
        <v>3513</v>
      </c>
      <c r="Y17" s="23" t="s">
        <v>3594</v>
      </c>
      <c r="Z17" s="23" t="s">
        <v>1696</v>
      </c>
      <c r="AA17" s="23" t="s">
        <v>1697</v>
      </c>
      <c r="AB17" s="23" t="s">
        <v>1698</v>
      </c>
      <c r="AC17" s="23" t="s">
        <v>1699</v>
      </c>
      <c r="AD17" s="23" t="s">
        <v>1700</v>
      </c>
      <c r="AE17" s="23" t="s">
        <v>1701</v>
      </c>
      <c r="AF17" s="23" t="s">
        <v>1702</v>
      </c>
      <c r="AG17" s="23" t="s">
        <v>1703</v>
      </c>
      <c r="AH17" s="23" t="s">
        <v>1704</v>
      </c>
      <c r="AI17" s="23" t="s">
        <v>1705</v>
      </c>
      <c r="AJ17" s="23" t="s">
        <v>1706</v>
      </c>
    </row>
    <row r="18" spans="1:36" x14ac:dyDescent="0.3">
      <c r="A18" s="23" t="s">
        <v>299</v>
      </c>
      <c r="B18" s="23" t="s">
        <v>4371</v>
      </c>
      <c r="C18" s="23" t="s">
        <v>3352</v>
      </c>
      <c r="D18" s="23" t="s">
        <v>761</v>
      </c>
      <c r="E18" s="23" t="s">
        <v>1707</v>
      </c>
      <c r="F18" s="23" t="s">
        <v>1708</v>
      </c>
      <c r="G18" s="23" t="s">
        <v>1709</v>
      </c>
      <c r="H18" s="23" t="s">
        <v>1710</v>
      </c>
      <c r="I18" s="23" t="s">
        <v>765</v>
      </c>
      <c r="J18" s="23" t="s">
        <v>766</v>
      </c>
      <c r="K18" s="23" t="s">
        <v>768</v>
      </c>
      <c r="L18" s="23" t="s">
        <v>1711</v>
      </c>
      <c r="M18" s="23" t="s">
        <v>1712</v>
      </c>
      <c r="N18" s="23" t="s">
        <v>1713</v>
      </c>
      <c r="O18" s="23" t="s">
        <v>1714</v>
      </c>
      <c r="P18" s="23" t="s">
        <v>1715</v>
      </c>
      <c r="Q18" s="23" t="s">
        <v>1716</v>
      </c>
      <c r="R18" s="23" t="s">
        <v>1717</v>
      </c>
      <c r="S18" s="23" t="s">
        <v>776</v>
      </c>
      <c r="T18" s="23" t="s">
        <v>777</v>
      </c>
      <c r="U18" s="23" t="s">
        <v>1718</v>
      </c>
      <c r="V18" s="23" t="s">
        <v>1719</v>
      </c>
      <c r="W18" s="23" t="s">
        <v>3433</v>
      </c>
      <c r="X18" s="23" t="s">
        <v>3514</v>
      </c>
      <c r="Y18" s="23" t="s">
        <v>3595</v>
      </c>
      <c r="Z18" s="23" t="s">
        <v>1720</v>
      </c>
      <c r="AA18" s="23" t="s">
        <v>1721</v>
      </c>
      <c r="AB18" s="23" t="s">
        <v>1722</v>
      </c>
      <c r="AC18" s="23" t="s">
        <v>1723</v>
      </c>
      <c r="AD18" s="23" t="s">
        <v>1724</v>
      </c>
      <c r="AE18" s="23" t="s">
        <v>1725</v>
      </c>
      <c r="AF18" s="23" t="s">
        <v>1726</v>
      </c>
      <c r="AG18" s="23" t="s">
        <v>1727</v>
      </c>
      <c r="AH18" s="23" t="s">
        <v>1728</v>
      </c>
      <c r="AI18" s="23" t="s">
        <v>1729</v>
      </c>
      <c r="AJ18" s="23" t="s">
        <v>1730</v>
      </c>
    </row>
    <row r="19" spans="1:36" x14ac:dyDescent="0.3">
      <c r="A19" s="23" t="s">
        <v>299</v>
      </c>
      <c r="B19" s="23" t="s">
        <v>4372</v>
      </c>
      <c r="C19" s="23" t="s">
        <v>3353</v>
      </c>
      <c r="D19" s="23" t="s">
        <v>791</v>
      </c>
      <c r="E19" s="23" t="s">
        <v>1731</v>
      </c>
      <c r="F19" s="23" t="s">
        <v>1732</v>
      </c>
      <c r="G19" s="23" t="s">
        <v>1733</v>
      </c>
      <c r="H19" s="23" t="s">
        <v>1734</v>
      </c>
      <c r="I19" s="23" t="s">
        <v>795</v>
      </c>
      <c r="J19" s="23" t="s">
        <v>796</v>
      </c>
      <c r="K19" s="23" t="s">
        <v>798</v>
      </c>
      <c r="L19" s="23" t="s">
        <v>1735</v>
      </c>
      <c r="M19" s="23" t="s">
        <v>1736</v>
      </c>
      <c r="N19" s="23" t="s">
        <v>1737</v>
      </c>
      <c r="O19" s="23" t="s">
        <v>1738</v>
      </c>
      <c r="P19" s="23" t="s">
        <v>1739</v>
      </c>
      <c r="Q19" s="23" t="s">
        <v>1740</v>
      </c>
      <c r="R19" s="23" t="s">
        <v>1741</v>
      </c>
      <c r="S19" s="23" t="s">
        <v>806</v>
      </c>
      <c r="T19" s="23" t="s">
        <v>807</v>
      </c>
      <c r="U19" s="23" t="s">
        <v>1742</v>
      </c>
      <c r="V19" s="23" t="s">
        <v>1743</v>
      </c>
      <c r="W19" s="23" t="s">
        <v>3434</v>
      </c>
      <c r="X19" s="23" t="s">
        <v>3515</v>
      </c>
      <c r="Y19" s="23" t="s">
        <v>3596</v>
      </c>
      <c r="Z19" s="23" t="s">
        <v>1744</v>
      </c>
      <c r="AA19" s="23" t="s">
        <v>1745</v>
      </c>
      <c r="AB19" s="23" t="s">
        <v>1746</v>
      </c>
      <c r="AC19" s="23" t="s">
        <v>1747</v>
      </c>
      <c r="AD19" s="23" t="s">
        <v>1748</v>
      </c>
      <c r="AE19" s="23" t="s">
        <v>1749</v>
      </c>
      <c r="AF19" s="23" t="s">
        <v>1750</v>
      </c>
      <c r="AG19" s="23" t="s">
        <v>1751</v>
      </c>
      <c r="AH19" s="23" t="s">
        <v>1752</v>
      </c>
      <c r="AI19" s="23" t="s">
        <v>1753</v>
      </c>
      <c r="AJ19" s="23" t="s">
        <v>1754</v>
      </c>
    </row>
    <row r="20" spans="1:36" x14ac:dyDescent="0.3">
      <c r="A20" s="23" t="s">
        <v>299</v>
      </c>
      <c r="B20" s="23" t="s">
        <v>4373</v>
      </c>
      <c r="C20" s="23" t="s">
        <v>3354</v>
      </c>
      <c r="D20" s="23" t="s">
        <v>821</v>
      </c>
      <c r="E20" s="23" t="s">
        <v>1755</v>
      </c>
      <c r="F20" s="23" t="s">
        <v>1756</v>
      </c>
      <c r="G20" s="23" t="s">
        <v>1757</v>
      </c>
      <c r="H20" s="23" t="s">
        <v>1758</v>
      </c>
      <c r="I20" s="23" t="s">
        <v>825</v>
      </c>
      <c r="J20" s="23" t="s">
        <v>826</v>
      </c>
      <c r="K20" s="23" t="s">
        <v>828</v>
      </c>
      <c r="L20" s="23" t="s">
        <v>1759</v>
      </c>
      <c r="M20" s="23" t="s">
        <v>1760</v>
      </c>
      <c r="N20" s="23" t="s">
        <v>1761</v>
      </c>
      <c r="O20" s="23" t="s">
        <v>1762</v>
      </c>
      <c r="P20" s="23" t="s">
        <v>1763</v>
      </c>
      <c r="Q20" s="23" t="s">
        <v>1764</v>
      </c>
      <c r="R20" s="23" t="s">
        <v>1765</v>
      </c>
      <c r="S20" s="23" t="s">
        <v>836</v>
      </c>
      <c r="T20" s="23" t="s">
        <v>837</v>
      </c>
      <c r="U20" s="23" t="s">
        <v>1766</v>
      </c>
      <c r="V20" s="23" t="s">
        <v>1767</v>
      </c>
      <c r="W20" s="23" t="s">
        <v>3435</v>
      </c>
      <c r="X20" s="23" t="s">
        <v>3516</v>
      </c>
      <c r="Y20" s="23" t="s">
        <v>3597</v>
      </c>
      <c r="Z20" s="23" t="s">
        <v>1768</v>
      </c>
      <c r="AA20" s="23" t="s">
        <v>1769</v>
      </c>
      <c r="AB20" s="23" t="s">
        <v>1770</v>
      </c>
      <c r="AC20" s="23" t="s">
        <v>1771</v>
      </c>
      <c r="AD20" s="23" t="s">
        <v>1772</v>
      </c>
      <c r="AE20" s="23" t="s">
        <v>1773</v>
      </c>
      <c r="AF20" s="23" t="s">
        <v>1774</v>
      </c>
      <c r="AG20" s="23" t="s">
        <v>1775</v>
      </c>
      <c r="AH20" s="23" t="s">
        <v>1776</v>
      </c>
      <c r="AI20" s="23" t="s">
        <v>1777</v>
      </c>
      <c r="AJ20" s="23" t="s">
        <v>1778</v>
      </c>
    </row>
    <row r="21" spans="1:36" x14ac:dyDescent="0.3">
      <c r="A21" s="23" t="s">
        <v>299</v>
      </c>
      <c r="B21" s="23" t="s">
        <v>4374</v>
      </c>
      <c r="C21" s="23" t="s">
        <v>3355</v>
      </c>
      <c r="D21" s="23" t="s">
        <v>851</v>
      </c>
      <c r="E21" s="23" t="s">
        <v>1779</v>
      </c>
      <c r="F21" s="23" t="s">
        <v>1780</v>
      </c>
      <c r="G21" s="23" t="s">
        <v>1781</v>
      </c>
      <c r="H21" s="23" t="s">
        <v>1782</v>
      </c>
      <c r="I21" s="23" t="s">
        <v>852</v>
      </c>
      <c r="J21" s="23" t="s">
        <v>853</v>
      </c>
      <c r="K21" s="23" t="s">
        <v>854</v>
      </c>
      <c r="L21" s="23" t="s">
        <v>1783</v>
      </c>
      <c r="M21" s="23" t="s">
        <v>1784</v>
      </c>
      <c r="N21" s="23" t="s">
        <v>1785</v>
      </c>
      <c r="O21" s="23" t="s">
        <v>1786</v>
      </c>
      <c r="P21" s="23" t="s">
        <v>1787</v>
      </c>
      <c r="Q21" s="23" t="s">
        <v>1788</v>
      </c>
      <c r="R21" s="23" t="s">
        <v>1789</v>
      </c>
      <c r="S21" s="23" t="s">
        <v>855</v>
      </c>
      <c r="T21" s="23" t="s">
        <v>856</v>
      </c>
      <c r="U21" s="23" t="s">
        <v>1790</v>
      </c>
      <c r="V21" s="23" t="s">
        <v>1791</v>
      </c>
      <c r="W21" s="23" t="s">
        <v>3436</v>
      </c>
      <c r="X21" s="23" t="s">
        <v>3517</v>
      </c>
      <c r="Y21" s="23" t="s">
        <v>3598</v>
      </c>
      <c r="Z21" s="23" t="s">
        <v>1792</v>
      </c>
      <c r="AA21" s="23" t="s">
        <v>1793</v>
      </c>
      <c r="AB21" s="23" t="s">
        <v>1794</v>
      </c>
      <c r="AC21" s="23" t="s">
        <v>1795</v>
      </c>
      <c r="AD21" s="23" t="s">
        <v>1796</v>
      </c>
      <c r="AE21" s="23" t="s">
        <v>1797</v>
      </c>
      <c r="AF21" s="23" t="s">
        <v>1798</v>
      </c>
      <c r="AG21" s="23" t="s">
        <v>1799</v>
      </c>
      <c r="AH21" s="23" t="s">
        <v>1800</v>
      </c>
      <c r="AI21" s="23" t="s">
        <v>1801</v>
      </c>
      <c r="AJ21" s="23" t="s">
        <v>1802</v>
      </c>
    </row>
    <row r="22" spans="1:36" x14ac:dyDescent="0.3">
      <c r="A22" s="23" t="s">
        <v>299</v>
      </c>
      <c r="B22" s="23" t="s">
        <v>4375</v>
      </c>
      <c r="C22" s="23" t="s">
        <v>3356</v>
      </c>
      <c r="D22" s="23" t="s">
        <v>857</v>
      </c>
      <c r="E22" s="23" t="s">
        <v>1803</v>
      </c>
      <c r="F22" s="23" t="s">
        <v>1804</v>
      </c>
      <c r="G22" s="23" t="s">
        <v>1805</v>
      </c>
      <c r="H22" s="23" t="s">
        <v>1806</v>
      </c>
      <c r="I22" s="23" t="s">
        <v>858</v>
      </c>
      <c r="J22" s="23" t="s">
        <v>859</v>
      </c>
      <c r="K22" s="23" t="s">
        <v>860</v>
      </c>
      <c r="L22" s="23" t="s">
        <v>1807</v>
      </c>
      <c r="M22" s="23" t="s">
        <v>1808</v>
      </c>
      <c r="N22" s="23" t="s">
        <v>1809</v>
      </c>
      <c r="O22" s="23" t="s">
        <v>1810</v>
      </c>
      <c r="P22" s="23" t="s">
        <v>1811</v>
      </c>
      <c r="Q22" s="23" t="s">
        <v>1812</v>
      </c>
      <c r="R22" s="23" t="s">
        <v>1813</v>
      </c>
      <c r="S22" s="23" t="s">
        <v>861</v>
      </c>
      <c r="T22" s="23" t="s">
        <v>862</v>
      </c>
      <c r="U22" s="23" t="s">
        <v>1814</v>
      </c>
      <c r="V22" s="23" t="s">
        <v>1815</v>
      </c>
      <c r="W22" s="23" t="s">
        <v>3437</v>
      </c>
      <c r="X22" s="23" t="s">
        <v>3518</v>
      </c>
      <c r="Y22" s="23" t="s">
        <v>3599</v>
      </c>
      <c r="Z22" s="23" t="s">
        <v>1816</v>
      </c>
      <c r="AA22" s="23" t="s">
        <v>1817</v>
      </c>
      <c r="AB22" s="23" t="s">
        <v>1818</v>
      </c>
      <c r="AC22" s="23" t="s">
        <v>1819</v>
      </c>
      <c r="AD22" s="23" t="s">
        <v>1820</v>
      </c>
      <c r="AE22" s="23" t="s">
        <v>1821</v>
      </c>
      <c r="AF22" s="23" t="s">
        <v>1822</v>
      </c>
      <c r="AG22" s="23" t="s">
        <v>1823</v>
      </c>
      <c r="AH22" s="23" t="s">
        <v>1824</v>
      </c>
      <c r="AI22" s="23" t="s">
        <v>1825</v>
      </c>
      <c r="AJ22" s="23" t="s">
        <v>1826</v>
      </c>
    </row>
    <row r="23" spans="1:36" x14ac:dyDescent="0.3">
      <c r="A23" s="23" t="s">
        <v>299</v>
      </c>
      <c r="B23" s="23" t="s">
        <v>4376</v>
      </c>
      <c r="C23" s="23" t="s">
        <v>3357</v>
      </c>
      <c r="D23" s="23" t="s">
        <v>863</v>
      </c>
      <c r="E23" s="23" t="s">
        <v>1827</v>
      </c>
      <c r="F23" s="23" t="s">
        <v>1828</v>
      </c>
      <c r="G23" s="23" t="s">
        <v>1829</v>
      </c>
      <c r="H23" s="23" t="s">
        <v>1830</v>
      </c>
      <c r="I23" s="23" t="s">
        <v>864</v>
      </c>
      <c r="J23" s="23" t="s">
        <v>865</v>
      </c>
      <c r="K23" s="23" t="s">
        <v>866</v>
      </c>
      <c r="L23" s="23" t="s">
        <v>1831</v>
      </c>
      <c r="M23" s="23" t="s">
        <v>1832</v>
      </c>
      <c r="N23" s="23" t="s">
        <v>1833</v>
      </c>
      <c r="O23" s="23" t="s">
        <v>1834</v>
      </c>
      <c r="P23" s="23" t="s">
        <v>1835</v>
      </c>
      <c r="Q23" s="23" t="s">
        <v>1836</v>
      </c>
      <c r="R23" s="23" t="s">
        <v>1837</v>
      </c>
      <c r="S23" s="23" t="s">
        <v>867</v>
      </c>
      <c r="T23" s="23" t="s">
        <v>868</v>
      </c>
      <c r="U23" s="23" t="s">
        <v>1838</v>
      </c>
      <c r="V23" s="23" t="s">
        <v>1839</v>
      </c>
      <c r="W23" s="23" t="s">
        <v>3438</v>
      </c>
      <c r="X23" s="23" t="s">
        <v>3519</v>
      </c>
      <c r="Y23" s="23" t="s">
        <v>3600</v>
      </c>
      <c r="Z23" s="23" t="s">
        <v>1840</v>
      </c>
      <c r="AA23" s="23" t="s">
        <v>1841</v>
      </c>
      <c r="AB23" s="23" t="s">
        <v>1842</v>
      </c>
      <c r="AC23" s="23" t="s">
        <v>1843</v>
      </c>
      <c r="AD23" s="23" t="s">
        <v>1844</v>
      </c>
      <c r="AE23" s="23" t="s">
        <v>1845</v>
      </c>
      <c r="AF23" s="23" t="s">
        <v>1846</v>
      </c>
      <c r="AG23" s="23" t="s">
        <v>1847</v>
      </c>
      <c r="AH23" s="23" t="s">
        <v>1848</v>
      </c>
      <c r="AI23" s="23" t="s">
        <v>1849</v>
      </c>
      <c r="AJ23" s="23" t="s">
        <v>1850</v>
      </c>
    </row>
    <row r="24" spans="1:36" x14ac:dyDescent="0.3">
      <c r="A24" s="23" t="s">
        <v>299</v>
      </c>
      <c r="B24" s="23" t="s">
        <v>4377</v>
      </c>
      <c r="C24" s="23" t="s">
        <v>3358</v>
      </c>
      <c r="D24" s="23" t="s">
        <v>869</v>
      </c>
      <c r="E24" s="23" t="s">
        <v>1851</v>
      </c>
      <c r="F24" s="23" t="s">
        <v>1852</v>
      </c>
      <c r="G24" s="23" t="s">
        <v>1853</v>
      </c>
      <c r="H24" s="23" t="s">
        <v>1854</v>
      </c>
      <c r="I24" s="23" t="s">
        <v>870</v>
      </c>
      <c r="J24" s="23" t="s">
        <v>871</v>
      </c>
      <c r="K24" s="23" t="s">
        <v>872</v>
      </c>
      <c r="L24" s="23" t="s">
        <v>1855</v>
      </c>
      <c r="M24" s="23" t="s">
        <v>1856</v>
      </c>
      <c r="N24" s="23" t="s">
        <v>1857</v>
      </c>
      <c r="O24" s="23" t="s">
        <v>1858</v>
      </c>
      <c r="P24" s="23" t="s">
        <v>1859</v>
      </c>
      <c r="Q24" s="23" t="s">
        <v>1860</v>
      </c>
      <c r="R24" s="23" t="s">
        <v>1861</v>
      </c>
      <c r="S24" s="23" t="s">
        <v>873</v>
      </c>
      <c r="T24" s="23" t="s">
        <v>874</v>
      </c>
      <c r="U24" s="23" t="s">
        <v>1862</v>
      </c>
      <c r="V24" s="23" t="s">
        <v>1863</v>
      </c>
      <c r="W24" s="23" t="s">
        <v>3439</v>
      </c>
      <c r="X24" s="23" t="s">
        <v>3520</v>
      </c>
      <c r="Y24" s="23" t="s">
        <v>3601</v>
      </c>
      <c r="Z24" s="23" t="s">
        <v>1864</v>
      </c>
      <c r="AA24" s="23" t="s">
        <v>1865</v>
      </c>
      <c r="AB24" s="23" t="s">
        <v>1866</v>
      </c>
      <c r="AC24" s="23" t="s">
        <v>1867</v>
      </c>
      <c r="AD24" s="23" t="s">
        <v>1868</v>
      </c>
      <c r="AE24" s="23" t="s">
        <v>1869</v>
      </c>
      <c r="AF24" s="23" t="s">
        <v>1870</v>
      </c>
      <c r="AG24" s="23" t="s">
        <v>1871</v>
      </c>
      <c r="AH24" s="23" t="s">
        <v>1872</v>
      </c>
      <c r="AI24" s="23" t="s">
        <v>1873</v>
      </c>
      <c r="AJ24" s="23" t="s">
        <v>1874</v>
      </c>
    </row>
    <row r="25" spans="1:36" x14ac:dyDescent="0.3">
      <c r="A25" s="23" t="s">
        <v>299</v>
      </c>
      <c r="B25" s="23" t="s">
        <v>4378</v>
      </c>
      <c r="C25" s="23" t="s">
        <v>3359</v>
      </c>
      <c r="D25" s="23" t="s">
        <v>875</v>
      </c>
      <c r="E25" s="23" t="s">
        <v>1875</v>
      </c>
      <c r="F25" s="23" t="s">
        <v>1876</v>
      </c>
      <c r="G25" s="23" t="s">
        <v>1877</v>
      </c>
      <c r="H25" s="23" t="s">
        <v>1878</v>
      </c>
      <c r="I25" s="23" t="s">
        <v>876</v>
      </c>
      <c r="J25" s="23" t="s">
        <v>877</v>
      </c>
      <c r="K25" s="23" t="s">
        <v>878</v>
      </c>
      <c r="L25" s="23" t="s">
        <v>1879</v>
      </c>
      <c r="M25" s="23" t="s">
        <v>1880</v>
      </c>
      <c r="N25" s="23" t="s">
        <v>1881</v>
      </c>
      <c r="O25" s="23" t="s">
        <v>1882</v>
      </c>
      <c r="P25" s="23" t="s">
        <v>1883</v>
      </c>
      <c r="Q25" s="23" t="s">
        <v>1884</v>
      </c>
      <c r="R25" s="23" t="s">
        <v>1885</v>
      </c>
      <c r="S25" s="23" t="s">
        <v>879</v>
      </c>
      <c r="T25" s="23" t="s">
        <v>880</v>
      </c>
      <c r="U25" s="23" t="s">
        <v>1886</v>
      </c>
      <c r="V25" s="23" t="s">
        <v>1887</v>
      </c>
      <c r="W25" s="23" t="s">
        <v>3440</v>
      </c>
      <c r="X25" s="23" t="s">
        <v>3521</v>
      </c>
      <c r="Y25" s="23" t="s">
        <v>3602</v>
      </c>
      <c r="Z25" s="23" t="s">
        <v>1888</v>
      </c>
      <c r="AA25" s="23" t="s">
        <v>1889</v>
      </c>
      <c r="AB25" s="23" t="s">
        <v>1890</v>
      </c>
      <c r="AC25" s="23" t="s">
        <v>1891</v>
      </c>
      <c r="AD25" s="23" t="s">
        <v>1892</v>
      </c>
      <c r="AE25" s="23" t="s">
        <v>1893</v>
      </c>
      <c r="AF25" s="23" t="s">
        <v>1894</v>
      </c>
      <c r="AG25" s="23" t="s">
        <v>1895</v>
      </c>
      <c r="AH25" s="23" t="s">
        <v>1896</v>
      </c>
      <c r="AI25" s="23" t="s">
        <v>1897</v>
      </c>
      <c r="AJ25" s="23" t="s">
        <v>1898</v>
      </c>
    </row>
    <row r="26" spans="1:36" x14ac:dyDescent="0.3">
      <c r="A26" s="23" t="s">
        <v>299</v>
      </c>
      <c r="B26" s="23" t="s">
        <v>4379</v>
      </c>
      <c r="C26" s="23" t="s">
        <v>3360</v>
      </c>
      <c r="D26" s="23" t="s">
        <v>881</v>
      </c>
      <c r="E26" s="23" t="s">
        <v>1899</v>
      </c>
      <c r="F26" s="23" t="s">
        <v>1900</v>
      </c>
      <c r="G26" s="23" t="s">
        <v>1901</v>
      </c>
      <c r="H26" s="23" t="s">
        <v>1902</v>
      </c>
      <c r="I26" s="23" t="s">
        <v>882</v>
      </c>
      <c r="J26" s="23" t="s">
        <v>883</v>
      </c>
      <c r="K26" s="23" t="s">
        <v>884</v>
      </c>
      <c r="L26" s="23" t="s">
        <v>1903</v>
      </c>
      <c r="M26" s="23" t="s">
        <v>1904</v>
      </c>
      <c r="N26" s="23" t="s">
        <v>1905</v>
      </c>
      <c r="O26" s="23" t="s">
        <v>1906</v>
      </c>
      <c r="P26" s="23" t="s">
        <v>1907</v>
      </c>
      <c r="Q26" s="23" t="s">
        <v>1908</v>
      </c>
      <c r="R26" s="23" t="s">
        <v>1909</v>
      </c>
      <c r="S26" s="23" t="s">
        <v>885</v>
      </c>
      <c r="T26" s="23" t="s">
        <v>886</v>
      </c>
      <c r="U26" s="23" t="s">
        <v>1910</v>
      </c>
      <c r="V26" s="23" t="s">
        <v>1911</v>
      </c>
      <c r="W26" s="23" t="s">
        <v>3441</v>
      </c>
      <c r="X26" s="23" t="s">
        <v>3522</v>
      </c>
      <c r="Y26" s="23" t="s">
        <v>3603</v>
      </c>
      <c r="Z26" s="23" t="s">
        <v>1912</v>
      </c>
      <c r="AA26" s="23" t="s">
        <v>1913</v>
      </c>
      <c r="AB26" s="23" t="s">
        <v>1914</v>
      </c>
      <c r="AC26" s="23" t="s">
        <v>1915</v>
      </c>
      <c r="AD26" s="23" t="s">
        <v>1916</v>
      </c>
      <c r="AE26" s="23" t="s">
        <v>1917</v>
      </c>
      <c r="AF26" s="23" t="s">
        <v>1918</v>
      </c>
      <c r="AG26" s="23" t="s">
        <v>1919</v>
      </c>
      <c r="AH26" s="23" t="s">
        <v>1920</v>
      </c>
      <c r="AI26" s="23" t="s">
        <v>1921</v>
      </c>
      <c r="AJ26" s="23" t="s">
        <v>1922</v>
      </c>
    </row>
    <row r="27" spans="1:36" x14ac:dyDescent="0.3">
      <c r="A27" s="23" t="s">
        <v>299</v>
      </c>
      <c r="B27" s="23" t="s">
        <v>4380</v>
      </c>
      <c r="C27" s="23" t="s">
        <v>3361</v>
      </c>
      <c r="D27" s="23" t="s">
        <v>887</v>
      </c>
      <c r="E27" s="23" t="s">
        <v>1923</v>
      </c>
      <c r="F27" s="23" t="s">
        <v>1924</v>
      </c>
      <c r="G27" s="23" t="s">
        <v>1925</v>
      </c>
      <c r="H27" s="23" t="s">
        <v>1926</v>
      </c>
      <c r="I27" s="23" t="s">
        <v>888</v>
      </c>
      <c r="J27" s="23" t="s">
        <v>889</v>
      </c>
      <c r="K27" s="23" t="s">
        <v>890</v>
      </c>
      <c r="L27" s="23" t="s">
        <v>1927</v>
      </c>
      <c r="M27" s="23" t="s">
        <v>1928</v>
      </c>
      <c r="N27" s="23" t="s">
        <v>1929</v>
      </c>
      <c r="O27" s="23" t="s">
        <v>1930</v>
      </c>
      <c r="P27" s="23" t="s">
        <v>1931</v>
      </c>
      <c r="Q27" s="23" t="s">
        <v>1932</v>
      </c>
      <c r="R27" s="23" t="s">
        <v>1933</v>
      </c>
      <c r="S27" s="23" t="s">
        <v>891</v>
      </c>
      <c r="T27" s="23" t="s">
        <v>892</v>
      </c>
      <c r="U27" s="23" t="s">
        <v>1934</v>
      </c>
      <c r="V27" s="23" t="s">
        <v>1935</v>
      </c>
      <c r="W27" s="23" t="s">
        <v>3442</v>
      </c>
      <c r="X27" s="23" t="s">
        <v>3523</v>
      </c>
      <c r="Y27" s="23" t="s">
        <v>3604</v>
      </c>
      <c r="Z27" s="23" t="s">
        <v>1936</v>
      </c>
      <c r="AA27" s="23" t="s">
        <v>1937</v>
      </c>
      <c r="AB27" s="23" t="s">
        <v>1938</v>
      </c>
      <c r="AC27" s="23" t="s">
        <v>1939</v>
      </c>
      <c r="AD27" s="23" t="s">
        <v>1940</v>
      </c>
      <c r="AE27" s="23" t="s">
        <v>1941</v>
      </c>
      <c r="AF27" s="23" t="s">
        <v>1942</v>
      </c>
      <c r="AG27" s="23" t="s">
        <v>1943</v>
      </c>
      <c r="AH27" s="23" t="s">
        <v>1944</v>
      </c>
      <c r="AI27" s="23" t="s">
        <v>1945</v>
      </c>
      <c r="AJ27" s="23" t="s">
        <v>1946</v>
      </c>
    </row>
    <row r="28" spans="1:36" x14ac:dyDescent="0.3">
      <c r="A28" s="23" t="s">
        <v>299</v>
      </c>
      <c r="B28" s="23" t="s">
        <v>4381</v>
      </c>
      <c r="C28" s="23" t="s">
        <v>3362</v>
      </c>
      <c r="D28" s="23" t="s">
        <v>893</v>
      </c>
      <c r="E28" s="23" t="s">
        <v>1947</v>
      </c>
      <c r="F28" s="23" t="s">
        <v>1948</v>
      </c>
      <c r="G28" s="23" t="s">
        <v>1949</v>
      </c>
      <c r="H28" s="23" t="s">
        <v>1950</v>
      </c>
      <c r="I28" s="23" t="s">
        <v>894</v>
      </c>
      <c r="J28" s="23" t="s">
        <v>895</v>
      </c>
      <c r="K28" s="23" t="s">
        <v>896</v>
      </c>
      <c r="L28" s="23" t="s">
        <v>1951</v>
      </c>
      <c r="M28" s="23" t="s">
        <v>1952</v>
      </c>
      <c r="N28" s="23" t="s">
        <v>1953</v>
      </c>
      <c r="O28" s="23" t="s">
        <v>1954</v>
      </c>
      <c r="P28" s="23" t="s">
        <v>1955</v>
      </c>
      <c r="Q28" s="23" t="s">
        <v>1956</v>
      </c>
      <c r="R28" s="23" t="s">
        <v>1957</v>
      </c>
      <c r="S28" s="23" t="s">
        <v>897</v>
      </c>
      <c r="T28" s="23" t="s">
        <v>898</v>
      </c>
      <c r="U28" s="23" t="s">
        <v>1958</v>
      </c>
      <c r="V28" s="23" t="s">
        <v>1959</v>
      </c>
      <c r="W28" s="23" t="s">
        <v>3443</v>
      </c>
      <c r="X28" s="23" t="s">
        <v>3524</v>
      </c>
      <c r="Y28" s="23" t="s">
        <v>3605</v>
      </c>
      <c r="Z28" s="23" t="s">
        <v>1960</v>
      </c>
      <c r="AA28" s="23" t="s">
        <v>1961</v>
      </c>
      <c r="AB28" s="23" t="s">
        <v>1962</v>
      </c>
      <c r="AC28" s="23" t="s">
        <v>1963</v>
      </c>
      <c r="AD28" s="23" t="s">
        <v>1964</v>
      </c>
      <c r="AE28" s="23" t="s">
        <v>1965</v>
      </c>
      <c r="AF28" s="23" t="s">
        <v>1966</v>
      </c>
      <c r="AG28" s="23" t="s">
        <v>1967</v>
      </c>
      <c r="AH28" s="23" t="s">
        <v>1968</v>
      </c>
      <c r="AI28" s="23" t="s">
        <v>1969</v>
      </c>
      <c r="AJ28" s="23" t="s">
        <v>1970</v>
      </c>
    </row>
    <row r="29" spans="1:36" x14ac:dyDescent="0.3">
      <c r="A29" s="23" t="s">
        <v>299</v>
      </c>
      <c r="B29" s="23" t="s">
        <v>4382</v>
      </c>
      <c r="C29" s="23" t="s">
        <v>3363</v>
      </c>
      <c r="D29" s="23" t="s">
        <v>899</v>
      </c>
      <c r="E29" s="23" t="s">
        <v>1971</v>
      </c>
      <c r="F29" s="23" t="s">
        <v>1972</v>
      </c>
      <c r="G29" s="23" t="s">
        <v>1973</v>
      </c>
      <c r="H29" s="23" t="s">
        <v>1974</v>
      </c>
      <c r="I29" s="23" t="s">
        <v>900</v>
      </c>
      <c r="J29" s="23" t="s">
        <v>901</v>
      </c>
      <c r="K29" s="23" t="s">
        <v>902</v>
      </c>
      <c r="L29" s="23" t="s">
        <v>1975</v>
      </c>
      <c r="M29" s="23" t="s">
        <v>1976</v>
      </c>
      <c r="N29" s="23" t="s">
        <v>1977</v>
      </c>
      <c r="O29" s="23" t="s">
        <v>1978</v>
      </c>
      <c r="P29" s="23" t="s">
        <v>1979</v>
      </c>
      <c r="Q29" s="23" t="s">
        <v>1980</v>
      </c>
      <c r="R29" s="23" t="s">
        <v>1981</v>
      </c>
      <c r="S29" s="23" t="s">
        <v>903</v>
      </c>
      <c r="T29" s="23" t="s">
        <v>904</v>
      </c>
      <c r="U29" s="23" t="s">
        <v>1982</v>
      </c>
      <c r="V29" s="23" t="s">
        <v>1983</v>
      </c>
      <c r="W29" s="23" t="s">
        <v>3444</v>
      </c>
      <c r="X29" s="23" t="s">
        <v>3525</v>
      </c>
      <c r="Y29" s="23" t="s">
        <v>3606</v>
      </c>
      <c r="Z29" s="23" t="s">
        <v>1984</v>
      </c>
      <c r="AA29" s="23" t="s">
        <v>1985</v>
      </c>
      <c r="AB29" s="23" t="s">
        <v>1986</v>
      </c>
      <c r="AC29" s="23" t="s">
        <v>1987</v>
      </c>
      <c r="AD29" s="23" t="s">
        <v>1988</v>
      </c>
      <c r="AE29" s="23" t="s">
        <v>1989</v>
      </c>
      <c r="AF29" s="23" t="s">
        <v>1990</v>
      </c>
      <c r="AG29" s="23" t="s">
        <v>1991</v>
      </c>
      <c r="AH29" s="23" t="s">
        <v>1992</v>
      </c>
      <c r="AI29" s="23" t="s">
        <v>1993</v>
      </c>
      <c r="AJ29" s="23" t="s">
        <v>1994</v>
      </c>
    </row>
    <row r="30" spans="1:36" x14ac:dyDescent="0.3">
      <c r="A30" s="23" t="s">
        <v>299</v>
      </c>
      <c r="B30" s="23" t="s">
        <v>4383</v>
      </c>
      <c r="C30" s="23" t="s">
        <v>3364</v>
      </c>
      <c r="D30" s="23" t="s">
        <v>905</v>
      </c>
      <c r="E30" s="23" t="s">
        <v>1995</v>
      </c>
      <c r="F30" s="23" t="s">
        <v>1996</v>
      </c>
      <c r="G30" s="23" t="s">
        <v>1997</v>
      </c>
      <c r="H30" s="23" t="s">
        <v>1998</v>
      </c>
      <c r="I30" s="23" t="s">
        <v>906</v>
      </c>
      <c r="J30" s="23" t="s">
        <v>907</v>
      </c>
      <c r="K30" s="23" t="s">
        <v>908</v>
      </c>
      <c r="L30" s="23" t="s">
        <v>1999</v>
      </c>
      <c r="M30" s="23" t="s">
        <v>2000</v>
      </c>
      <c r="N30" s="23" t="s">
        <v>2001</v>
      </c>
      <c r="O30" s="23" t="s">
        <v>2002</v>
      </c>
      <c r="P30" s="23" t="s">
        <v>2003</v>
      </c>
      <c r="Q30" s="23" t="s">
        <v>2004</v>
      </c>
      <c r="R30" s="23" t="s">
        <v>2005</v>
      </c>
      <c r="S30" s="23" t="s">
        <v>909</v>
      </c>
      <c r="T30" s="23" t="s">
        <v>910</v>
      </c>
      <c r="U30" s="23" t="s">
        <v>2006</v>
      </c>
      <c r="V30" s="23" t="s">
        <v>2007</v>
      </c>
      <c r="W30" s="23" t="s">
        <v>3445</v>
      </c>
      <c r="X30" s="23" t="s">
        <v>3526</v>
      </c>
      <c r="Y30" s="23" t="s">
        <v>3607</v>
      </c>
      <c r="Z30" s="23" t="s">
        <v>2008</v>
      </c>
      <c r="AA30" s="23" t="s">
        <v>2009</v>
      </c>
      <c r="AB30" s="23" t="s">
        <v>2010</v>
      </c>
      <c r="AC30" s="23" t="s">
        <v>2011</v>
      </c>
      <c r="AD30" s="23" t="s">
        <v>2012</v>
      </c>
      <c r="AE30" s="23" t="s">
        <v>2013</v>
      </c>
      <c r="AF30" s="23" t="s">
        <v>2014</v>
      </c>
      <c r="AG30" s="23" t="s">
        <v>2015</v>
      </c>
      <c r="AH30" s="23" t="s">
        <v>2016</v>
      </c>
      <c r="AI30" s="23" t="s">
        <v>2017</v>
      </c>
      <c r="AJ30" s="23" t="s">
        <v>2018</v>
      </c>
    </row>
    <row r="31" spans="1:36" x14ac:dyDescent="0.3">
      <c r="A31" s="23" t="s">
        <v>299</v>
      </c>
      <c r="B31" s="23" t="s">
        <v>4384</v>
      </c>
      <c r="C31" s="23" t="s">
        <v>3365</v>
      </c>
      <c r="D31" s="23" t="s">
        <v>911</v>
      </c>
      <c r="E31" s="23" t="s">
        <v>2019</v>
      </c>
      <c r="F31" s="23" t="s">
        <v>2020</v>
      </c>
      <c r="G31" s="23" t="s">
        <v>2021</v>
      </c>
      <c r="H31" s="23" t="s">
        <v>2022</v>
      </c>
      <c r="I31" s="23" t="s">
        <v>912</v>
      </c>
      <c r="J31" s="23" t="s">
        <v>913</v>
      </c>
      <c r="K31" s="23" t="s">
        <v>914</v>
      </c>
      <c r="L31" s="23" t="s">
        <v>2023</v>
      </c>
      <c r="M31" s="23" t="s">
        <v>2024</v>
      </c>
      <c r="N31" s="23" t="s">
        <v>2025</v>
      </c>
      <c r="O31" s="23" t="s">
        <v>2026</v>
      </c>
      <c r="P31" s="23" t="s">
        <v>2027</v>
      </c>
      <c r="Q31" s="23" t="s">
        <v>2028</v>
      </c>
      <c r="R31" s="23" t="s">
        <v>2029</v>
      </c>
      <c r="S31" s="23" t="s">
        <v>915</v>
      </c>
      <c r="T31" s="23" t="s">
        <v>916</v>
      </c>
      <c r="U31" s="23" t="s">
        <v>2030</v>
      </c>
      <c r="V31" s="23" t="s">
        <v>2031</v>
      </c>
      <c r="W31" s="23" t="s">
        <v>3446</v>
      </c>
      <c r="X31" s="23" t="s">
        <v>3527</v>
      </c>
      <c r="Y31" s="23" t="s">
        <v>3608</v>
      </c>
      <c r="Z31" s="23" t="s">
        <v>2032</v>
      </c>
      <c r="AA31" s="23" t="s">
        <v>2033</v>
      </c>
      <c r="AB31" s="23" t="s">
        <v>2034</v>
      </c>
      <c r="AC31" s="23" t="s">
        <v>2035</v>
      </c>
      <c r="AD31" s="23" t="s">
        <v>2036</v>
      </c>
      <c r="AE31" s="23" t="s">
        <v>2037</v>
      </c>
      <c r="AF31" s="23" t="s">
        <v>2038</v>
      </c>
      <c r="AG31" s="23" t="s">
        <v>2039</v>
      </c>
      <c r="AH31" s="23" t="s">
        <v>2040</v>
      </c>
      <c r="AI31" s="23" t="s">
        <v>2041</v>
      </c>
      <c r="AJ31" s="23" t="s">
        <v>2042</v>
      </c>
    </row>
    <row r="32" spans="1:36" x14ac:dyDescent="0.3">
      <c r="A32" s="23" t="s">
        <v>299</v>
      </c>
      <c r="B32" s="23" t="s">
        <v>4385</v>
      </c>
      <c r="C32" s="23" t="s">
        <v>3366</v>
      </c>
      <c r="D32" s="23" t="s">
        <v>917</v>
      </c>
      <c r="E32" s="23" t="s">
        <v>2043</v>
      </c>
      <c r="F32" s="23" t="s">
        <v>2044</v>
      </c>
      <c r="G32" s="23" t="s">
        <v>2045</v>
      </c>
      <c r="H32" s="23" t="s">
        <v>2046</v>
      </c>
      <c r="I32" s="23" t="s">
        <v>918</v>
      </c>
      <c r="J32" s="23" t="s">
        <v>919</v>
      </c>
      <c r="K32" s="23" t="s">
        <v>920</v>
      </c>
      <c r="L32" s="23" t="s">
        <v>2047</v>
      </c>
      <c r="M32" s="23" t="s">
        <v>2048</v>
      </c>
      <c r="N32" s="23" t="s">
        <v>2049</v>
      </c>
      <c r="O32" s="23" t="s">
        <v>2050</v>
      </c>
      <c r="P32" s="23" t="s">
        <v>2051</v>
      </c>
      <c r="Q32" s="23" t="s">
        <v>2052</v>
      </c>
      <c r="R32" s="23" t="s">
        <v>2053</v>
      </c>
      <c r="S32" s="23" t="s">
        <v>921</v>
      </c>
      <c r="T32" s="23" t="s">
        <v>922</v>
      </c>
      <c r="U32" s="23" t="s">
        <v>2054</v>
      </c>
      <c r="V32" s="23" t="s">
        <v>2055</v>
      </c>
      <c r="W32" s="23" t="s">
        <v>3447</v>
      </c>
      <c r="X32" s="23" t="s">
        <v>3528</v>
      </c>
      <c r="Y32" s="23" t="s">
        <v>3609</v>
      </c>
      <c r="Z32" s="23" t="s">
        <v>2056</v>
      </c>
      <c r="AA32" s="23" t="s">
        <v>2057</v>
      </c>
      <c r="AB32" s="23" t="s">
        <v>2058</v>
      </c>
      <c r="AC32" s="23" t="s">
        <v>2059</v>
      </c>
      <c r="AD32" s="23" t="s">
        <v>2060</v>
      </c>
      <c r="AE32" s="23" t="s">
        <v>2061</v>
      </c>
      <c r="AF32" s="23" t="s">
        <v>2062</v>
      </c>
      <c r="AG32" s="23" t="s">
        <v>2063</v>
      </c>
      <c r="AH32" s="23" t="s">
        <v>2064</v>
      </c>
      <c r="AI32" s="23" t="s">
        <v>2065</v>
      </c>
      <c r="AJ32" s="23" t="s">
        <v>2066</v>
      </c>
    </row>
    <row r="33" spans="1:36" x14ac:dyDescent="0.3">
      <c r="A33" s="23" t="s">
        <v>299</v>
      </c>
      <c r="B33" s="23" t="s">
        <v>4386</v>
      </c>
      <c r="C33" s="23" t="s">
        <v>3367</v>
      </c>
      <c r="D33" s="23" t="s">
        <v>923</v>
      </c>
      <c r="E33" s="23" t="s">
        <v>2067</v>
      </c>
      <c r="F33" s="23" t="s">
        <v>2068</v>
      </c>
      <c r="G33" s="23" t="s">
        <v>2069</v>
      </c>
      <c r="H33" s="23" t="s">
        <v>2070</v>
      </c>
      <c r="I33" s="23" t="s">
        <v>924</v>
      </c>
      <c r="J33" s="23" t="s">
        <v>925</v>
      </c>
      <c r="K33" s="23" t="s">
        <v>926</v>
      </c>
      <c r="L33" s="23" t="s">
        <v>2071</v>
      </c>
      <c r="M33" s="23" t="s">
        <v>2072</v>
      </c>
      <c r="N33" s="23" t="s">
        <v>2073</v>
      </c>
      <c r="O33" s="23" t="s">
        <v>2074</v>
      </c>
      <c r="P33" s="23" t="s">
        <v>2075</v>
      </c>
      <c r="Q33" s="23" t="s">
        <v>2076</v>
      </c>
      <c r="R33" s="23" t="s">
        <v>2077</v>
      </c>
      <c r="S33" s="23" t="s">
        <v>927</v>
      </c>
      <c r="T33" s="23" t="s">
        <v>928</v>
      </c>
      <c r="U33" s="23" t="s">
        <v>2078</v>
      </c>
      <c r="V33" s="23" t="s">
        <v>2079</v>
      </c>
      <c r="W33" s="23" t="s">
        <v>3448</v>
      </c>
      <c r="X33" s="23" t="s">
        <v>3529</v>
      </c>
      <c r="Y33" s="23" t="s">
        <v>3610</v>
      </c>
      <c r="Z33" s="23" t="s">
        <v>2080</v>
      </c>
      <c r="AA33" s="23" t="s">
        <v>2081</v>
      </c>
      <c r="AB33" s="23" t="s">
        <v>2082</v>
      </c>
      <c r="AC33" s="23" t="s">
        <v>2083</v>
      </c>
      <c r="AD33" s="23" t="s">
        <v>2084</v>
      </c>
      <c r="AE33" s="23" t="s">
        <v>2085</v>
      </c>
      <c r="AF33" s="23" t="s">
        <v>2086</v>
      </c>
      <c r="AG33" s="23" t="s">
        <v>2087</v>
      </c>
      <c r="AH33" s="23" t="s">
        <v>2088</v>
      </c>
      <c r="AI33" s="23" t="s">
        <v>2089</v>
      </c>
      <c r="AJ33" s="23" t="s">
        <v>2090</v>
      </c>
    </row>
    <row r="34" spans="1:36" x14ac:dyDescent="0.3">
      <c r="A34" s="23" t="s">
        <v>299</v>
      </c>
      <c r="B34" s="23" t="s">
        <v>4387</v>
      </c>
      <c r="C34" s="23" t="s">
        <v>3368</v>
      </c>
      <c r="D34" s="23" t="s">
        <v>929</v>
      </c>
      <c r="E34" s="23" t="s">
        <v>2091</v>
      </c>
      <c r="F34" s="23" t="s">
        <v>2092</v>
      </c>
      <c r="G34" s="23" t="s">
        <v>2093</v>
      </c>
      <c r="H34" s="23" t="s">
        <v>2094</v>
      </c>
      <c r="I34" s="23" t="s">
        <v>930</v>
      </c>
      <c r="J34" s="23" t="s">
        <v>931</v>
      </c>
      <c r="K34" s="23" t="s">
        <v>932</v>
      </c>
      <c r="L34" s="23" t="s">
        <v>2095</v>
      </c>
      <c r="M34" s="23" t="s">
        <v>2096</v>
      </c>
      <c r="N34" s="23" t="s">
        <v>2097</v>
      </c>
      <c r="O34" s="23" t="s">
        <v>2098</v>
      </c>
      <c r="P34" s="23" t="s">
        <v>2099</v>
      </c>
      <c r="Q34" s="23" t="s">
        <v>2100</v>
      </c>
      <c r="R34" s="23" t="s">
        <v>2101</v>
      </c>
      <c r="S34" s="23" t="s">
        <v>933</v>
      </c>
      <c r="T34" s="23" t="s">
        <v>934</v>
      </c>
      <c r="U34" s="23" t="s">
        <v>2102</v>
      </c>
      <c r="V34" s="23" t="s">
        <v>2103</v>
      </c>
      <c r="W34" s="23" t="s">
        <v>3449</v>
      </c>
      <c r="X34" s="23" t="s">
        <v>3530</v>
      </c>
      <c r="Y34" s="23" t="s">
        <v>3611</v>
      </c>
      <c r="Z34" s="23" t="s">
        <v>2104</v>
      </c>
      <c r="AA34" s="23" t="s">
        <v>2105</v>
      </c>
      <c r="AB34" s="23" t="s">
        <v>2106</v>
      </c>
      <c r="AC34" s="23" t="s">
        <v>2107</v>
      </c>
      <c r="AD34" s="23" t="s">
        <v>2108</v>
      </c>
      <c r="AE34" s="23" t="s">
        <v>2109</v>
      </c>
      <c r="AF34" s="23" t="s">
        <v>2110</v>
      </c>
      <c r="AG34" s="23" t="s">
        <v>2111</v>
      </c>
      <c r="AH34" s="23" t="s">
        <v>2112</v>
      </c>
      <c r="AI34" s="23" t="s">
        <v>2113</v>
      </c>
      <c r="AJ34" s="23" t="s">
        <v>2114</v>
      </c>
    </row>
    <row r="35" spans="1:36" x14ac:dyDescent="0.3">
      <c r="A35" s="23" t="s">
        <v>299</v>
      </c>
      <c r="B35" s="23" t="s">
        <v>4388</v>
      </c>
      <c r="C35" s="23" t="s">
        <v>3369</v>
      </c>
      <c r="D35" s="23" t="s">
        <v>935</v>
      </c>
      <c r="E35" s="23" t="s">
        <v>2115</v>
      </c>
      <c r="F35" s="23" t="s">
        <v>2116</v>
      </c>
      <c r="G35" s="23" t="s">
        <v>2117</v>
      </c>
      <c r="H35" s="23" t="s">
        <v>2118</v>
      </c>
      <c r="I35" s="23" t="s">
        <v>936</v>
      </c>
      <c r="J35" s="23" t="s">
        <v>937</v>
      </c>
      <c r="K35" s="23" t="s">
        <v>938</v>
      </c>
      <c r="L35" s="23" t="s">
        <v>2119</v>
      </c>
      <c r="M35" s="23" t="s">
        <v>2120</v>
      </c>
      <c r="N35" s="23" t="s">
        <v>2121</v>
      </c>
      <c r="O35" s="23" t="s">
        <v>2122</v>
      </c>
      <c r="P35" s="23" t="s">
        <v>2123</v>
      </c>
      <c r="Q35" s="23" t="s">
        <v>2124</v>
      </c>
      <c r="R35" s="23" t="s">
        <v>2125</v>
      </c>
      <c r="S35" s="23" t="s">
        <v>939</v>
      </c>
      <c r="T35" s="23" t="s">
        <v>940</v>
      </c>
      <c r="U35" s="23" t="s">
        <v>2126</v>
      </c>
      <c r="V35" s="23" t="s">
        <v>2127</v>
      </c>
      <c r="W35" s="23" t="s">
        <v>3450</v>
      </c>
      <c r="X35" s="23" t="s">
        <v>3531</v>
      </c>
      <c r="Y35" s="23" t="s">
        <v>3612</v>
      </c>
      <c r="Z35" s="23" t="s">
        <v>2128</v>
      </c>
      <c r="AA35" s="23" t="s">
        <v>2129</v>
      </c>
      <c r="AB35" s="23" t="s">
        <v>2130</v>
      </c>
      <c r="AC35" s="23" t="s">
        <v>2131</v>
      </c>
      <c r="AD35" s="23" t="s">
        <v>2132</v>
      </c>
      <c r="AE35" s="23" t="s">
        <v>2133</v>
      </c>
      <c r="AF35" s="23" t="s">
        <v>2134</v>
      </c>
      <c r="AG35" s="23" t="s">
        <v>2135</v>
      </c>
      <c r="AH35" s="23" t="s">
        <v>2136</v>
      </c>
      <c r="AI35" s="23" t="s">
        <v>2137</v>
      </c>
      <c r="AJ35" s="23" t="s">
        <v>2138</v>
      </c>
    </row>
    <row r="36" spans="1:36" x14ac:dyDescent="0.3">
      <c r="A36" s="23" t="s">
        <v>299</v>
      </c>
      <c r="B36" s="23" t="s">
        <v>4389</v>
      </c>
      <c r="C36" s="23" t="s">
        <v>3370</v>
      </c>
      <c r="D36" s="23" t="s">
        <v>941</v>
      </c>
      <c r="E36" s="23" t="s">
        <v>2139</v>
      </c>
      <c r="F36" s="23" t="s">
        <v>2140</v>
      </c>
      <c r="G36" s="23" t="s">
        <v>2141</v>
      </c>
      <c r="H36" s="23" t="s">
        <v>2142</v>
      </c>
      <c r="I36" s="23" t="s">
        <v>942</v>
      </c>
      <c r="J36" s="23" t="s">
        <v>943</v>
      </c>
      <c r="K36" s="23" t="s">
        <v>944</v>
      </c>
      <c r="L36" s="23" t="s">
        <v>2143</v>
      </c>
      <c r="M36" s="23" t="s">
        <v>2144</v>
      </c>
      <c r="N36" s="23" t="s">
        <v>2145</v>
      </c>
      <c r="O36" s="23" t="s">
        <v>2146</v>
      </c>
      <c r="P36" s="23" t="s">
        <v>2147</v>
      </c>
      <c r="Q36" s="23" t="s">
        <v>2148</v>
      </c>
      <c r="R36" s="23" t="s">
        <v>2149</v>
      </c>
      <c r="S36" s="23" t="s">
        <v>945</v>
      </c>
      <c r="T36" s="23" t="s">
        <v>946</v>
      </c>
      <c r="U36" s="23" t="s">
        <v>2150</v>
      </c>
      <c r="V36" s="23" t="s">
        <v>2151</v>
      </c>
      <c r="W36" s="23" t="s">
        <v>3451</v>
      </c>
      <c r="X36" s="23" t="s">
        <v>3532</v>
      </c>
      <c r="Y36" s="23" t="s">
        <v>3613</v>
      </c>
      <c r="Z36" s="23" t="s">
        <v>2152</v>
      </c>
      <c r="AA36" s="23" t="s">
        <v>2153</v>
      </c>
      <c r="AB36" s="23" t="s">
        <v>2154</v>
      </c>
      <c r="AC36" s="23" t="s">
        <v>2155</v>
      </c>
      <c r="AD36" s="23" t="s">
        <v>2156</v>
      </c>
      <c r="AE36" s="23" t="s">
        <v>2157</v>
      </c>
      <c r="AF36" s="23" t="s">
        <v>2158</v>
      </c>
      <c r="AG36" s="23" t="s">
        <v>2159</v>
      </c>
      <c r="AH36" s="23" t="s">
        <v>2160</v>
      </c>
      <c r="AI36" s="23" t="s">
        <v>2161</v>
      </c>
      <c r="AJ36" s="23" t="s">
        <v>2162</v>
      </c>
    </row>
    <row r="37" spans="1:36" x14ac:dyDescent="0.3">
      <c r="A37" s="23" t="s">
        <v>299</v>
      </c>
      <c r="B37" s="23" t="s">
        <v>4390</v>
      </c>
      <c r="C37" s="23" t="s">
        <v>3371</v>
      </c>
      <c r="D37" s="23" t="s">
        <v>947</v>
      </c>
      <c r="E37" s="23" t="s">
        <v>2163</v>
      </c>
      <c r="F37" s="23" t="s">
        <v>2164</v>
      </c>
      <c r="G37" s="23" t="s">
        <v>2165</v>
      </c>
      <c r="H37" s="23" t="s">
        <v>2166</v>
      </c>
      <c r="I37" s="23" t="s">
        <v>948</v>
      </c>
      <c r="J37" s="23" t="s">
        <v>949</v>
      </c>
      <c r="K37" s="23" t="s">
        <v>950</v>
      </c>
      <c r="L37" s="23" t="s">
        <v>2167</v>
      </c>
      <c r="M37" s="23" t="s">
        <v>2168</v>
      </c>
      <c r="N37" s="23" t="s">
        <v>2169</v>
      </c>
      <c r="O37" s="23" t="s">
        <v>2170</v>
      </c>
      <c r="P37" s="23" t="s">
        <v>2171</v>
      </c>
      <c r="Q37" s="23" t="s">
        <v>2172</v>
      </c>
      <c r="R37" s="23" t="s">
        <v>2173</v>
      </c>
      <c r="S37" s="23" t="s">
        <v>951</v>
      </c>
      <c r="T37" s="23" t="s">
        <v>952</v>
      </c>
      <c r="U37" s="23" t="s">
        <v>2174</v>
      </c>
      <c r="V37" s="23" t="s">
        <v>2175</v>
      </c>
      <c r="W37" s="23" t="s">
        <v>3452</v>
      </c>
      <c r="X37" s="23" t="s">
        <v>3533</v>
      </c>
      <c r="Y37" s="23" t="s">
        <v>3614</v>
      </c>
      <c r="Z37" s="23" t="s">
        <v>2176</v>
      </c>
      <c r="AA37" s="23" t="s">
        <v>2177</v>
      </c>
      <c r="AB37" s="23" t="s">
        <v>2178</v>
      </c>
      <c r="AC37" s="23" t="s">
        <v>2179</v>
      </c>
      <c r="AD37" s="23" t="s">
        <v>2180</v>
      </c>
      <c r="AE37" s="23" t="s">
        <v>2181</v>
      </c>
      <c r="AF37" s="23" t="s">
        <v>2182</v>
      </c>
      <c r="AG37" s="23" t="s">
        <v>2183</v>
      </c>
      <c r="AH37" s="23" t="s">
        <v>2184</v>
      </c>
      <c r="AI37" s="23" t="s">
        <v>2185</v>
      </c>
      <c r="AJ37" s="23" t="s">
        <v>2186</v>
      </c>
    </row>
    <row r="38" spans="1:36" x14ac:dyDescent="0.3">
      <c r="A38" s="23" t="s">
        <v>299</v>
      </c>
      <c r="B38" s="23" t="s">
        <v>4391</v>
      </c>
      <c r="C38" s="23" t="s">
        <v>3372</v>
      </c>
      <c r="D38" s="23" t="s">
        <v>953</v>
      </c>
      <c r="E38" s="23" t="s">
        <v>2187</v>
      </c>
      <c r="F38" s="23" t="s">
        <v>2188</v>
      </c>
      <c r="G38" s="23" t="s">
        <v>2189</v>
      </c>
      <c r="H38" s="23" t="s">
        <v>2190</v>
      </c>
      <c r="I38" s="23" t="s">
        <v>954</v>
      </c>
      <c r="J38" s="23" t="s">
        <v>955</v>
      </c>
      <c r="K38" s="23" t="s">
        <v>956</v>
      </c>
      <c r="L38" s="23" t="s">
        <v>2191</v>
      </c>
      <c r="M38" s="23" t="s">
        <v>2192</v>
      </c>
      <c r="N38" s="23" t="s">
        <v>2193</v>
      </c>
      <c r="O38" s="23" t="s">
        <v>2194</v>
      </c>
      <c r="P38" s="23" t="s">
        <v>2195</v>
      </c>
      <c r="Q38" s="23" t="s">
        <v>2196</v>
      </c>
      <c r="R38" s="23" t="s">
        <v>2197</v>
      </c>
      <c r="S38" s="23" t="s">
        <v>957</v>
      </c>
      <c r="T38" s="23" t="s">
        <v>958</v>
      </c>
      <c r="U38" s="23" t="s">
        <v>2198</v>
      </c>
      <c r="V38" s="23" t="s">
        <v>2199</v>
      </c>
      <c r="W38" s="23" t="s">
        <v>3453</v>
      </c>
      <c r="X38" s="23" t="s">
        <v>3534</v>
      </c>
      <c r="Y38" s="23" t="s">
        <v>3615</v>
      </c>
      <c r="Z38" s="23" t="s">
        <v>2200</v>
      </c>
      <c r="AA38" s="23" t="s">
        <v>2201</v>
      </c>
      <c r="AB38" s="23" t="s">
        <v>2202</v>
      </c>
      <c r="AC38" s="23" t="s">
        <v>2203</v>
      </c>
      <c r="AD38" s="23" t="s">
        <v>2204</v>
      </c>
      <c r="AE38" s="23" t="s">
        <v>2205</v>
      </c>
      <c r="AF38" s="23" t="s">
        <v>2206</v>
      </c>
      <c r="AG38" s="23" t="s">
        <v>2207</v>
      </c>
      <c r="AH38" s="23" t="s">
        <v>2208</v>
      </c>
      <c r="AI38" s="23" t="s">
        <v>2209</v>
      </c>
      <c r="AJ38" s="23" t="s">
        <v>2210</v>
      </c>
    </row>
    <row r="39" spans="1:36" x14ac:dyDescent="0.3">
      <c r="A39" s="23" t="s">
        <v>299</v>
      </c>
      <c r="B39" s="23" t="s">
        <v>4392</v>
      </c>
      <c r="C39" s="23" t="s">
        <v>3373</v>
      </c>
      <c r="D39" s="23" t="s">
        <v>959</v>
      </c>
      <c r="E39" s="23" t="s">
        <v>2211</v>
      </c>
      <c r="F39" s="23" t="s">
        <v>2212</v>
      </c>
      <c r="G39" s="23" t="s">
        <v>2213</v>
      </c>
      <c r="H39" s="23" t="s">
        <v>2214</v>
      </c>
      <c r="I39" s="23" t="s">
        <v>960</v>
      </c>
      <c r="J39" s="23" t="s">
        <v>961</v>
      </c>
      <c r="K39" s="23" t="s">
        <v>962</v>
      </c>
      <c r="L39" s="23" t="s">
        <v>2215</v>
      </c>
      <c r="M39" s="23" t="s">
        <v>2216</v>
      </c>
      <c r="N39" s="23" t="s">
        <v>2217</v>
      </c>
      <c r="O39" s="23" t="s">
        <v>2218</v>
      </c>
      <c r="P39" s="23" t="s">
        <v>2219</v>
      </c>
      <c r="Q39" s="23" t="s">
        <v>2220</v>
      </c>
      <c r="R39" s="23" t="s">
        <v>2221</v>
      </c>
      <c r="S39" s="23" t="s">
        <v>963</v>
      </c>
      <c r="T39" s="23" t="s">
        <v>964</v>
      </c>
      <c r="U39" s="23" t="s">
        <v>2222</v>
      </c>
      <c r="V39" s="23" t="s">
        <v>2223</v>
      </c>
      <c r="W39" s="23" t="s">
        <v>3454</v>
      </c>
      <c r="X39" s="23" t="s">
        <v>3535</v>
      </c>
      <c r="Y39" s="23" t="s">
        <v>3616</v>
      </c>
      <c r="Z39" s="23" t="s">
        <v>2224</v>
      </c>
      <c r="AA39" s="23" t="s">
        <v>2225</v>
      </c>
      <c r="AB39" s="23" t="s">
        <v>2226</v>
      </c>
      <c r="AC39" s="23" t="s">
        <v>2227</v>
      </c>
      <c r="AD39" s="23" t="s">
        <v>2228</v>
      </c>
      <c r="AE39" s="23" t="s">
        <v>2229</v>
      </c>
      <c r="AF39" s="23" t="s">
        <v>2230</v>
      </c>
      <c r="AG39" s="23" t="s">
        <v>2231</v>
      </c>
      <c r="AH39" s="23" t="s">
        <v>2232</v>
      </c>
      <c r="AI39" s="23" t="s">
        <v>2233</v>
      </c>
      <c r="AJ39" s="23" t="s">
        <v>2234</v>
      </c>
    </row>
    <row r="40" spans="1:36" x14ac:dyDescent="0.3">
      <c r="A40" s="23" t="s">
        <v>299</v>
      </c>
      <c r="B40" s="23" t="s">
        <v>4393</v>
      </c>
      <c r="C40" s="23" t="s">
        <v>3374</v>
      </c>
      <c r="D40" s="23" t="s">
        <v>965</v>
      </c>
      <c r="E40" s="23" t="s">
        <v>2235</v>
      </c>
      <c r="F40" s="23" t="s">
        <v>2236</v>
      </c>
      <c r="G40" s="23" t="s">
        <v>2237</v>
      </c>
      <c r="H40" s="23" t="s">
        <v>2238</v>
      </c>
      <c r="I40" s="23" t="s">
        <v>966</v>
      </c>
      <c r="J40" s="23" t="s">
        <v>967</v>
      </c>
      <c r="K40" s="23" t="s">
        <v>968</v>
      </c>
      <c r="L40" s="23" t="s">
        <v>2239</v>
      </c>
      <c r="M40" s="23" t="s">
        <v>2240</v>
      </c>
      <c r="N40" s="23" t="s">
        <v>2241</v>
      </c>
      <c r="O40" s="23" t="s">
        <v>2242</v>
      </c>
      <c r="P40" s="23" t="s">
        <v>2243</v>
      </c>
      <c r="Q40" s="23" t="s">
        <v>2244</v>
      </c>
      <c r="R40" s="23" t="s">
        <v>2245</v>
      </c>
      <c r="S40" s="23" t="s">
        <v>969</v>
      </c>
      <c r="T40" s="23" t="s">
        <v>970</v>
      </c>
      <c r="U40" s="23" t="s">
        <v>2246</v>
      </c>
      <c r="V40" s="23" t="s">
        <v>2247</v>
      </c>
      <c r="W40" s="23" t="s">
        <v>3455</v>
      </c>
      <c r="X40" s="23" t="s">
        <v>3536</v>
      </c>
      <c r="Y40" s="23" t="s">
        <v>3617</v>
      </c>
      <c r="Z40" s="23" t="s">
        <v>2248</v>
      </c>
      <c r="AA40" s="23" t="s">
        <v>2249</v>
      </c>
      <c r="AB40" s="23" t="s">
        <v>2250</v>
      </c>
      <c r="AC40" s="23" t="s">
        <v>2251</v>
      </c>
      <c r="AD40" s="23" t="s">
        <v>2252</v>
      </c>
      <c r="AE40" s="23" t="s">
        <v>2253</v>
      </c>
      <c r="AF40" s="23" t="s">
        <v>2254</v>
      </c>
      <c r="AG40" s="23" t="s">
        <v>2255</v>
      </c>
      <c r="AH40" s="23" t="s">
        <v>2256</v>
      </c>
      <c r="AI40" s="23" t="s">
        <v>2257</v>
      </c>
      <c r="AJ40" s="23" t="s">
        <v>2258</v>
      </c>
    </row>
    <row r="41" spans="1:36" x14ac:dyDescent="0.3">
      <c r="A41" s="23" t="s">
        <v>299</v>
      </c>
      <c r="B41" s="23" t="s">
        <v>4394</v>
      </c>
      <c r="C41" s="23" t="s">
        <v>3375</v>
      </c>
      <c r="D41" s="23" t="s">
        <v>971</v>
      </c>
      <c r="E41" s="23" t="s">
        <v>2259</v>
      </c>
      <c r="F41" s="23" t="s">
        <v>2260</v>
      </c>
      <c r="G41" s="23" t="s">
        <v>2261</v>
      </c>
      <c r="H41" s="23" t="s">
        <v>2262</v>
      </c>
      <c r="I41" s="23" t="s">
        <v>972</v>
      </c>
      <c r="J41" s="23" t="s">
        <v>973</v>
      </c>
      <c r="K41" s="23" t="s">
        <v>974</v>
      </c>
      <c r="L41" s="23" t="s">
        <v>2263</v>
      </c>
      <c r="M41" s="23" t="s">
        <v>2264</v>
      </c>
      <c r="N41" s="23" t="s">
        <v>2265</v>
      </c>
      <c r="O41" s="23" t="s">
        <v>2266</v>
      </c>
      <c r="P41" s="23" t="s">
        <v>2267</v>
      </c>
      <c r="Q41" s="23" t="s">
        <v>2268</v>
      </c>
      <c r="R41" s="23" t="s">
        <v>2269</v>
      </c>
      <c r="S41" s="23" t="s">
        <v>975</v>
      </c>
      <c r="T41" s="23" t="s">
        <v>976</v>
      </c>
      <c r="U41" s="23" t="s">
        <v>2270</v>
      </c>
      <c r="V41" s="23" t="s">
        <v>2271</v>
      </c>
      <c r="W41" s="23" t="s">
        <v>3456</v>
      </c>
      <c r="X41" s="23" t="s">
        <v>3537</v>
      </c>
      <c r="Y41" s="23" t="s">
        <v>3618</v>
      </c>
      <c r="Z41" s="23" t="s">
        <v>2272</v>
      </c>
      <c r="AA41" s="23" t="s">
        <v>2273</v>
      </c>
      <c r="AB41" s="23" t="s">
        <v>2274</v>
      </c>
      <c r="AC41" s="23" t="s">
        <v>2275</v>
      </c>
      <c r="AD41" s="23" t="s">
        <v>2276</v>
      </c>
      <c r="AE41" s="23" t="s">
        <v>2277</v>
      </c>
      <c r="AF41" s="23" t="s">
        <v>2278</v>
      </c>
      <c r="AG41" s="23" t="s">
        <v>2279</v>
      </c>
      <c r="AH41" s="23" t="s">
        <v>2280</v>
      </c>
      <c r="AI41" s="23" t="s">
        <v>2281</v>
      </c>
      <c r="AJ41" s="23" t="s">
        <v>2282</v>
      </c>
    </row>
    <row r="42" spans="1:36" x14ac:dyDescent="0.3">
      <c r="A42" s="23" t="s">
        <v>299</v>
      </c>
      <c r="B42" s="23" t="s">
        <v>4395</v>
      </c>
      <c r="C42" s="23" t="s">
        <v>3376</v>
      </c>
      <c r="D42" s="23" t="s">
        <v>977</v>
      </c>
      <c r="E42" s="23" t="s">
        <v>2283</v>
      </c>
      <c r="F42" s="23" t="s">
        <v>2284</v>
      </c>
      <c r="G42" s="23" t="s">
        <v>2285</v>
      </c>
      <c r="H42" s="23" t="s">
        <v>2286</v>
      </c>
      <c r="I42" s="23" t="s">
        <v>978</v>
      </c>
      <c r="J42" s="23" t="s">
        <v>979</v>
      </c>
      <c r="K42" s="23" t="s">
        <v>980</v>
      </c>
      <c r="L42" s="23" t="s">
        <v>2287</v>
      </c>
      <c r="M42" s="23" t="s">
        <v>2288</v>
      </c>
      <c r="N42" s="23" t="s">
        <v>2289</v>
      </c>
      <c r="O42" s="23" t="s">
        <v>2290</v>
      </c>
      <c r="P42" s="23" t="s">
        <v>2291</v>
      </c>
      <c r="Q42" s="23" t="s">
        <v>2292</v>
      </c>
      <c r="R42" s="23" t="s">
        <v>2293</v>
      </c>
      <c r="S42" s="23" t="s">
        <v>981</v>
      </c>
      <c r="T42" s="23" t="s">
        <v>982</v>
      </c>
      <c r="U42" s="23" t="s">
        <v>2294</v>
      </c>
      <c r="V42" s="23" t="s">
        <v>2295</v>
      </c>
      <c r="W42" s="23" t="s">
        <v>3457</v>
      </c>
      <c r="X42" s="23" t="s">
        <v>3538</v>
      </c>
      <c r="Y42" s="23" t="s">
        <v>3619</v>
      </c>
      <c r="Z42" s="23" t="s">
        <v>2296</v>
      </c>
      <c r="AA42" s="23" t="s">
        <v>2297</v>
      </c>
      <c r="AB42" s="23" t="s">
        <v>2298</v>
      </c>
      <c r="AC42" s="23" t="s">
        <v>2299</v>
      </c>
      <c r="AD42" s="23" t="s">
        <v>2300</v>
      </c>
      <c r="AE42" s="23" t="s">
        <v>2301</v>
      </c>
      <c r="AF42" s="23" t="s">
        <v>2302</v>
      </c>
      <c r="AG42" s="23" t="s">
        <v>2303</v>
      </c>
      <c r="AH42" s="23" t="s">
        <v>2304</v>
      </c>
      <c r="AI42" s="23" t="s">
        <v>2305</v>
      </c>
      <c r="AJ42" s="23" t="s">
        <v>2306</v>
      </c>
    </row>
    <row r="43" spans="1:36" x14ac:dyDescent="0.3">
      <c r="A43" s="23" t="s">
        <v>299</v>
      </c>
      <c r="B43" s="23" t="s">
        <v>4396</v>
      </c>
      <c r="C43" s="23" t="s">
        <v>3377</v>
      </c>
      <c r="D43" s="23" t="s">
        <v>983</v>
      </c>
      <c r="E43" s="23" t="s">
        <v>2307</v>
      </c>
      <c r="F43" s="23" t="s">
        <v>2308</v>
      </c>
      <c r="G43" s="23" t="s">
        <v>2309</v>
      </c>
      <c r="H43" s="23" t="s">
        <v>2310</v>
      </c>
      <c r="I43" s="23" t="s">
        <v>984</v>
      </c>
      <c r="J43" s="23" t="s">
        <v>985</v>
      </c>
      <c r="K43" s="23" t="s">
        <v>986</v>
      </c>
      <c r="L43" s="23" t="s">
        <v>2311</v>
      </c>
      <c r="M43" s="23" t="s">
        <v>2312</v>
      </c>
      <c r="N43" s="23" t="s">
        <v>2313</v>
      </c>
      <c r="O43" s="23" t="s">
        <v>2314</v>
      </c>
      <c r="P43" s="23" t="s">
        <v>2315</v>
      </c>
      <c r="Q43" s="23" t="s">
        <v>2316</v>
      </c>
      <c r="R43" s="23" t="s">
        <v>2317</v>
      </c>
      <c r="S43" s="23" t="s">
        <v>987</v>
      </c>
      <c r="T43" s="23" t="s">
        <v>988</v>
      </c>
      <c r="U43" s="23" t="s">
        <v>2318</v>
      </c>
      <c r="V43" s="23" t="s">
        <v>2319</v>
      </c>
      <c r="W43" s="23" t="s">
        <v>3458</v>
      </c>
      <c r="X43" s="23" t="s">
        <v>3539</v>
      </c>
      <c r="Y43" s="23" t="s">
        <v>3620</v>
      </c>
      <c r="Z43" s="23" t="s">
        <v>2320</v>
      </c>
      <c r="AA43" s="23" t="s">
        <v>2321</v>
      </c>
      <c r="AB43" s="23" t="s">
        <v>2322</v>
      </c>
      <c r="AC43" s="23" t="s">
        <v>2323</v>
      </c>
      <c r="AD43" s="23" t="s">
        <v>2324</v>
      </c>
      <c r="AE43" s="23" t="s">
        <v>2325</v>
      </c>
      <c r="AF43" s="23" t="s">
        <v>2326</v>
      </c>
      <c r="AG43" s="23" t="s">
        <v>2327</v>
      </c>
      <c r="AH43" s="23" t="s">
        <v>2328</v>
      </c>
      <c r="AI43" s="23" t="s">
        <v>2329</v>
      </c>
      <c r="AJ43" s="23" t="s">
        <v>2330</v>
      </c>
    </row>
    <row r="44" spans="1:36" x14ac:dyDescent="0.3">
      <c r="A44" s="23" t="s">
        <v>299</v>
      </c>
      <c r="B44" s="23" t="s">
        <v>4397</v>
      </c>
      <c r="C44" s="23" t="s">
        <v>3378</v>
      </c>
      <c r="D44" s="23" t="s">
        <v>989</v>
      </c>
      <c r="E44" s="23" t="s">
        <v>2331</v>
      </c>
      <c r="F44" s="23" t="s">
        <v>2332</v>
      </c>
      <c r="G44" s="23" t="s">
        <v>2333</v>
      </c>
      <c r="H44" s="23" t="s">
        <v>2334</v>
      </c>
      <c r="I44" s="23" t="s">
        <v>990</v>
      </c>
      <c r="J44" s="23" t="s">
        <v>991</v>
      </c>
      <c r="K44" s="23" t="s">
        <v>992</v>
      </c>
      <c r="L44" s="23" t="s">
        <v>2335</v>
      </c>
      <c r="M44" s="23" t="s">
        <v>2336</v>
      </c>
      <c r="N44" s="23" t="s">
        <v>2337</v>
      </c>
      <c r="O44" s="23" t="s">
        <v>2338</v>
      </c>
      <c r="P44" s="23" t="s">
        <v>2339</v>
      </c>
      <c r="Q44" s="23" t="s">
        <v>2340</v>
      </c>
      <c r="R44" s="23" t="s">
        <v>2341</v>
      </c>
      <c r="S44" s="23" t="s">
        <v>993</v>
      </c>
      <c r="T44" s="23" t="s">
        <v>994</v>
      </c>
      <c r="U44" s="23" t="s">
        <v>2342</v>
      </c>
      <c r="V44" s="23" t="s">
        <v>2343</v>
      </c>
      <c r="W44" s="23" t="s">
        <v>3459</v>
      </c>
      <c r="X44" s="23" t="s">
        <v>3540</v>
      </c>
      <c r="Y44" s="23" t="s">
        <v>3621</v>
      </c>
      <c r="Z44" s="23" t="s">
        <v>2344</v>
      </c>
      <c r="AA44" s="23" t="s">
        <v>2345</v>
      </c>
      <c r="AB44" s="23" t="s">
        <v>2346</v>
      </c>
      <c r="AC44" s="23" t="s">
        <v>2347</v>
      </c>
      <c r="AD44" s="23" t="s">
        <v>2348</v>
      </c>
      <c r="AE44" s="23" t="s">
        <v>2349</v>
      </c>
      <c r="AF44" s="23" t="s">
        <v>2350</v>
      </c>
      <c r="AG44" s="23" t="s">
        <v>2351</v>
      </c>
      <c r="AH44" s="23" t="s">
        <v>2352</v>
      </c>
      <c r="AI44" s="23" t="s">
        <v>2353</v>
      </c>
      <c r="AJ44" s="23" t="s">
        <v>2354</v>
      </c>
    </row>
    <row r="45" spans="1:36" x14ac:dyDescent="0.3">
      <c r="A45" s="23" t="s">
        <v>299</v>
      </c>
      <c r="B45" s="23" t="s">
        <v>4398</v>
      </c>
      <c r="C45" s="23" t="s">
        <v>3379</v>
      </c>
      <c r="D45" s="23" t="s">
        <v>995</v>
      </c>
      <c r="E45" s="23" t="s">
        <v>2355</v>
      </c>
      <c r="F45" s="23" t="s">
        <v>2356</v>
      </c>
      <c r="G45" s="23" t="s">
        <v>2357</v>
      </c>
      <c r="H45" s="23" t="s">
        <v>2358</v>
      </c>
      <c r="I45" s="23" t="s">
        <v>996</v>
      </c>
      <c r="J45" s="23" t="s">
        <v>997</v>
      </c>
      <c r="K45" s="23" t="s">
        <v>998</v>
      </c>
      <c r="L45" s="23" t="s">
        <v>2359</v>
      </c>
      <c r="M45" s="23" t="s">
        <v>2360</v>
      </c>
      <c r="N45" s="23" t="s">
        <v>2361</v>
      </c>
      <c r="O45" s="23" t="s">
        <v>2362</v>
      </c>
      <c r="P45" s="23" t="s">
        <v>2363</v>
      </c>
      <c r="Q45" s="23" t="s">
        <v>2364</v>
      </c>
      <c r="R45" s="23" t="s">
        <v>2365</v>
      </c>
      <c r="S45" s="23" t="s">
        <v>999</v>
      </c>
      <c r="T45" s="23" t="s">
        <v>1000</v>
      </c>
      <c r="U45" s="23" t="s">
        <v>2366</v>
      </c>
      <c r="V45" s="23" t="s">
        <v>2367</v>
      </c>
      <c r="W45" s="23" t="s">
        <v>3460</v>
      </c>
      <c r="X45" s="23" t="s">
        <v>3541</v>
      </c>
      <c r="Y45" s="23" t="s">
        <v>3622</v>
      </c>
      <c r="Z45" s="23" t="s">
        <v>2368</v>
      </c>
      <c r="AA45" s="23" t="s">
        <v>2369</v>
      </c>
      <c r="AB45" s="23" t="s">
        <v>2370</v>
      </c>
      <c r="AC45" s="23" t="s">
        <v>2371</v>
      </c>
      <c r="AD45" s="23" t="s">
        <v>2372</v>
      </c>
      <c r="AE45" s="23" t="s">
        <v>2373</v>
      </c>
      <c r="AF45" s="23" t="s">
        <v>2374</v>
      </c>
      <c r="AG45" s="23" t="s">
        <v>2375</v>
      </c>
      <c r="AH45" s="23" t="s">
        <v>2376</v>
      </c>
      <c r="AI45" s="23" t="s">
        <v>2377</v>
      </c>
      <c r="AJ45" s="23" t="s">
        <v>2378</v>
      </c>
    </row>
    <row r="46" spans="1:36" x14ac:dyDescent="0.3">
      <c r="A46" s="23" t="s">
        <v>299</v>
      </c>
      <c r="B46" s="23" t="s">
        <v>4399</v>
      </c>
      <c r="C46" s="23" t="s">
        <v>3380</v>
      </c>
      <c r="D46" s="23" t="s">
        <v>1001</v>
      </c>
      <c r="E46" s="23" t="s">
        <v>2379</v>
      </c>
      <c r="F46" s="23" t="s">
        <v>2380</v>
      </c>
      <c r="G46" s="23" t="s">
        <v>2381</v>
      </c>
      <c r="H46" s="23" t="s">
        <v>2382</v>
      </c>
      <c r="I46" s="23" t="s">
        <v>1002</v>
      </c>
      <c r="J46" s="23" t="s">
        <v>1003</v>
      </c>
      <c r="K46" s="23" t="s">
        <v>1004</v>
      </c>
      <c r="L46" s="23" t="s">
        <v>2383</v>
      </c>
      <c r="M46" s="23" t="s">
        <v>2384</v>
      </c>
      <c r="N46" s="23" t="s">
        <v>2385</v>
      </c>
      <c r="O46" s="23" t="s">
        <v>2386</v>
      </c>
      <c r="P46" s="23" t="s">
        <v>2387</v>
      </c>
      <c r="Q46" s="23" t="s">
        <v>2388</v>
      </c>
      <c r="R46" s="23" t="s">
        <v>2389</v>
      </c>
      <c r="S46" s="23" t="s">
        <v>1005</v>
      </c>
      <c r="T46" s="23" t="s">
        <v>1006</v>
      </c>
      <c r="U46" s="23" t="s">
        <v>2390</v>
      </c>
      <c r="V46" s="23" t="s">
        <v>2391</v>
      </c>
      <c r="W46" s="23" t="s">
        <v>3461</v>
      </c>
      <c r="X46" s="23" t="s">
        <v>3542</v>
      </c>
      <c r="Y46" s="23" t="s">
        <v>3623</v>
      </c>
      <c r="Z46" s="23" t="s">
        <v>2392</v>
      </c>
      <c r="AA46" s="23" t="s">
        <v>2393</v>
      </c>
      <c r="AB46" s="23" t="s">
        <v>2394</v>
      </c>
      <c r="AC46" s="23" t="s">
        <v>2395</v>
      </c>
      <c r="AD46" s="23" t="s">
        <v>2396</v>
      </c>
      <c r="AE46" s="23" t="s">
        <v>2397</v>
      </c>
      <c r="AF46" s="23" t="s">
        <v>2398</v>
      </c>
      <c r="AG46" s="23" t="s">
        <v>2399</v>
      </c>
      <c r="AH46" s="23" t="s">
        <v>2400</v>
      </c>
      <c r="AI46" s="23" t="s">
        <v>2401</v>
      </c>
      <c r="AJ46" s="23" t="s">
        <v>2402</v>
      </c>
    </row>
    <row r="47" spans="1:36" x14ac:dyDescent="0.3">
      <c r="A47" s="23" t="s">
        <v>299</v>
      </c>
      <c r="B47" s="23" t="s">
        <v>4400</v>
      </c>
      <c r="C47" s="23" t="s">
        <v>3381</v>
      </c>
      <c r="D47" s="23" t="s">
        <v>1007</v>
      </c>
      <c r="E47" s="23" t="s">
        <v>2403</v>
      </c>
      <c r="F47" s="23" t="s">
        <v>2404</v>
      </c>
      <c r="G47" s="23" t="s">
        <v>2405</v>
      </c>
      <c r="H47" s="23" t="s">
        <v>2406</v>
      </c>
      <c r="I47" s="23" t="s">
        <v>1008</v>
      </c>
      <c r="J47" s="23" t="s">
        <v>1009</v>
      </c>
      <c r="K47" s="23" t="s">
        <v>1010</v>
      </c>
      <c r="L47" s="23" t="s">
        <v>2407</v>
      </c>
      <c r="M47" s="23" t="s">
        <v>2408</v>
      </c>
      <c r="N47" s="23" t="s">
        <v>2409</v>
      </c>
      <c r="O47" s="23" t="s">
        <v>2410</v>
      </c>
      <c r="P47" s="23" t="s">
        <v>2411</v>
      </c>
      <c r="Q47" s="23" t="s">
        <v>2412</v>
      </c>
      <c r="R47" s="23" t="s">
        <v>2413</v>
      </c>
      <c r="S47" s="23" t="s">
        <v>1011</v>
      </c>
      <c r="T47" s="23" t="s">
        <v>1012</v>
      </c>
      <c r="U47" s="23" t="s">
        <v>2414</v>
      </c>
      <c r="V47" s="23" t="s">
        <v>2415</v>
      </c>
      <c r="W47" s="23" t="s">
        <v>3462</v>
      </c>
      <c r="X47" s="23" t="s">
        <v>3543</v>
      </c>
      <c r="Y47" s="23" t="s">
        <v>3624</v>
      </c>
      <c r="Z47" s="23" t="s">
        <v>2416</v>
      </c>
      <c r="AA47" s="23" t="s">
        <v>2417</v>
      </c>
      <c r="AB47" s="23" t="s">
        <v>2418</v>
      </c>
      <c r="AC47" s="23" t="s">
        <v>2419</v>
      </c>
      <c r="AD47" s="23" t="s">
        <v>2420</v>
      </c>
      <c r="AE47" s="23" t="s">
        <v>2421</v>
      </c>
      <c r="AF47" s="23" t="s">
        <v>2422</v>
      </c>
      <c r="AG47" s="23" t="s">
        <v>2423</v>
      </c>
      <c r="AH47" s="23" t="s">
        <v>2424</v>
      </c>
      <c r="AI47" s="23" t="s">
        <v>2425</v>
      </c>
      <c r="AJ47" s="23" t="s">
        <v>2426</v>
      </c>
    </row>
    <row r="48" spans="1:36" x14ac:dyDescent="0.3">
      <c r="A48" s="23" t="s">
        <v>299</v>
      </c>
      <c r="B48" s="23" t="s">
        <v>4401</v>
      </c>
      <c r="C48" s="23" t="s">
        <v>3382</v>
      </c>
      <c r="D48" s="23" t="s">
        <v>1013</v>
      </c>
      <c r="E48" s="23" t="s">
        <v>2427</v>
      </c>
      <c r="F48" s="23" t="s">
        <v>2428</v>
      </c>
      <c r="G48" s="23" t="s">
        <v>2429</v>
      </c>
      <c r="H48" s="23" t="s">
        <v>2430</v>
      </c>
      <c r="I48" s="23" t="s">
        <v>1014</v>
      </c>
      <c r="J48" s="23" t="s">
        <v>1015</v>
      </c>
      <c r="K48" s="23" t="s">
        <v>1016</v>
      </c>
      <c r="L48" s="23" t="s">
        <v>2431</v>
      </c>
      <c r="M48" s="23" t="s">
        <v>2432</v>
      </c>
      <c r="N48" s="23" t="s">
        <v>2433</v>
      </c>
      <c r="O48" s="23" t="s">
        <v>2434</v>
      </c>
      <c r="P48" s="23" t="s">
        <v>2435</v>
      </c>
      <c r="Q48" s="23" t="s">
        <v>2436</v>
      </c>
      <c r="R48" s="23" t="s">
        <v>2437</v>
      </c>
      <c r="S48" s="23" t="s">
        <v>1017</v>
      </c>
      <c r="T48" s="23" t="s">
        <v>1018</v>
      </c>
      <c r="U48" s="23" t="s">
        <v>2438</v>
      </c>
      <c r="V48" s="23" t="s">
        <v>2439</v>
      </c>
      <c r="W48" s="23" t="s">
        <v>3463</v>
      </c>
      <c r="X48" s="23" t="s">
        <v>3544</v>
      </c>
      <c r="Y48" s="23" t="s">
        <v>3625</v>
      </c>
      <c r="Z48" s="23" t="s">
        <v>2440</v>
      </c>
      <c r="AA48" s="23" t="s">
        <v>2441</v>
      </c>
      <c r="AB48" s="23" t="s">
        <v>2442</v>
      </c>
      <c r="AC48" s="23" t="s">
        <v>2443</v>
      </c>
      <c r="AD48" s="23" t="s">
        <v>2444</v>
      </c>
      <c r="AE48" s="23" t="s">
        <v>2445</v>
      </c>
      <c r="AF48" s="23" t="s">
        <v>2446</v>
      </c>
      <c r="AG48" s="23" t="s">
        <v>2447</v>
      </c>
      <c r="AH48" s="23" t="s">
        <v>2448</v>
      </c>
      <c r="AI48" s="23" t="s">
        <v>2449</v>
      </c>
      <c r="AJ48" s="23" t="s">
        <v>2450</v>
      </c>
    </row>
    <row r="49" spans="1:36" x14ac:dyDescent="0.3">
      <c r="A49" s="23" t="s">
        <v>299</v>
      </c>
      <c r="B49" s="23" t="s">
        <v>4402</v>
      </c>
      <c r="C49" s="23" t="s">
        <v>3383</v>
      </c>
      <c r="D49" s="23" t="s">
        <v>1019</v>
      </c>
      <c r="E49" s="23" t="s">
        <v>2451</v>
      </c>
      <c r="F49" s="23" t="s">
        <v>2452</v>
      </c>
      <c r="G49" s="23" t="s">
        <v>2453</v>
      </c>
      <c r="H49" s="23" t="s">
        <v>2454</v>
      </c>
      <c r="I49" s="23" t="s">
        <v>1020</v>
      </c>
      <c r="J49" s="23" t="s">
        <v>1021</v>
      </c>
      <c r="K49" s="23" t="s">
        <v>1022</v>
      </c>
      <c r="L49" s="23" t="s">
        <v>2455</v>
      </c>
      <c r="M49" s="23" t="s">
        <v>2456</v>
      </c>
      <c r="N49" s="23" t="s">
        <v>2457</v>
      </c>
      <c r="O49" s="23" t="s">
        <v>2458</v>
      </c>
      <c r="P49" s="23" t="s">
        <v>2459</v>
      </c>
      <c r="Q49" s="23" t="s">
        <v>2460</v>
      </c>
      <c r="R49" s="23" t="s">
        <v>2461</v>
      </c>
      <c r="S49" s="23" t="s">
        <v>1023</v>
      </c>
      <c r="T49" s="23" t="s">
        <v>1024</v>
      </c>
      <c r="U49" s="23" t="s">
        <v>2462</v>
      </c>
      <c r="V49" s="23" t="s">
        <v>2463</v>
      </c>
      <c r="W49" s="23" t="s">
        <v>3464</v>
      </c>
      <c r="X49" s="23" t="s">
        <v>3545</v>
      </c>
      <c r="Y49" s="23" t="s">
        <v>3626</v>
      </c>
      <c r="Z49" s="23" t="s">
        <v>2464</v>
      </c>
      <c r="AA49" s="23" t="s">
        <v>2465</v>
      </c>
      <c r="AB49" s="23" t="s">
        <v>2466</v>
      </c>
      <c r="AC49" s="23" t="s">
        <v>2467</v>
      </c>
      <c r="AD49" s="23" t="s">
        <v>2468</v>
      </c>
      <c r="AE49" s="23" t="s">
        <v>2469</v>
      </c>
      <c r="AF49" s="23" t="s">
        <v>2470</v>
      </c>
      <c r="AG49" s="23" t="s">
        <v>2471</v>
      </c>
      <c r="AH49" s="23" t="s">
        <v>2472</v>
      </c>
      <c r="AI49" s="23" t="s">
        <v>2473</v>
      </c>
      <c r="AJ49" s="23" t="s">
        <v>2474</v>
      </c>
    </row>
    <row r="50" spans="1:36" x14ac:dyDescent="0.3">
      <c r="A50" s="23" t="s">
        <v>299</v>
      </c>
      <c r="B50" s="23" t="s">
        <v>4403</v>
      </c>
      <c r="C50" s="23" t="s">
        <v>3384</v>
      </c>
      <c r="D50" s="23" t="s">
        <v>1025</v>
      </c>
      <c r="E50" s="23" t="s">
        <v>2475</v>
      </c>
      <c r="F50" s="23" t="s">
        <v>2476</v>
      </c>
      <c r="G50" s="23" t="s">
        <v>2477</v>
      </c>
      <c r="H50" s="23" t="s">
        <v>2478</v>
      </c>
      <c r="I50" s="23" t="s">
        <v>1026</v>
      </c>
      <c r="J50" s="23" t="s">
        <v>1027</v>
      </c>
      <c r="K50" s="23" t="s">
        <v>1028</v>
      </c>
      <c r="L50" s="23" t="s">
        <v>2479</v>
      </c>
      <c r="M50" s="23" t="s">
        <v>2480</v>
      </c>
      <c r="N50" s="23" t="s">
        <v>2481</v>
      </c>
      <c r="O50" s="23" t="s">
        <v>2482</v>
      </c>
      <c r="P50" s="23" t="s">
        <v>2483</v>
      </c>
      <c r="Q50" s="23" t="s">
        <v>2484</v>
      </c>
      <c r="R50" s="23" t="s">
        <v>2485</v>
      </c>
      <c r="S50" s="23" t="s">
        <v>1029</v>
      </c>
      <c r="T50" s="23" t="s">
        <v>1030</v>
      </c>
      <c r="U50" s="23" t="s">
        <v>2486</v>
      </c>
      <c r="V50" s="23" t="s">
        <v>2487</v>
      </c>
      <c r="W50" s="23" t="s">
        <v>3465</v>
      </c>
      <c r="X50" s="23" t="s">
        <v>3546</v>
      </c>
      <c r="Y50" s="23" t="s">
        <v>3627</v>
      </c>
      <c r="Z50" s="23" t="s">
        <v>2488</v>
      </c>
      <c r="AA50" s="23" t="s">
        <v>2489</v>
      </c>
      <c r="AB50" s="23" t="s">
        <v>2490</v>
      </c>
      <c r="AC50" s="23" t="s">
        <v>2491</v>
      </c>
      <c r="AD50" s="23" t="s">
        <v>2492</v>
      </c>
      <c r="AE50" s="23" t="s">
        <v>2493</v>
      </c>
      <c r="AF50" s="23" t="s">
        <v>2494</v>
      </c>
      <c r="AG50" s="23" t="s">
        <v>2495</v>
      </c>
      <c r="AH50" s="23" t="s">
        <v>2496</v>
      </c>
      <c r="AI50" s="23" t="s">
        <v>2497</v>
      </c>
      <c r="AJ50" s="23" t="s">
        <v>2498</v>
      </c>
    </row>
    <row r="51" spans="1:36" x14ac:dyDescent="0.3">
      <c r="A51" s="23" t="s">
        <v>299</v>
      </c>
      <c r="B51" s="23" t="s">
        <v>4404</v>
      </c>
      <c r="C51" s="23" t="s">
        <v>3385</v>
      </c>
      <c r="D51" s="23" t="s">
        <v>1031</v>
      </c>
      <c r="E51" s="23" t="s">
        <v>2499</v>
      </c>
      <c r="F51" s="23" t="s">
        <v>2500</v>
      </c>
      <c r="G51" s="23" t="s">
        <v>2501</v>
      </c>
      <c r="H51" s="23" t="s">
        <v>2502</v>
      </c>
      <c r="I51" s="23" t="s">
        <v>1032</v>
      </c>
      <c r="J51" s="23" t="s">
        <v>1033</v>
      </c>
      <c r="K51" s="23" t="s">
        <v>1034</v>
      </c>
      <c r="L51" s="23" t="s">
        <v>2503</v>
      </c>
      <c r="M51" s="23" t="s">
        <v>2504</v>
      </c>
      <c r="N51" s="23" t="s">
        <v>2505</v>
      </c>
      <c r="O51" s="23" t="s">
        <v>2506</v>
      </c>
      <c r="P51" s="23" t="s">
        <v>2507</v>
      </c>
      <c r="Q51" s="23" t="s">
        <v>2508</v>
      </c>
      <c r="R51" s="23" t="s">
        <v>2509</v>
      </c>
      <c r="S51" s="23" t="s">
        <v>1035</v>
      </c>
      <c r="T51" s="23" t="s">
        <v>1036</v>
      </c>
      <c r="U51" s="23" t="s">
        <v>2510</v>
      </c>
      <c r="V51" s="23" t="s">
        <v>2511</v>
      </c>
      <c r="W51" s="23" t="s">
        <v>3466</v>
      </c>
      <c r="X51" s="23" t="s">
        <v>3547</v>
      </c>
      <c r="Y51" s="23" t="s">
        <v>3628</v>
      </c>
      <c r="Z51" s="23" t="s">
        <v>2512</v>
      </c>
      <c r="AA51" s="23" t="s">
        <v>2513</v>
      </c>
      <c r="AB51" s="23" t="s">
        <v>2514</v>
      </c>
      <c r="AC51" s="23" t="s">
        <v>2515</v>
      </c>
      <c r="AD51" s="23" t="s">
        <v>2516</v>
      </c>
      <c r="AE51" s="23" t="s">
        <v>2517</v>
      </c>
      <c r="AF51" s="23" t="s">
        <v>2518</v>
      </c>
      <c r="AG51" s="23" t="s">
        <v>2519</v>
      </c>
      <c r="AH51" s="23" t="s">
        <v>2520</v>
      </c>
      <c r="AI51" s="23" t="s">
        <v>2521</v>
      </c>
      <c r="AJ51" s="23" t="s">
        <v>2522</v>
      </c>
    </row>
    <row r="52" spans="1:36" x14ac:dyDescent="0.3">
      <c r="A52" s="23" t="s">
        <v>299</v>
      </c>
      <c r="B52" s="23" t="s">
        <v>4405</v>
      </c>
      <c r="C52" s="23" t="s">
        <v>3386</v>
      </c>
      <c r="D52" s="23" t="s">
        <v>1037</v>
      </c>
      <c r="E52" s="23" t="s">
        <v>2523</v>
      </c>
      <c r="F52" s="23" t="s">
        <v>2524</v>
      </c>
      <c r="G52" s="23" t="s">
        <v>2525</v>
      </c>
      <c r="H52" s="23" t="s">
        <v>2526</v>
      </c>
      <c r="I52" s="23" t="s">
        <v>1038</v>
      </c>
      <c r="J52" s="23" t="s">
        <v>1039</v>
      </c>
      <c r="K52" s="23" t="s">
        <v>1040</v>
      </c>
      <c r="L52" s="23" t="s">
        <v>2527</v>
      </c>
      <c r="M52" s="23" t="s">
        <v>2528</v>
      </c>
      <c r="N52" s="23" t="s">
        <v>2529</v>
      </c>
      <c r="O52" s="23" t="s">
        <v>2530</v>
      </c>
      <c r="P52" s="23" t="s">
        <v>2531</v>
      </c>
      <c r="Q52" s="23" t="s">
        <v>2532</v>
      </c>
      <c r="R52" s="23" t="s">
        <v>2533</v>
      </c>
      <c r="S52" s="23" t="s">
        <v>1041</v>
      </c>
      <c r="T52" s="23" t="s">
        <v>1042</v>
      </c>
      <c r="U52" s="23" t="s">
        <v>2534</v>
      </c>
      <c r="V52" s="23" t="s">
        <v>2535</v>
      </c>
      <c r="W52" s="23" t="s">
        <v>3467</v>
      </c>
      <c r="X52" s="23" t="s">
        <v>3548</v>
      </c>
      <c r="Y52" s="23" t="s">
        <v>3629</v>
      </c>
      <c r="Z52" s="23" t="s">
        <v>2536</v>
      </c>
      <c r="AA52" s="23" t="s">
        <v>2537</v>
      </c>
      <c r="AB52" s="23" t="s">
        <v>2538</v>
      </c>
      <c r="AC52" s="23" t="s">
        <v>2539</v>
      </c>
      <c r="AD52" s="23" t="s">
        <v>2540</v>
      </c>
      <c r="AE52" s="23" t="s">
        <v>2541</v>
      </c>
      <c r="AF52" s="23" t="s">
        <v>2542</v>
      </c>
      <c r="AG52" s="23" t="s">
        <v>2543</v>
      </c>
      <c r="AH52" s="23" t="s">
        <v>2544</v>
      </c>
      <c r="AI52" s="23" t="s">
        <v>2545</v>
      </c>
      <c r="AJ52" s="23" t="s">
        <v>2546</v>
      </c>
    </row>
    <row r="53" spans="1:36" x14ac:dyDescent="0.3">
      <c r="A53" s="23" t="s">
        <v>299</v>
      </c>
      <c r="B53" s="23" t="s">
        <v>4406</v>
      </c>
      <c r="C53" s="23" t="s">
        <v>3387</v>
      </c>
      <c r="D53" s="23" t="s">
        <v>1043</v>
      </c>
      <c r="E53" s="23" t="s">
        <v>2547</v>
      </c>
      <c r="F53" s="23" t="s">
        <v>2548</v>
      </c>
      <c r="G53" s="23" t="s">
        <v>2549</v>
      </c>
      <c r="H53" s="23" t="s">
        <v>2550</v>
      </c>
      <c r="I53" s="23" t="s">
        <v>1044</v>
      </c>
      <c r="J53" s="23" t="s">
        <v>1045</v>
      </c>
      <c r="K53" s="23" t="s">
        <v>1046</v>
      </c>
      <c r="L53" s="23" t="s">
        <v>2551</v>
      </c>
      <c r="M53" s="23" t="s">
        <v>2552</v>
      </c>
      <c r="N53" s="23" t="s">
        <v>2553</v>
      </c>
      <c r="O53" s="23" t="s">
        <v>2554</v>
      </c>
      <c r="P53" s="23" t="s">
        <v>2555</v>
      </c>
      <c r="Q53" s="23" t="s">
        <v>2556</v>
      </c>
      <c r="R53" s="23" t="s">
        <v>2557</v>
      </c>
      <c r="S53" s="23" t="s">
        <v>1047</v>
      </c>
      <c r="T53" s="23" t="s">
        <v>1048</v>
      </c>
      <c r="U53" s="23" t="s">
        <v>2558</v>
      </c>
      <c r="V53" s="23" t="s">
        <v>2559</v>
      </c>
      <c r="W53" s="23" t="s">
        <v>3468</v>
      </c>
      <c r="X53" s="23" t="s">
        <v>3549</v>
      </c>
      <c r="Y53" s="23" t="s">
        <v>3630</v>
      </c>
      <c r="Z53" s="23" t="s">
        <v>2560</v>
      </c>
      <c r="AA53" s="23" t="s">
        <v>2561</v>
      </c>
      <c r="AB53" s="23" t="s">
        <v>2562</v>
      </c>
      <c r="AC53" s="23" t="s">
        <v>2563</v>
      </c>
      <c r="AD53" s="23" t="s">
        <v>2564</v>
      </c>
      <c r="AE53" s="23" t="s">
        <v>2565</v>
      </c>
      <c r="AF53" s="23" t="s">
        <v>2566</v>
      </c>
      <c r="AG53" s="23" t="s">
        <v>2567</v>
      </c>
      <c r="AH53" s="23" t="s">
        <v>2568</v>
      </c>
      <c r="AI53" s="23" t="s">
        <v>2569</v>
      </c>
      <c r="AJ53" s="23" t="s">
        <v>2570</v>
      </c>
    </row>
    <row r="54" spans="1:36" x14ac:dyDescent="0.3">
      <c r="A54" s="23" t="s">
        <v>299</v>
      </c>
      <c r="B54" s="23" t="s">
        <v>4407</v>
      </c>
      <c r="C54" s="23" t="s">
        <v>3388</v>
      </c>
      <c r="D54" s="23" t="s">
        <v>1049</v>
      </c>
      <c r="E54" s="23" t="s">
        <v>2571</v>
      </c>
      <c r="F54" s="23" t="s">
        <v>2572</v>
      </c>
      <c r="G54" s="23" t="s">
        <v>2573</v>
      </c>
      <c r="H54" s="23" t="s">
        <v>2574</v>
      </c>
      <c r="I54" s="23" t="s">
        <v>1050</v>
      </c>
      <c r="J54" s="23" t="s">
        <v>1051</v>
      </c>
      <c r="K54" s="23" t="s">
        <v>1052</v>
      </c>
      <c r="L54" s="23" t="s">
        <v>2575</v>
      </c>
      <c r="M54" s="23" t="s">
        <v>2576</v>
      </c>
      <c r="N54" s="23" t="s">
        <v>2577</v>
      </c>
      <c r="O54" s="23" t="s">
        <v>2578</v>
      </c>
      <c r="P54" s="23" t="s">
        <v>2579</v>
      </c>
      <c r="Q54" s="23" t="s">
        <v>2580</v>
      </c>
      <c r="R54" s="23" t="s">
        <v>2581</v>
      </c>
      <c r="S54" s="23" t="s">
        <v>1053</v>
      </c>
      <c r="T54" s="23" t="s">
        <v>1054</v>
      </c>
      <c r="U54" s="23" t="s">
        <v>2582</v>
      </c>
      <c r="V54" s="23" t="s">
        <v>2583</v>
      </c>
      <c r="W54" s="23" t="s">
        <v>3469</v>
      </c>
      <c r="X54" s="23" t="s">
        <v>3550</v>
      </c>
      <c r="Y54" s="23" t="s">
        <v>3631</v>
      </c>
      <c r="Z54" s="23" t="s">
        <v>2584</v>
      </c>
      <c r="AA54" s="23" t="s">
        <v>2585</v>
      </c>
      <c r="AB54" s="23" t="s">
        <v>2586</v>
      </c>
      <c r="AC54" s="23" t="s">
        <v>2587</v>
      </c>
      <c r="AD54" s="23" t="s">
        <v>2588</v>
      </c>
      <c r="AE54" s="23" t="s">
        <v>2589</v>
      </c>
      <c r="AF54" s="23" t="s">
        <v>2590</v>
      </c>
      <c r="AG54" s="23" t="s">
        <v>2591</v>
      </c>
      <c r="AH54" s="23" t="s">
        <v>2592</v>
      </c>
      <c r="AI54" s="23" t="s">
        <v>2593</v>
      </c>
      <c r="AJ54" s="23" t="s">
        <v>2594</v>
      </c>
    </row>
    <row r="55" spans="1:36" x14ac:dyDescent="0.3">
      <c r="A55" s="23" t="s">
        <v>299</v>
      </c>
      <c r="B55" s="23" t="s">
        <v>4408</v>
      </c>
      <c r="C55" s="23" t="s">
        <v>3389</v>
      </c>
      <c r="D55" s="23" t="s">
        <v>1055</v>
      </c>
      <c r="E55" s="23" t="s">
        <v>2595</v>
      </c>
      <c r="F55" s="23" t="s">
        <v>2596</v>
      </c>
      <c r="G55" s="23" t="s">
        <v>2597</v>
      </c>
      <c r="H55" s="23" t="s">
        <v>2598</v>
      </c>
      <c r="I55" s="23" t="s">
        <v>1056</v>
      </c>
      <c r="J55" s="23" t="s">
        <v>1057</v>
      </c>
      <c r="K55" s="23" t="s">
        <v>1058</v>
      </c>
      <c r="L55" s="23" t="s">
        <v>2599</v>
      </c>
      <c r="M55" s="23" t="s">
        <v>2600</v>
      </c>
      <c r="N55" s="23" t="s">
        <v>2601</v>
      </c>
      <c r="O55" s="23" t="s">
        <v>2602</v>
      </c>
      <c r="P55" s="23" t="s">
        <v>2603</v>
      </c>
      <c r="Q55" s="23" t="s">
        <v>2604</v>
      </c>
      <c r="R55" s="23" t="s">
        <v>2605</v>
      </c>
      <c r="S55" s="23" t="s">
        <v>1059</v>
      </c>
      <c r="T55" s="23" t="s">
        <v>1060</v>
      </c>
      <c r="U55" s="23" t="s">
        <v>2606</v>
      </c>
      <c r="V55" s="23" t="s">
        <v>2607</v>
      </c>
      <c r="W55" s="23" t="s">
        <v>3470</v>
      </c>
      <c r="X55" s="23" t="s">
        <v>3551</v>
      </c>
      <c r="Y55" s="23" t="s">
        <v>3632</v>
      </c>
      <c r="Z55" s="23" t="s">
        <v>2608</v>
      </c>
      <c r="AA55" s="23" t="s">
        <v>2609</v>
      </c>
      <c r="AB55" s="23" t="s">
        <v>2610</v>
      </c>
      <c r="AC55" s="23" t="s">
        <v>2611</v>
      </c>
      <c r="AD55" s="23" t="s">
        <v>2612</v>
      </c>
      <c r="AE55" s="23" t="s">
        <v>2613</v>
      </c>
      <c r="AF55" s="23" t="s">
        <v>2614</v>
      </c>
      <c r="AG55" s="23" t="s">
        <v>2615</v>
      </c>
      <c r="AH55" s="23" t="s">
        <v>2616</v>
      </c>
      <c r="AI55" s="23" t="s">
        <v>2617</v>
      </c>
      <c r="AJ55" s="23" t="s">
        <v>2618</v>
      </c>
    </row>
    <row r="56" spans="1:36" x14ac:dyDescent="0.3">
      <c r="A56" s="23" t="s">
        <v>299</v>
      </c>
      <c r="B56" s="23" t="s">
        <v>4409</v>
      </c>
      <c r="C56" s="23" t="s">
        <v>3390</v>
      </c>
      <c r="D56" s="23" t="s">
        <v>1061</v>
      </c>
      <c r="E56" s="23" t="s">
        <v>2619</v>
      </c>
      <c r="F56" s="23" t="s">
        <v>2620</v>
      </c>
      <c r="G56" s="23" t="s">
        <v>2621</v>
      </c>
      <c r="H56" s="23" t="s">
        <v>2622</v>
      </c>
      <c r="I56" s="23" t="s">
        <v>1062</v>
      </c>
      <c r="J56" s="23" t="s">
        <v>1063</v>
      </c>
      <c r="K56" s="23" t="s">
        <v>1064</v>
      </c>
      <c r="L56" s="23" t="s">
        <v>2623</v>
      </c>
      <c r="M56" s="23" t="s">
        <v>2624</v>
      </c>
      <c r="N56" s="23" t="s">
        <v>2625</v>
      </c>
      <c r="O56" s="23" t="s">
        <v>2626</v>
      </c>
      <c r="P56" s="23" t="s">
        <v>2627</v>
      </c>
      <c r="Q56" s="23" t="s">
        <v>2628</v>
      </c>
      <c r="R56" s="23" t="s">
        <v>2629</v>
      </c>
      <c r="S56" s="23" t="s">
        <v>1065</v>
      </c>
      <c r="T56" s="23" t="s">
        <v>1066</v>
      </c>
      <c r="U56" s="23" t="s">
        <v>2630</v>
      </c>
      <c r="V56" s="23" t="s">
        <v>2631</v>
      </c>
      <c r="W56" s="23" t="s">
        <v>3471</v>
      </c>
      <c r="X56" s="23" t="s">
        <v>3552</v>
      </c>
      <c r="Y56" s="23" t="s">
        <v>3633</v>
      </c>
      <c r="Z56" s="23" t="s">
        <v>2632</v>
      </c>
      <c r="AA56" s="23" t="s">
        <v>2633</v>
      </c>
      <c r="AB56" s="23" t="s">
        <v>2634</v>
      </c>
      <c r="AC56" s="23" t="s">
        <v>2635</v>
      </c>
      <c r="AD56" s="23" t="s">
        <v>2636</v>
      </c>
      <c r="AE56" s="23" t="s">
        <v>2637</v>
      </c>
      <c r="AF56" s="23" t="s">
        <v>2638</v>
      </c>
      <c r="AG56" s="23" t="s">
        <v>2639</v>
      </c>
      <c r="AH56" s="23" t="s">
        <v>2640</v>
      </c>
      <c r="AI56" s="23" t="s">
        <v>2641</v>
      </c>
      <c r="AJ56" s="23" t="s">
        <v>2642</v>
      </c>
    </row>
    <row r="57" spans="1:36" x14ac:dyDescent="0.3">
      <c r="A57" s="23" t="s">
        <v>299</v>
      </c>
      <c r="B57" s="23" t="s">
        <v>4410</v>
      </c>
      <c r="C57" s="23" t="s">
        <v>3391</v>
      </c>
      <c r="D57" s="23" t="s">
        <v>1067</v>
      </c>
      <c r="E57" s="23" t="s">
        <v>2643</v>
      </c>
      <c r="F57" s="23" t="s">
        <v>2644</v>
      </c>
      <c r="G57" s="23" t="s">
        <v>2645</v>
      </c>
      <c r="H57" s="23" t="s">
        <v>2646</v>
      </c>
      <c r="I57" s="23" t="s">
        <v>1068</v>
      </c>
      <c r="J57" s="23" t="s">
        <v>1069</v>
      </c>
      <c r="K57" s="23" t="s">
        <v>1070</v>
      </c>
      <c r="L57" s="23" t="s">
        <v>2647</v>
      </c>
      <c r="M57" s="23" t="s">
        <v>2648</v>
      </c>
      <c r="N57" s="23" t="s">
        <v>2649</v>
      </c>
      <c r="O57" s="23" t="s">
        <v>2650</v>
      </c>
      <c r="P57" s="23" t="s">
        <v>2651</v>
      </c>
      <c r="Q57" s="23" t="s">
        <v>2652</v>
      </c>
      <c r="R57" s="23" t="s">
        <v>2653</v>
      </c>
      <c r="S57" s="23" t="s">
        <v>1071</v>
      </c>
      <c r="T57" s="23" t="s">
        <v>1072</v>
      </c>
      <c r="U57" s="23" t="s">
        <v>2654</v>
      </c>
      <c r="V57" s="23" t="s">
        <v>2655</v>
      </c>
      <c r="W57" s="23" t="s">
        <v>3472</v>
      </c>
      <c r="X57" s="23" t="s">
        <v>3553</v>
      </c>
      <c r="Y57" s="23" t="s">
        <v>3634</v>
      </c>
      <c r="Z57" s="23" t="s">
        <v>2656</v>
      </c>
      <c r="AA57" s="23" t="s">
        <v>2657</v>
      </c>
      <c r="AB57" s="23" t="s">
        <v>2658</v>
      </c>
      <c r="AC57" s="23" t="s">
        <v>2659</v>
      </c>
      <c r="AD57" s="23" t="s">
        <v>2660</v>
      </c>
      <c r="AE57" s="23" t="s">
        <v>2661</v>
      </c>
      <c r="AF57" s="23" t="s">
        <v>2662</v>
      </c>
      <c r="AG57" s="23" t="s">
        <v>2663</v>
      </c>
      <c r="AH57" s="23" t="s">
        <v>2664</v>
      </c>
      <c r="AI57" s="23" t="s">
        <v>2665</v>
      </c>
      <c r="AJ57" s="23" t="s">
        <v>2666</v>
      </c>
    </row>
    <row r="58" spans="1:36" x14ac:dyDescent="0.3">
      <c r="A58" s="23" t="s">
        <v>299</v>
      </c>
      <c r="B58" s="23" t="s">
        <v>4411</v>
      </c>
      <c r="C58" s="23" t="s">
        <v>3392</v>
      </c>
      <c r="D58" s="23" t="s">
        <v>1073</v>
      </c>
      <c r="E58" s="23" t="s">
        <v>2667</v>
      </c>
      <c r="F58" s="23" t="s">
        <v>2668</v>
      </c>
      <c r="G58" s="23" t="s">
        <v>2669</v>
      </c>
      <c r="H58" s="23" t="s">
        <v>2670</v>
      </c>
      <c r="I58" s="23" t="s">
        <v>1074</v>
      </c>
      <c r="J58" s="23" t="s">
        <v>1075</v>
      </c>
      <c r="K58" s="23" t="s">
        <v>1076</v>
      </c>
      <c r="L58" s="23" t="s">
        <v>2671</v>
      </c>
      <c r="M58" s="23" t="s">
        <v>2672</v>
      </c>
      <c r="N58" s="23" t="s">
        <v>2673</v>
      </c>
      <c r="O58" s="23" t="s">
        <v>2674</v>
      </c>
      <c r="P58" s="23" t="s">
        <v>2675</v>
      </c>
      <c r="Q58" s="23" t="s">
        <v>2676</v>
      </c>
      <c r="R58" s="23" t="s">
        <v>2677</v>
      </c>
      <c r="S58" s="23" t="s">
        <v>1077</v>
      </c>
      <c r="T58" s="23" t="s">
        <v>1078</v>
      </c>
      <c r="U58" s="23" t="s">
        <v>2678</v>
      </c>
      <c r="V58" s="23" t="s">
        <v>2679</v>
      </c>
      <c r="W58" s="23" t="s">
        <v>3473</v>
      </c>
      <c r="X58" s="23" t="s">
        <v>3554</v>
      </c>
      <c r="Y58" s="23" t="s">
        <v>3635</v>
      </c>
      <c r="Z58" s="23" t="s">
        <v>2680</v>
      </c>
      <c r="AA58" s="23" t="s">
        <v>2681</v>
      </c>
      <c r="AB58" s="23" t="s">
        <v>2682</v>
      </c>
      <c r="AC58" s="23" t="s">
        <v>2683</v>
      </c>
      <c r="AD58" s="23" t="s">
        <v>2684</v>
      </c>
      <c r="AE58" s="23" t="s">
        <v>2685</v>
      </c>
      <c r="AF58" s="23" t="s">
        <v>2686</v>
      </c>
      <c r="AG58" s="23" t="s">
        <v>2687</v>
      </c>
      <c r="AH58" s="23" t="s">
        <v>2688</v>
      </c>
      <c r="AI58" s="23" t="s">
        <v>2689</v>
      </c>
      <c r="AJ58" s="23" t="s">
        <v>2690</v>
      </c>
    </row>
    <row r="59" spans="1:36" x14ac:dyDescent="0.3">
      <c r="A59" s="23" t="s">
        <v>299</v>
      </c>
      <c r="B59" s="23" t="s">
        <v>4412</v>
      </c>
      <c r="C59" s="23" t="s">
        <v>3393</v>
      </c>
      <c r="D59" s="23" t="s">
        <v>1079</v>
      </c>
      <c r="E59" s="23" t="s">
        <v>2691</v>
      </c>
      <c r="F59" s="23" t="s">
        <v>2692</v>
      </c>
      <c r="G59" s="23" t="s">
        <v>2693</v>
      </c>
      <c r="H59" s="23" t="s">
        <v>2694</v>
      </c>
      <c r="I59" s="23" t="s">
        <v>1080</v>
      </c>
      <c r="J59" s="23" t="s">
        <v>1081</v>
      </c>
      <c r="K59" s="23" t="s">
        <v>1082</v>
      </c>
      <c r="L59" s="23" t="s">
        <v>2695</v>
      </c>
      <c r="M59" s="23" t="s">
        <v>2696</v>
      </c>
      <c r="N59" s="23" t="s">
        <v>2697</v>
      </c>
      <c r="O59" s="23" t="s">
        <v>2698</v>
      </c>
      <c r="P59" s="23" t="s">
        <v>2699</v>
      </c>
      <c r="Q59" s="23" t="s">
        <v>2700</v>
      </c>
      <c r="R59" s="23" t="s">
        <v>2701</v>
      </c>
      <c r="S59" s="23" t="s">
        <v>1083</v>
      </c>
      <c r="T59" s="23" t="s">
        <v>1084</v>
      </c>
      <c r="U59" s="23" t="s">
        <v>2702</v>
      </c>
      <c r="V59" s="23" t="s">
        <v>2703</v>
      </c>
      <c r="W59" s="23" t="s">
        <v>3474</v>
      </c>
      <c r="X59" s="23" t="s">
        <v>3555</v>
      </c>
      <c r="Y59" s="23" t="s">
        <v>3636</v>
      </c>
      <c r="Z59" s="23" t="s">
        <v>2704</v>
      </c>
      <c r="AA59" s="23" t="s">
        <v>2705</v>
      </c>
      <c r="AB59" s="23" t="s">
        <v>2706</v>
      </c>
      <c r="AC59" s="23" t="s">
        <v>2707</v>
      </c>
      <c r="AD59" s="23" t="s">
        <v>2708</v>
      </c>
      <c r="AE59" s="23" t="s">
        <v>2709</v>
      </c>
      <c r="AF59" s="23" t="s">
        <v>2710</v>
      </c>
      <c r="AG59" s="23" t="s">
        <v>2711</v>
      </c>
      <c r="AH59" s="23" t="s">
        <v>2712</v>
      </c>
      <c r="AI59" s="23" t="s">
        <v>2713</v>
      </c>
      <c r="AJ59" s="23" t="s">
        <v>2714</v>
      </c>
    </row>
    <row r="60" spans="1:36" x14ac:dyDescent="0.3">
      <c r="A60" s="23" t="s">
        <v>299</v>
      </c>
      <c r="B60" s="23" t="s">
        <v>4413</v>
      </c>
      <c r="C60" s="23" t="s">
        <v>3394</v>
      </c>
      <c r="D60" s="23" t="s">
        <v>1085</v>
      </c>
      <c r="E60" s="23" t="s">
        <v>2715</v>
      </c>
      <c r="F60" s="23" t="s">
        <v>2716</v>
      </c>
      <c r="G60" s="23" t="s">
        <v>2717</v>
      </c>
      <c r="H60" s="23" t="s">
        <v>2718</v>
      </c>
      <c r="I60" s="23" t="s">
        <v>1086</v>
      </c>
      <c r="J60" s="23" t="s">
        <v>1087</v>
      </c>
      <c r="K60" s="23" t="s">
        <v>1088</v>
      </c>
      <c r="L60" s="23" t="s">
        <v>2719</v>
      </c>
      <c r="M60" s="23" t="s">
        <v>2720</v>
      </c>
      <c r="N60" s="23" t="s">
        <v>2721</v>
      </c>
      <c r="O60" s="23" t="s">
        <v>2722</v>
      </c>
      <c r="P60" s="23" t="s">
        <v>2723</v>
      </c>
      <c r="Q60" s="23" t="s">
        <v>2724</v>
      </c>
      <c r="R60" s="23" t="s">
        <v>2725</v>
      </c>
      <c r="S60" s="23" t="s">
        <v>1089</v>
      </c>
      <c r="T60" s="23" t="s">
        <v>1090</v>
      </c>
      <c r="U60" s="23" t="s">
        <v>2726</v>
      </c>
      <c r="V60" s="23" t="s">
        <v>2727</v>
      </c>
      <c r="W60" s="23" t="s">
        <v>3475</v>
      </c>
      <c r="X60" s="23" t="s">
        <v>3556</v>
      </c>
      <c r="Y60" s="23" t="s">
        <v>3637</v>
      </c>
      <c r="Z60" s="23" t="s">
        <v>2728</v>
      </c>
      <c r="AA60" s="23" t="s">
        <v>2729</v>
      </c>
      <c r="AB60" s="23" t="s">
        <v>2730</v>
      </c>
      <c r="AC60" s="23" t="s">
        <v>2731</v>
      </c>
      <c r="AD60" s="23" t="s">
        <v>2732</v>
      </c>
      <c r="AE60" s="23" t="s">
        <v>2733</v>
      </c>
      <c r="AF60" s="23" t="s">
        <v>2734</v>
      </c>
      <c r="AG60" s="23" t="s">
        <v>2735</v>
      </c>
      <c r="AH60" s="23" t="s">
        <v>2736</v>
      </c>
      <c r="AI60" s="23" t="s">
        <v>2737</v>
      </c>
      <c r="AJ60" s="23" t="s">
        <v>2738</v>
      </c>
    </row>
    <row r="61" spans="1:36" x14ac:dyDescent="0.3">
      <c r="A61" s="23" t="s">
        <v>299</v>
      </c>
      <c r="B61" s="23" t="s">
        <v>4414</v>
      </c>
      <c r="C61" s="23" t="s">
        <v>3395</v>
      </c>
      <c r="D61" s="23" t="s">
        <v>1091</v>
      </c>
      <c r="E61" s="23" t="s">
        <v>2739</v>
      </c>
      <c r="F61" s="23" t="s">
        <v>2740</v>
      </c>
      <c r="G61" s="23" t="s">
        <v>2741</v>
      </c>
      <c r="H61" s="23" t="s">
        <v>2742</v>
      </c>
      <c r="I61" s="23" t="s">
        <v>1092</v>
      </c>
      <c r="J61" s="23" t="s">
        <v>1093</v>
      </c>
      <c r="K61" s="23" t="s">
        <v>1094</v>
      </c>
      <c r="L61" s="23" t="s">
        <v>2743</v>
      </c>
      <c r="M61" s="23" t="s">
        <v>2744</v>
      </c>
      <c r="N61" s="23" t="s">
        <v>2745</v>
      </c>
      <c r="O61" s="23" t="s">
        <v>2746</v>
      </c>
      <c r="P61" s="23" t="s">
        <v>2747</v>
      </c>
      <c r="Q61" s="23" t="s">
        <v>2748</v>
      </c>
      <c r="R61" s="23" t="s">
        <v>2749</v>
      </c>
      <c r="S61" s="23" t="s">
        <v>1095</v>
      </c>
      <c r="T61" s="23" t="s">
        <v>1096</v>
      </c>
      <c r="U61" s="23" t="s">
        <v>2750</v>
      </c>
      <c r="V61" s="23" t="s">
        <v>2751</v>
      </c>
      <c r="W61" s="23" t="s">
        <v>3476</v>
      </c>
      <c r="X61" s="23" t="s">
        <v>3557</v>
      </c>
      <c r="Y61" s="23" t="s">
        <v>3638</v>
      </c>
      <c r="Z61" s="23" t="s">
        <v>2752</v>
      </c>
      <c r="AA61" s="23" t="s">
        <v>2753</v>
      </c>
      <c r="AB61" s="23" t="s">
        <v>2754</v>
      </c>
      <c r="AC61" s="23" t="s">
        <v>2755</v>
      </c>
      <c r="AD61" s="23" t="s">
        <v>2756</v>
      </c>
      <c r="AE61" s="23" t="s">
        <v>2757</v>
      </c>
      <c r="AF61" s="23" t="s">
        <v>2758</v>
      </c>
      <c r="AG61" s="23" t="s">
        <v>2759</v>
      </c>
      <c r="AH61" s="23" t="s">
        <v>2760</v>
      </c>
      <c r="AI61" s="23" t="s">
        <v>2761</v>
      </c>
      <c r="AJ61" s="23" t="s">
        <v>2762</v>
      </c>
    </row>
    <row r="62" spans="1:36" x14ac:dyDescent="0.3">
      <c r="A62" s="23" t="s">
        <v>299</v>
      </c>
      <c r="B62" s="23" t="s">
        <v>4415</v>
      </c>
      <c r="C62" s="23" t="s">
        <v>3396</v>
      </c>
      <c r="D62" s="23" t="s">
        <v>1097</v>
      </c>
      <c r="E62" s="23" t="s">
        <v>2763</v>
      </c>
      <c r="F62" s="23" t="s">
        <v>2764</v>
      </c>
      <c r="G62" s="23" t="s">
        <v>2765</v>
      </c>
      <c r="H62" s="23" t="s">
        <v>2766</v>
      </c>
      <c r="I62" s="23" t="s">
        <v>1098</v>
      </c>
      <c r="J62" s="23" t="s">
        <v>1099</v>
      </c>
      <c r="K62" s="23" t="s">
        <v>1100</v>
      </c>
      <c r="L62" s="23" t="s">
        <v>2767</v>
      </c>
      <c r="M62" s="23" t="s">
        <v>2768</v>
      </c>
      <c r="N62" s="23" t="s">
        <v>2769</v>
      </c>
      <c r="O62" s="23" t="s">
        <v>2770</v>
      </c>
      <c r="P62" s="23" t="s">
        <v>2771</v>
      </c>
      <c r="Q62" s="23" t="s">
        <v>2772</v>
      </c>
      <c r="R62" s="23" t="s">
        <v>2773</v>
      </c>
      <c r="S62" s="23" t="s">
        <v>1101</v>
      </c>
      <c r="T62" s="23" t="s">
        <v>1102</v>
      </c>
      <c r="U62" s="23" t="s">
        <v>2774</v>
      </c>
      <c r="V62" s="23" t="s">
        <v>2775</v>
      </c>
      <c r="W62" s="23" t="s">
        <v>3477</v>
      </c>
      <c r="X62" s="23" t="s">
        <v>3558</v>
      </c>
      <c r="Y62" s="23" t="s">
        <v>3639</v>
      </c>
      <c r="Z62" s="23" t="s">
        <v>2776</v>
      </c>
      <c r="AA62" s="23" t="s">
        <v>2777</v>
      </c>
      <c r="AB62" s="23" t="s">
        <v>2778</v>
      </c>
      <c r="AC62" s="23" t="s">
        <v>2779</v>
      </c>
      <c r="AD62" s="23" t="s">
        <v>2780</v>
      </c>
      <c r="AE62" s="23" t="s">
        <v>2781</v>
      </c>
      <c r="AF62" s="23" t="s">
        <v>2782</v>
      </c>
      <c r="AG62" s="23" t="s">
        <v>2783</v>
      </c>
      <c r="AH62" s="23" t="s">
        <v>2784</v>
      </c>
      <c r="AI62" s="23" t="s">
        <v>2785</v>
      </c>
      <c r="AJ62" s="23" t="s">
        <v>2786</v>
      </c>
    </row>
    <row r="63" spans="1:36" x14ac:dyDescent="0.3">
      <c r="A63" s="23" t="s">
        <v>299</v>
      </c>
      <c r="B63" s="23" t="s">
        <v>4416</v>
      </c>
      <c r="C63" s="23" t="s">
        <v>3397</v>
      </c>
      <c r="D63" s="23" t="s">
        <v>1103</v>
      </c>
      <c r="E63" s="23" t="s">
        <v>2787</v>
      </c>
      <c r="F63" s="23" t="s">
        <v>2788</v>
      </c>
      <c r="G63" s="23" t="s">
        <v>2789</v>
      </c>
      <c r="H63" s="23" t="s">
        <v>2790</v>
      </c>
      <c r="I63" s="23" t="s">
        <v>1104</v>
      </c>
      <c r="J63" s="23" t="s">
        <v>1105</v>
      </c>
      <c r="K63" s="23" t="s">
        <v>1106</v>
      </c>
      <c r="L63" s="23" t="s">
        <v>2791</v>
      </c>
      <c r="M63" s="23" t="s">
        <v>2792</v>
      </c>
      <c r="N63" s="23" t="s">
        <v>2793</v>
      </c>
      <c r="O63" s="23" t="s">
        <v>2794</v>
      </c>
      <c r="P63" s="23" t="s">
        <v>2795</v>
      </c>
      <c r="Q63" s="23" t="s">
        <v>2796</v>
      </c>
      <c r="R63" s="23" t="s">
        <v>2797</v>
      </c>
      <c r="S63" s="23" t="s">
        <v>1107</v>
      </c>
      <c r="T63" s="23" t="s">
        <v>1108</v>
      </c>
      <c r="U63" s="23" t="s">
        <v>2798</v>
      </c>
      <c r="V63" s="23" t="s">
        <v>2799</v>
      </c>
      <c r="W63" s="23" t="s">
        <v>3478</v>
      </c>
      <c r="X63" s="23" t="s">
        <v>3559</v>
      </c>
      <c r="Y63" s="23" t="s">
        <v>3640</v>
      </c>
      <c r="Z63" s="23" t="s">
        <v>2800</v>
      </c>
      <c r="AA63" s="23" t="s">
        <v>2801</v>
      </c>
      <c r="AB63" s="23" t="s">
        <v>2802</v>
      </c>
      <c r="AC63" s="23" t="s">
        <v>2803</v>
      </c>
      <c r="AD63" s="23" t="s">
        <v>2804</v>
      </c>
      <c r="AE63" s="23" t="s">
        <v>2805</v>
      </c>
      <c r="AF63" s="23" t="s">
        <v>2806</v>
      </c>
      <c r="AG63" s="23" t="s">
        <v>2807</v>
      </c>
      <c r="AH63" s="23" t="s">
        <v>2808</v>
      </c>
      <c r="AI63" s="23" t="s">
        <v>2809</v>
      </c>
      <c r="AJ63" s="23" t="s">
        <v>2810</v>
      </c>
    </row>
    <row r="64" spans="1:36" x14ac:dyDescent="0.3">
      <c r="A64" s="23" t="s">
        <v>299</v>
      </c>
      <c r="B64" s="23" t="s">
        <v>4417</v>
      </c>
      <c r="C64" s="23" t="s">
        <v>3398</v>
      </c>
      <c r="D64" s="23" t="s">
        <v>1109</v>
      </c>
      <c r="E64" s="23" t="s">
        <v>2811</v>
      </c>
      <c r="F64" s="23" t="s">
        <v>2812</v>
      </c>
      <c r="G64" s="23" t="s">
        <v>2813</v>
      </c>
      <c r="H64" s="23" t="s">
        <v>2814</v>
      </c>
      <c r="I64" s="23" t="s">
        <v>1110</v>
      </c>
      <c r="J64" s="23" t="s">
        <v>1111</v>
      </c>
      <c r="K64" s="23" t="s">
        <v>1112</v>
      </c>
      <c r="L64" s="23" t="s">
        <v>2815</v>
      </c>
      <c r="M64" s="23" t="s">
        <v>2816</v>
      </c>
      <c r="N64" s="23" t="s">
        <v>2817</v>
      </c>
      <c r="O64" s="23" t="s">
        <v>2818</v>
      </c>
      <c r="P64" s="23" t="s">
        <v>2819</v>
      </c>
      <c r="Q64" s="23" t="s">
        <v>2820</v>
      </c>
      <c r="R64" s="23" t="s">
        <v>2821</v>
      </c>
      <c r="S64" s="23" t="s">
        <v>1113</v>
      </c>
      <c r="T64" s="23" t="s">
        <v>1114</v>
      </c>
      <c r="U64" s="23" t="s">
        <v>2822</v>
      </c>
      <c r="V64" s="23" t="s">
        <v>2823</v>
      </c>
      <c r="W64" s="23" t="s">
        <v>3479</v>
      </c>
      <c r="X64" s="23" t="s">
        <v>3560</v>
      </c>
      <c r="Y64" s="23" t="s">
        <v>3641</v>
      </c>
      <c r="Z64" s="23" t="s">
        <v>2824</v>
      </c>
      <c r="AA64" s="23" t="s">
        <v>2825</v>
      </c>
      <c r="AB64" s="23" t="s">
        <v>2826</v>
      </c>
      <c r="AC64" s="23" t="s">
        <v>2827</v>
      </c>
      <c r="AD64" s="23" t="s">
        <v>2828</v>
      </c>
      <c r="AE64" s="23" t="s">
        <v>2829</v>
      </c>
      <c r="AF64" s="23" t="s">
        <v>2830</v>
      </c>
      <c r="AG64" s="23" t="s">
        <v>2831</v>
      </c>
      <c r="AH64" s="23" t="s">
        <v>2832</v>
      </c>
      <c r="AI64" s="23" t="s">
        <v>2833</v>
      </c>
      <c r="AJ64" s="23" t="s">
        <v>2834</v>
      </c>
    </row>
    <row r="65" spans="1:36" x14ac:dyDescent="0.3">
      <c r="A65" s="23" t="s">
        <v>299</v>
      </c>
      <c r="B65" s="23" t="s">
        <v>4418</v>
      </c>
      <c r="C65" s="23" t="s">
        <v>3399</v>
      </c>
      <c r="D65" s="23" t="s">
        <v>1115</v>
      </c>
      <c r="E65" s="23" t="s">
        <v>2835</v>
      </c>
      <c r="F65" s="23" t="s">
        <v>2836</v>
      </c>
      <c r="G65" s="23" t="s">
        <v>2837</v>
      </c>
      <c r="H65" s="23" t="s">
        <v>2838</v>
      </c>
      <c r="I65" s="23" t="s">
        <v>1116</v>
      </c>
      <c r="J65" s="23" t="s">
        <v>1117</v>
      </c>
      <c r="K65" s="23" t="s">
        <v>1118</v>
      </c>
      <c r="L65" s="23" t="s">
        <v>2839</v>
      </c>
      <c r="M65" s="23" t="s">
        <v>2840</v>
      </c>
      <c r="N65" s="23" t="s">
        <v>2841</v>
      </c>
      <c r="O65" s="23" t="s">
        <v>2842</v>
      </c>
      <c r="P65" s="23" t="s">
        <v>2843</v>
      </c>
      <c r="Q65" s="23" t="s">
        <v>2844</v>
      </c>
      <c r="R65" s="23" t="s">
        <v>2845</v>
      </c>
      <c r="S65" s="23" t="s">
        <v>1119</v>
      </c>
      <c r="T65" s="23" t="s">
        <v>1120</v>
      </c>
      <c r="U65" s="23" t="s">
        <v>2846</v>
      </c>
      <c r="V65" s="23" t="s">
        <v>2847</v>
      </c>
      <c r="W65" s="23" t="s">
        <v>3480</v>
      </c>
      <c r="X65" s="23" t="s">
        <v>3561</v>
      </c>
      <c r="Y65" s="23" t="s">
        <v>3642</v>
      </c>
      <c r="Z65" s="23" t="s">
        <v>2848</v>
      </c>
      <c r="AA65" s="23" t="s">
        <v>2849</v>
      </c>
      <c r="AB65" s="23" t="s">
        <v>2850</v>
      </c>
      <c r="AC65" s="23" t="s">
        <v>2851</v>
      </c>
      <c r="AD65" s="23" t="s">
        <v>2852</v>
      </c>
      <c r="AE65" s="23" t="s">
        <v>2853</v>
      </c>
      <c r="AF65" s="23" t="s">
        <v>2854</v>
      </c>
      <c r="AG65" s="23" t="s">
        <v>2855</v>
      </c>
      <c r="AH65" s="23" t="s">
        <v>2856</v>
      </c>
      <c r="AI65" s="23" t="s">
        <v>2857</v>
      </c>
      <c r="AJ65" s="23" t="s">
        <v>2858</v>
      </c>
    </row>
    <row r="66" spans="1:36" x14ac:dyDescent="0.3">
      <c r="A66" s="23" t="s">
        <v>299</v>
      </c>
      <c r="B66" s="23" t="s">
        <v>4419</v>
      </c>
      <c r="C66" s="23" t="s">
        <v>3400</v>
      </c>
      <c r="D66" s="23" t="s">
        <v>1121</v>
      </c>
      <c r="E66" s="23" t="s">
        <v>2859</v>
      </c>
      <c r="F66" s="23" t="s">
        <v>2860</v>
      </c>
      <c r="G66" s="23" t="s">
        <v>2861</v>
      </c>
      <c r="H66" s="23" t="s">
        <v>2862</v>
      </c>
      <c r="I66" s="23" t="s">
        <v>1122</v>
      </c>
      <c r="J66" s="23" t="s">
        <v>1123</v>
      </c>
      <c r="K66" s="23" t="s">
        <v>1124</v>
      </c>
      <c r="L66" s="23" t="s">
        <v>2863</v>
      </c>
      <c r="M66" s="23" t="s">
        <v>2864</v>
      </c>
      <c r="N66" s="23" t="s">
        <v>2865</v>
      </c>
      <c r="O66" s="23" t="s">
        <v>2866</v>
      </c>
      <c r="P66" s="23" t="s">
        <v>2867</v>
      </c>
      <c r="Q66" s="23" t="s">
        <v>2868</v>
      </c>
      <c r="R66" s="23" t="s">
        <v>2869</v>
      </c>
      <c r="S66" s="23" t="s">
        <v>1125</v>
      </c>
      <c r="T66" s="23" t="s">
        <v>1126</v>
      </c>
      <c r="U66" s="23" t="s">
        <v>2870</v>
      </c>
      <c r="V66" s="23" t="s">
        <v>2871</v>
      </c>
      <c r="W66" s="23" t="s">
        <v>3481</v>
      </c>
      <c r="X66" s="23" t="s">
        <v>3562</v>
      </c>
      <c r="Y66" s="23" t="s">
        <v>3643</v>
      </c>
      <c r="Z66" s="23" t="s">
        <v>2872</v>
      </c>
      <c r="AA66" s="23" t="s">
        <v>2873</v>
      </c>
      <c r="AB66" s="23" t="s">
        <v>2874</v>
      </c>
      <c r="AC66" s="23" t="s">
        <v>2875</v>
      </c>
      <c r="AD66" s="23" t="s">
        <v>2876</v>
      </c>
      <c r="AE66" s="23" t="s">
        <v>2877</v>
      </c>
      <c r="AF66" s="23" t="s">
        <v>2878</v>
      </c>
      <c r="AG66" s="23" t="s">
        <v>2879</v>
      </c>
      <c r="AH66" s="23" t="s">
        <v>2880</v>
      </c>
      <c r="AI66" s="23" t="s">
        <v>2881</v>
      </c>
      <c r="AJ66" s="23" t="s">
        <v>2882</v>
      </c>
    </row>
    <row r="67" spans="1:36" x14ac:dyDescent="0.3">
      <c r="A67" s="23" t="s">
        <v>299</v>
      </c>
      <c r="B67" s="23" t="s">
        <v>4420</v>
      </c>
      <c r="C67" s="23" t="s">
        <v>3401</v>
      </c>
      <c r="D67" s="23" t="s">
        <v>1127</v>
      </c>
      <c r="E67" s="23" t="s">
        <v>2883</v>
      </c>
      <c r="F67" s="23" t="s">
        <v>2884</v>
      </c>
      <c r="G67" s="23" t="s">
        <v>2885</v>
      </c>
      <c r="H67" s="23" t="s">
        <v>2886</v>
      </c>
      <c r="I67" s="23" t="s">
        <v>1128</v>
      </c>
      <c r="J67" s="23" t="s">
        <v>1129</v>
      </c>
      <c r="K67" s="23" t="s">
        <v>1130</v>
      </c>
      <c r="L67" s="23" t="s">
        <v>2887</v>
      </c>
      <c r="M67" s="23" t="s">
        <v>2888</v>
      </c>
      <c r="N67" s="23" t="s">
        <v>2889</v>
      </c>
      <c r="O67" s="23" t="s">
        <v>2890</v>
      </c>
      <c r="P67" s="23" t="s">
        <v>2891</v>
      </c>
      <c r="Q67" s="23" t="s">
        <v>2892</v>
      </c>
      <c r="R67" s="23" t="s">
        <v>2893</v>
      </c>
      <c r="S67" s="23" t="s">
        <v>1131</v>
      </c>
      <c r="T67" s="23" t="s">
        <v>1132</v>
      </c>
      <c r="U67" s="23" t="s">
        <v>2894</v>
      </c>
      <c r="V67" s="23" t="s">
        <v>2895</v>
      </c>
      <c r="W67" s="23" t="s">
        <v>3482</v>
      </c>
      <c r="X67" s="23" t="s">
        <v>3563</v>
      </c>
      <c r="Y67" s="23" t="s">
        <v>3644</v>
      </c>
      <c r="Z67" s="23" t="s">
        <v>2896</v>
      </c>
      <c r="AA67" s="23" t="s">
        <v>2897</v>
      </c>
      <c r="AB67" s="23" t="s">
        <v>2898</v>
      </c>
      <c r="AC67" s="23" t="s">
        <v>2899</v>
      </c>
      <c r="AD67" s="23" t="s">
        <v>2900</v>
      </c>
      <c r="AE67" s="23" t="s">
        <v>2901</v>
      </c>
      <c r="AF67" s="23" t="s">
        <v>2902</v>
      </c>
      <c r="AG67" s="23" t="s">
        <v>2903</v>
      </c>
      <c r="AH67" s="23" t="s">
        <v>2904</v>
      </c>
      <c r="AI67" s="23" t="s">
        <v>2905</v>
      </c>
      <c r="AJ67" s="23" t="s">
        <v>2906</v>
      </c>
    </row>
    <row r="68" spans="1:36" x14ac:dyDescent="0.3">
      <c r="A68" s="23" t="s">
        <v>299</v>
      </c>
      <c r="B68" s="23" t="s">
        <v>4421</v>
      </c>
      <c r="C68" s="23" t="s">
        <v>3402</v>
      </c>
      <c r="D68" s="23" t="s">
        <v>1133</v>
      </c>
      <c r="E68" s="23" t="s">
        <v>2907</v>
      </c>
      <c r="F68" s="23" t="s">
        <v>2908</v>
      </c>
      <c r="G68" s="23" t="s">
        <v>2909</v>
      </c>
      <c r="H68" s="23" t="s">
        <v>2910</v>
      </c>
      <c r="I68" s="23" t="s">
        <v>1134</v>
      </c>
      <c r="J68" s="23" t="s">
        <v>1135</v>
      </c>
      <c r="K68" s="23" t="s">
        <v>1136</v>
      </c>
      <c r="L68" s="23" t="s">
        <v>2911</v>
      </c>
      <c r="M68" s="23" t="s">
        <v>2912</v>
      </c>
      <c r="N68" s="23" t="s">
        <v>2913</v>
      </c>
      <c r="O68" s="23" t="s">
        <v>2914</v>
      </c>
      <c r="P68" s="23" t="s">
        <v>2915</v>
      </c>
      <c r="Q68" s="23" t="s">
        <v>2916</v>
      </c>
      <c r="R68" s="23" t="s">
        <v>2917</v>
      </c>
      <c r="S68" s="23" t="s">
        <v>1137</v>
      </c>
      <c r="T68" s="23" t="s">
        <v>1138</v>
      </c>
      <c r="U68" s="23" t="s">
        <v>2918</v>
      </c>
      <c r="V68" s="23" t="s">
        <v>2919</v>
      </c>
      <c r="W68" s="23" t="s">
        <v>3483</v>
      </c>
      <c r="X68" s="23" t="s">
        <v>3564</v>
      </c>
      <c r="Y68" s="23" t="s">
        <v>3645</v>
      </c>
      <c r="Z68" s="23" t="s">
        <v>2920</v>
      </c>
      <c r="AA68" s="23" t="s">
        <v>2921</v>
      </c>
      <c r="AB68" s="23" t="s">
        <v>2922</v>
      </c>
      <c r="AC68" s="23" t="s">
        <v>2923</v>
      </c>
      <c r="AD68" s="23" t="s">
        <v>2924</v>
      </c>
      <c r="AE68" s="23" t="s">
        <v>2925</v>
      </c>
      <c r="AF68" s="23" t="s">
        <v>2926</v>
      </c>
      <c r="AG68" s="23" t="s">
        <v>2927</v>
      </c>
      <c r="AH68" s="23" t="s">
        <v>2928</v>
      </c>
      <c r="AI68" s="23" t="s">
        <v>2929</v>
      </c>
      <c r="AJ68" s="23" t="s">
        <v>2930</v>
      </c>
    </row>
    <row r="69" spans="1:36" x14ac:dyDescent="0.3">
      <c r="A69" s="23" t="s">
        <v>299</v>
      </c>
      <c r="B69" s="23" t="s">
        <v>4422</v>
      </c>
      <c r="C69" s="23" t="s">
        <v>3403</v>
      </c>
      <c r="D69" s="23" t="s">
        <v>1139</v>
      </c>
      <c r="E69" s="23" t="s">
        <v>2931</v>
      </c>
      <c r="F69" s="23" t="s">
        <v>2932</v>
      </c>
      <c r="G69" s="23" t="s">
        <v>2933</v>
      </c>
      <c r="H69" s="23" t="s">
        <v>2934</v>
      </c>
      <c r="I69" s="23" t="s">
        <v>1140</v>
      </c>
      <c r="J69" s="23" t="s">
        <v>1141</v>
      </c>
      <c r="K69" s="23" t="s">
        <v>1142</v>
      </c>
      <c r="L69" s="23" t="s">
        <v>2935</v>
      </c>
      <c r="M69" s="23" t="s">
        <v>2936</v>
      </c>
      <c r="N69" s="23" t="s">
        <v>2937</v>
      </c>
      <c r="O69" s="23" t="s">
        <v>2938</v>
      </c>
      <c r="P69" s="23" t="s">
        <v>2939</v>
      </c>
      <c r="Q69" s="23" t="s">
        <v>2940</v>
      </c>
      <c r="R69" s="23" t="s">
        <v>2941</v>
      </c>
      <c r="S69" s="23" t="s">
        <v>1143</v>
      </c>
      <c r="T69" s="23" t="s">
        <v>1144</v>
      </c>
      <c r="U69" s="23" t="s">
        <v>2942</v>
      </c>
      <c r="V69" s="23" t="s">
        <v>2943</v>
      </c>
      <c r="W69" s="23" t="s">
        <v>3484</v>
      </c>
      <c r="X69" s="23" t="s">
        <v>3565</v>
      </c>
      <c r="Y69" s="23" t="s">
        <v>3646</v>
      </c>
      <c r="Z69" s="23" t="s">
        <v>2944</v>
      </c>
      <c r="AA69" s="23" t="s">
        <v>2945</v>
      </c>
      <c r="AB69" s="23" t="s">
        <v>2946</v>
      </c>
      <c r="AC69" s="23" t="s">
        <v>2947</v>
      </c>
      <c r="AD69" s="23" t="s">
        <v>2948</v>
      </c>
      <c r="AE69" s="23" t="s">
        <v>2949</v>
      </c>
      <c r="AF69" s="23" t="s">
        <v>2950</v>
      </c>
      <c r="AG69" s="23" t="s">
        <v>2951</v>
      </c>
      <c r="AH69" s="23" t="s">
        <v>2952</v>
      </c>
      <c r="AI69" s="23" t="s">
        <v>2953</v>
      </c>
      <c r="AJ69" s="23" t="s">
        <v>2954</v>
      </c>
    </row>
    <row r="70" spans="1:36" x14ac:dyDescent="0.3">
      <c r="A70" s="23" t="s">
        <v>299</v>
      </c>
      <c r="B70" s="23" t="s">
        <v>4423</v>
      </c>
      <c r="C70" s="23" t="s">
        <v>3404</v>
      </c>
      <c r="D70" s="23" t="s">
        <v>1145</v>
      </c>
      <c r="E70" s="23" t="s">
        <v>2955</v>
      </c>
      <c r="F70" s="23" t="s">
        <v>2956</v>
      </c>
      <c r="G70" s="23" t="s">
        <v>2957</v>
      </c>
      <c r="H70" s="23" t="s">
        <v>2958</v>
      </c>
      <c r="I70" s="23" t="s">
        <v>1146</v>
      </c>
      <c r="J70" s="23" t="s">
        <v>1147</v>
      </c>
      <c r="K70" s="23" t="s">
        <v>1148</v>
      </c>
      <c r="L70" s="23" t="s">
        <v>2959</v>
      </c>
      <c r="M70" s="23" t="s">
        <v>2960</v>
      </c>
      <c r="N70" s="23" t="s">
        <v>2961</v>
      </c>
      <c r="O70" s="23" t="s">
        <v>2962</v>
      </c>
      <c r="P70" s="23" t="s">
        <v>2963</v>
      </c>
      <c r="Q70" s="23" t="s">
        <v>2964</v>
      </c>
      <c r="R70" s="23" t="s">
        <v>2965</v>
      </c>
      <c r="S70" s="23" t="s">
        <v>1149</v>
      </c>
      <c r="T70" s="23" t="s">
        <v>1150</v>
      </c>
      <c r="U70" s="23" t="s">
        <v>2966</v>
      </c>
      <c r="V70" s="23" t="s">
        <v>2967</v>
      </c>
      <c r="W70" s="23" t="s">
        <v>3485</v>
      </c>
      <c r="X70" s="23" t="s">
        <v>3566</v>
      </c>
      <c r="Y70" s="23" t="s">
        <v>3647</v>
      </c>
      <c r="Z70" s="23" t="s">
        <v>2968</v>
      </c>
      <c r="AA70" s="23" t="s">
        <v>2969</v>
      </c>
      <c r="AB70" s="23" t="s">
        <v>2970</v>
      </c>
      <c r="AC70" s="23" t="s">
        <v>2971</v>
      </c>
      <c r="AD70" s="23" t="s">
        <v>2972</v>
      </c>
      <c r="AE70" s="23" t="s">
        <v>2973</v>
      </c>
      <c r="AF70" s="23" t="s">
        <v>2974</v>
      </c>
      <c r="AG70" s="23" t="s">
        <v>2975</v>
      </c>
      <c r="AH70" s="23" t="s">
        <v>2976</v>
      </c>
      <c r="AI70" s="23" t="s">
        <v>2977</v>
      </c>
      <c r="AJ70" s="23" t="s">
        <v>2978</v>
      </c>
    </row>
    <row r="71" spans="1:36" x14ac:dyDescent="0.3">
      <c r="A71" s="23" t="s">
        <v>299</v>
      </c>
      <c r="B71" s="23" t="s">
        <v>4424</v>
      </c>
      <c r="C71" s="23" t="s">
        <v>3405</v>
      </c>
      <c r="D71" s="23" t="s">
        <v>1151</v>
      </c>
      <c r="E71" s="23" t="s">
        <v>2979</v>
      </c>
      <c r="F71" s="23" t="s">
        <v>2980</v>
      </c>
      <c r="G71" s="23" t="s">
        <v>2981</v>
      </c>
      <c r="H71" s="23" t="s">
        <v>2982</v>
      </c>
      <c r="I71" s="23" t="s">
        <v>1152</v>
      </c>
      <c r="J71" s="23" t="s">
        <v>1153</v>
      </c>
      <c r="K71" s="23" t="s">
        <v>1154</v>
      </c>
      <c r="L71" s="23" t="s">
        <v>2983</v>
      </c>
      <c r="M71" s="23" t="s">
        <v>2984</v>
      </c>
      <c r="N71" s="23" t="s">
        <v>2985</v>
      </c>
      <c r="O71" s="23" t="s">
        <v>2986</v>
      </c>
      <c r="P71" s="23" t="s">
        <v>2987</v>
      </c>
      <c r="Q71" s="23" t="s">
        <v>2988</v>
      </c>
      <c r="R71" s="23" t="s">
        <v>2989</v>
      </c>
      <c r="S71" s="23" t="s">
        <v>1155</v>
      </c>
      <c r="T71" s="23" t="s">
        <v>1156</v>
      </c>
      <c r="U71" s="23" t="s">
        <v>2990</v>
      </c>
      <c r="V71" s="23" t="s">
        <v>2991</v>
      </c>
      <c r="W71" s="23" t="s">
        <v>3486</v>
      </c>
      <c r="X71" s="23" t="s">
        <v>3567</v>
      </c>
      <c r="Y71" s="23" t="s">
        <v>3648</v>
      </c>
      <c r="Z71" s="23" t="s">
        <v>2992</v>
      </c>
      <c r="AA71" s="23" t="s">
        <v>2993</v>
      </c>
      <c r="AB71" s="23" t="s">
        <v>2994</v>
      </c>
      <c r="AC71" s="23" t="s">
        <v>2995</v>
      </c>
      <c r="AD71" s="23" t="s">
        <v>2996</v>
      </c>
      <c r="AE71" s="23" t="s">
        <v>2997</v>
      </c>
      <c r="AF71" s="23" t="s">
        <v>2998</v>
      </c>
      <c r="AG71" s="23" t="s">
        <v>2999</v>
      </c>
      <c r="AH71" s="23" t="s">
        <v>3000</v>
      </c>
      <c r="AI71" s="23" t="s">
        <v>3001</v>
      </c>
      <c r="AJ71" s="23" t="s">
        <v>3002</v>
      </c>
    </row>
    <row r="72" spans="1:36" x14ac:dyDescent="0.3">
      <c r="A72" s="23" t="s">
        <v>299</v>
      </c>
      <c r="B72" s="23" t="s">
        <v>4425</v>
      </c>
      <c r="C72" s="23" t="s">
        <v>3406</v>
      </c>
      <c r="D72" s="23" t="s">
        <v>1157</v>
      </c>
      <c r="E72" s="23" t="s">
        <v>3003</v>
      </c>
      <c r="F72" s="23" t="s">
        <v>3004</v>
      </c>
      <c r="G72" s="23" t="s">
        <v>3005</v>
      </c>
      <c r="H72" s="23" t="s">
        <v>3006</v>
      </c>
      <c r="I72" s="23" t="s">
        <v>1158</v>
      </c>
      <c r="J72" s="23" t="s">
        <v>1159</v>
      </c>
      <c r="K72" s="23" t="s">
        <v>1160</v>
      </c>
      <c r="L72" s="23" t="s">
        <v>3007</v>
      </c>
      <c r="M72" s="23" t="s">
        <v>3008</v>
      </c>
      <c r="N72" s="23" t="s">
        <v>3009</v>
      </c>
      <c r="O72" s="23" t="s">
        <v>3010</v>
      </c>
      <c r="P72" s="23" t="s">
        <v>3011</v>
      </c>
      <c r="Q72" s="23" t="s">
        <v>3012</v>
      </c>
      <c r="R72" s="23" t="s">
        <v>3013</v>
      </c>
      <c r="S72" s="23" t="s">
        <v>1161</v>
      </c>
      <c r="T72" s="23" t="s">
        <v>1162</v>
      </c>
      <c r="U72" s="23" t="s">
        <v>3014</v>
      </c>
      <c r="V72" s="23" t="s">
        <v>3015</v>
      </c>
      <c r="W72" s="23" t="s">
        <v>3487</v>
      </c>
      <c r="X72" s="23" t="s">
        <v>3568</v>
      </c>
      <c r="Y72" s="23" t="s">
        <v>3649</v>
      </c>
      <c r="Z72" s="23" t="s">
        <v>3016</v>
      </c>
      <c r="AA72" s="23" t="s">
        <v>3017</v>
      </c>
      <c r="AB72" s="23" t="s">
        <v>3018</v>
      </c>
      <c r="AC72" s="23" t="s">
        <v>3019</v>
      </c>
      <c r="AD72" s="23" t="s">
        <v>3020</v>
      </c>
      <c r="AE72" s="23" t="s">
        <v>3021</v>
      </c>
      <c r="AF72" s="23" t="s">
        <v>3022</v>
      </c>
      <c r="AG72" s="23" t="s">
        <v>3023</v>
      </c>
      <c r="AH72" s="23" t="s">
        <v>3024</v>
      </c>
      <c r="AI72" s="23" t="s">
        <v>3025</v>
      </c>
      <c r="AJ72" s="23" t="s">
        <v>3026</v>
      </c>
    </row>
    <row r="73" spans="1:36" x14ac:dyDescent="0.3">
      <c r="A73" s="23" t="s">
        <v>299</v>
      </c>
      <c r="B73" s="23" t="s">
        <v>4426</v>
      </c>
      <c r="C73" s="23" t="s">
        <v>3407</v>
      </c>
      <c r="D73" s="23" t="s">
        <v>1163</v>
      </c>
      <c r="E73" s="23" t="s">
        <v>3027</v>
      </c>
      <c r="F73" s="23" t="s">
        <v>3028</v>
      </c>
      <c r="G73" s="23" t="s">
        <v>3029</v>
      </c>
      <c r="H73" s="23" t="s">
        <v>3030</v>
      </c>
      <c r="I73" s="23" t="s">
        <v>1164</v>
      </c>
      <c r="J73" s="23" t="s">
        <v>1165</v>
      </c>
      <c r="K73" s="23" t="s">
        <v>1166</v>
      </c>
      <c r="L73" s="23" t="s">
        <v>3031</v>
      </c>
      <c r="M73" s="23" t="s">
        <v>3032</v>
      </c>
      <c r="N73" s="23" t="s">
        <v>3033</v>
      </c>
      <c r="O73" s="23" t="s">
        <v>3034</v>
      </c>
      <c r="P73" s="23" t="s">
        <v>3035</v>
      </c>
      <c r="Q73" s="23" t="s">
        <v>3036</v>
      </c>
      <c r="R73" s="23" t="s">
        <v>3037</v>
      </c>
      <c r="S73" s="23" t="s">
        <v>1167</v>
      </c>
      <c r="T73" s="23" t="s">
        <v>1168</v>
      </c>
      <c r="U73" s="23" t="s">
        <v>3038</v>
      </c>
      <c r="V73" s="23" t="s">
        <v>3039</v>
      </c>
      <c r="W73" s="23" t="s">
        <v>3488</v>
      </c>
      <c r="X73" s="23" t="s">
        <v>3569</v>
      </c>
      <c r="Y73" s="23" t="s">
        <v>3650</v>
      </c>
      <c r="Z73" s="23" t="s">
        <v>3040</v>
      </c>
      <c r="AA73" s="23" t="s">
        <v>3041</v>
      </c>
      <c r="AB73" s="23" t="s">
        <v>3042</v>
      </c>
      <c r="AC73" s="23" t="s">
        <v>3043</v>
      </c>
      <c r="AD73" s="23" t="s">
        <v>3044</v>
      </c>
      <c r="AE73" s="23" t="s">
        <v>3045</v>
      </c>
      <c r="AF73" s="23" t="s">
        <v>3046</v>
      </c>
      <c r="AG73" s="23" t="s">
        <v>3047</v>
      </c>
      <c r="AH73" s="23" t="s">
        <v>3048</v>
      </c>
      <c r="AI73" s="23" t="s">
        <v>3049</v>
      </c>
      <c r="AJ73" s="23" t="s">
        <v>3050</v>
      </c>
    </row>
    <row r="74" spans="1:36" x14ac:dyDescent="0.3">
      <c r="A74" s="23" t="s">
        <v>299</v>
      </c>
      <c r="B74" s="23" t="s">
        <v>4427</v>
      </c>
      <c r="C74" s="23" t="s">
        <v>3408</v>
      </c>
      <c r="D74" s="23" t="s">
        <v>1169</v>
      </c>
      <c r="E74" s="23" t="s">
        <v>3051</v>
      </c>
      <c r="F74" s="23" t="s">
        <v>3052</v>
      </c>
      <c r="G74" s="23" t="s">
        <v>3053</v>
      </c>
      <c r="H74" s="23" t="s">
        <v>3054</v>
      </c>
      <c r="I74" s="23" t="s">
        <v>1170</v>
      </c>
      <c r="J74" s="23" t="s">
        <v>1171</v>
      </c>
      <c r="K74" s="23" t="s">
        <v>1172</v>
      </c>
      <c r="L74" s="23" t="s">
        <v>3055</v>
      </c>
      <c r="M74" s="23" t="s">
        <v>3056</v>
      </c>
      <c r="N74" s="23" t="s">
        <v>3057</v>
      </c>
      <c r="O74" s="23" t="s">
        <v>3058</v>
      </c>
      <c r="P74" s="23" t="s">
        <v>3059</v>
      </c>
      <c r="Q74" s="23" t="s">
        <v>3060</v>
      </c>
      <c r="R74" s="23" t="s">
        <v>3061</v>
      </c>
      <c r="S74" s="23" t="s">
        <v>1173</v>
      </c>
      <c r="T74" s="23" t="s">
        <v>1174</v>
      </c>
      <c r="U74" s="23" t="s">
        <v>3062</v>
      </c>
      <c r="V74" s="23" t="s">
        <v>3063</v>
      </c>
      <c r="W74" s="23" t="s">
        <v>3489</v>
      </c>
      <c r="X74" s="23" t="s">
        <v>3570</v>
      </c>
      <c r="Y74" s="23" t="s">
        <v>3651</v>
      </c>
      <c r="Z74" s="23" t="s">
        <v>3064</v>
      </c>
      <c r="AA74" s="23" t="s">
        <v>3065</v>
      </c>
      <c r="AB74" s="23" t="s">
        <v>3066</v>
      </c>
      <c r="AC74" s="23" t="s">
        <v>3067</v>
      </c>
      <c r="AD74" s="23" t="s">
        <v>3068</v>
      </c>
      <c r="AE74" s="23" t="s">
        <v>3069</v>
      </c>
      <c r="AF74" s="23" t="s">
        <v>3070</v>
      </c>
      <c r="AG74" s="23" t="s">
        <v>3071</v>
      </c>
      <c r="AH74" s="23" t="s">
        <v>3072</v>
      </c>
      <c r="AI74" s="23" t="s">
        <v>3073</v>
      </c>
      <c r="AJ74" s="23" t="s">
        <v>3074</v>
      </c>
    </row>
    <row r="75" spans="1:36" x14ac:dyDescent="0.3">
      <c r="A75" s="23" t="s">
        <v>299</v>
      </c>
      <c r="B75" s="23" t="s">
        <v>4428</v>
      </c>
      <c r="C75" s="23" t="s">
        <v>3409</v>
      </c>
      <c r="D75" s="23" t="s">
        <v>1175</v>
      </c>
      <c r="E75" s="23" t="s">
        <v>3075</v>
      </c>
      <c r="F75" s="23" t="s">
        <v>3076</v>
      </c>
      <c r="G75" s="23" t="s">
        <v>3077</v>
      </c>
      <c r="H75" s="23" t="s">
        <v>3078</v>
      </c>
      <c r="I75" s="23" t="s">
        <v>1176</v>
      </c>
      <c r="J75" s="23" t="s">
        <v>1177</v>
      </c>
      <c r="K75" s="23" t="s">
        <v>1178</v>
      </c>
      <c r="L75" s="23" t="s">
        <v>3079</v>
      </c>
      <c r="M75" s="23" t="s">
        <v>3080</v>
      </c>
      <c r="N75" s="23" t="s">
        <v>3081</v>
      </c>
      <c r="O75" s="23" t="s">
        <v>3082</v>
      </c>
      <c r="P75" s="23" t="s">
        <v>3083</v>
      </c>
      <c r="Q75" s="23" t="s">
        <v>3084</v>
      </c>
      <c r="R75" s="23" t="s">
        <v>3085</v>
      </c>
      <c r="S75" s="23" t="s">
        <v>1179</v>
      </c>
      <c r="T75" s="23" t="s">
        <v>1180</v>
      </c>
      <c r="U75" s="23" t="s">
        <v>3086</v>
      </c>
      <c r="V75" s="23" t="s">
        <v>3087</v>
      </c>
      <c r="W75" s="23" t="s">
        <v>3490</v>
      </c>
      <c r="X75" s="23" t="s">
        <v>3571</v>
      </c>
      <c r="Y75" s="23" t="s">
        <v>3652</v>
      </c>
      <c r="Z75" s="23" t="s">
        <v>3088</v>
      </c>
      <c r="AA75" s="23" t="s">
        <v>3089</v>
      </c>
      <c r="AB75" s="23" t="s">
        <v>3090</v>
      </c>
      <c r="AC75" s="23" t="s">
        <v>3091</v>
      </c>
      <c r="AD75" s="23" t="s">
        <v>3092</v>
      </c>
      <c r="AE75" s="23" t="s">
        <v>3093</v>
      </c>
      <c r="AF75" s="23" t="s">
        <v>3094</v>
      </c>
      <c r="AG75" s="23" t="s">
        <v>3095</v>
      </c>
      <c r="AH75" s="23" t="s">
        <v>3096</v>
      </c>
      <c r="AI75" s="23" t="s">
        <v>3097</v>
      </c>
      <c r="AJ75" s="23" t="s">
        <v>3098</v>
      </c>
    </row>
    <row r="76" spans="1:36" x14ac:dyDescent="0.3">
      <c r="A76" s="23" t="s">
        <v>299</v>
      </c>
      <c r="B76" s="23" t="s">
        <v>4429</v>
      </c>
      <c r="C76" s="23" t="s">
        <v>3410</v>
      </c>
      <c r="D76" s="23" t="s">
        <v>1181</v>
      </c>
      <c r="E76" s="23" t="s">
        <v>3099</v>
      </c>
      <c r="F76" s="23" t="s">
        <v>3100</v>
      </c>
      <c r="G76" s="23" t="s">
        <v>3101</v>
      </c>
      <c r="H76" s="23" t="s">
        <v>3102</v>
      </c>
      <c r="I76" s="23" t="s">
        <v>1182</v>
      </c>
      <c r="J76" s="23" t="s">
        <v>1183</v>
      </c>
      <c r="K76" s="23" t="s">
        <v>1184</v>
      </c>
      <c r="L76" s="23" t="s">
        <v>3103</v>
      </c>
      <c r="M76" s="23" t="s">
        <v>3104</v>
      </c>
      <c r="N76" s="23" t="s">
        <v>3105</v>
      </c>
      <c r="O76" s="23" t="s">
        <v>3106</v>
      </c>
      <c r="P76" s="23" t="s">
        <v>3107</v>
      </c>
      <c r="Q76" s="23" t="s">
        <v>3108</v>
      </c>
      <c r="R76" s="23" t="s">
        <v>3109</v>
      </c>
      <c r="S76" s="23" t="s">
        <v>1185</v>
      </c>
      <c r="T76" s="23" t="s">
        <v>1186</v>
      </c>
      <c r="U76" s="23" t="s">
        <v>3110</v>
      </c>
      <c r="V76" s="23" t="s">
        <v>3111</v>
      </c>
      <c r="W76" s="23" t="s">
        <v>3491</v>
      </c>
      <c r="X76" s="23" t="s">
        <v>3572</v>
      </c>
      <c r="Y76" s="23" t="s">
        <v>3653</v>
      </c>
      <c r="Z76" s="23" t="s">
        <v>3112</v>
      </c>
      <c r="AA76" s="23" t="s">
        <v>3113</v>
      </c>
      <c r="AB76" s="23" t="s">
        <v>3114</v>
      </c>
      <c r="AC76" s="23" t="s">
        <v>3115</v>
      </c>
      <c r="AD76" s="23" t="s">
        <v>3116</v>
      </c>
      <c r="AE76" s="23" t="s">
        <v>3117</v>
      </c>
      <c r="AF76" s="23" t="s">
        <v>3118</v>
      </c>
      <c r="AG76" s="23" t="s">
        <v>3119</v>
      </c>
      <c r="AH76" s="23" t="s">
        <v>3120</v>
      </c>
      <c r="AI76" s="23" t="s">
        <v>3121</v>
      </c>
      <c r="AJ76" s="23" t="s">
        <v>3122</v>
      </c>
    </row>
    <row r="77" spans="1:36" x14ac:dyDescent="0.3">
      <c r="A77" s="23" t="s">
        <v>299</v>
      </c>
      <c r="B77" s="23" t="s">
        <v>4430</v>
      </c>
      <c r="C77" s="23" t="s">
        <v>3411</v>
      </c>
      <c r="D77" s="23" t="s">
        <v>1187</v>
      </c>
      <c r="E77" s="23" t="s">
        <v>3123</v>
      </c>
      <c r="F77" s="23" t="s">
        <v>3124</v>
      </c>
      <c r="G77" s="23" t="s">
        <v>3125</v>
      </c>
      <c r="H77" s="23" t="s">
        <v>3126</v>
      </c>
      <c r="I77" s="23" t="s">
        <v>1188</v>
      </c>
      <c r="J77" s="23" t="s">
        <v>1189</v>
      </c>
      <c r="K77" s="23" t="s">
        <v>1190</v>
      </c>
      <c r="L77" s="23" t="s">
        <v>3127</v>
      </c>
      <c r="M77" s="23" t="s">
        <v>3128</v>
      </c>
      <c r="N77" s="23" t="s">
        <v>3129</v>
      </c>
      <c r="O77" s="23" t="s">
        <v>3130</v>
      </c>
      <c r="P77" s="23" t="s">
        <v>3131</v>
      </c>
      <c r="Q77" s="23" t="s">
        <v>3132</v>
      </c>
      <c r="R77" s="23" t="s">
        <v>3133</v>
      </c>
      <c r="S77" s="23" t="s">
        <v>1191</v>
      </c>
      <c r="T77" s="23" t="s">
        <v>1192</v>
      </c>
      <c r="U77" s="23" t="s">
        <v>3134</v>
      </c>
      <c r="V77" s="23" t="s">
        <v>3135</v>
      </c>
      <c r="W77" s="23" t="s">
        <v>3492</v>
      </c>
      <c r="X77" s="23" t="s">
        <v>3573</v>
      </c>
      <c r="Y77" s="23" t="s">
        <v>3654</v>
      </c>
      <c r="Z77" s="23" t="s">
        <v>3136</v>
      </c>
      <c r="AA77" s="23" t="s">
        <v>3137</v>
      </c>
      <c r="AB77" s="23" t="s">
        <v>3138</v>
      </c>
      <c r="AC77" s="23" t="s">
        <v>3139</v>
      </c>
      <c r="AD77" s="23" t="s">
        <v>3140</v>
      </c>
      <c r="AE77" s="23" t="s">
        <v>3141</v>
      </c>
      <c r="AF77" s="23" t="s">
        <v>3142</v>
      </c>
      <c r="AG77" s="23" t="s">
        <v>3143</v>
      </c>
      <c r="AH77" s="23" t="s">
        <v>3144</v>
      </c>
      <c r="AI77" s="23" t="s">
        <v>3145</v>
      </c>
      <c r="AJ77" s="23" t="s">
        <v>3146</v>
      </c>
    </row>
    <row r="78" spans="1:36" x14ac:dyDescent="0.3">
      <c r="A78" s="23" t="s">
        <v>299</v>
      </c>
      <c r="B78" s="23" t="s">
        <v>4431</v>
      </c>
      <c r="C78" s="23" t="s">
        <v>3412</v>
      </c>
      <c r="D78" s="23" t="s">
        <v>1193</v>
      </c>
      <c r="E78" s="23" t="s">
        <v>3147</v>
      </c>
      <c r="F78" s="23" t="s">
        <v>3148</v>
      </c>
      <c r="G78" s="23" t="s">
        <v>3149</v>
      </c>
      <c r="H78" s="23" t="s">
        <v>3150</v>
      </c>
      <c r="I78" s="23" t="s">
        <v>1194</v>
      </c>
      <c r="J78" s="23" t="s">
        <v>1195</v>
      </c>
      <c r="K78" s="23" t="s">
        <v>1196</v>
      </c>
      <c r="L78" s="23" t="s">
        <v>3151</v>
      </c>
      <c r="M78" s="23" t="s">
        <v>3152</v>
      </c>
      <c r="N78" s="23" t="s">
        <v>3153</v>
      </c>
      <c r="O78" s="23" t="s">
        <v>3154</v>
      </c>
      <c r="P78" s="23" t="s">
        <v>3155</v>
      </c>
      <c r="Q78" s="23" t="s">
        <v>3156</v>
      </c>
      <c r="R78" s="23" t="s">
        <v>3157</v>
      </c>
      <c r="S78" s="23" t="s">
        <v>1197</v>
      </c>
      <c r="T78" s="23" t="s">
        <v>1198</v>
      </c>
      <c r="U78" s="23" t="s">
        <v>3158</v>
      </c>
      <c r="V78" s="23" t="s">
        <v>3159</v>
      </c>
      <c r="W78" s="23" t="s">
        <v>3493</v>
      </c>
      <c r="X78" s="23" t="s">
        <v>3574</v>
      </c>
      <c r="Y78" s="23" t="s">
        <v>3655</v>
      </c>
      <c r="Z78" s="23" t="s">
        <v>3160</v>
      </c>
      <c r="AA78" s="23" t="s">
        <v>3161</v>
      </c>
      <c r="AB78" s="23" t="s">
        <v>3162</v>
      </c>
      <c r="AC78" s="23" t="s">
        <v>3163</v>
      </c>
      <c r="AD78" s="23" t="s">
        <v>3164</v>
      </c>
      <c r="AE78" s="23" t="s">
        <v>3165</v>
      </c>
      <c r="AF78" s="23" t="s">
        <v>3166</v>
      </c>
      <c r="AG78" s="23" t="s">
        <v>3167</v>
      </c>
      <c r="AH78" s="23" t="s">
        <v>3168</v>
      </c>
      <c r="AI78" s="23" t="s">
        <v>3169</v>
      </c>
      <c r="AJ78" s="23" t="s">
        <v>3170</v>
      </c>
    </row>
    <row r="79" spans="1:36" x14ac:dyDescent="0.3">
      <c r="A79" s="23" t="s">
        <v>299</v>
      </c>
      <c r="B79" s="23" t="s">
        <v>4432</v>
      </c>
      <c r="C79" s="23" t="s">
        <v>3413</v>
      </c>
      <c r="D79" s="23" t="s">
        <v>1199</v>
      </c>
      <c r="E79" s="23" t="s">
        <v>3171</v>
      </c>
      <c r="F79" s="23" t="s">
        <v>3172</v>
      </c>
      <c r="G79" s="23" t="s">
        <v>3173</v>
      </c>
      <c r="H79" s="23" t="s">
        <v>3174</v>
      </c>
      <c r="I79" s="23" t="s">
        <v>1200</v>
      </c>
      <c r="J79" s="23" t="s">
        <v>1201</v>
      </c>
      <c r="K79" s="23" t="s">
        <v>1202</v>
      </c>
      <c r="L79" s="23" t="s">
        <v>3175</v>
      </c>
      <c r="M79" s="23" t="s">
        <v>3176</v>
      </c>
      <c r="N79" s="23" t="s">
        <v>3177</v>
      </c>
      <c r="O79" s="23" t="s">
        <v>3178</v>
      </c>
      <c r="P79" s="23" t="s">
        <v>3179</v>
      </c>
      <c r="Q79" s="23" t="s">
        <v>3180</v>
      </c>
      <c r="R79" s="23" t="s">
        <v>3181</v>
      </c>
      <c r="S79" s="23" t="s">
        <v>1203</v>
      </c>
      <c r="T79" s="23" t="s">
        <v>1204</v>
      </c>
      <c r="U79" s="23" t="s">
        <v>3182</v>
      </c>
      <c r="V79" s="23" t="s">
        <v>3183</v>
      </c>
      <c r="W79" s="23" t="s">
        <v>3494</v>
      </c>
      <c r="X79" s="23" t="s">
        <v>3575</v>
      </c>
      <c r="Y79" s="23" t="s">
        <v>3656</v>
      </c>
      <c r="Z79" s="23" t="s">
        <v>3184</v>
      </c>
      <c r="AA79" s="23" t="s">
        <v>3185</v>
      </c>
      <c r="AB79" s="23" t="s">
        <v>3186</v>
      </c>
      <c r="AC79" s="23" t="s">
        <v>3187</v>
      </c>
      <c r="AD79" s="23" t="s">
        <v>3188</v>
      </c>
      <c r="AE79" s="23" t="s">
        <v>3189</v>
      </c>
      <c r="AF79" s="23" t="s">
        <v>3190</v>
      </c>
      <c r="AG79" s="23" t="s">
        <v>3191</v>
      </c>
      <c r="AH79" s="23" t="s">
        <v>3192</v>
      </c>
      <c r="AI79" s="23" t="s">
        <v>3193</v>
      </c>
      <c r="AJ79" s="23" t="s">
        <v>3194</v>
      </c>
    </row>
    <row r="80" spans="1:36" x14ac:dyDescent="0.3">
      <c r="A80" s="23" t="s">
        <v>299</v>
      </c>
      <c r="B80" s="23" t="s">
        <v>4433</v>
      </c>
      <c r="C80" s="23" t="s">
        <v>3414</v>
      </c>
      <c r="D80" s="23" t="s">
        <v>1205</v>
      </c>
      <c r="E80" s="23" t="s">
        <v>3195</v>
      </c>
      <c r="F80" s="23" t="s">
        <v>3196</v>
      </c>
      <c r="G80" s="23" t="s">
        <v>3197</v>
      </c>
      <c r="H80" s="23" t="s">
        <v>3198</v>
      </c>
      <c r="I80" s="23" t="s">
        <v>1206</v>
      </c>
      <c r="J80" s="23" t="s">
        <v>1207</v>
      </c>
      <c r="K80" s="23" t="s">
        <v>1208</v>
      </c>
      <c r="L80" s="23" t="s">
        <v>3199</v>
      </c>
      <c r="M80" s="23" t="s">
        <v>3200</v>
      </c>
      <c r="N80" s="23" t="s">
        <v>3201</v>
      </c>
      <c r="O80" s="23" t="s">
        <v>3202</v>
      </c>
      <c r="P80" s="23" t="s">
        <v>3203</v>
      </c>
      <c r="Q80" s="23" t="s">
        <v>3204</v>
      </c>
      <c r="R80" s="23" t="s">
        <v>3205</v>
      </c>
      <c r="S80" s="23" t="s">
        <v>1209</v>
      </c>
      <c r="T80" s="23" t="s">
        <v>1210</v>
      </c>
      <c r="U80" s="23" t="s">
        <v>3206</v>
      </c>
      <c r="V80" s="23" t="s">
        <v>3207</v>
      </c>
      <c r="W80" s="23" t="s">
        <v>3495</v>
      </c>
      <c r="X80" s="23" t="s">
        <v>3576</v>
      </c>
      <c r="Y80" s="23" t="s">
        <v>3657</v>
      </c>
      <c r="Z80" s="23" t="s">
        <v>3208</v>
      </c>
      <c r="AA80" s="23" t="s">
        <v>3209</v>
      </c>
      <c r="AB80" s="23" t="s">
        <v>3210</v>
      </c>
      <c r="AC80" s="23" t="s">
        <v>3211</v>
      </c>
      <c r="AD80" s="23" t="s">
        <v>3212</v>
      </c>
      <c r="AE80" s="23" t="s">
        <v>3213</v>
      </c>
      <c r="AF80" s="23" t="s">
        <v>3214</v>
      </c>
      <c r="AG80" s="23" t="s">
        <v>3215</v>
      </c>
      <c r="AH80" s="23" t="s">
        <v>3216</v>
      </c>
      <c r="AI80" s="23" t="s">
        <v>3217</v>
      </c>
      <c r="AJ80" s="23" t="s">
        <v>3218</v>
      </c>
    </row>
    <row r="81" spans="1:36" x14ac:dyDescent="0.3">
      <c r="A81" s="23" t="s">
        <v>299</v>
      </c>
      <c r="B81" s="23" t="s">
        <v>4434</v>
      </c>
      <c r="C81" s="23" t="s">
        <v>3415</v>
      </c>
      <c r="D81" s="23" t="s">
        <v>1211</v>
      </c>
      <c r="E81" s="23" t="s">
        <v>3219</v>
      </c>
      <c r="F81" s="23" t="s">
        <v>3220</v>
      </c>
      <c r="G81" s="23" t="s">
        <v>3221</v>
      </c>
      <c r="H81" s="23" t="s">
        <v>3222</v>
      </c>
      <c r="I81" s="23" t="s">
        <v>1212</v>
      </c>
      <c r="J81" s="23" t="s">
        <v>1213</v>
      </c>
      <c r="K81" s="23" t="s">
        <v>1214</v>
      </c>
      <c r="L81" s="23" t="s">
        <v>3223</v>
      </c>
      <c r="M81" s="23" t="s">
        <v>3224</v>
      </c>
      <c r="N81" s="23" t="s">
        <v>3225</v>
      </c>
      <c r="O81" s="23" t="s">
        <v>3226</v>
      </c>
      <c r="P81" s="23" t="s">
        <v>3227</v>
      </c>
      <c r="Q81" s="23" t="s">
        <v>3228</v>
      </c>
      <c r="R81" s="23" t="s">
        <v>3229</v>
      </c>
      <c r="S81" s="23" t="s">
        <v>1215</v>
      </c>
      <c r="T81" s="23" t="s">
        <v>1216</v>
      </c>
      <c r="U81" s="23" t="s">
        <v>3230</v>
      </c>
      <c r="V81" s="23" t="s">
        <v>3231</v>
      </c>
      <c r="W81" s="23" t="s">
        <v>3496</v>
      </c>
      <c r="X81" s="23" t="s">
        <v>3577</v>
      </c>
      <c r="Y81" s="23" t="s">
        <v>3658</v>
      </c>
      <c r="Z81" s="23" t="s">
        <v>3232</v>
      </c>
      <c r="AA81" s="23" t="s">
        <v>3233</v>
      </c>
      <c r="AB81" s="23" t="s">
        <v>3234</v>
      </c>
      <c r="AC81" s="23" t="s">
        <v>3235</v>
      </c>
      <c r="AD81" s="23" t="s">
        <v>3236</v>
      </c>
      <c r="AE81" s="23" t="s">
        <v>3237</v>
      </c>
      <c r="AF81" s="23" t="s">
        <v>3238</v>
      </c>
      <c r="AG81" s="23" t="s">
        <v>3239</v>
      </c>
      <c r="AH81" s="23" t="s">
        <v>3240</v>
      </c>
      <c r="AI81" s="23" t="s">
        <v>3241</v>
      </c>
      <c r="AJ81" s="23" t="s">
        <v>3242</v>
      </c>
    </row>
    <row r="82" spans="1:36" x14ac:dyDescent="0.3">
      <c r="A82" s="23" t="s">
        <v>299</v>
      </c>
      <c r="B82" s="23" t="s">
        <v>4435</v>
      </c>
      <c r="C82" s="23" t="s">
        <v>3416</v>
      </c>
      <c r="D82" s="23" t="s">
        <v>1217</v>
      </c>
      <c r="E82" s="23" t="s">
        <v>3243</v>
      </c>
      <c r="F82" s="23" t="s">
        <v>3244</v>
      </c>
      <c r="G82" s="23" t="s">
        <v>3245</v>
      </c>
      <c r="H82" s="23" t="s">
        <v>3246</v>
      </c>
      <c r="I82" s="23" t="s">
        <v>1218</v>
      </c>
      <c r="J82" s="23" t="s">
        <v>1219</v>
      </c>
      <c r="K82" s="23" t="s">
        <v>1220</v>
      </c>
      <c r="L82" s="23" t="s">
        <v>3247</v>
      </c>
      <c r="M82" s="23" t="s">
        <v>3248</v>
      </c>
      <c r="N82" s="23" t="s">
        <v>3249</v>
      </c>
      <c r="O82" s="23" t="s">
        <v>3250</v>
      </c>
      <c r="P82" s="23" t="s">
        <v>3251</v>
      </c>
      <c r="Q82" s="23" t="s">
        <v>3252</v>
      </c>
      <c r="R82" s="23" t="s">
        <v>3253</v>
      </c>
      <c r="S82" s="23" t="s">
        <v>1221</v>
      </c>
      <c r="T82" s="23" t="s">
        <v>1222</v>
      </c>
      <c r="U82" s="23" t="s">
        <v>3254</v>
      </c>
      <c r="V82" s="23" t="s">
        <v>3255</v>
      </c>
      <c r="W82" s="23" t="s">
        <v>3497</v>
      </c>
      <c r="X82" s="23" t="s">
        <v>3578</v>
      </c>
      <c r="Y82" s="23" t="s">
        <v>3659</v>
      </c>
      <c r="Z82" s="23" t="s">
        <v>3256</v>
      </c>
      <c r="AA82" s="23" t="s">
        <v>3257</v>
      </c>
      <c r="AB82" s="23" t="s">
        <v>3258</v>
      </c>
      <c r="AC82" s="23" t="s">
        <v>3259</v>
      </c>
      <c r="AD82" s="23" t="s">
        <v>3260</v>
      </c>
      <c r="AE82" s="23" t="s">
        <v>3261</v>
      </c>
      <c r="AF82" s="23" t="s">
        <v>3262</v>
      </c>
      <c r="AG82" s="23" t="s">
        <v>3263</v>
      </c>
      <c r="AH82" s="23" t="s">
        <v>3264</v>
      </c>
      <c r="AI82" s="23" t="s">
        <v>3265</v>
      </c>
      <c r="AJ82" s="23" t="s">
        <v>3266</v>
      </c>
    </row>
    <row r="83" spans="1:36" x14ac:dyDescent="0.3">
      <c r="A83" s="23" t="s">
        <v>299</v>
      </c>
      <c r="B83" s="23" t="s">
        <v>4436</v>
      </c>
      <c r="C83" s="23" t="s">
        <v>3417</v>
      </c>
      <c r="D83" s="23" t="s">
        <v>1223</v>
      </c>
      <c r="E83" s="23" t="s">
        <v>3267</v>
      </c>
      <c r="F83" s="23" t="s">
        <v>3268</v>
      </c>
      <c r="G83" s="23" t="s">
        <v>3269</v>
      </c>
      <c r="H83" s="23" t="s">
        <v>3270</v>
      </c>
      <c r="I83" s="23" t="s">
        <v>1224</v>
      </c>
      <c r="J83" s="23" t="s">
        <v>1225</v>
      </c>
      <c r="K83" s="23" t="s">
        <v>1226</v>
      </c>
      <c r="L83" s="23" t="s">
        <v>3271</v>
      </c>
      <c r="M83" s="23" t="s">
        <v>3272</v>
      </c>
      <c r="N83" s="23" t="s">
        <v>3273</v>
      </c>
      <c r="O83" s="23" t="s">
        <v>3274</v>
      </c>
      <c r="P83" s="23" t="s">
        <v>3275</v>
      </c>
      <c r="Q83" s="23" t="s">
        <v>3276</v>
      </c>
      <c r="R83" s="23" t="s">
        <v>3277</v>
      </c>
      <c r="S83" s="23" t="s">
        <v>1227</v>
      </c>
      <c r="T83" s="23" t="s">
        <v>1228</v>
      </c>
      <c r="U83" s="23" t="s">
        <v>3278</v>
      </c>
      <c r="V83" s="23" t="s">
        <v>3279</v>
      </c>
      <c r="W83" s="23" t="s">
        <v>3498</v>
      </c>
      <c r="X83" s="23" t="s">
        <v>3579</v>
      </c>
      <c r="Y83" s="23" t="s">
        <v>3660</v>
      </c>
      <c r="Z83" s="23" t="s">
        <v>3280</v>
      </c>
      <c r="AA83" s="23" t="s">
        <v>3281</v>
      </c>
      <c r="AB83" s="23" t="s">
        <v>3282</v>
      </c>
      <c r="AC83" s="23" t="s">
        <v>3283</v>
      </c>
      <c r="AD83" s="23" t="s">
        <v>3284</v>
      </c>
      <c r="AE83" s="23" t="s">
        <v>3285</v>
      </c>
      <c r="AF83" s="23" t="s">
        <v>3286</v>
      </c>
      <c r="AG83" s="23" t="s">
        <v>3287</v>
      </c>
      <c r="AH83" s="23" t="s">
        <v>3288</v>
      </c>
      <c r="AI83" s="23" t="s">
        <v>3289</v>
      </c>
      <c r="AJ83" s="23" t="s">
        <v>3290</v>
      </c>
    </row>
    <row r="84" spans="1:36" x14ac:dyDescent="0.3">
      <c r="A84" s="23" t="s">
        <v>299</v>
      </c>
      <c r="B84" s="23" t="s">
        <v>4437</v>
      </c>
      <c r="C84" s="23" t="s">
        <v>3418</v>
      </c>
      <c r="D84" s="23" t="s">
        <v>1229</v>
      </c>
      <c r="E84" s="23" t="s">
        <v>3291</v>
      </c>
      <c r="F84" s="23" t="s">
        <v>3292</v>
      </c>
      <c r="G84" s="23" t="s">
        <v>3293</v>
      </c>
      <c r="H84" s="23" t="s">
        <v>3294</v>
      </c>
      <c r="I84" s="23" t="s">
        <v>1230</v>
      </c>
      <c r="J84" s="23" t="s">
        <v>1231</v>
      </c>
      <c r="K84" s="23" t="s">
        <v>1232</v>
      </c>
      <c r="L84" s="23" t="s">
        <v>3295</v>
      </c>
      <c r="M84" s="23" t="s">
        <v>3296</v>
      </c>
      <c r="N84" s="23" t="s">
        <v>3297</v>
      </c>
      <c r="O84" s="23" t="s">
        <v>3298</v>
      </c>
      <c r="P84" s="23" t="s">
        <v>3299</v>
      </c>
      <c r="Q84" s="23" t="s">
        <v>3300</v>
      </c>
      <c r="R84" s="23" t="s">
        <v>3301</v>
      </c>
      <c r="S84" s="23" t="s">
        <v>1233</v>
      </c>
      <c r="T84" s="23" t="s">
        <v>1234</v>
      </c>
      <c r="U84" s="23" t="s">
        <v>3302</v>
      </c>
      <c r="V84" s="23" t="s">
        <v>3303</v>
      </c>
      <c r="W84" s="23" t="s">
        <v>3499</v>
      </c>
      <c r="X84" s="23" t="s">
        <v>3580</v>
      </c>
      <c r="Y84" s="23" t="s">
        <v>3661</v>
      </c>
      <c r="Z84" s="23" t="s">
        <v>3304</v>
      </c>
      <c r="AA84" s="23" t="s">
        <v>3305</v>
      </c>
      <c r="AB84" s="23" t="s">
        <v>3306</v>
      </c>
      <c r="AC84" s="23" t="s">
        <v>3307</v>
      </c>
      <c r="AD84" s="23" t="s">
        <v>3308</v>
      </c>
      <c r="AE84" s="23" t="s">
        <v>3309</v>
      </c>
      <c r="AF84" s="23" t="s">
        <v>3310</v>
      </c>
      <c r="AG84" s="23" t="s">
        <v>3311</v>
      </c>
      <c r="AH84" s="23" t="s">
        <v>3312</v>
      </c>
      <c r="AI84" s="23" t="s">
        <v>3313</v>
      </c>
      <c r="AJ84" s="23" t="s">
        <v>3314</v>
      </c>
    </row>
    <row r="85" spans="1:36" x14ac:dyDescent="0.3">
      <c r="A85" s="23" t="s">
        <v>299</v>
      </c>
      <c r="B85" s="23" t="s">
        <v>4438</v>
      </c>
      <c r="C85" s="23" t="s">
        <v>3419</v>
      </c>
      <c r="D85" s="23" t="s">
        <v>1235</v>
      </c>
      <c r="E85" s="23" t="s">
        <v>3315</v>
      </c>
      <c r="F85" s="23" t="s">
        <v>3316</v>
      </c>
      <c r="G85" s="23" t="s">
        <v>3317</v>
      </c>
      <c r="H85" s="23" t="s">
        <v>3318</v>
      </c>
      <c r="I85" s="23" t="s">
        <v>1236</v>
      </c>
      <c r="J85" s="23" t="s">
        <v>1237</v>
      </c>
      <c r="K85" s="23" t="s">
        <v>1238</v>
      </c>
      <c r="L85" s="23" t="s">
        <v>3319</v>
      </c>
      <c r="M85" s="23" t="s">
        <v>3320</v>
      </c>
      <c r="N85" s="23" t="s">
        <v>3321</v>
      </c>
      <c r="O85" s="23" t="s">
        <v>3322</v>
      </c>
      <c r="P85" s="23" t="s">
        <v>3323</v>
      </c>
      <c r="Q85" s="23" t="s">
        <v>3324</v>
      </c>
      <c r="R85" s="23" t="s">
        <v>3325</v>
      </c>
      <c r="S85" s="23" t="s">
        <v>1239</v>
      </c>
      <c r="T85" s="23" t="s">
        <v>1240</v>
      </c>
      <c r="U85" s="23" t="s">
        <v>3326</v>
      </c>
      <c r="V85" s="23" t="s">
        <v>3327</v>
      </c>
      <c r="W85" s="23" t="s">
        <v>3500</v>
      </c>
      <c r="X85" s="23" t="s">
        <v>3581</v>
      </c>
      <c r="Y85" s="23" t="s">
        <v>3662</v>
      </c>
      <c r="Z85" s="23" t="s">
        <v>3328</v>
      </c>
      <c r="AA85" s="23" t="s">
        <v>3329</v>
      </c>
      <c r="AB85" s="23" t="s">
        <v>3330</v>
      </c>
      <c r="AC85" s="23" t="s">
        <v>3331</v>
      </c>
      <c r="AD85" s="23" t="s">
        <v>3332</v>
      </c>
      <c r="AE85" s="23" t="s">
        <v>3333</v>
      </c>
      <c r="AF85" s="23" t="s">
        <v>3334</v>
      </c>
      <c r="AG85" s="23" t="s">
        <v>3335</v>
      </c>
      <c r="AH85" s="23" t="s">
        <v>3336</v>
      </c>
      <c r="AI85" s="23" t="s">
        <v>3337</v>
      </c>
      <c r="AJ85" s="23" t="s">
        <v>3338</v>
      </c>
    </row>
    <row r="86" spans="1:36" x14ac:dyDescent="0.3">
      <c r="A86" s="23" t="s">
        <v>299</v>
      </c>
      <c r="B86" s="23" t="s">
        <v>4439</v>
      </c>
      <c r="C86" s="23" t="s">
        <v>4215</v>
      </c>
      <c r="D86" s="23" t="s">
        <v>1241</v>
      </c>
      <c r="E86" s="23" t="s">
        <v>3663</v>
      </c>
      <c r="F86" s="23" t="s">
        <v>3664</v>
      </c>
      <c r="G86" s="23" t="s">
        <v>3665</v>
      </c>
      <c r="H86" s="23" t="s">
        <v>3666</v>
      </c>
      <c r="I86" s="23" t="s">
        <v>1242</v>
      </c>
      <c r="J86" s="23" t="s">
        <v>1243</v>
      </c>
      <c r="K86" s="23" t="s">
        <v>1244</v>
      </c>
      <c r="L86" s="23" t="s">
        <v>3667</v>
      </c>
      <c r="M86" s="23" t="s">
        <v>3668</v>
      </c>
      <c r="N86" s="23" t="s">
        <v>3669</v>
      </c>
      <c r="O86" s="23" t="s">
        <v>3670</v>
      </c>
      <c r="P86" s="23" t="s">
        <v>3671</v>
      </c>
      <c r="Q86" s="23" t="s">
        <v>3672</v>
      </c>
      <c r="R86" s="23" t="s">
        <v>3673</v>
      </c>
      <c r="S86" s="23" t="s">
        <v>1245</v>
      </c>
      <c r="T86" s="23" t="s">
        <v>1246</v>
      </c>
      <c r="U86" s="23" t="s">
        <v>3674</v>
      </c>
      <c r="V86" s="23" t="s">
        <v>3675</v>
      </c>
      <c r="W86" s="23" t="s">
        <v>4238</v>
      </c>
      <c r="X86" s="23" t="s">
        <v>4261</v>
      </c>
      <c r="Y86" s="23" t="s">
        <v>4284</v>
      </c>
      <c r="Z86" s="23" t="s">
        <v>3676</v>
      </c>
      <c r="AA86" s="23" t="s">
        <v>3677</v>
      </c>
      <c r="AB86" s="23" t="s">
        <v>3678</v>
      </c>
      <c r="AC86" s="23" t="s">
        <v>3679</v>
      </c>
      <c r="AD86" s="23" t="s">
        <v>3680</v>
      </c>
      <c r="AE86" s="23" t="s">
        <v>3681</v>
      </c>
      <c r="AF86" s="23" t="s">
        <v>3682</v>
      </c>
      <c r="AG86" s="23" t="s">
        <v>3683</v>
      </c>
      <c r="AH86" s="23" t="s">
        <v>3684</v>
      </c>
      <c r="AI86" s="23" t="s">
        <v>3685</v>
      </c>
      <c r="AJ86" s="23" t="s">
        <v>3686</v>
      </c>
    </row>
    <row r="87" spans="1:36" x14ac:dyDescent="0.3">
      <c r="A87" s="23" t="s">
        <v>299</v>
      </c>
      <c r="B87" s="23" t="s">
        <v>4440</v>
      </c>
      <c r="C87" s="23" t="s">
        <v>4216</v>
      </c>
      <c r="D87" s="23" t="s">
        <v>1247</v>
      </c>
      <c r="E87" s="23" t="s">
        <v>3687</v>
      </c>
      <c r="F87" s="23" t="s">
        <v>3688</v>
      </c>
      <c r="G87" s="23" t="s">
        <v>3689</v>
      </c>
      <c r="H87" s="23" t="s">
        <v>3690</v>
      </c>
      <c r="I87" s="23" t="s">
        <v>1248</v>
      </c>
      <c r="J87" s="23" t="s">
        <v>1249</v>
      </c>
      <c r="K87" s="23" t="s">
        <v>1250</v>
      </c>
      <c r="L87" s="23" t="s">
        <v>3691</v>
      </c>
      <c r="M87" s="23" t="s">
        <v>3692</v>
      </c>
      <c r="N87" s="23" t="s">
        <v>3693</v>
      </c>
      <c r="O87" s="23" t="s">
        <v>3694</v>
      </c>
      <c r="P87" s="23" t="s">
        <v>3695</v>
      </c>
      <c r="Q87" s="23" t="s">
        <v>3696</v>
      </c>
      <c r="R87" s="23" t="s">
        <v>3697</v>
      </c>
      <c r="S87" s="23" t="s">
        <v>1251</v>
      </c>
      <c r="T87" s="23" t="s">
        <v>1252</v>
      </c>
      <c r="U87" s="23" t="s">
        <v>3698</v>
      </c>
      <c r="V87" s="23" t="s">
        <v>3699</v>
      </c>
      <c r="W87" s="23" t="s">
        <v>4239</v>
      </c>
      <c r="X87" s="23" t="s">
        <v>4262</v>
      </c>
      <c r="Y87" s="23" t="s">
        <v>4285</v>
      </c>
      <c r="Z87" s="23" t="s">
        <v>3700</v>
      </c>
      <c r="AA87" s="23" t="s">
        <v>3701</v>
      </c>
      <c r="AB87" s="23" t="s">
        <v>3702</v>
      </c>
      <c r="AC87" s="23" t="s">
        <v>3703</v>
      </c>
      <c r="AD87" s="23" t="s">
        <v>3704</v>
      </c>
      <c r="AE87" s="23" t="s">
        <v>3705</v>
      </c>
      <c r="AF87" s="23" t="s">
        <v>3706</v>
      </c>
      <c r="AG87" s="23" t="s">
        <v>3707</v>
      </c>
      <c r="AH87" s="23" t="s">
        <v>3708</v>
      </c>
      <c r="AI87" s="23" t="s">
        <v>3709</v>
      </c>
      <c r="AJ87" s="23" t="s">
        <v>3710</v>
      </c>
    </row>
    <row r="88" spans="1:36" x14ac:dyDescent="0.3">
      <c r="A88" s="23" t="s">
        <v>299</v>
      </c>
      <c r="B88" s="23" t="s">
        <v>4441</v>
      </c>
      <c r="C88" s="23" t="s">
        <v>4217</v>
      </c>
      <c r="D88" s="23" t="s">
        <v>1253</v>
      </c>
      <c r="E88" s="23" t="s">
        <v>3711</v>
      </c>
      <c r="F88" s="23" t="s">
        <v>3712</v>
      </c>
      <c r="G88" s="23" t="s">
        <v>3713</v>
      </c>
      <c r="H88" s="23" t="s">
        <v>3714</v>
      </c>
      <c r="I88" s="23" t="s">
        <v>1254</v>
      </c>
      <c r="J88" s="23" t="s">
        <v>1255</v>
      </c>
      <c r="K88" s="23" t="s">
        <v>1256</v>
      </c>
      <c r="L88" s="23" t="s">
        <v>3715</v>
      </c>
      <c r="M88" s="23" t="s">
        <v>3716</v>
      </c>
      <c r="N88" s="23" t="s">
        <v>3717</v>
      </c>
      <c r="O88" s="23" t="s">
        <v>3718</v>
      </c>
      <c r="P88" s="23" t="s">
        <v>3719</v>
      </c>
      <c r="Q88" s="23" t="s">
        <v>3720</v>
      </c>
      <c r="R88" s="23" t="s">
        <v>3721</v>
      </c>
      <c r="S88" s="23" t="s">
        <v>1257</v>
      </c>
      <c r="T88" s="23" t="s">
        <v>1258</v>
      </c>
      <c r="U88" s="23" t="s">
        <v>3722</v>
      </c>
      <c r="V88" s="23" t="s">
        <v>3723</v>
      </c>
      <c r="W88" s="23" t="s">
        <v>4240</v>
      </c>
      <c r="X88" s="23" t="s">
        <v>4263</v>
      </c>
      <c r="Y88" s="23" t="s">
        <v>4286</v>
      </c>
      <c r="Z88" s="23" t="s">
        <v>3724</v>
      </c>
      <c r="AA88" s="23" t="s">
        <v>3725</v>
      </c>
      <c r="AB88" s="23" t="s">
        <v>3726</v>
      </c>
      <c r="AC88" s="23" t="s">
        <v>3727</v>
      </c>
      <c r="AD88" s="23" t="s">
        <v>3728</v>
      </c>
      <c r="AE88" s="23" t="s">
        <v>3729</v>
      </c>
      <c r="AF88" s="23" t="s">
        <v>3730</v>
      </c>
      <c r="AG88" s="23" t="s">
        <v>3731</v>
      </c>
      <c r="AH88" s="23" t="s">
        <v>3732</v>
      </c>
      <c r="AI88" s="23" t="s">
        <v>3733</v>
      </c>
      <c r="AJ88" s="23" t="s">
        <v>3734</v>
      </c>
    </row>
    <row r="89" spans="1:36" x14ac:dyDescent="0.3">
      <c r="A89" s="23" t="s">
        <v>299</v>
      </c>
      <c r="B89" s="23" t="s">
        <v>4442</v>
      </c>
      <c r="C89" s="23" t="s">
        <v>4218</v>
      </c>
      <c r="D89" s="23" t="s">
        <v>1259</v>
      </c>
      <c r="E89" s="23" t="s">
        <v>3735</v>
      </c>
      <c r="F89" s="23" t="s">
        <v>3736</v>
      </c>
      <c r="G89" s="23" t="s">
        <v>3737</v>
      </c>
      <c r="H89" s="23" t="s">
        <v>3738</v>
      </c>
      <c r="I89" s="23" t="s">
        <v>1260</v>
      </c>
      <c r="J89" s="23" t="s">
        <v>1261</v>
      </c>
      <c r="K89" s="23" t="s">
        <v>1262</v>
      </c>
      <c r="L89" s="23" t="s">
        <v>3739</v>
      </c>
      <c r="M89" s="23" t="s">
        <v>3740</v>
      </c>
      <c r="N89" s="23" t="s">
        <v>3741</v>
      </c>
      <c r="O89" s="23" t="s">
        <v>3742</v>
      </c>
      <c r="P89" s="23" t="s">
        <v>3743</v>
      </c>
      <c r="Q89" s="23" t="s">
        <v>3744</v>
      </c>
      <c r="R89" s="23" t="s">
        <v>3745</v>
      </c>
      <c r="S89" s="23" t="s">
        <v>1263</v>
      </c>
      <c r="T89" s="23" t="s">
        <v>1264</v>
      </c>
      <c r="U89" s="23" t="s">
        <v>3746</v>
      </c>
      <c r="V89" s="23" t="s">
        <v>3747</v>
      </c>
      <c r="W89" s="23" t="s">
        <v>4241</v>
      </c>
      <c r="X89" s="23" t="s">
        <v>4264</v>
      </c>
      <c r="Y89" s="23" t="s">
        <v>4287</v>
      </c>
      <c r="Z89" s="23" t="s">
        <v>3748</v>
      </c>
      <c r="AA89" s="23" t="s">
        <v>3749</v>
      </c>
      <c r="AB89" s="23" t="s">
        <v>3750</v>
      </c>
      <c r="AC89" s="23" t="s">
        <v>3751</v>
      </c>
      <c r="AD89" s="23" t="s">
        <v>3752</v>
      </c>
      <c r="AE89" s="23" t="s">
        <v>3753</v>
      </c>
      <c r="AF89" s="23" t="s">
        <v>3754</v>
      </c>
      <c r="AG89" s="23" t="s">
        <v>3755</v>
      </c>
      <c r="AH89" s="23" t="s">
        <v>3756</v>
      </c>
      <c r="AI89" s="23" t="s">
        <v>3757</v>
      </c>
      <c r="AJ89" s="23" t="s">
        <v>3758</v>
      </c>
    </row>
    <row r="90" spans="1:36" x14ac:dyDescent="0.3">
      <c r="A90" s="23" t="s">
        <v>299</v>
      </c>
      <c r="B90" s="23" t="s">
        <v>4443</v>
      </c>
      <c r="C90" s="23" t="s">
        <v>4219</v>
      </c>
      <c r="D90" s="23" t="s">
        <v>1265</v>
      </c>
      <c r="E90" s="23" t="s">
        <v>3759</v>
      </c>
      <c r="F90" s="23" t="s">
        <v>3760</v>
      </c>
      <c r="G90" s="23" t="s">
        <v>3761</v>
      </c>
      <c r="H90" s="23" t="s">
        <v>3762</v>
      </c>
      <c r="I90" s="23" t="s">
        <v>1266</v>
      </c>
      <c r="J90" s="23" t="s">
        <v>1267</v>
      </c>
      <c r="K90" s="23" t="s">
        <v>1268</v>
      </c>
      <c r="L90" s="23" t="s">
        <v>3763</v>
      </c>
      <c r="M90" s="23" t="s">
        <v>3764</v>
      </c>
      <c r="N90" s="23" t="s">
        <v>3765</v>
      </c>
      <c r="O90" s="23" t="s">
        <v>3766</v>
      </c>
      <c r="P90" s="23" t="s">
        <v>3767</v>
      </c>
      <c r="Q90" s="23" t="s">
        <v>3768</v>
      </c>
      <c r="R90" s="23" t="s">
        <v>3769</v>
      </c>
      <c r="S90" s="23" t="s">
        <v>1269</v>
      </c>
      <c r="T90" s="23" t="s">
        <v>1270</v>
      </c>
      <c r="U90" s="23" t="s">
        <v>3770</v>
      </c>
      <c r="V90" s="23" t="s">
        <v>3771</v>
      </c>
      <c r="W90" s="23" t="s">
        <v>4242</v>
      </c>
      <c r="X90" s="23" t="s">
        <v>4265</v>
      </c>
      <c r="Y90" s="23" t="s">
        <v>4288</v>
      </c>
      <c r="Z90" s="23" t="s">
        <v>3772</v>
      </c>
      <c r="AA90" s="23" t="s">
        <v>3773</v>
      </c>
      <c r="AB90" s="23" t="s">
        <v>3774</v>
      </c>
      <c r="AC90" s="23" t="s">
        <v>3775</v>
      </c>
      <c r="AD90" s="23" t="s">
        <v>3776</v>
      </c>
      <c r="AE90" s="23" t="s">
        <v>3777</v>
      </c>
      <c r="AF90" s="23" t="s">
        <v>3778</v>
      </c>
      <c r="AG90" s="23" t="s">
        <v>3779</v>
      </c>
      <c r="AH90" s="23" t="s">
        <v>3780</v>
      </c>
      <c r="AI90" s="23" t="s">
        <v>3781</v>
      </c>
      <c r="AJ90" s="23" t="s">
        <v>3782</v>
      </c>
    </row>
    <row r="91" spans="1:36" x14ac:dyDescent="0.3">
      <c r="A91" s="23" t="s">
        <v>299</v>
      </c>
      <c r="B91" s="23" t="s">
        <v>4444</v>
      </c>
      <c r="C91" s="23" t="s">
        <v>4220</v>
      </c>
      <c r="D91" s="23" t="s">
        <v>1271</v>
      </c>
      <c r="E91" s="23" t="s">
        <v>3783</v>
      </c>
      <c r="F91" s="23" t="s">
        <v>3784</v>
      </c>
      <c r="G91" s="23" t="s">
        <v>3785</v>
      </c>
      <c r="H91" s="23" t="s">
        <v>3786</v>
      </c>
      <c r="I91" s="23" t="s">
        <v>1272</v>
      </c>
      <c r="J91" s="23" t="s">
        <v>1273</v>
      </c>
      <c r="K91" s="23" t="s">
        <v>1274</v>
      </c>
      <c r="L91" s="23" t="s">
        <v>3787</v>
      </c>
      <c r="M91" s="23" t="s">
        <v>3788</v>
      </c>
      <c r="N91" s="23" t="s">
        <v>3789</v>
      </c>
      <c r="O91" s="23" t="s">
        <v>3790</v>
      </c>
      <c r="P91" s="23" t="s">
        <v>3791</v>
      </c>
      <c r="Q91" s="23" t="s">
        <v>3792</v>
      </c>
      <c r="R91" s="23" t="s">
        <v>3793</v>
      </c>
      <c r="S91" s="23" t="s">
        <v>1275</v>
      </c>
      <c r="T91" s="23" t="s">
        <v>1276</v>
      </c>
      <c r="U91" s="23" t="s">
        <v>3794</v>
      </c>
      <c r="V91" s="23" t="s">
        <v>3795</v>
      </c>
      <c r="W91" s="23" t="s">
        <v>4243</v>
      </c>
      <c r="X91" s="23" t="s">
        <v>4266</v>
      </c>
      <c r="Y91" s="23" t="s">
        <v>4289</v>
      </c>
      <c r="Z91" s="23" t="s">
        <v>3796</v>
      </c>
      <c r="AA91" s="23" t="s">
        <v>3797</v>
      </c>
      <c r="AB91" s="23" t="s">
        <v>3798</v>
      </c>
      <c r="AC91" s="23" t="s">
        <v>3799</v>
      </c>
      <c r="AD91" s="23" t="s">
        <v>3800</v>
      </c>
      <c r="AE91" s="23" t="s">
        <v>3801</v>
      </c>
      <c r="AF91" s="23" t="s">
        <v>3802</v>
      </c>
      <c r="AG91" s="23" t="s">
        <v>3803</v>
      </c>
      <c r="AH91" s="23" t="s">
        <v>3804</v>
      </c>
      <c r="AI91" s="23" t="s">
        <v>3805</v>
      </c>
      <c r="AJ91" s="23" t="s">
        <v>3806</v>
      </c>
    </row>
    <row r="92" spans="1:36" x14ac:dyDescent="0.3">
      <c r="A92" s="23" t="s">
        <v>299</v>
      </c>
      <c r="B92" s="23" t="s">
        <v>4445</v>
      </c>
      <c r="C92" s="23" t="s">
        <v>4221</v>
      </c>
      <c r="D92" s="23" t="s">
        <v>1277</v>
      </c>
      <c r="E92" s="23" t="s">
        <v>3807</v>
      </c>
      <c r="F92" s="23" t="s">
        <v>3808</v>
      </c>
      <c r="G92" s="23" t="s">
        <v>3809</v>
      </c>
      <c r="H92" s="23" t="s">
        <v>3810</v>
      </c>
      <c r="I92" s="23" t="s">
        <v>1278</v>
      </c>
      <c r="J92" s="23" t="s">
        <v>1279</v>
      </c>
      <c r="K92" s="23" t="s">
        <v>1280</v>
      </c>
      <c r="L92" s="23" t="s">
        <v>3811</v>
      </c>
      <c r="M92" s="23" t="s">
        <v>3812</v>
      </c>
      <c r="N92" s="23" t="s">
        <v>3813</v>
      </c>
      <c r="O92" s="23" t="s">
        <v>3814</v>
      </c>
      <c r="P92" s="23" t="s">
        <v>3815</v>
      </c>
      <c r="Q92" s="23" t="s">
        <v>3816</v>
      </c>
      <c r="R92" s="23" t="s">
        <v>3817</v>
      </c>
      <c r="S92" s="23" t="s">
        <v>1281</v>
      </c>
      <c r="T92" s="23" t="s">
        <v>1282</v>
      </c>
      <c r="U92" s="23" t="s">
        <v>3818</v>
      </c>
      <c r="V92" s="23" t="s">
        <v>3819</v>
      </c>
      <c r="W92" s="23" t="s">
        <v>4244</v>
      </c>
      <c r="X92" s="23" t="s">
        <v>4267</v>
      </c>
      <c r="Y92" s="23" t="s">
        <v>4290</v>
      </c>
      <c r="Z92" s="23" t="s">
        <v>3820</v>
      </c>
      <c r="AA92" s="23" t="s">
        <v>3821</v>
      </c>
      <c r="AB92" s="23" t="s">
        <v>3822</v>
      </c>
      <c r="AC92" s="23" t="s">
        <v>3823</v>
      </c>
      <c r="AD92" s="23" t="s">
        <v>3824</v>
      </c>
      <c r="AE92" s="23" t="s">
        <v>3825</v>
      </c>
      <c r="AF92" s="23" t="s">
        <v>3826</v>
      </c>
      <c r="AG92" s="23" t="s">
        <v>3827</v>
      </c>
      <c r="AH92" s="23" t="s">
        <v>3828</v>
      </c>
      <c r="AI92" s="23" t="s">
        <v>3829</v>
      </c>
      <c r="AJ92" s="23" t="s">
        <v>3830</v>
      </c>
    </row>
    <row r="93" spans="1:36" x14ac:dyDescent="0.3">
      <c r="A93" s="23" t="s">
        <v>299</v>
      </c>
      <c r="B93" s="23" t="s">
        <v>4446</v>
      </c>
      <c r="C93" s="23" t="s">
        <v>4222</v>
      </c>
      <c r="D93" s="23" t="s">
        <v>1283</v>
      </c>
      <c r="E93" s="23" t="s">
        <v>3831</v>
      </c>
      <c r="F93" s="23" t="s">
        <v>3832</v>
      </c>
      <c r="G93" s="23" t="s">
        <v>3833</v>
      </c>
      <c r="H93" s="23" t="s">
        <v>3834</v>
      </c>
      <c r="I93" s="23" t="s">
        <v>1284</v>
      </c>
      <c r="J93" s="23" t="s">
        <v>1285</v>
      </c>
      <c r="K93" s="23" t="s">
        <v>1286</v>
      </c>
      <c r="L93" s="23" t="s">
        <v>3835</v>
      </c>
      <c r="M93" s="23" t="s">
        <v>3836</v>
      </c>
      <c r="N93" s="23" t="s">
        <v>3837</v>
      </c>
      <c r="O93" s="23" t="s">
        <v>3838</v>
      </c>
      <c r="P93" s="23" t="s">
        <v>3839</v>
      </c>
      <c r="Q93" s="23" t="s">
        <v>3840</v>
      </c>
      <c r="R93" s="23" t="s">
        <v>3841</v>
      </c>
      <c r="S93" s="23" t="s">
        <v>1287</v>
      </c>
      <c r="T93" s="23" t="s">
        <v>1288</v>
      </c>
      <c r="U93" s="23" t="s">
        <v>3842</v>
      </c>
      <c r="V93" s="23" t="s">
        <v>3843</v>
      </c>
      <c r="W93" s="23" t="s">
        <v>4245</v>
      </c>
      <c r="X93" s="23" t="s">
        <v>4268</v>
      </c>
      <c r="Y93" s="23" t="s">
        <v>4291</v>
      </c>
      <c r="Z93" s="23" t="s">
        <v>3844</v>
      </c>
      <c r="AA93" s="23" t="s">
        <v>3845</v>
      </c>
      <c r="AB93" s="23" t="s">
        <v>3846</v>
      </c>
      <c r="AC93" s="23" t="s">
        <v>3847</v>
      </c>
      <c r="AD93" s="23" t="s">
        <v>3848</v>
      </c>
      <c r="AE93" s="23" t="s">
        <v>3849</v>
      </c>
      <c r="AF93" s="23" t="s">
        <v>3850</v>
      </c>
      <c r="AG93" s="23" t="s">
        <v>3851</v>
      </c>
      <c r="AH93" s="23" t="s">
        <v>3852</v>
      </c>
      <c r="AI93" s="23" t="s">
        <v>3853</v>
      </c>
      <c r="AJ93" s="23" t="s">
        <v>3854</v>
      </c>
    </row>
    <row r="94" spans="1:36" x14ac:dyDescent="0.3">
      <c r="A94" s="23" t="s">
        <v>299</v>
      </c>
      <c r="B94" s="23" t="s">
        <v>4447</v>
      </c>
      <c r="C94" s="23" t="s">
        <v>4223</v>
      </c>
      <c r="D94" s="23" t="s">
        <v>1289</v>
      </c>
      <c r="E94" s="23" t="s">
        <v>3855</v>
      </c>
      <c r="F94" s="23" t="s">
        <v>3856</v>
      </c>
      <c r="G94" s="23" t="s">
        <v>3857</v>
      </c>
      <c r="H94" s="23" t="s">
        <v>3858</v>
      </c>
      <c r="I94" s="23" t="s">
        <v>1290</v>
      </c>
      <c r="J94" s="23" t="s">
        <v>1291</v>
      </c>
      <c r="K94" s="23" t="s">
        <v>1292</v>
      </c>
      <c r="L94" s="23" t="s">
        <v>3859</v>
      </c>
      <c r="M94" s="23" t="s">
        <v>3860</v>
      </c>
      <c r="N94" s="23" t="s">
        <v>3861</v>
      </c>
      <c r="O94" s="23" t="s">
        <v>3862</v>
      </c>
      <c r="P94" s="23" t="s">
        <v>3863</v>
      </c>
      <c r="Q94" s="23" t="s">
        <v>3864</v>
      </c>
      <c r="R94" s="23" t="s">
        <v>3865</v>
      </c>
      <c r="S94" s="23" t="s">
        <v>1293</v>
      </c>
      <c r="T94" s="23" t="s">
        <v>1294</v>
      </c>
      <c r="U94" s="23" t="s">
        <v>3866</v>
      </c>
      <c r="V94" s="23" t="s">
        <v>3867</v>
      </c>
      <c r="W94" s="23" t="s">
        <v>4246</v>
      </c>
      <c r="X94" s="23" t="s">
        <v>4269</v>
      </c>
      <c r="Y94" s="23" t="s">
        <v>4292</v>
      </c>
      <c r="Z94" s="23" t="s">
        <v>3868</v>
      </c>
      <c r="AA94" s="23" t="s">
        <v>3869</v>
      </c>
      <c r="AB94" s="23" t="s">
        <v>3870</v>
      </c>
      <c r="AC94" s="23" t="s">
        <v>3871</v>
      </c>
      <c r="AD94" s="23" t="s">
        <v>3872</v>
      </c>
      <c r="AE94" s="23" t="s">
        <v>3873</v>
      </c>
      <c r="AF94" s="23" t="s">
        <v>3874</v>
      </c>
      <c r="AG94" s="23" t="s">
        <v>3875</v>
      </c>
      <c r="AH94" s="23" t="s">
        <v>3876</v>
      </c>
      <c r="AI94" s="23" t="s">
        <v>3877</v>
      </c>
      <c r="AJ94" s="23" t="s">
        <v>3878</v>
      </c>
    </row>
    <row r="95" spans="1:36" x14ac:dyDescent="0.3">
      <c r="A95" s="23" t="s">
        <v>299</v>
      </c>
      <c r="B95" s="23" t="s">
        <v>4448</v>
      </c>
      <c r="C95" s="23" t="s">
        <v>4224</v>
      </c>
      <c r="D95" s="23" t="s">
        <v>1295</v>
      </c>
      <c r="E95" s="23" t="s">
        <v>3879</v>
      </c>
      <c r="F95" s="23" t="s">
        <v>3880</v>
      </c>
      <c r="G95" s="23" t="s">
        <v>3881</v>
      </c>
      <c r="H95" s="23" t="s">
        <v>3882</v>
      </c>
      <c r="I95" s="23" t="s">
        <v>1296</v>
      </c>
      <c r="J95" s="23" t="s">
        <v>1297</v>
      </c>
      <c r="K95" s="23" t="s">
        <v>1298</v>
      </c>
      <c r="L95" s="23" t="s">
        <v>3883</v>
      </c>
      <c r="M95" s="23" t="s">
        <v>3884</v>
      </c>
      <c r="N95" s="23" t="s">
        <v>3885</v>
      </c>
      <c r="O95" s="23" t="s">
        <v>3886</v>
      </c>
      <c r="P95" s="23" t="s">
        <v>3887</v>
      </c>
      <c r="Q95" s="23" t="s">
        <v>3888</v>
      </c>
      <c r="R95" s="23" t="s">
        <v>3889</v>
      </c>
      <c r="S95" s="23" t="s">
        <v>1299</v>
      </c>
      <c r="T95" s="23" t="s">
        <v>1300</v>
      </c>
      <c r="U95" s="23" t="s">
        <v>3890</v>
      </c>
      <c r="V95" s="23" t="s">
        <v>3891</v>
      </c>
      <c r="W95" s="23" t="s">
        <v>4247</v>
      </c>
      <c r="X95" s="23" t="s">
        <v>4270</v>
      </c>
      <c r="Y95" s="23" t="s">
        <v>4293</v>
      </c>
      <c r="Z95" s="23" t="s">
        <v>3892</v>
      </c>
      <c r="AA95" s="23" t="s">
        <v>3893</v>
      </c>
      <c r="AB95" s="23" t="s">
        <v>3894</v>
      </c>
      <c r="AC95" s="23" t="s">
        <v>3895</v>
      </c>
      <c r="AD95" s="23" t="s">
        <v>3896</v>
      </c>
      <c r="AE95" s="23" t="s">
        <v>3897</v>
      </c>
      <c r="AF95" s="23" t="s">
        <v>3898</v>
      </c>
      <c r="AG95" s="23" t="s">
        <v>3899</v>
      </c>
      <c r="AH95" s="23" t="s">
        <v>3900</v>
      </c>
      <c r="AI95" s="23" t="s">
        <v>3901</v>
      </c>
      <c r="AJ95" s="23" t="s">
        <v>3902</v>
      </c>
    </row>
    <row r="96" spans="1:36" x14ac:dyDescent="0.3">
      <c r="A96" s="23" t="s">
        <v>299</v>
      </c>
      <c r="B96" s="23" t="s">
        <v>4449</v>
      </c>
      <c r="C96" s="23" t="s">
        <v>4225</v>
      </c>
      <c r="D96" s="23" t="s">
        <v>1301</v>
      </c>
      <c r="E96" s="23" t="s">
        <v>3903</v>
      </c>
      <c r="F96" s="23" t="s">
        <v>3904</v>
      </c>
      <c r="G96" s="23" t="s">
        <v>3905</v>
      </c>
      <c r="H96" s="23" t="s">
        <v>3906</v>
      </c>
      <c r="I96" s="23" t="s">
        <v>1302</v>
      </c>
      <c r="J96" s="23" t="s">
        <v>1303</v>
      </c>
      <c r="K96" s="23" t="s">
        <v>1304</v>
      </c>
      <c r="L96" s="23" t="s">
        <v>3907</v>
      </c>
      <c r="M96" s="23" t="s">
        <v>3908</v>
      </c>
      <c r="N96" s="23" t="s">
        <v>3909</v>
      </c>
      <c r="O96" s="23" t="s">
        <v>3910</v>
      </c>
      <c r="P96" s="23" t="s">
        <v>3911</v>
      </c>
      <c r="Q96" s="23" t="s">
        <v>3912</v>
      </c>
      <c r="R96" s="23" t="s">
        <v>3913</v>
      </c>
      <c r="S96" s="23" t="s">
        <v>1305</v>
      </c>
      <c r="T96" s="23" t="s">
        <v>1306</v>
      </c>
      <c r="U96" s="23" t="s">
        <v>3914</v>
      </c>
      <c r="V96" s="23" t="s">
        <v>3915</v>
      </c>
      <c r="W96" s="23" t="s">
        <v>4248</v>
      </c>
      <c r="X96" s="23" t="s">
        <v>4271</v>
      </c>
      <c r="Y96" s="23" t="s">
        <v>4294</v>
      </c>
      <c r="Z96" s="23" t="s">
        <v>3916</v>
      </c>
      <c r="AA96" s="23" t="s">
        <v>3917</v>
      </c>
      <c r="AB96" s="23" t="s">
        <v>3918</v>
      </c>
      <c r="AC96" s="23" t="s">
        <v>3919</v>
      </c>
      <c r="AD96" s="23" t="s">
        <v>3920</v>
      </c>
      <c r="AE96" s="23" t="s">
        <v>3921</v>
      </c>
      <c r="AF96" s="23" t="s">
        <v>3922</v>
      </c>
      <c r="AG96" s="23" t="s">
        <v>3923</v>
      </c>
      <c r="AH96" s="23" t="s">
        <v>3924</v>
      </c>
      <c r="AI96" s="23" t="s">
        <v>3925</v>
      </c>
      <c r="AJ96" s="23" t="s">
        <v>3926</v>
      </c>
    </row>
    <row r="97" spans="1:36" x14ac:dyDescent="0.3">
      <c r="A97" s="23" t="s">
        <v>299</v>
      </c>
      <c r="B97" s="23" t="s">
        <v>4450</v>
      </c>
      <c r="C97" s="23" t="s">
        <v>4226</v>
      </c>
      <c r="D97" s="23" t="s">
        <v>1307</v>
      </c>
      <c r="E97" s="23" t="s">
        <v>3927</v>
      </c>
      <c r="F97" s="23" t="s">
        <v>3928</v>
      </c>
      <c r="G97" s="23" t="s">
        <v>3929</v>
      </c>
      <c r="H97" s="23" t="s">
        <v>3930</v>
      </c>
      <c r="I97" s="23" t="s">
        <v>1308</v>
      </c>
      <c r="J97" s="23" t="s">
        <v>1309</v>
      </c>
      <c r="K97" s="23" t="s">
        <v>1310</v>
      </c>
      <c r="L97" s="23" t="s">
        <v>3931</v>
      </c>
      <c r="M97" s="23" t="s">
        <v>3932</v>
      </c>
      <c r="N97" s="23" t="s">
        <v>3933</v>
      </c>
      <c r="O97" s="23" t="s">
        <v>3934</v>
      </c>
      <c r="P97" s="23" t="s">
        <v>3935</v>
      </c>
      <c r="Q97" s="23" t="s">
        <v>3936</v>
      </c>
      <c r="R97" s="23" t="s">
        <v>3937</v>
      </c>
      <c r="S97" s="23" t="s">
        <v>1311</v>
      </c>
      <c r="T97" s="23" t="s">
        <v>1312</v>
      </c>
      <c r="U97" s="23" t="s">
        <v>3938</v>
      </c>
      <c r="V97" s="23" t="s">
        <v>3939</v>
      </c>
      <c r="W97" s="23" t="s">
        <v>4249</v>
      </c>
      <c r="X97" s="23" t="s">
        <v>4272</v>
      </c>
      <c r="Y97" s="23" t="s">
        <v>4295</v>
      </c>
      <c r="Z97" s="23" t="s">
        <v>3940</v>
      </c>
      <c r="AA97" s="23" t="s">
        <v>3941</v>
      </c>
      <c r="AB97" s="23" t="s">
        <v>3942</v>
      </c>
      <c r="AC97" s="23" t="s">
        <v>3943</v>
      </c>
      <c r="AD97" s="23" t="s">
        <v>3944</v>
      </c>
      <c r="AE97" s="23" t="s">
        <v>3945</v>
      </c>
      <c r="AF97" s="23" t="s">
        <v>3946</v>
      </c>
      <c r="AG97" s="23" t="s">
        <v>3947</v>
      </c>
      <c r="AH97" s="23" t="s">
        <v>3948</v>
      </c>
      <c r="AI97" s="23" t="s">
        <v>3949</v>
      </c>
      <c r="AJ97" s="23" t="s">
        <v>3950</v>
      </c>
    </row>
    <row r="98" spans="1:36" x14ac:dyDescent="0.3">
      <c r="A98" s="23" t="s">
        <v>299</v>
      </c>
      <c r="B98" s="23" t="s">
        <v>4451</v>
      </c>
      <c r="C98" s="23" t="s">
        <v>4227</v>
      </c>
      <c r="D98" s="23" t="s">
        <v>1313</v>
      </c>
      <c r="E98" s="23" t="s">
        <v>3951</v>
      </c>
      <c r="F98" s="23" t="s">
        <v>3952</v>
      </c>
      <c r="G98" s="23" t="s">
        <v>3953</v>
      </c>
      <c r="H98" s="23" t="s">
        <v>3954</v>
      </c>
      <c r="I98" s="23" t="s">
        <v>1314</v>
      </c>
      <c r="J98" s="23" t="s">
        <v>1315</v>
      </c>
      <c r="K98" s="23" t="s">
        <v>1316</v>
      </c>
      <c r="L98" s="23" t="s">
        <v>3955</v>
      </c>
      <c r="M98" s="23" t="s">
        <v>3956</v>
      </c>
      <c r="N98" s="23" t="s">
        <v>3957</v>
      </c>
      <c r="O98" s="23" t="s">
        <v>3958</v>
      </c>
      <c r="P98" s="23" t="s">
        <v>3959</v>
      </c>
      <c r="Q98" s="23" t="s">
        <v>3960</v>
      </c>
      <c r="R98" s="23" t="s">
        <v>3961</v>
      </c>
      <c r="S98" s="23" t="s">
        <v>1317</v>
      </c>
      <c r="T98" s="23" t="s">
        <v>1318</v>
      </c>
      <c r="U98" s="23" t="s">
        <v>3962</v>
      </c>
      <c r="V98" s="23" t="s">
        <v>3963</v>
      </c>
      <c r="W98" s="23" t="s">
        <v>4250</v>
      </c>
      <c r="X98" s="23" t="s">
        <v>4273</v>
      </c>
      <c r="Y98" s="23" t="s">
        <v>4296</v>
      </c>
      <c r="Z98" s="23" t="s">
        <v>3964</v>
      </c>
      <c r="AA98" s="23" t="s">
        <v>3965</v>
      </c>
      <c r="AB98" s="23" t="s">
        <v>3966</v>
      </c>
      <c r="AC98" s="23" t="s">
        <v>3967</v>
      </c>
      <c r="AD98" s="23" t="s">
        <v>3968</v>
      </c>
      <c r="AE98" s="23" t="s">
        <v>3969</v>
      </c>
      <c r="AF98" s="23" t="s">
        <v>3970</v>
      </c>
      <c r="AG98" s="23" t="s">
        <v>3971</v>
      </c>
      <c r="AH98" s="23" t="s">
        <v>3972</v>
      </c>
      <c r="AI98" s="23" t="s">
        <v>3973</v>
      </c>
      <c r="AJ98" s="23" t="s">
        <v>3974</v>
      </c>
    </row>
    <row r="99" spans="1:36" x14ac:dyDescent="0.3">
      <c r="A99" s="23" t="s">
        <v>299</v>
      </c>
      <c r="B99" s="23" t="s">
        <v>4452</v>
      </c>
      <c r="C99" s="23" t="s">
        <v>4228</v>
      </c>
      <c r="D99" s="23" t="s">
        <v>1319</v>
      </c>
      <c r="E99" s="23" t="s">
        <v>3975</v>
      </c>
      <c r="F99" s="23" t="s">
        <v>3976</v>
      </c>
      <c r="G99" s="23" t="s">
        <v>3977</v>
      </c>
      <c r="H99" s="23" t="s">
        <v>3978</v>
      </c>
      <c r="I99" s="23" t="s">
        <v>1320</v>
      </c>
      <c r="J99" s="23" t="s">
        <v>1321</v>
      </c>
      <c r="K99" s="23" t="s">
        <v>1322</v>
      </c>
      <c r="L99" s="23" t="s">
        <v>3979</v>
      </c>
      <c r="M99" s="23" t="s">
        <v>3980</v>
      </c>
      <c r="N99" s="23" t="s">
        <v>3981</v>
      </c>
      <c r="O99" s="23" t="s">
        <v>3982</v>
      </c>
      <c r="P99" s="23" t="s">
        <v>3983</v>
      </c>
      <c r="Q99" s="23" t="s">
        <v>3984</v>
      </c>
      <c r="R99" s="23" t="s">
        <v>3985</v>
      </c>
      <c r="S99" s="23" t="s">
        <v>1323</v>
      </c>
      <c r="T99" s="23" t="s">
        <v>1324</v>
      </c>
      <c r="U99" s="23" t="s">
        <v>3986</v>
      </c>
      <c r="V99" s="23" t="s">
        <v>3987</v>
      </c>
      <c r="W99" s="23" t="s">
        <v>4251</v>
      </c>
      <c r="X99" s="23" t="s">
        <v>4274</v>
      </c>
      <c r="Y99" s="23" t="s">
        <v>4297</v>
      </c>
      <c r="Z99" s="23" t="s">
        <v>3988</v>
      </c>
      <c r="AA99" s="23" t="s">
        <v>3989</v>
      </c>
      <c r="AB99" s="23" t="s">
        <v>3990</v>
      </c>
      <c r="AC99" s="23" t="s">
        <v>3991</v>
      </c>
      <c r="AD99" s="23" t="s">
        <v>3992</v>
      </c>
      <c r="AE99" s="23" t="s">
        <v>3993</v>
      </c>
      <c r="AF99" s="23" t="s">
        <v>3994</v>
      </c>
      <c r="AG99" s="23" t="s">
        <v>3995</v>
      </c>
      <c r="AH99" s="23" t="s">
        <v>3996</v>
      </c>
      <c r="AI99" s="23" t="s">
        <v>3997</v>
      </c>
      <c r="AJ99" s="23" t="s">
        <v>3998</v>
      </c>
    </row>
    <row r="100" spans="1:36" x14ac:dyDescent="0.3">
      <c r="A100" s="23" t="s">
        <v>299</v>
      </c>
      <c r="B100" s="23" t="s">
        <v>4453</v>
      </c>
      <c r="C100" s="23" t="s">
        <v>4229</v>
      </c>
      <c r="D100" s="23" t="s">
        <v>1325</v>
      </c>
      <c r="E100" s="23" t="s">
        <v>3999</v>
      </c>
      <c r="F100" s="23" t="s">
        <v>4000</v>
      </c>
      <c r="G100" s="23" t="s">
        <v>4001</v>
      </c>
      <c r="H100" s="23" t="s">
        <v>4002</v>
      </c>
      <c r="I100" s="23" t="s">
        <v>1326</v>
      </c>
      <c r="J100" s="23" t="s">
        <v>1327</v>
      </c>
      <c r="K100" s="23" t="s">
        <v>1328</v>
      </c>
      <c r="L100" s="23" t="s">
        <v>4003</v>
      </c>
      <c r="M100" s="23" t="s">
        <v>4004</v>
      </c>
      <c r="N100" s="23" t="s">
        <v>4005</v>
      </c>
      <c r="O100" s="23" t="s">
        <v>4006</v>
      </c>
      <c r="P100" s="23" t="s">
        <v>4007</v>
      </c>
      <c r="Q100" s="23" t="s">
        <v>4008</v>
      </c>
      <c r="R100" s="23" t="s">
        <v>4009</v>
      </c>
      <c r="S100" s="23" t="s">
        <v>1329</v>
      </c>
      <c r="T100" s="23" t="s">
        <v>1330</v>
      </c>
      <c r="U100" s="23" t="s">
        <v>4010</v>
      </c>
      <c r="V100" s="23" t="s">
        <v>4011</v>
      </c>
      <c r="W100" s="23" t="s">
        <v>4252</v>
      </c>
      <c r="X100" s="23" t="s">
        <v>4275</v>
      </c>
      <c r="Y100" s="23" t="s">
        <v>4298</v>
      </c>
      <c r="Z100" s="23" t="s">
        <v>4012</v>
      </c>
      <c r="AA100" s="23" t="s">
        <v>4013</v>
      </c>
      <c r="AB100" s="23" t="s">
        <v>4014</v>
      </c>
      <c r="AC100" s="23" t="s">
        <v>4015</v>
      </c>
      <c r="AD100" s="23" t="s">
        <v>4016</v>
      </c>
      <c r="AE100" s="23" t="s">
        <v>4017</v>
      </c>
      <c r="AF100" s="23" t="s">
        <v>4018</v>
      </c>
      <c r="AG100" s="23" t="s">
        <v>4019</v>
      </c>
      <c r="AH100" s="23" t="s">
        <v>4020</v>
      </c>
      <c r="AI100" s="23" t="s">
        <v>4021</v>
      </c>
      <c r="AJ100" s="23" t="s">
        <v>4022</v>
      </c>
    </row>
    <row r="101" spans="1:36" x14ac:dyDescent="0.3">
      <c r="A101" s="23" t="s">
        <v>299</v>
      </c>
      <c r="B101" s="23" t="s">
        <v>4454</v>
      </c>
      <c r="C101" s="23" t="s">
        <v>4230</v>
      </c>
      <c r="D101" s="23" t="s">
        <v>1331</v>
      </c>
      <c r="E101" s="23" t="s">
        <v>4023</v>
      </c>
      <c r="F101" s="23" t="s">
        <v>4024</v>
      </c>
      <c r="G101" s="23" t="s">
        <v>4025</v>
      </c>
      <c r="H101" s="23" t="s">
        <v>4026</v>
      </c>
      <c r="I101" s="23" t="s">
        <v>1332</v>
      </c>
      <c r="J101" s="23" t="s">
        <v>1333</v>
      </c>
      <c r="K101" s="23" t="s">
        <v>1334</v>
      </c>
      <c r="L101" s="23" t="s">
        <v>4027</v>
      </c>
      <c r="M101" s="23" t="s">
        <v>4028</v>
      </c>
      <c r="N101" s="23" t="s">
        <v>4029</v>
      </c>
      <c r="O101" s="23" t="s">
        <v>4030</v>
      </c>
      <c r="P101" s="23" t="s">
        <v>4031</v>
      </c>
      <c r="Q101" s="23" t="s">
        <v>4032</v>
      </c>
      <c r="R101" s="23" t="s">
        <v>4033</v>
      </c>
      <c r="S101" s="23" t="s">
        <v>1335</v>
      </c>
      <c r="T101" s="23" t="s">
        <v>1336</v>
      </c>
      <c r="U101" s="23" t="s">
        <v>4034</v>
      </c>
      <c r="V101" s="23" t="s">
        <v>4035</v>
      </c>
      <c r="W101" s="23" t="s">
        <v>4253</v>
      </c>
      <c r="X101" s="23" t="s">
        <v>4276</v>
      </c>
      <c r="Y101" s="23" t="s">
        <v>4299</v>
      </c>
      <c r="Z101" s="23" t="s">
        <v>4036</v>
      </c>
      <c r="AA101" s="23" t="s">
        <v>4037</v>
      </c>
      <c r="AB101" s="23" t="s">
        <v>4038</v>
      </c>
      <c r="AC101" s="23" t="s">
        <v>4039</v>
      </c>
      <c r="AD101" s="23" t="s">
        <v>4040</v>
      </c>
      <c r="AE101" s="23" t="s">
        <v>4041</v>
      </c>
      <c r="AF101" s="23" t="s">
        <v>4042</v>
      </c>
      <c r="AG101" s="23" t="s">
        <v>4043</v>
      </c>
      <c r="AH101" s="23" t="s">
        <v>4044</v>
      </c>
      <c r="AI101" s="23" t="s">
        <v>4045</v>
      </c>
      <c r="AJ101" s="23" t="s">
        <v>4046</v>
      </c>
    </row>
    <row r="102" spans="1:36" x14ac:dyDescent="0.3">
      <c r="A102" s="23" t="s">
        <v>299</v>
      </c>
      <c r="B102" s="23" t="s">
        <v>4455</v>
      </c>
      <c r="C102" s="23" t="s">
        <v>4231</v>
      </c>
      <c r="D102" s="23" t="s">
        <v>1337</v>
      </c>
      <c r="E102" s="23" t="s">
        <v>4047</v>
      </c>
      <c r="F102" s="23" t="s">
        <v>4048</v>
      </c>
      <c r="G102" s="23" t="s">
        <v>4049</v>
      </c>
      <c r="H102" s="23" t="s">
        <v>4050</v>
      </c>
      <c r="I102" s="23" t="s">
        <v>1338</v>
      </c>
      <c r="J102" s="23" t="s">
        <v>1339</v>
      </c>
      <c r="K102" s="23" t="s">
        <v>1340</v>
      </c>
      <c r="L102" s="23" t="s">
        <v>4051</v>
      </c>
      <c r="M102" s="23" t="s">
        <v>4052</v>
      </c>
      <c r="N102" s="23" t="s">
        <v>4053</v>
      </c>
      <c r="O102" s="23" t="s">
        <v>4054</v>
      </c>
      <c r="P102" s="23" t="s">
        <v>4055</v>
      </c>
      <c r="Q102" s="23" t="s">
        <v>4056</v>
      </c>
      <c r="R102" s="23" t="s">
        <v>4057</v>
      </c>
      <c r="S102" s="23" t="s">
        <v>1341</v>
      </c>
      <c r="T102" s="23" t="s">
        <v>1342</v>
      </c>
      <c r="U102" s="23" t="s">
        <v>4058</v>
      </c>
      <c r="V102" s="23" t="s">
        <v>4059</v>
      </c>
      <c r="W102" s="23" t="s">
        <v>4254</v>
      </c>
      <c r="X102" s="23" t="s">
        <v>4277</v>
      </c>
      <c r="Y102" s="23" t="s">
        <v>4300</v>
      </c>
      <c r="Z102" s="23" t="s">
        <v>4060</v>
      </c>
      <c r="AA102" s="23" t="s">
        <v>4061</v>
      </c>
      <c r="AB102" s="23" t="s">
        <v>4062</v>
      </c>
      <c r="AC102" s="23" t="s">
        <v>4063</v>
      </c>
      <c r="AD102" s="23" t="s">
        <v>4064</v>
      </c>
      <c r="AE102" s="23" t="s">
        <v>4065</v>
      </c>
      <c r="AF102" s="23" t="s">
        <v>4066</v>
      </c>
      <c r="AG102" s="23" t="s">
        <v>4067</v>
      </c>
      <c r="AH102" s="23" t="s">
        <v>4068</v>
      </c>
      <c r="AI102" s="23" t="s">
        <v>4069</v>
      </c>
      <c r="AJ102" s="23" t="s">
        <v>4070</v>
      </c>
    </row>
    <row r="103" spans="1:36" x14ac:dyDescent="0.3">
      <c r="A103" s="23" t="s">
        <v>299</v>
      </c>
      <c r="B103" s="23" t="s">
        <v>4456</v>
      </c>
      <c r="C103" s="23" t="s">
        <v>4232</v>
      </c>
      <c r="D103" s="23" t="s">
        <v>1343</v>
      </c>
      <c r="E103" s="23" t="s">
        <v>4071</v>
      </c>
      <c r="F103" s="23" t="s">
        <v>4072</v>
      </c>
      <c r="G103" s="23" t="s">
        <v>4073</v>
      </c>
      <c r="H103" s="23" t="s">
        <v>4074</v>
      </c>
      <c r="I103" s="23" t="s">
        <v>1344</v>
      </c>
      <c r="J103" s="23" t="s">
        <v>1345</v>
      </c>
      <c r="K103" s="23" t="s">
        <v>1346</v>
      </c>
      <c r="L103" s="23" t="s">
        <v>4075</v>
      </c>
      <c r="M103" s="23" t="s">
        <v>4076</v>
      </c>
      <c r="N103" s="23" t="s">
        <v>4077</v>
      </c>
      <c r="O103" s="23" t="s">
        <v>4078</v>
      </c>
      <c r="P103" s="23" t="s">
        <v>4079</v>
      </c>
      <c r="Q103" s="23" t="s">
        <v>4080</v>
      </c>
      <c r="R103" s="23" t="s">
        <v>4081</v>
      </c>
      <c r="S103" s="23" t="s">
        <v>1347</v>
      </c>
      <c r="T103" s="23" t="s">
        <v>1348</v>
      </c>
      <c r="U103" s="23" t="s">
        <v>4082</v>
      </c>
      <c r="V103" s="23" t="s">
        <v>4083</v>
      </c>
      <c r="W103" s="23" t="s">
        <v>4255</v>
      </c>
      <c r="X103" s="23" t="s">
        <v>4278</v>
      </c>
      <c r="Y103" s="23" t="s">
        <v>4301</v>
      </c>
      <c r="Z103" s="23" t="s">
        <v>4084</v>
      </c>
      <c r="AA103" s="23" t="s">
        <v>4085</v>
      </c>
      <c r="AB103" s="23" t="s">
        <v>4086</v>
      </c>
      <c r="AC103" s="23" t="s">
        <v>4087</v>
      </c>
      <c r="AD103" s="23" t="s">
        <v>4088</v>
      </c>
      <c r="AE103" s="23" t="s">
        <v>4089</v>
      </c>
      <c r="AF103" s="23" t="s">
        <v>4090</v>
      </c>
      <c r="AG103" s="23" t="s">
        <v>4091</v>
      </c>
      <c r="AH103" s="23" t="s">
        <v>4092</v>
      </c>
      <c r="AI103" s="23" t="s">
        <v>4093</v>
      </c>
      <c r="AJ103" s="23" t="s">
        <v>4094</v>
      </c>
    </row>
    <row r="104" spans="1:36" x14ac:dyDescent="0.3">
      <c r="A104" s="23" t="s">
        <v>299</v>
      </c>
      <c r="B104" s="23" t="s">
        <v>4457</v>
      </c>
      <c r="C104" s="23" t="s">
        <v>4233</v>
      </c>
      <c r="D104" s="23" t="s">
        <v>1349</v>
      </c>
      <c r="E104" s="23" t="s">
        <v>4095</v>
      </c>
      <c r="F104" s="23" t="s">
        <v>4096</v>
      </c>
      <c r="G104" s="23" t="s">
        <v>4097</v>
      </c>
      <c r="H104" s="23" t="s">
        <v>4098</v>
      </c>
      <c r="I104" s="23" t="s">
        <v>1350</v>
      </c>
      <c r="J104" s="23" t="s">
        <v>1351</v>
      </c>
      <c r="K104" s="23" t="s">
        <v>1352</v>
      </c>
      <c r="L104" s="23" t="s">
        <v>4099</v>
      </c>
      <c r="M104" s="23" t="s">
        <v>4100</v>
      </c>
      <c r="N104" s="23" t="s">
        <v>4101</v>
      </c>
      <c r="O104" s="23" t="s">
        <v>4102</v>
      </c>
      <c r="P104" s="23" t="s">
        <v>4103</v>
      </c>
      <c r="Q104" s="23" t="s">
        <v>4104</v>
      </c>
      <c r="R104" s="23" t="s">
        <v>4105</v>
      </c>
      <c r="S104" s="23" t="s">
        <v>1353</v>
      </c>
      <c r="T104" s="23" t="s">
        <v>1354</v>
      </c>
      <c r="U104" s="23" t="s">
        <v>4106</v>
      </c>
      <c r="V104" s="23" t="s">
        <v>4107</v>
      </c>
      <c r="W104" s="23" t="s">
        <v>4256</v>
      </c>
      <c r="X104" s="23" t="s">
        <v>4279</v>
      </c>
      <c r="Y104" s="23" t="s">
        <v>4302</v>
      </c>
      <c r="Z104" s="23" t="s">
        <v>4108</v>
      </c>
      <c r="AA104" s="23" t="s">
        <v>4109</v>
      </c>
      <c r="AB104" s="23" t="s">
        <v>4110</v>
      </c>
      <c r="AC104" s="23" t="s">
        <v>4111</v>
      </c>
      <c r="AD104" s="23" t="s">
        <v>4112</v>
      </c>
      <c r="AE104" s="23" t="s">
        <v>4113</v>
      </c>
      <c r="AF104" s="23" t="s">
        <v>4114</v>
      </c>
      <c r="AG104" s="23" t="s">
        <v>4115</v>
      </c>
      <c r="AH104" s="23" t="s">
        <v>4116</v>
      </c>
      <c r="AI104" s="23" t="s">
        <v>4117</v>
      </c>
      <c r="AJ104" s="23" t="s">
        <v>4118</v>
      </c>
    </row>
    <row r="105" spans="1:36" x14ac:dyDescent="0.3">
      <c r="A105" s="23" t="s">
        <v>299</v>
      </c>
      <c r="B105" s="23" t="s">
        <v>4458</v>
      </c>
      <c r="C105" s="23" t="s">
        <v>4234</v>
      </c>
      <c r="D105" s="23" t="s">
        <v>1355</v>
      </c>
      <c r="E105" s="23" t="s">
        <v>4119</v>
      </c>
      <c r="F105" s="23" t="s">
        <v>4120</v>
      </c>
      <c r="G105" s="23" t="s">
        <v>4121</v>
      </c>
      <c r="H105" s="23" t="s">
        <v>4122</v>
      </c>
      <c r="I105" s="23" t="s">
        <v>1356</v>
      </c>
      <c r="J105" s="23" t="s">
        <v>1357</v>
      </c>
      <c r="K105" s="23" t="s">
        <v>1358</v>
      </c>
      <c r="L105" s="23" t="s">
        <v>4123</v>
      </c>
      <c r="M105" s="23" t="s">
        <v>4124</v>
      </c>
      <c r="N105" s="23" t="s">
        <v>4125</v>
      </c>
      <c r="O105" s="23" t="s">
        <v>4126</v>
      </c>
      <c r="P105" s="23" t="s">
        <v>4127</v>
      </c>
      <c r="Q105" s="23" t="s">
        <v>4128</v>
      </c>
      <c r="R105" s="23" t="s">
        <v>4129</v>
      </c>
      <c r="S105" s="23" t="s">
        <v>1359</v>
      </c>
      <c r="T105" s="23" t="s">
        <v>1360</v>
      </c>
      <c r="U105" s="23" t="s">
        <v>4130</v>
      </c>
      <c r="V105" s="23" t="s">
        <v>4131</v>
      </c>
      <c r="W105" s="23" t="s">
        <v>4257</v>
      </c>
      <c r="X105" s="23" t="s">
        <v>4280</v>
      </c>
      <c r="Y105" s="23" t="s">
        <v>4303</v>
      </c>
      <c r="Z105" s="23" t="s">
        <v>4132</v>
      </c>
      <c r="AA105" s="23" t="s">
        <v>4133</v>
      </c>
      <c r="AB105" s="23" t="s">
        <v>4134</v>
      </c>
      <c r="AC105" s="23" t="s">
        <v>4135</v>
      </c>
      <c r="AD105" s="23" t="s">
        <v>4136</v>
      </c>
      <c r="AE105" s="23" t="s">
        <v>4137</v>
      </c>
      <c r="AF105" s="23" t="s">
        <v>4138</v>
      </c>
      <c r="AG105" s="23" t="s">
        <v>4139</v>
      </c>
      <c r="AH105" s="23" t="s">
        <v>4140</v>
      </c>
      <c r="AI105" s="23" t="s">
        <v>4141</v>
      </c>
      <c r="AJ105" s="23" t="s">
        <v>4142</v>
      </c>
    </row>
    <row r="106" spans="1:36" x14ac:dyDescent="0.3">
      <c r="A106" s="23" t="s">
        <v>299</v>
      </c>
      <c r="B106" s="23" t="s">
        <v>4459</v>
      </c>
      <c r="C106" s="23" t="s">
        <v>4235</v>
      </c>
      <c r="D106" s="23" t="s">
        <v>1361</v>
      </c>
      <c r="E106" s="23" t="s">
        <v>4143</v>
      </c>
      <c r="F106" s="23" t="s">
        <v>4144</v>
      </c>
      <c r="G106" s="23" t="s">
        <v>4145</v>
      </c>
      <c r="H106" s="23" t="s">
        <v>4146</v>
      </c>
      <c r="I106" s="23" t="s">
        <v>1362</v>
      </c>
      <c r="J106" s="23" t="s">
        <v>1363</v>
      </c>
      <c r="K106" s="23" t="s">
        <v>1364</v>
      </c>
      <c r="L106" s="23" t="s">
        <v>4147</v>
      </c>
      <c r="M106" s="23" t="s">
        <v>4148</v>
      </c>
      <c r="N106" s="23" t="s">
        <v>4149</v>
      </c>
      <c r="O106" s="23" t="s">
        <v>4150</v>
      </c>
      <c r="P106" s="23" t="s">
        <v>4151</v>
      </c>
      <c r="Q106" s="23" t="s">
        <v>4152</v>
      </c>
      <c r="R106" s="23" t="s">
        <v>4153</v>
      </c>
      <c r="S106" s="23" t="s">
        <v>1365</v>
      </c>
      <c r="T106" s="23" t="s">
        <v>1366</v>
      </c>
      <c r="U106" s="23" t="s">
        <v>4154</v>
      </c>
      <c r="V106" s="23" t="s">
        <v>4155</v>
      </c>
      <c r="W106" s="23" t="s">
        <v>4258</v>
      </c>
      <c r="X106" s="23" t="s">
        <v>4281</v>
      </c>
      <c r="Y106" s="23" t="s">
        <v>4304</v>
      </c>
      <c r="Z106" s="23" t="s">
        <v>4156</v>
      </c>
      <c r="AA106" s="23" t="s">
        <v>4157</v>
      </c>
      <c r="AB106" s="23" t="s">
        <v>4158</v>
      </c>
      <c r="AC106" s="23" t="s">
        <v>4159</v>
      </c>
      <c r="AD106" s="23" t="s">
        <v>4160</v>
      </c>
      <c r="AE106" s="23" t="s">
        <v>4161</v>
      </c>
      <c r="AF106" s="23" t="s">
        <v>4162</v>
      </c>
      <c r="AG106" s="23" t="s">
        <v>4163</v>
      </c>
      <c r="AH106" s="23" t="s">
        <v>4164</v>
      </c>
      <c r="AI106" s="23" t="s">
        <v>4165</v>
      </c>
      <c r="AJ106" s="23" t="s">
        <v>4166</v>
      </c>
    </row>
    <row r="107" spans="1:36" x14ac:dyDescent="0.3">
      <c r="A107" s="23" t="s">
        <v>299</v>
      </c>
      <c r="B107" s="23" t="s">
        <v>4460</v>
      </c>
      <c r="C107" s="23" t="s">
        <v>4236</v>
      </c>
      <c r="D107" s="23" t="s">
        <v>1367</v>
      </c>
      <c r="E107" s="23" t="s">
        <v>4167</v>
      </c>
      <c r="F107" s="23" t="s">
        <v>4168</v>
      </c>
      <c r="G107" s="23" t="s">
        <v>4169</v>
      </c>
      <c r="H107" s="23" t="s">
        <v>4170</v>
      </c>
      <c r="I107" s="23" t="s">
        <v>1368</v>
      </c>
      <c r="J107" s="23" t="s">
        <v>1369</v>
      </c>
      <c r="K107" s="23" t="s">
        <v>1370</v>
      </c>
      <c r="L107" s="23" t="s">
        <v>4171</v>
      </c>
      <c r="M107" s="23" t="s">
        <v>4172</v>
      </c>
      <c r="N107" s="23" t="s">
        <v>4173</v>
      </c>
      <c r="O107" s="23" t="s">
        <v>4174</v>
      </c>
      <c r="P107" s="23" t="s">
        <v>4175</v>
      </c>
      <c r="Q107" s="23" t="s">
        <v>4176</v>
      </c>
      <c r="R107" s="23" t="s">
        <v>4177</v>
      </c>
      <c r="S107" s="23" t="s">
        <v>1371</v>
      </c>
      <c r="T107" s="23" t="s">
        <v>1372</v>
      </c>
      <c r="U107" s="23" t="s">
        <v>4178</v>
      </c>
      <c r="V107" s="23" t="s">
        <v>4179</v>
      </c>
      <c r="W107" s="23" t="s">
        <v>4259</v>
      </c>
      <c r="X107" s="23" t="s">
        <v>4282</v>
      </c>
      <c r="Y107" s="23" t="s">
        <v>4305</v>
      </c>
      <c r="Z107" s="23" t="s">
        <v>4180</v>
      </c>
      <c r="AA107" s="23" t="s">
        <v>4181</v>
      </c>
      <c r="AB107" s="23" t="s">
        <v>4182</v>
      </c>
      <c r="AC107" s="23" t="s">
        <v>4183</v>
      </c>
      <c r="AD107" s="23" t="s">
        <v>4184</v>
      </c>
      <c r="AE107" s="23" t="s">
        <v>4185</v>
      </c>
      <c r="AF107" s="23" t="s">
        <v>4186</v>
      </c>
      <c r="AG107" s="23" t="s">
        <v>4187</v>
      </c>
      <c r="AH107" s="23" t="s">
        <v>4188</v>
      </c>
      <c r="AI107" s="23" t="s">
        <v>4189</v>
      </c>
      <c r="AJ107" s="23" t="s">
        <v>4190</v>
      </c>
    </row>
    <row r="108" spans="1:36" x14ac:dyDescent="0.3">
      <c r="A108" s="23" t="s">
        <v>299</v>
      </c>
      <c r="B108" s="23" t="s">
        <v>4461</v>
      </c>
      <c r="C108" s="23" t="s">
        <v>4237</v>
      </c>
      <c r="D108" s="23" t="s">
        <v>1373</v>
      </c>
      <c r="E108" s="23" t="s">
        <v>4191</v>
      </c>
      <c r="F108" s="23" t="s">
        <v>4192</v>
      </c>
      <c r="G108" s="23" t="s">
        <v>4193</v>
      </c>
      <c r="H108" s="23" t="s">
        <v>4194</v>
      </c>
      <c r="I108" s="23" t="s">
        <v>1374</v>
      </c>
      <c r="J108" s="23" t="s">
        <v>1375</v>
      </c>
      <c r="K108" s="23" t="s">
        <v>1376</v>
      </c>
      <c r="L108" s="23" t="s">
        <v>4195</v>
      </c>
      <c r="M108" s="23" t="s">
        <v>4196</v>
      </c>
      <c r="N108" s="23" t="s">
        <v>4197</v>
      </c>
      <c r="O108" s="23" t="s">
        <v>4198</v>
      </c>
      <c r="P108" s="23" t="s">
        <v>4199</v>
      </c>
      <c r="Q108" s="23" t="s">
        <v>4200</v>
      </c>
      <c r="R108" s="23" t="s">
        <v>4201</v>
      </c>
      <c r="S108" s="23" t="s">
        <v>1377</v>
      </c>
      <c r="T108" s="23" t="s">
        <v>1378</v>
      </c>
      <c r="U108" s="23" t="s">
        <v>4202</v>
      </c>
      <c r="V108" s="23" t="s">
        <v>4203</v>
      </c>
      <c r="W108" s="23" t="s">
        <v>4260</v>
      </c>
      <c r="X108" s="23" t="s">
        <v>4283</v>
      </c>
      <c r="Y108" s="23" t="s">
        <v>4306</v>
      </c>
      <c r="Z108" s="23" t="s">
        <v>4204</v>
      </c>
      <c r="AA108" s="23" t="s">
        <v>4205</v>
      </c>
      <c r="AB108" s="23" t="s">
        <v>4206</v>
      </c>
      <c r="AC108" s="23" t="s">
        <v>4207</v>
      </c>
      <c r="AD108" s="23" t="s">
        <v>4208</v>
      </c>
      <c r="AE108" s="23" t="s">
        <v>4209</v>
      </c>
      <c r="AF108" s="23" t="s">
        <v>4210</v>
      </c>
      <c r="AG108" s="23" t="s">
        <v>4211</v>
      </c>
      <c r="AH108" s="23" t="s">
        <v>4212</v>
      </c>
      <c r="AI108" s="23" t="s">
        <v>4213</v>
      </c>
      <c r="AJ108" s="23" t="s">
        <v>4214</v>
      </c>
    </row>
    <row r="110" spans="1:36" x14ac:dyDescent="0.3">
      <c r="Y110" s="23" t="s">
        <v>43</v>
      </c>
      <c r="Z110" s="23" t="s">
        <v>4462</v>
      </c>
      <c r="AA110" s="23" t="s">
        <v>4463</v>
      </c>
      <c r="AB110" s="23" t="s">
        <v>4464</v>
      </c>
      <c r="AC110" s="23" t="s">
        <v>4465</v>
      </c>
      <c r="AD110" s="23" t="s">
        <v>4466</v>
      </c>
      <c r="AE110" s="23" t="s">
        <v>4467</v>
      </c>
      <c r="AF110" s="23" t="s">
        <v>4468</v>
      </c>
      <c r="AG110" s="23" t="s">
        <v>4469</v>
      </c>
      <c r="AH110" s="23" t="s">
        <v>4470</v>
      </c>
      <c r="AI110" s="23" t="s">
        <v>4471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9C59D-1EC8-4C67-9650-4378ACBDDE83}">
  <dimension ref="A1:X7"/>
  <sheetViews>
    <sheetView workbookViewId="0"/>
  </sheetViews>
  <sheetFormatPr baseColWidth="10" defaultRowHeight="14.4" x14ac:dyDescent="0.3"/>
  <sheetData>
    <row r="1" spans="1:24" x14ac:dyDescent="0.3">
      <c r="A1" s="23" t="s">
        <v>4474</v>
      </c>
      <c r="B1" s="23" t="s">
        <v>72</v>
      </c>
      <c r="C1" s="23" t="s">
        <v>4</v>
      </c>
      <c r="D1" s="23" t="s">
        <v>4</v>
      </c>
      <c r="E1" s="23" t="s">
        <v>15</v>
      </c>
      <c r="F1" s="23" t="s">
        <v>15</v>
      </c>
      <c r="G1" s="23" t="s">
        <v>15</v>
      </c>
      <c r="H1" s="23" t="s">
        <v>15</v>
      </c>
      <c r="I1" s="23" t="s">
        <v>15</v>
      </c>
      <c r="J1" s="23" t="s">
        <v>15</v>
      </c>
      <c r="K1" s="23" t="s">
        <v>15</v>
      </c>
      <c r="L1" s="23" t="s">
        <v>15</v>
      </c>
      <c r="M1" s="23" t="s">
        <v>15</v>
      </c>
      <c r="N1" s="23" t="s">
        <v>15</v>
      </c>
      <c r="O1" s="23" t="s">
        <v>15</v>
      </c>
      <c r="P1" s="23" t="s">
        <v>15</v>
      </c>
      <c r="Q1" s="23" t="s">
        <v>15</v>
      </c>
      <c r="R1" s="23" t="s">
        <v>15</v>
      </c>
      <c r="S1" s="23" t="s">
        <v>15</v>
      </c>
      <c r="T1" s="23" t="s">
        <v>15</v>
      </c>
      <c r="U1" s="23" t="s">
        <v>15</v>
      </c>
      <c r="V1" s="23" t="s">
        <v>15</v>
      </c>
      <c r="W1" s="23" t="s">
        <v>15</v>
      </c>
      <c r="X1" s="23" t="s">
        <v>15</v>
      </c>
    </row>
    <row r="2" spans="1:24" x14ac:dyDescent="0.3">
      <c r="K2" s="23" t="s">
        <v>55</v>
      </c>
      <c r="Q2" s="23" t="s">
        <v>56</v>
      </c>
    </row>
    <row r="3" spans="1:24" x14ac:dyDescent="0.3">
      <c r="E3" s="23" t="s">
        <v>19</v>
      </c>
      <c r="F3" s="23" t="s">
        <v>16</v>
      </c>
      <c r="G3" s="23" t="s">
        <v>57</v>
      </c>
      <c r="H3" s="23" t="s">
        <v>73</v>
      </c>
      <c r="I3" s="23" t="s">
        <v>69</v>
      </c>
      <c r="J3" s="23" t="s">
        <v>58</v>
      </c>
      <c r="K3" s="23" t="s">
        <v>25</v>
      </c>
      <c r="L3" s="23" t="s">
        <v>27</v>
      </c>
      <c r="M3" s="23" t="s">
        <v>59</v>
      </c>
      <c r="N3" s="23" t="s">
        <v>29</v>
      </c>
      <c r="O3" s="23" t="s">
        <v>30</v>
      </c>
      <c r="P3" s="23" t="s">
        <v>60</v>
      </c>
      <c r="Q3" s="23" t="s">
        <v>25</v>
      </c>
      <c r="R3" s="23" t="s">
        <v>27</v>
      </c>
      <c r="S3" s="23" t="s">
        <v>59</v>
      </c>
      <c r="T3" s="23" t="s">
        <v>29</v>
      </c>
      <c r="U3" s="23" t="s">
        <v>30</v>
      </c>
      <c r="V3" s="23" t="s">
        <v>60</v>
      </c>
      <c r="W3" s="23" t="s">
        <v>31</v>
      </c>
      <c r="X3" s="23" t="s">
        <v>41</v>
      </c>
    </row>
    <row r="4" spans="1:24" x14ac:dyDescent="0.3">
      <c r="B4" s="23" t="s">
        <v>223</v>
      </c>
      <c r="C4" s="23" t="s">
        <v>328</v>
      </c>
      <c r="D4" s="23" t="s">
        <v>224</v>
      </c>
      <c r="E4" s="23" t="s">
        <v>225</v>
      </c>
      <c r="F4" s="23" t="s">
        <v>226</v>
      </c>
      <c r="G4" s="23" t="s">
        <v>227</v>
      </c>
      <c r="H4" s="23" t="s">
        <v>228</v>
      </c>
      <c r="I4" s="23" t="s">
        <v>229</v>
      </c>
      <c r="J4" s="23" t="s">
        <v>230</v>
      </c>
      <c r="K4" s="23" t="s">
        <v>231</v>
      </c>
      <c r="L4" s="23" t="s">
        <v>232</v>
      </c>
      <c r="M4" s="23" t="s">
        <v>233</v>
      </c>
      <c r="N4" s="23" t="s">
        <v>234</v>
      </c>
      <c r="O4" s="23" t="s">
        <v>235</v>
      </c>
      <c r="P4" s="23" t="s">
        <v>236</v>
      </c>
      <c r="Q4" s="23" t="s">
        <v>237</v>
      </c>
      <c r="R4" s="23" t="s">
        <v>238</v>
      </c>
      <c r="S4" s="23" t="s">
        <v>239</v>
      </c>
      <c r="T4" s="23" t="s">
        <v>240</v>
      </c>
      <c r="U4" s="23" t="s">
        <v>241</v>
      </c>
      <c r="V4" s="23" t="s">
        <v>242</v>
      </c>
      <c r="W4" s="23" t="s">
        <v>243</v>
      </c>
      <c r="X4" s="23" t="s">
        <v>244</v>
      </c>
    </row>
    <row r="5" spans="1:24" x14ac:dyDescent="0.3">
      <c r="B5" s="23" t="s">
        <v>245</v>
      </c>
      <c r="C5" s="23" t="s">
        <v>246</v>
      </c>
      <c r="E5" s="23" t="s">
        <v>247</v>
      </c>
      <c r="F5" s="23" t="s">
        <v>248</v>
      </c>
      <c r="G5" s="23" t="s">
        <v>249</v>
      </c>
      <c r="H5" s="23" t="s">
        <v>250</v>
      </c>
      <c r="I5" s="23" t="s">
        <v>251</v>
      </c>
      <c r="X5" s="23" t="s">
        <v>252</v>
      </c>
    </row>
    <row r="7" spans="1:24" x14ac:dyDescent="0.3">
      <c r="W7" s="23" t="s">
        <v>43</v>
      </c>
      <c r="X7" s="23" t="s">
        <v>253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5470-ED5E-49F8-A028-33FA0CE2C289}">
  <dimension ref="A1:H7"/>
  <sheetViews>
    <sheetView workbookViewId="0"/>
  </sheetViews>
  <sheetFormatPr baseColWidth="10" defaultRowHeight="14.4" x14ac:dyDescent="0.3"/>
  <sheetData>
    <row r="1" spans="1:8" x14ac:dyDescent="0.3">
      <c r="A1" s="23" t="s">
        <v>4484</v>
      </c>
      <c r="B1" s="23" t="s">
        <v>4</v>
      </c>
      <c r="C1" s="23" t="s">
        <v>15</v>
      </c>
      <c r="D1" s="23" t="s">
        <v>15</v>
      </c>
      <c r="E1" s="23" t="s">
        <v>15</v>
      </c>
      <c r="F1" s="23" t="s">
        <v>15</v>
      </c>
      <c r="G1" s="23" t="s">
        <v>15</v>
      </c>
      <c r="H1" s="23" t="s">
        <v>15</v>
      </c>
    </row>
    <row r="2" spans="1:8" x14ac:dyDescent="0.3">
      <c r="C2" s="23" t="s">
        <v>19</v>
      </c>
      <c r="D2" s="23" t="s">
        <v>16</v>
      </c>
      <c r="E2" s="23" t="s">
        <v>61</v>
      </c>
      <c r="F2" s="23" t="s">
        <v>36</v>
      </c>
      <c r="G2" s="23" t="s">
        <v>37</v>
      </c>
      <c r="H2" s="23" t="s">
        <v>62</v>
      </c>
    </row>
    <row r="3" spans="1:8" x14ac:dyDescent="0.3">
      <c r="B3" s="23" t="s">
        <v>285</v>
      </c>
      <c r="C3" s="23" t="s">
        <v>286</v>
      </c>
      <c r="D3" s="23" t="s">
        <v>287</v>
      </c>
      <c r="E3" s="23" t="s">
        <v>288</v>
      </c>
      <c r="F3" s="23" t="s">
        <v>289</v>
      </c>
      <c r="G3" s="23" t="s">
        <v>290</v>
      </c>
      <c r="H3" s="23" t="s">
        <v>86</v>
      </c>
    </row>
    <row r="4" spans="1:8" x14ac:dyDescent="0.3">
      <c r="A4" s="23" t="s">
        <v>299</v>
      </c>
      <c r="B4" s="23" t="s">
        <v>4476</v>
      </c>
      <c r="C4" s="23" t="s">
        <v>4307</v>
      </c>
      <c r="D4" s="23" t="s">
        <v>4308</v>
      </c>
      <c r="E4" s="23" t="s">
        <v>4309</v>
      </c>
      <c r="F4" s="23" t="s">
        <v>4310</v>
      </c>
      <c r="G4" s="23" t="s">
        <v>4311</v>
      </c>
      <c r="H4" s="23" t="s">
        <v>319</v>
      </c>
    </row>
    <row r="5" spans="1:8" x14ac:dyDescent="0.3">
      <c r="A5" s="23" t="s">
        <v>299</v>
      </c>
      <c r="B5" s="23" t="s">
        <v>4477</v>
      </c>
      <c r="C5" s="23" t="s">
        <v>4480</v>
      </c>
      <c r="D5" s="23" t="s">
        <v>4478</v>
      </c>
      <c r="E5" s="23" t="s">
        <v>4481</v>
      </c>
      <c r="F5" s="23" t="s">
        <v>4482</v>
      </c>
      <c r="G5" s="23" t="s">
        <v>4483</v>
      </c>
      <c r="H5" s="23" t="s">
        <v>346</v>
      </c>
    </row>
    <row r="7" spans="1:8" x14ac:dyDescent="0.3">
      <c r="G7" s="23" t="s">
        <v>43</v>
      </c>
      <c r="H7" s="23" t="s">
        <v>4479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B7EB0-DF7A-4F41-BF85-3FF45AF21BEB}">
  <dimension ref="A1:H5"/>
  <sheetViews>
    <sheetView workbookViewId="0"/>
  </sheetViews>
  <sheetFormatPr baseColWidth="10" defaultRowHeight="14.4" x14ac:dyDescent="0.3"/>
  <sheetData>
    <row r="1" spans="1:8" x14ac:dyDescent="0.3">
      <c r="A1" s="23" t="s">
        <v>4486</v>
      </c>
      <c r="B1" s="23" t="s">
        <v>4</v>
      </c>
      <c r="C1" s="23" t="s">
        <v>4</v>
      </c>
      <c r="D1" s="23" t="s">
        <v>15</v>
      </c>
      <c r="E1" s="23" t="s">
        <v>15</v>
      </c>
      <c r="F1" s="23" t="s">
        <v>15</v>
      </c>
      <c r="G1" s="23" t="s">
        <v>15</v>
      </c>
      <c r="H1" s="23" t="s">
        <v>15</v>
      </c>
    </row>
    <row r="2" spans="1:8" x14ac:dyDescent="0.3">
      <c r="D2" s="23" t="s">
        <v>19</v>
      </c>
      <c r="E2" s="23" t="s">
        <v>16</v>
      </c>
      <c r="F2" s="23" t="s">
        <v>36</v>
      </c>
      <c r="G2" s="23" t="s">
        <v>37</v>
      </c>
      <c r="H2" s="23" t="s">
        <v>62</v>
      </c>
    </row>
    <row r="3" spans="1:8" x14ac:dyDescent="0.3">
      <c r="B3" s="23" t="s">
        <v>315</v>
      </c>
      <c r="C3" s="23" t="s">
        <v>311</v>
      </c>
      <c r="D3" s="23" t="s">
        <v>286</v>
      </c>
      <c r="E3" s="23" t="s">
        <v>312</v>
      </c>
      <c r="F3" s="23" t="s">
        <v>317</v>
      </c>
      <c r="G3" s="23" t="s">
        <v>290</v>
      </c>
      <c r="H3" s="23" t="s">
        <v>86</v>
      </c>
    </row>
    <row r="5" spans="1:8" x14ac:dyDescent="0.3">
      <c r="G5" s="23" t="s">
        <v>43</v>
      </c>
      <c r="H5" s="23" t="s">
        <v>291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730db8-e339-4070-9a40-14345e58ba8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7E496E75F43449807DA20AEA9E5BD1" ma:contentTypeVersion="9" ma:contentTypeDescription="Crear nuevo documento." ma:contentTypeScope="" ma:versionID="bd36b69422572bc71ef08c610672583f">
  <xsd:schema xmlns:xsd="http://www.w3.org/2001/XMLSchema" xmlns:xs="http://www.w3.org/2001/XMLSchema" xmlns:p="http://schemas.microsoft.com/office/2006/metadata/properties" xmlns:ns2="0a730db8-e339-4070-9a40-14345e58ba8b" targetNamespace="http://schemas.microsoft.com/office/2006/metadata/properties" ma:root="true" ma:fieldsID="134dd4ea042b346e68867fe958e6da99" ns2:_="">
    <xsd:import namespace="0a730db8-e339-4070-9a40-14345e58ba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30db8-e339-4070-9a40-14345e58b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9825b88-26fc-4896-8a03-1a222bf385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BB86FE-E2CB-404B-A61B-7FC30FF747A0}">
  <ds:schemaRefs>
    <ds:schemaRef ds:uri="http://schemas.microsoft.com/office/2006/metadata/properties"/>
    <ds:schemaRef ds:uri="http://schemas.microsoft.com/office/infopath/2007/PartnerControls"/>
    <ds:schemaRef ds:uri="06291bad-a3e0-4bdd-bf59-6958d70e2c89"/>
  </ds:schemaRefs>
</ds:datastoreItem>
</file>

<file path=customXml/itemProps2.xml><?xml version="1.0" encoding="utf-8"?>
<ds:datastoreItem xmlns:ds="http://schemas.openxmlformats.org/officeDocument/2006/customXml" ds:itemID="{677081BC-A88E-45CA-96B5-F7FD2C9CDB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FE96DD-89DF-4956-BC15-C9ADBE3469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15</vt:i4>
      </vt:variant>
    </vt:vector>
  </HeadingPairs>
  <TitlesOfParts>
    <vt:vector size="23" baseType="lpstr">
      <vt:lpstr>Parámetros</vt:lpstr>
      <vt:lpstr>Almacenaje</vt:lpstr>
      <vt:lpstr>Recepciones</vt:lpstr>
      <vt:lpstr>Pedidos</vt:lpstr>
      <vt:lpstr>Servicios transporte</vt:lpstr>
      <vt:lpstr>Cargos manuales</vt:lpstr>
      <vt:lpstr>Fijos</vt:lpstr>
      <vt:lpstr>Resumen</vt:lpstr>
      <vt:lpstr>almacenaje</vt:lpstr>
      <vt:lpstr>cargos</vt:lpstr>
      <vt:lpstr>Almacenaje!CodCliente</vt:lpstr>
      <vt:lpstr>CodCliente</vt:lpstr>
      <vt:lpstr>CodOperativa</vt:lpstr>
      <vt:lpstr>fechafin</vt:lpstr>
      <vt:lpstr>fechaini</vt:lpstr>
      <vt:lpstr>fijos</vt:lpstr>
      <vt:lpstr>IdPrefactura</vt:lpstr>
      <vt:lpstr>pedidos</vt:lpstr>
      <vt:lpstr>recepciones</vt:lpstr>
      <vt:lpstr>TipoDocEntrada</vt:lpstr>
      <vt:lpstr>TipoDocSalida</vt:lpstr>
      <vt:lpstr>Fijos!Títulos_a_imprimir</vt:lpstr>
      <vt:lpstr>transporte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Raveglia Rodríguez</dc:creator>
  <cp:lastModifiedBy>Esmeralda Rodríguez</cp:lastModifiedBy>
  <cp:lastPrinted>2022-02-03T10:36:10Z</cp:lastPrinted>
  <dcterms:created xsi:type="dcterms:W3CDTF">2016-03-08T07:49:58Z</dcterms:created>
  <dcterms:modified xsi:type="dcterms:W3CDTF">2026-05-11T14:15:27Z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Design Mode Active">
    <vt:bool>false</vt:bool>
  </property>
  <property fmtid="{D5CDD505-2E9C-101B-9397-08002B2CF9AE}" pid="3" name="Jet Reports Function Literals">
    <vt:lpwstr>\	;	;	{	}	[@[{0}]]	3082</vt:lpwstr>
  </property>
  <property fmtid="{D5CDD505-2E9C-101B-9397-08002B2CF9AE}" pid="4" name="ContentTypeId">
    <vt:lpwstr>0x0101002C7E496E75F43449807DA20AEA9E5BD1</vt:lpwstr>
  </property>
</Properties>
</file>