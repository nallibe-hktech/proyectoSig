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Contenido\Mediapost\Reports\0632\infrecep08\TODAS\"/>
    </mc:Choice>
  </mc:AlternateContent>
  <xr:revisionPtr revIDLastSave="0" documentId="8_{21D52C2B-6E8C-4474-918E-773F5F54027C}" xr6:coauthVersionLast="47" xr6:coauthVersionMax="47" xr10:uidLastSave="{00000000-0000-0000-0000-000000000000}"/>
  <bookViews>
    <workbookView xWindow="2340" yWindow="2340" windowWidth="18900" windowHeight="10965" firstSheet="1" activeTab="1" xr2:uid="{00000000-000D-0000-FFFF-FFFF00000000}"/>
  </bookViews>
  <sheets>
    <sheet name="Parametros" sheetId="2" state="hidden" r:id="rId1"/>
    <sheet name="Report" sheetId="1" r:id="rId2"/>
    <sheet name="Hoja1" sheetId="3" state="veryHidden" r:id="rId3"/>
    <sheet name="Hoja2" sheetId="4" state="veryHidden" r:id="rId4"/>
    <sheet name="Hoja3" sheetId="5" state="veryHidden" r:id="rId5"/>
  </sheets>
  <definedNames>
    <definedName name="CodCliente">Parametros!$E$6</definedName>
    <definedName name="Fecha">Report!#REF!</definedName>
    <definedName name="FechaConfirmacion">Parametros!$E$5</definedName>
    <definedName name="Hoy">Parametros!$E$8</definedName>
    <definedName name="Operativa">Parametros!$E$7</definedName>
    <definedName name="Titulo">Report!$A$2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</calcChain>
</file>

<file path=xl/sharedStrings.xml><?xml version="1.0" encoding="utf-8"?>
<sst xmlns="http://schemas.openxmlformats.org/spreadsheetml/2006/main" count="576" uniqueCount="312">
  <si>
    <t>Ocultar</t>
  </si>
  <si>
    <t>Encajar</t>
  </si>
  <si>
    <t>Fecha confirmación SGA</t>
  </si>
  <si>
    <t>Nombre Proveedor</t>
  </si>
  <si>
    <t>Observaciones</t>
  </si>
  <si>
    <t>Nº de palets recibidos</t>
  </si>
  <si>
    <t>Recepción Especial</t>
  </si>
  <si>
    <t>Descripción</t>
  </si>
  <si>
    <t>Unidades confirmadas</t>
  </si>
  <si>
    <t>Estado QC</t>
  </si>
  <si>
    <t>Auto+Ocultar+OcultarHoja</t>
  </si>
  <si>
    <t>Fecha confirmación</t>
  </si>
  <si>
    <t>Cód. Cliente SGA</t>
  </si>
  <si>
    <t>Operativa</t>
  </si>
  <si>
    <t>Peso Facturable</t>
  </si>
  <si>
    <t>Volumen</t>
  </si>
  <si>
    <t>Tipo de Recepción</t>
  </si>
  <si>
    <t>Nº Documento Origen</t>
  </si>
  <si>
    <t>Nº Documento Cliente</t>
  </si>
  <si>
    <t>Nº Recepción</t>
  </si>
  <si>
    <t>Nº Documento Proveedor</t>
  </si>
  <si>
    <t>Código Operativa Recepción</t>
  </si>
  <si>
    <t>Código Operativa Producto</t>
  </si>
  <si>
    <t>Nº Bultos recibidos</t>
  </si>
  <si>
    <t>EAN/ISBN</t>
  </si>
  <si>
    <t>infrecep07</t>
  </si>
  <si>
    <t>Unidades anunciadas</t>
  </si>
  <si>
    <t>Cód. Producto interno</t>
  </si>
  <si>
    <t>Almacén</t>
  </si>
  <si>
    <t/>
  </si>
  <si>
    <t>0632</t>
  </si>
  <si>
    <t>�</t>
  </si>
  <si>
    <t>="INFORME DE RECEPCIONES CERRADAS DÍA: "&amp;TEXT(FechaConfirmacion,"dd/mm/aa")</t>
  </si>
  <si>
    <t>=NF($B5,"Nombre")</t>
  </si>
  <si>
    <t>=NL("Filas","Lín. Albarán Recep. Mercancía",,"Tipo documento","&lt;&gt;Rechazo","Fecha de confirmación de SGA",FechaConfirmacion,"Cliente SGA",CodCliente,"Cód. operativa documento","*"&amp;Operativa,"No Comunicar","No","Clave=","Fecha de confirmación de SGA","Enlace=","Item","No.","=Cód. producto","DataSource=","Navision","Empresa=","MEDIAPOST SPAIN")</t>
  </si>
  <si>
    <t>=NF($B7,"Nº Documento")</t>
  </si>
  <si>
    <t>=IF($C7="","",NL(,"Cab. Albarán Recep. Mercancía","Nº Documento Cliente","Nº Documento",$C7,"DataSource=","Navision","Empresa=","MEDIAPOST SPAIN"))</t>
  </si>
  <si>
    <t>=IF($C7="","",NL(,"Cab. Albarán Recep. Mercancía","Cód. Documento Origen","Nº Documento",$C7,"DataSource=","Navision","Empresa=","MEDIAPOST SPAIN"))</t>
  </si>
  <si>
    <t>=IF($C7="","",NL(,"Cab. Albarán Recep. Mercancía","Nº Documento consignatario","Nº Documento",$C7,"DataSource=","Navision","Empresa=","MEDIAPOST SPAIN"))</t>
  </si>
  <si>
    <t>=IF($C7="","",NL(,"Cab. Albarán Recep. Mercancía","Tipo Documento","Nº Documento",$C7,"DataSource=","Navision","Empresa=","MEDIAPOST SPAIN"))</t>
  </si>
  <si>
    <t>=IF($C7="","",NL(,"Cab. Albarán Recep. Mercancía","Operativa","Nº Documento",$C7,"DataSource=","Navision","Empresa=","MEDIAPOST SPAIN"))</t>
  </si>
  <si>
    <t>=IF($C7="","",NL(,"Cab. Albarán Recep. Mercancía","Fecha confirmación SGA","Nº Documento",$C7,"DataSource=","Navision","Empresa=","MEDIAPOST SPAIN"))</t>
  </si>
  <si>
    <t>=IF($C7="","",NL(,"Cab. Albarán Recep. Mercancía","Nombre Proveedor","Nº Documento",$C7,"DataSource=","Navision","Empresa=","MEDIAPOST SPAIN"))</t>
  </si>
  <si>
    <t>=IF($C7="","",NL(,"Cab. Albarán Recep. Mercancía","Observaciones","Nº Documento",$C7,"DataSource=","Navision","Empresa=","MEDIAPOST SPAIN"))</t>
  </si>
  <si>
    <t>=IF($C7="","",NL(,"Cab. Albarán Recep. Mercancía","Nº de Bultos Recibidos","Nº Documento",$C7,"DataSource=","Navision","Empresa=","MEDIAPOST SPAIN"))</t>
  </si>
  <si>
    <t>=IF($C7="","",NL(,"Cab. Albarán Recep. Mercancía","Nº de palets recibidos","Nº Documento",$C7,"DataSource=","Navision","Empresa=","MEDIAPOST SPAIN"))</t>
  </si>
  <si>
    <t>=IF($C7="","",ROUNDUP(NL(,"Cab. Albarán Recep. Mercancía","Peso Facturable","Nº Documento",$C7,"DataSource=","Navision","Empresa=","MEDIAPOST SPAIN"),0))</t>
  </si>
  <si>
    <t>=IF($C7="","",NL(,"Cab. Albarán Recep. Mercancía","Volumen Confirmado","Nº Documento",$C7,"DataSource=","Navision","Empresa=","MEDIAPOST SPAIN"))</t>
  </si>
  <si>
    <t>=IF($C7="","",IF(NL(,"Cab. Albarán Recep. Mercancía","Recepción Especial","Nº Documento",$C7,"DataSource=","Navision","Empresa=","MEDIAPOST SPAIN"),"SI","NO"))</t>
  </si>
  <si>
    <t>=NF($B7,"Cód. Producto Cliente")</t>
  </si>
  <si>
    <t>=NF($B7,"EAN")</t>
  </si>
  <si>
    <t>=NF($B7,"Operativa Producto")</t>
  </si>
  <si>
    <t>=NF($B7,"Descripción Ampliada")</t>
  </si>
  <si>
    <t>=NF($B7,"Cantidad original")</t>
  </si>
  <si>
    <t>=NF($B7,"Cantidad confirmada por SGA")</t>
  </si>
  <si>
    <t>=NF($B7,"Estado QC")</t>
  </si>
  <si>
    <t>=NF($B7,"Cód. Almacén")</t>
  </si>
  <si>
    <t>Auto+Ocultar+Valores+Formulas=Hoja1,Hoja2+FormulasOnly</t>
  </si>
  <si>
    <t>="INFORME DE RECEPCIONES CERRADAS DÍA: "&amp;TEXTO(FechaConfirmacion;"dd/mm/aa")</t>
  </si>
  <si>
    <t>=NF($B5;"Nombre")</t>
  </si>
  <si>
    <t>=NL("Filas";"Lín. Albarán Recep. Mercancía";;"Tipo documento";"&lt;&gt;Rechazo";"Fecha de confirmación de SGA";FechaConfirmacion;"Cliente SGA";CodCliente;"Cód. operativa documento";"*"&amp;Operativa;"No Comunicar";"No";"Clave=";"Fecha de confirmación de SGA";"Enlace=";"Item";"No.";"=Cód. producto";"DataSource=";"Navision";"Empresa=";"MEDIAPOST SPAIN")</t>
  </si>
  <si>
    <t>=NF($B7;"Nº Documento")</t>
  </si>
  <si>
    <t>=SI($C7="";"";NL(;"Cab. Albarán Recep. Mercancía";"Nº Documento Cliente";"Nº Documento";$C7;"DataSource=";"Navision";"Empresa=";"MEDIAPOST SPAIN"))</t>
  </si>
  <si>
    <t>=SI($C7="";"";NL(;"Cab. Albarán Recep. Mercancía";"Cód. Documento Origen";"Nº Documento";$C7;"DataSource=";"Navision";"Empresa=";"MEDIAPOST SPAIN"))</t>
  </si>
  <si>
    <t>=SI($C7="";"";NL(;"Cab. Albarán Recep. Mercancía";"Nº Documento consignatario";"Nº Documento";$C7;"DataSource=";"Navision";"Empresa=";"MEDIAPOST SPAIN"))</t>
  </si>
  <si>
    <t>=SI($C7="";"";NL(;"Cab. Albarán Recep. Mercancía";"Tipo Documento";"Nº Documento";$C7;"DataSource=";"Navision";"Empresa=";"MEDIAPOST SPAIN"))</t>
  </si>
  <si>
    <t>=SI($C7="";"";NL(;"Cab. Albarán Recep. Mercancía";"Operativa";"Nº Documento";$C7;"DataSource=";"Navision";"Empresa=";"MEDIAPOST SPAIN"))</t>
  </si>
  <si>
    <t>=SI($C7="";"";NL(;"Cab. Albarán Recep. Mercancía";"Fecha confirmación SGA";"Nº Documento";$C7;"DataSource=";"Navision";"Empresa=";"MEDIAPOST SPAIN"))</t>
  </si>
  <si>
    <t>=SI($C7="";"";NL(;"Cab. Albarán Recep. Mercancía";"Nombre Proveedor";"Nº Documento";$C7;"DataSource=";"Navision";"Empresa=";"MEDIAPOST SPAIN"))</t>
  </si>
  <si>
    <t>=SI($C7="";"";NL(;"Cab. Albarán Recep. Mercancía";"Observaciones";"Nº Documento";$C7;"DataSource=";"Navision";"Empresa=";"MEDIAPOST SPAIN"))</t>
  </si>
  <si>
    <t>=SI($C7="";"";NL(;"Cab. Albarán Recep. Mercancía";"Nº de Bultos Recibidos";"Nº Documento";$C7;"DataSource=";"Navision";"Empresa=";"MEDIAPOST SPAIN"))</t>
  </si>
  <si>
    <t>=SI($C7="";"";NL(;"Cab. Albarán Recep. Mercancía";"Nº de palets recibidos";"Nº Documento";$C7;"DataSource=";"Navision";"Empresa=";"MEDIAPOST SPAIN"))</t>
  </si>
  <si>
    <t>=SI($C7="";"";REDONDEAR.MAS(NL(;"Cab. Albarán Recep. Mercancía";"Peso Facturable";"Nº Documento";$C7;"DataSource=";"Navision";"Empresa=";"MEDIAPOST SPAIN");0))</t>
  </si>
  <si>
    <t>=SI($C7="";"";NL(;"Cab. Albarán Recep. Mercancía";"Volumen Confirmado";"Nº Documento";$C7;"DataSource=";"Navision";"Empresa=";"MEDIAPOST SPAIN"))</t>
  </si>
  <si>
    <t>=SI($C7="";"";SI(NL(;"Cab. Albarán Recep. Mercancía";"Recepción Especial";"Nº Documento";$C7;"DataSource=";"Navision";"Empresa=";"MEDIAPOST SPAIN");"SI";"NO"))</t>
  </si>
  <si>
    <t>=NF($B7;"Cód. Producto Cliente")</t>
  </si>
  <si>
    <t>=NF($B7;"EAN")</t>
  </si>
  <si>
    <t>=NF($B7;"Operativa Producto")</t>
  </si>
  <si>
    <t>=NF($B7;"Descripción Ampliada")</t>
  </si>
  <si>
    <t>=NF($B7;"Cantidad original")</t>
  </si>
  <si>
    <t>=NF($B7;"Cantidad confirmada por SGA")</t>
  </si>
  <si>
    <t>=NF($B7;"Estado QC")</t>
  </si>
  <si>
    <t>=NF($B7;"Cód. Almacén")</t>
  </si>
  <si>
    <t>=NL("Primero","Cliente SGA",,"No.",CodCliente,"DataSource=","Navision","Empresa=","MEDIAPOST SPAIN")</t>
  </si>
  <si>
    <t>Auto</t>
  </si>
  <si>
    <t>="""Navision"",""MEDIAPOST SPAIN"",""7097711"",""1"",""Recepción"",""3"",""RP260011151"",""5"",""10000"""</t>
  </si>
  <si>
    <t>=IF($C8="","",NL(,"Cab. Albarán Recep. Mercancía","Nº Documento Cliente","Nº Documento",$C8,"DataSource=","Navision","Empresa=","MEDIAPOST SPAIN"))</t>
  </si>
  <si>
    <t>=IF($C8="","",NL(,"Cab. Albarán Recep. Mercancía","Cód. Documento Origen","Nº Documento",$C8,"DataSource=","Navision","Empresa=","MEDIAPOST SPAIN"))</t>
  </si>
  <si>
    <t>=IF($C8="","",NL(,"Cab. Albarán Recep. Mercancía","Nº Documento consignatario","Nº Documento",$C8,"DataSource=","Navision","Empresa=","MEDIAPOST SPAIN"))</t>
  </si>
  <si>
    <t>=IF($C8="","",NL(,"Cab. Albarán Recep. Mercancía","Tipo Documento","Nº Documento",$C8,"DataSource=","Navision","Empresa=","MEDIAPOST SPAIN"))</t>
  </si>
  <si>
    <t>=IF($C8="","",NL(,"Cab. Albarán Recep. Mercancía","Operativa","Nº Documento",$C8,"DataSource=","Navision","Empresa=","MEDIAPOST SPAIN"))</t>
  </si>
  <si>
    <t>=IF($C8="","",NL(,"Cab. Albarán Recep. Mercancía","Fecha confirmación SGA","Nº Documento",$C8,"DataSource=","Navision","Empresa=","MEDIAPOST SPAIN"))</t>
  </si>
  <si>
    <t>=IF($C8="","",NL(,"Cab. Albarán Recep. Mercancía","Nombre Proveedor","Nº Documento",$C8,"DataSource=","Navision","Empresa=","MEDIAPOST SPAIN"))</t>
  </si>
  <si>
    <t>=IF($C8="","",NL(,"Cab. Albarán Recep. Mercancía","Observaciones","Nº Documento",$C8,"DataSource=","Navision","Empresa=","MEDIAPOST SPAIN"))</t>
  </si>
  <si>
    <t>=IF($C8="","",NL(,"Cab. Albarán Recep. Mercancía","Nº de Bultos Recibidos","Nº Documento",$C8,"DataSource=","Navision","Empresa=","MEDIAPOST SPAIN"))</t>
  </si>
  <si>
    <t>=IF($C8="","",NL(,"Cab. Albarán Recep. Mercancía","Nº de palets recibidos","Nº Documento",$C8,"DataSource=","Navision","Empresa=","MEDIAPOST SPAIN"))</t>
  </si>
  <si>
    <t>=IF($C8="","",ROUNDUP(NL(,"Cab. Albarán Recep. Mercancía","Peso Facturable","Nº Documento",$C8,"DataSource=","Navision","Empresa=","MEDIAPOST SPAIN"),0))</t>
  </si>
  <si>
    <t>=IF($C8="","",NL(,"Cab. Albarán Recep. Mercancía","Volumen Confirmado","Nº Documento",$C8,"DataSource=","Navision","Empresa=","MEDIAPOST SPAIN"))</t>
  </si>
  <si>
    <t>=IF($C8="","",IF(NL(,"Cab. Albarán Recep. Mercancía","Recepción Especial","Nº Documento",$C8,"DataSource=","Navision","Empresa=","MEDIAPOST SPAIN"),"SI","NO"))</t>
  </si>
  <si>
    <t>="""Navision"",""MEDIAPOST SPAIN"",""7097711"",""1"",""Recepción"",""3"",""RP260011151"",""5"",""20000"""</t>
  </si>
  <si>
    <t>=IF($C9="","",NL(,"Cab. Albarán Recep. Mercancía","Nº Documento Cliente","Nº Documento",$C9,"DataSource=","Navision","Empresa=","MEDIAPOST SPAIN"))</t>
  </si>
  <si>
    <t>=IF($C9="","",NL(,"Cab. Albarán Recep. Mercancía","Cód. Documento Origen","Nº Documento",$C9,"DataSource=","Navision","Empresa=","MEDIAPOST SPAIN"))</t>
  </si>
  <si>
    <t>=IF($C9="","",NL(,"Cab. Albarán Recep. Mercancía","Nº Documento consignatario","Nº Documento",$C9,"DataSource=","Navision","Empresa=","MEDIAPOST SPAIN"))</t>
  </si>
  <si>
    <t>=IF($C9="","",NL(,"Cab. Albarán Recep. Mercancía","Tipo Documento","Nº Documento",$C9,"DataSource=","Navision","Empresa=","MEDIAPOST SPAIN"))</t>
  </si>
  <si>
    <t>=IF($C9="","",NL(,"Cab. Albarán Recep. Mercancía","Operativa","Nº Documento",$C9,"DataSource=","Navision","Empresa=","MEDIAPOST SPAIN"))</t>
  </si>
  <si>
    <t>=IF($C9="","",NL(,"Cab. Albarán Recep. Mercancía","Fecha confirmación SGA","Nº Documento",$C9,"DataSource=","Navision","Empresa=","MEDIAPOST SPAIN"))</t>
  </si>
  <si>
    <t>=IF($C9="","",NL(,"Cab. Albarán Recep. Mercancía","Nombre Proveedor","Nº Documento",$C9,"DataSource=","Navision","Empresa=","MEDIAPOST SPAIN"))</t>
  </si>
  <si>
    <t>=IF($C9="","",NL(,"Cab. Albarán Recep. Mercancía","Observaciones","Nº Documento",$C9,"DataSource=","Navision","Empresa=","MEDIAPOST SPAIN"))</t>
  </si>
  <si>
    <t>=IF($C9="","",NL(,"Cab. Albarán Recep. Mercancía","Nº de Bultos Recibidos","Nº Documento",$C9,"DataSource=","Navision","Empresa=","MEDIAPOST SPAIN"))</t>
  </si>
  <si>
    <t>=IF($C9="","",NL(,"Cab. Albarán Recep. Mercancía","Nº de palets recibidos","Nº Documento",$C9,"DataSource=","Navision","Empresa=","MEDIAPOST SPAIN"))</t>
  </si>
  <si>
    <t>=IF($C9="","",ROUNDUP(NL(,"Cab. Albarán Recep. Mercancía","Peso Facturable","Nº Documento",$C9,"DataSource=","Navision","Empresa=","MEDIAPOST SPAIN"),0))</t>
  </si>
  <si>
    <t>=IF($C9="","",NL(,"Cab. Albarán Recep. Mercancía","Volumen Confirmado","Nº Documento",$C9,"DataSource=","Navision","Empresa=","MEDIAPOST SPAIN"))</t>
  </si>
  <si>
    <t>=IF($C9="","",IF(NL(,"Cab. Albarán Recep. Mercancía","Recepción Especial","Nº Documento",$C9,"DataSource=","Navision","Empresa=","MEDIAPOST SPAIN"),"SI","NO"))</t>
  </si>
  <si>
    <t>="""Navision"",""MEDIAPOST SPAIN"",""7097711"",""1"",""Recepción"",""3"",""RP260011152"",""5"",""20000"""</t>
  </si>
  <si>
    <t>=IF($C10="","",NL(,"Cab. Albarán Recep. Mercancía","Nº Documento Cliente","Nº Documento",$C10,"DataSource=","Navision","Empresa=","MEDIAPOST SPAIN"))</t>
  </si>
  <si>
    <t>=IF($C10="","",NL(,"Cab. Albarán Recep. Mercancía","Cód. Documento Origen","Nº Documento",$C10,"DataSource=","Navision","Empresa=","MEDIAPOST SPAIN"))</t>
  </si>
  <si>
    <t>=IF($C10="","",NL(,"Cab. Albarán Recep. Mercancía","Nº Documento consignatario","Nº Documento",$C10,"DataSource=","Navision","Empresa=","MEDIAPOST SPAIN"))</t>
  </si>
  <si>
    <t>=IF($C10="","",NL(,"Cab. Albarán Recep. Mercancía","Tipo Documento","Nº Documento",$C10,"DataSource=","Navision","Empresa=","MEDIAPOST SPAIN"))</t>
  </si>
  <si>
    <t>=IF($C10="","",NL(,"Cab. Albarán Recep. Mercancía","Operativa","Nº Documento",$C10,"DataSource=","Navision","Empresa=","MEDIAPOST SPAIN"))</t>
  </si>
  <si>
    <t>=IF($C10="","",NL(,"Cab. Albarán Recep. Mercancía","Fecha confirmación SGA","Nº Documento",$C10,"DataSource=","Navision","Empresa=","MEDIAPOST SPAIN"))</t>
  </si>
  <si>
    <t>=IF($C10="","",NL(,"Cab. Albarán Recep. Mercancía","Nombre Proveedor","Nº Documento",$C10,"DataSource=","Navision","Empresa=","MEDIAPOST SPAIN"))</t>
  </si>
  <si>
    <t>=IF($C10="","",NL(,"Cab. Albarán Recep. Mercancía","Observaciones","Nº Documento",$C10,"DataSource=","Navision","Empresa=","MEDIAPOST SPAIN"))</t>
  </si>
  <si>
    <t>=IF($C10="","",NL(,"Cab. Albarán Recep. Mercancía","Nº de Bultos Recibidos","Nº Documento",$C10,"DataSource=","Navision","Empresa=","MEDIAPOST SPAIN"))</t>
  </si>
  <si>
    <t>=IF($C10="","",NL(,"Cab. Albarán Recep. Mercancía","Nº de palets recibidos","Nº Documento",$C10,"DataSource=","Navision","Empresa=","MEDIAPOST SPAIN"))</t>
  </si>
  <si>
    <t>=IF($C10="","",ROUNDUP(NL(,"Cab. Albarán Recep. Mercancía","Peso Facturable","Nº Documento",$C10,"DataSource=","Navision","Empresa=","MEDIAPOST SPAIN"),0))</t>
  </si>
  <si>
    <t>=IF($C10="","",NL(,"Cab. Albarán Recep. Mercancía","Volumen Confirmado","Nº Documento",$C10,"DataSource=","Navision","Empresa=","MEDIAPOST SPAIN"))</t>
  </si>
  <si>
    <t>=IF($C10="","",IF(NL(,"Cab. Albarán Recep. Mercancía","Recepción Especial","Nº Documento",$C10,"DataSource=","Navision","Empresa=","MEDIAPOST SPAIN"),"SI","NO"))</t>
  </si>
  <si>
    <t>="""Navision"",""MEDIAPOST SPAIN"",""7097711"",""1"",""Recogida"",""3"",""RG260001935"",""5"",""10000"""</t>
  </si>
  <si>
    <t>=IF($C11="","",NL(,"Cab. Albarán Recep. Mercancía","Nº Documento Cliente","Nº Documento",$C11,"DataSource=","Navision","Empresa=","MEDIAPOST SPAIN"))</t>
  </si>
  <si>
    <t>=IF($C11="","",NL(,"Cab. Albarán Recep. Mercancía","Cód. Documento Origen","Nº Documento",$C11,"DataSource=","Navision","Empresa=","MEDIAPOST SPAIN"))</t>
  </si>
  <si>
    <t>=IF($C11="","",NL(,"Cab. Albarán Recep. Mercancía","Nº Documento consignatario","Nº Documento",$C11,"DataSource=","Navision","Empresa=","MEDIAPOST SPAIN"))</t>
  </si>
  <si>
    <t>=IF($C11="","",NL(,"Cab. Albarán Recep. Mercancía","Tipo Documento","Nº Documento",$C11,"DataSource=","Navision","Empresa=","MEDIAPOST SPAIN"))</t>
  </si>
  <si>
    <t>=IF($C11="","",NL(,"Cab. Albarán Recep. Mercancía","Operativa","Nº Documento",$C11,"DataSource=","Navision","Empresa=","MEDIAPOST SPAIN"))</t>
  </si>
  <si>
    <t>=IF($C11="","",NL(,"Cab. Albarán Recep. Mercancía","Fecha confirmación SGA","Nº Documento",$C11,"DataSource=","Navision","Empresa=","MEDIAPOST SPAIN"))</t>
  </si>
  <si>
    <t>=IF($C11="","",NL(,"Cab. Albarán Recep. Mercancía","Nombre Proveedor","Nº Documento",$C11,"DataSource=","Navision","Empresa=","MEDIAPOST SPAIN"))</t>
  </si>
  <si>
    <t>=IF($C11="","",NL(,"Cab. Albarán Recep. Mercancía","Observaciones","Nº Documento",$C11,"DataSource=","Navision","Empresa=","MEDIAPOST SPAIN"))</t>
  </si>
  <si>
    <t>=IF($C11="","",NL(,"Cab. Albarán Recep. Mercancía","Nº de Bultos Recibidos","Nº Documento",$C11,"DataSource=","Navision","Empresa=","MEDIAPOST SPAIN"))</t>
  </si>
  <si>
    <t>=IF($C11="","",NL(,"Cab. Albarán Recep. Mercancía","Nº de palets recibidos","Nº Documento",$C11,"DataSource=","Navision","Empresa=","MEDIAPOST SPAIN"))</t>
  </si>
  <si>
    <t>=IF($C11="","",ROUNDUP(NL(,"Cab. Albarán Recep. Mercancía","Peso Facturable","Nº Documento",$C11,"DataSource=","Navision","Empresa=","MEDIAPOST SPAIN"),0))</t>
  </si>
  <si>
    <t>=IF($C11="","",NL(,"Cab. Albarán Recep. Mercancía","Volumen Confirmado","Nº Documento",$C11,"DataSource=","Navision","Empresa=","MEDIAPOST SPAIN"))</t>
  </si>
  <si>
    <t>=IF($C11="","",IF(NL(,"Cab. Albarán Recep. Mercancía","Recepción Especial","Nº Documento",$C11,"DataSource=","Navision","Empresa=","MEDIAPOST SPAIN"),"SI","NO"))</t>
  </si>
  <si>
    <t>="""Navision"",""MEDIAPOST SPAIN"",""7097711"",""1"",""Recogida"",""3"",""RG260001935"",""5"",""20000"""</t>
  </si>
  <si>
    <t>=IF($C12="","",NL(,"Cab. Albarán Recep. Mercancía","Nº Documento Cliente","Nº Documento",$C12,"DataSource=","Navision","Empresa=","MEDIAPOST SPAIN"))</t>
  </si>
  <si>
    <t>=IF($C12="","",NL(,"Cab. Albarán Recep. Mercancía","Cód. Documento Origen","Nº Documento",$C12,"DataSource=","Navision","Empresa=","MEDIAPOST SPAIN"))</t>
  </si>
  <si>
    <t>=IF($C12="","",NL(,"Cab. Albarán Recep. Mercancía","Nº Documento consignatario","Nº Documento",$C12,"DataSource=","Navision","Empresa=","MEDIAPOST SPAIN"))</t>
  </si>
  <si>
    <t>=IF($C12="","",NL(,"Cab. Albarán Recep. Mercancía","Tipo Documento","Nº Documento",$C12,"DataSource=","Navision","Empresa=","MEDIAPOST SPAIN"))</t>
  </si>
  <si>
    <t>=IF($C12="","",NL(,"Cab. Albarán Recep. Mercancía","Operativa","Nº Documento",$C12,"DataSource=","Navision","Empresa=","MEDIAPOST SPAIN"))</t>
  </si>
  <si>
    <t>=IF($C12="","",NL(,"Cab. Albarán Recep. Mercancía","Fecha confirmación SGA","Nº Documento",$C12,"DataSource=","Navision","Empresa=","MEDIAPOST SPAIN"))</t>
  </si>
  <si>
    <t>=IF($C12="","",NL(,"Cab. Albarán Recep. Mercancía","Nombre Proveedor","Nº Documento",$C12,"DataSource=","Navision","Empresa=","MEDIAPOST SPAIN"))</t>
  </si>
  <si>
    <t>=IF($C12="","",NL(,"Cab. Albarán Recep. Mercancía","Observaciones","Nº Documento",$C12,"DataSource=","Navision","Empresa=","MEDIAPOST SPAIN"))</t>
  </si>
  <si>
    <t>=IF($C12="","",NL(,"Cab. Albarán Recep. Mercancía","Nº de Bultos Recibidos","Nº Documento",$C12,"DataSource=","Navision","Empresa=","MEDIAPOST SPAIN"))</t>
  </si>
  <si>
    <t>=IF($C12="","",NL(,"Cab. Albarán Recep. Mercancía","Nº de palets recibidos","Nº Documento",$C12,"DataSource=","Navision","Empresa=","MEDIAPOST SPAIN"))</t>
  </si>
  <si>
    <t>=IF($C12="","",ROUNDUP(NL(,"Cab. Albarán Recep. Mercancía","Peso Facturable","Nº Documento",$C12,"DataSource=","Navision","Empresa=","MEDIAPOST SPAIN"),0))</t>
  </si>
  <si>
    <t>=IF($C12="","",NL(,"Cab. Albarán Recep. Mercancía","Volumen Confirmado","Nº Documento",$C12,"DataSource=","Navision","Empresa=","MEDIAPOST SPAIN"))</t>
  </si>
  <si>
    <t>=IF($C12="","",IF(NL(,"Cab. Albarán Recep. Mercancía","Recepción Especial","Nº Documento",$C12,"DataSource=","Navision","Empresa=","MEDIAPOST SPAIN"),"SI","NO"))</t>
  </si>
  <si>
    <t>="""Navision"",""MEDIAPOST SPAIN"",""7097711"",""1"",""Recogida"",""3"",""RG260001935"",""5"",""30000"""</t>
  </si>
  <si>
    <t>=IF($C13="","",NL(,"Cab. Albarán Recep. Mercancía","Nº Documento Cliente","Nº Documento",$C13,"DataSource=","Navision","Empresa=","MEDIAPOST SPAIN"))</t>
  </si>
  <si>
    <t>=IF($C13="","",NL(,"Cab. Albarán Recep. Mercancía","Cód. Documento Origen","Nº Documento",$C13,"DataSource=","Navision","Empresa=","MEDIAPOST SPAIN"))</t>
  </si>
  <si>
    <t>=IF($C13="","",NL(,"Cab. Albarán Recep. Mercancía","Nº Documento consignatario","Nº Documento",$C13,"DataSource=","Navision","Empresa=","MEDIAPOST SPAIN"))</t>
  </si>
  <si>
    <t>=IF($C13="","",NL(,"Cab. Albarán Recep. Mercancía","Tipo Documento","Nº Documento",$C13,"DataSource=","Navision","Empresa=","MEDIAPOST SPAIN"))</t>
  </si>
  <si>
    <t>=IF($C13="","",NL(,"Cab. Albarán Recep. Mercancía","Operativa","Nº Documento",$C13,"DataSource=","Navision","Empresa=","MEDIAPOST SPAIN"))</t>
  </si>
  <si>
    <t>=IF($C13="","",NL(,"Cab. Albarán Recep. Mercancía","Fecha confirmación SGA","Nº Documento",$C13,"DataSource=","Navision","Empresa=","MEDIAPOST SPAIN"))</t>
  </si>
  <si>
    <t>=IF($C13="","",NL(,"Cab. Albarán Recep. Mercancía","Nombre Proveedor","Nº Documento",$C13,"DataSource=","Navision","Empresa=","MEDIAPOST SPAIN"))</t>
  </si>
  <si>
    <t>=IF($C13="","",NL(,"Cab. Albarán Recep. Mercancía","Observaciones","Nº Documento",$C13,"DataSource=","Navision","Empresa=","MEDIAPOST SPAIN"))</t>
  </si>
  <si>
    <t>=IF($C13="","",NL(,"Cab. Albarán Recep. Mercancía","Nº de Bultos Recibidos","Nº Documento",$C13,"DataSource=","Navision","Empresa=","MEDIAPOST SPAIN"))</t>
  </si>
  <si>
    <t>=IF($C13="","",NL(,"Cab. Albarán Recep. Mercancía","Nº de palets recibidos","Nº Documento",$C13,"DataSource=","Navision","Empresa=","MEDIAPOST SPAIN"))</t>
  </si>
  <si>
    <t>=IF($C13="","",ROUNDUP(NL(,"Cab. Albarán Recep. Mercancía","Peso Facturable","Nº Documento",$C13,"DataSource=","Navision","Empresa=","MEDIAPOST SPAIN"),0))</t>
  </si>
  <si>
    <t>=IF($C13="","",NL(,"Cab. Albarán Recep. Mercancía","Volumen Confirmado","Nº Documento",$C13,"DataSource=","Navision","Empresa=","MEDIAPOST SPAIN"))</t>
  </si>
  <si>
    <t>=IF($C13="","",IF(NL(,"Cab. Albarán Recep. Mercancía","Recepción Especial","Nº Documento",$C13,"DataSource=","Navision","Empresa=","MEDIAPOST SPAIN"),"SI","NO"))</t>
  </si>
  <si>
    <t>="""Navision"",""MEDIAPOST SPAIN"",""7097711"",""1"",""Recogida"",""3"",""RG260001935"",""5"",""40000"""</t>
  </si>
  <si>
    <t>=IF($C14="","",NL(,"Cab. Albarán Recep. Mercancía","Nº Documento Cliente","Nº Documento",$C14,"DataSource=","Navision","Empresa=","MEDIAPOST SPAIN"))</t>
  </si>
  <si>
    <t>=IF($C14="","",NL(,"Cab. Albarán Recep. Mercancía","Cód. Documento Origen","Nº Documento",$C14,"DataSource=","Navision","Empresa=","MEDIAPOST SPAIN"))</t>
  </si>
  <si>
    <t>=IF($C14="","",NL(,"Cab. Albarán Recep. Mercancía","Nº Documento consignatario","Nº Documento",$C14,"DataSource=","Navision","Empresa=","MEDIAPOST SPAIN"))</t>
  </si>
  <si>
    <t>=IF($C14="","",NL(,"Cab. Albarán Recep. Mercancía","Tipo Documento","Nº Documento",$C14,"DataSource=","Navision","Empresa=","MEDIAPOST SPAIN"))</t>
  </si>
  <si>
    <t>=IF($C14="","",NL(,"Cab. Albarán Recep. Mercancía","Operativa","Nº Documento",$C14,"DataSource=","Navision","Empresa=","MEDIAPOST SPAIN"))</t>
  </si>
  <si>
    <t>=IF($C14="","",NL(,"Cab. Albarán Recep. Mercancía","Fecha confirmación SGA","Nº Documento",$C14,"DataSource=","Navision","Empresa=","MEDIAPOST SPAIN"))</t>
  </si>
  <si>
    <t>=IF($C14="","",NL(,"Cab. Albarán Recep. Mercancía","Nombre Proveedor","Nº Documento",$C14,"DataSource=","Navision","Empresa=","MEDIAPOST SPAIN"))</t>
  </si>
  <si>
    <t>=IF($C14="","",NL(,"Cab. Albarán Recep. Mercancía","Observaciones","Nº Documento",$C14,"DataSource=","Navision","Empresa=","MEDIAPOST SPAIN"))</t>
  </si>
  <si>
    <t>=IF($C14="","",NL(,"Cab. Albarán Recep. Mercancía","Nº de Bultos Recibidos","Nº Documento",$C14,"DataSource=","Navision","Empresa=","MEDIAPOST SPAIN"))</t>
  </si>
  <si>
    <t>=IF($C14="","",NL(,"Cab. Albarán Recep. Mercancía","Nº de palets recibidos","Nº Documento",$C14,"DataSource=","Navision","Empresa=","MEDIAPOST SPAIN"))</t>
  </si>
  <si>
    <t>=IF($C14="","",ROUNDUP(NL(,"Cab. Albarán Recep. Mercancía","Peso Facturable","Nº Documento",$C14,"DataSource=","Navision","Empresa=","MEDIAPOST SPAIN"),0))</t>
  </si>
  <si>
    <t>=IF($C14="","",NL(,"Cab. Albarán Recep. Mercancía","Volumen Confirmado","Nº Documento",$C14,"DataSource=","Navision","Empresa=","MEDIAPOST SPAIN"))</t>
  </si>
  <si>
    <t>=IF($C14="","",IF(NL(,"Cab. Albarán Recep. Mercancía","Recepción Especial","Nº Documento",$C14,"DataSource=","Navision","Empresa=","MEDIAPOST SPAIN"),"SI","NO"))</t>
  </si>
  <si>
    <t>="""Navision"",""MEDIAPOST SPAIN"",""7097711"",""1"",""Recogida"",""3"",""RG260001935"",""5"",""50000"""</t>
  </si>
  <si>
    <t>=IF($C15="","",NL(,"Cab. Albarán Recep. Mercancía","Nº Documento Cliente","Nº Documento",$C15,"DataSource=","Navision","Empresa=","MEDIAPOST SPAIN"))</t>
  </si>
  <si>
    <t>=IF($C15="","",NL(,"Cab. Albarán Recep. Mercancía","Cód. Documento Origen","Nº Documento",$C15,"DataSource=","Navision","Empresa=","MEDIAPOST SPAIN"))</t>
  </si>
  <si>
    <t>=IF($C15="","",NL(,"Cab. Albarán Recep. Mercancía","Nº Documento consignatario","Nº Documento",$C15,"DataSource=","Navision","Empresa=","MEDIAPOST SPAIN"))</t>
  </si>
  <si>
    <t>=IF($C15="","",NL(,"Cab. Albarán Recep. Mercancía","Tipo Documento","Nº Documento",$C15,"DataSource=","Navision","Empresa=","MEDIAPOST SPAIN"))</t>
  </si>
  <si>
    <t>=IF($C15="","",NL(,"Cab. Albarán Recep. Mercancía","Operativa","Nº Documento",$C15,"DataSource=","Navision","Empresa=","MEDIAPOST SPAIN"))</t>
  </si>
  <si>
    <t>=IF($C15="","",NL(,"Cab. Albarán Recep. Mercancía","Fecha confirmación SGA","Nº Documento",$C15,"DataSource=","Navision","Empresa=","MEDIAPOST SPAIN"))</t>
  </si>
  <si>
    <t>=IF($C15="","",NL(,"Cab. Albarán Recep. Mercancía","Nombre Proveedor","Nº Documento",$C15,"DataSource=","Navision","Empresa=","MEDIAPOST SPAIN"))</t>
  </si>
  <si>
    <t>=IF($C15="","",NL(,"Cab. Albarán Recep. Mercancía","Observaciones","Nº Documento",$C15,"DataSource=","Navision","Empresa=","MEDIAPOST SPAIN"))</t>
  </si>
  <si>
    <t>=IF($C15="","",NL(,"Cab. Albarán Recep. Mercancía","Nº de Bultos Recibidos","Nº Documento",$C15,"DataSource=","Navision","Empresa=","MEDIAPOST SPAIN"))</t>
  </si>
  <si>
    <t>=IF($C15="","",NL(,"Cab. Albarán Recep. Mercancía","Nº de palets recibidos","Nº Documento",$C15,"DataSource=","Navision","Empresa=","MEDIAPOST SPAIN"))</t>
  </si>
  <si>
    <t>=IF($C15="","",ROUNDUP(NL(,"Cab. Albarán Recep. Mercancía","Peso Facturable","Nº Documento",$C15,"DataSource=","Navision","Empresa=","MEDIAPOST SPAIN"),0))</t>
  </si>
  <si>
    <t>=IF($C15="","",NL(,"Cab. Albarán Recep. Mercancía","Volumen Confirmado","Nº Documento",$C15,"DataSource=","Navision","Empresa=","MEDIAPOST SPAIN"))</t>
  </si>
  <si>
    <t>=IF($C15="","",IF(NL(,"Cab. Albarán Recep. Mercancía","Recepción Especial","Nº Documento",$C15,"DataSource=","Navision","Empresa=","MEDIAPOST SPAIN"),"SI","NO"))</t>
  </si>
  <si>
    <t>=NF($B8,"Nº Documento")</t>
  </si>
  <si>
    <t>=NF($B9,"Nº Documento")</t>
  </si>
  <si>
    <t>=NF($B10,"Nº Documento")</t>
  </si>
  <si>
    <t>=NF($B11,"Nº Documento")</t>
  </si>
  <si>
    <t>=NF($B12,"Nº Documento")</t>
  </si>
  <si>
    <t>=NF($B13,"Nº Documento")</t>
  </si>
  <si>
    <t>=NF($B14,"Nº Documento")</t>
  </si>
  <si>
    <t>=NF($B15,"Nº Documento")</t>
  </si>
  <si>
    <t>=NF($B8,"Cód. Producto Cliente")</t>
  </si>
  <si>
    <t>=NF($B9,"Cód. Producto Cliente")</t>
  </si>
  <si>
    <t>=NF($B10,"Cód. Producto Cliente")</t>
  </si>
  <si>
    <t>=NF($B11,"Cód. Producto Cliente")</t>
  </si>
  <si>
    <t>=NF($B12,"Cód. Producto Cliente")</t>
  </si>
  <si>
    <t>=NF($B13,"Cód. Producto Cliente")</t>
  </si>
  <si>
    <t>=NF($B14,"Cód. Producto Cliente")</t>
  </si>
  <si>
    <t>=NF($B15,"Cód. Producto Cliente")</t>
  </si>
  <si>
    <t>=NF($B8,"EAN")</t>
  </si>
  <si>
    <t>=NF($B9,"EAN")</t>
  </si>
  <si>
    <t>=NF($B10,"EAN")</t>
  </si>
  <si>
    <t>=NF($B11,"EAN")</t>
  </si>
  <si>
    <t>=NF($B12,"EAN")</t>
  </si>
  <si>
    <t>=NF($B13,"EAN")</t>
  </si>
  <si>
    <t>=NF($B14,"EAN")</t>
  </si>
  <si>
    <t>=NF($B15,"EAN")</t>
  </si>
  <si>
    <t>=NF($B8,"Operativa Producto")</t>
  </si>
  <si>
    <t>=NF($B9,"Operativa Producto")</t>
  </si>
  <si>
    <t>=NF($B10,"Operativa Producto")</t>
  </si>
  <si>
    <t>=NF($B11,"Operativa Producto")</t>
  </si>
  <si>
    <t>=NF($B12,"Operativa Producto")</t>
  </si>
  <si>
    <t>=NF($B13,"Operativa Producto")</t>
  </si>
  <si>
    <t>=NF($B14,"Operativa Producto")</t>
  </si>
  <si>
    <t>=NF($B15,"Operativa Producto")</t>
  </si>
  <si>
    <t>=NF($B8,"Descripción Ampliada")</t>
  </si>
  <si>
    <t>=NF($B9,"Descripción Ampliada")</t>
  </si>
  <si>
    <t>=NF($B10,"Descripción Ampliada")</t>
  </si>
  <si>
    <t>=NF($B11,"Descripción Ampliada")</t>
  </si>
  <si>
    <t>=NF($B12,"Descripción Ampliada")</t>
  </si>
  <si>
    <t>=NF($B13,"Descripción Ampliada")</t>
  </si>
  <si>
    <t>=NF($B14,"Descripción Ampliada")</t>
  </si>
  <si>
    <t>=NF($B15,"Descripción Ampliada")</t>
  </si>
  <si>
    <t>=NF($B8,"Cantidad original")</t>
  </si>
  <si>
    <t>=NF($B9,"Cantidad original")</t>
  </si>
  <si>
    <t>=NF($B10,"Cantidad original")</t>
  </si>
  <si>
    <t>=NF($B11,"Cantidad original")</t>
  </si>
  <si>
    <t>=NF($B12,"Cantidad original")</t>
  </si>
  <si>
    <t>=NF($B13,"Cantidad original")</t>
  </si>
  <si>
    <t>=NF($B14,"Cantidad original")</t>
  </si>
  <si>
    <t>=NF($B15,"Cantidad original")</t>
  </si>
  <si>
    <t>=NF($B8,"Cantidad confirmada por SGA")</t>
  </si>
  <si>
    <t>=NF($B9,"Cantidad confirmada por SGA")</t>
  </si>
  <si>
    <t>=NF($B10,"Cantidad confirmada por SGA")</t>
  </si>
  <si>
    <t>=NF($B11,"Cantidad confirmada por SGA")</t>
  </si>
  <si>
    <t>=NF($B12,"Cantidad confirmada por SGA")</t>
  </si>
  <si>
    <t>=NF($B13,"Cantidad confirmada por SGA")</t>
  </si>
  <si>
    <t>=NF($B14,"Cantidad confirmada por SGA")</t>
  </si>
  <si>
    <t>=NF($B15,"Cantidad confirmada por SGA")</t>
  </si>
  <si>
    <t>=NF($B8,"Estado QC")</t>
  </si>
  <si>
    <t>=NF($B9,"Estado QC")</t>
  </si>
  <si>
    <t>=NF($B10,"Estado QC")</t>
  </si>
  <si>
    <t>=NF($B11,"Estado QC")</t>
  </si>
  <si>
    <t>=NF($B12,"Estado QC")</t>
  </si>
  <si>
    <t>=NF($B13,"Estado QC")</t>
  </si>
  <si>
    <t>=NF($B14,"Estado QC")</t>
  </si>
  <si>
    <t>=NF($B15,"Estado QC")</t>
  </si>
  <si>
    <t>=NF($B8,"Cód. Almacén")</t>
  </si>
  <si>
    <t>=NF($B9,"Cód. Almacén")</t>
  </si>
  <si>
    <t>=NF($B10,"Cód. Almacén")</t>
  </si>
  <si>
    <t>=NF($B11,"Cód. Almacén")</t>
  </si>
  <si>
    <t>=NF($B12,"Cód. Almacén")</t>
  </si>
  <si>
    <t>=NF($B13,"Cód. Almacén")</t>
  </si>
  <si>
    <t>=NF($B14,"Cód. Almacén")</t>
  </si>
  <si>
    <t>=NF($B15,"Cód. Almacén")</t>
  </si>
  <si>
    <t>Auto+Ocultar+Valores+Formulas=Hoja3,Hoja1,Hoja2+FormulasOnly</t>
  </si>
  <si>
    <t>INFORME DE RECEPCIONES CERRADAS DÍA: 04/06/26</t>
  </si>
  <si>
    <t>Service Innovation Group Españ</t>
  </si>
  <si>
    <t>RP260011141</t>
  </si>
  <si>
    <t>1105738383</t>
  </si>
  <si>
    <t>DRP260011000</t>
  </si>
  <si>
    <t>Recepción</t>
  </si>
  <si>
    <t>066</t>
  </si>
  <si>
    <t>PROMOPIKING</t>
  </si>
  <si>
    <t>NO</t>
  </si>
  <si>
    <t>PORTATICKET</t>
  </si>
  <si>
    <t>PORTATICKET VERTICAL 480X95</t>
  </si>
  <si>
    <t>OK</t>
  </si>
  <si>
    <t>025</t>
  </si>
  <si>
    <t>RP260011151</t>
  </si>
  <si>
    <t>DRP260011077</t>
  </si>
  <si>
    <t>036</t>
  </si>
  <si>
    <t>amazon</t>
  </si>
  <si>
    <t>H07CHEIL</t>
  </si>
  <si>
    <t>Tijeras Dexter</t>
  </si>
  <si>
    <t>H17CHEIL</t>
  </si>
  <si>
    <t>Kit de destornilladores v2</t>
  </si>
  <si>
    <t>RP260011152</t>
  </si>
  <si>
    <t>DRP260010685</t>
  </si>
  <si>
    <t>053</t>
  </si>
  <si>
    <t>IN1021000507</t>
  </si>
  <si>
    <t>HDD SATA (DVR)</t>
  </si>
  <si>
    <t>RG260001935</t>
  </si>
  <si>
    <t>LVG010626RE</t>
  </si>
  <si>
    <t>DRG260002118</t>
  </si>
  <si>
    <t>Recogida</t>
  </si>
  <si>
    <t>062</t>
  </si>
  <si>
    <t>LARA VAQUERIZO GOMEZ</t>
  </si>
  <si>
    <t>RIM062.9</t>
  </si>
  <si>
    <t>RIMMEL_KIT MIBAR 2M SPANISH H2FY26</t>
  </si>
  <si>
    <t>BJ062.11</t>
  </si>
  <si>
    <t>BOURJOIS_KIT TEMPLE 200 H2FY26</t>
  </si>
  <si>
    <t>BJ062.1</t>
  </si>
  <si>
    <t>BOURJOIS_KIT NEXT GEN GONDOLA 2M H2FY26</t>
  </si>
  <si>
    <t>MFJ530001006</t>
  </si>
  <si>
    <t>MAX FACTOR¦KIT GONDOLA 2M DIAM H2FY26</t>
  </si>
  <si>
    <t>BJ062.11B</t>
  </si>
  <si>
    <t>BOURJOIS_KIT TEMPLE 200 H2FY26 INCOMPLETO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</si>
</sst>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49" fontId="0" fillId="0" borderId="0" xfId="0" applyNumberFormat="1"/>
    <xf numFmtId="0" fontId="1" fillId="0" borderId="0" xfId="0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14" fontId="0" fillId="2" borderId="0" xfId="0" applyNumberFormat="1" applyFill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8"/>
  <sheetViews>
    <sheetView workbookViewId="0">
      <selection activeCell="E7" sqref="E7"/>
    </sheetView>
  </sheetViews>
  <sheetFormatPr baseColWidth="10" defaultRowHeight="15" x14ac:dyDescent="0.25"/>
  <cols>
    <col min="1" max="1" width="11.42578125" hidden="1" customWidth="1"/>
    <col min="4" max="4" width="18.28515625" bestFit="1" customWidth="1"/>
    <col min="5" max="5" width="10.7109375" bestFit="1" customWidth="1"/>
  </cols>
  <sheetData>
    <row r="1" spans="1:5" hidden="1" x14ac:dyDescent="0.25">
      <c r="A1" t="s">
        <v>10</v>
      </c>
      <c r="D1" t="s">
        <v>1</v>
      </c>
      <c r="E1" t="s">
        <v>1</v>
      </c>
    </row>
    <row r="5" spans="1:5" x14ac:dyDescent="0.25">
      <c r="D5" t="s">
        <v>11</v>
      </c>
      <c r="E5" s="1">
        <f>Hoy-1</f>
        <v>46177</v>
      </c>
    </row>
    <row r="6" spans="1:5" x14ac:dyDescent="0.25">
      <c r="D6" t="s">
        <v>12</v>
      </c>
      <c r="E6" s="2" t="s">
        <v>30</v>
      </c>
    </row>
    <row r="7" spans="1:5" x14ac:dyDescent="0.25">
      <c r="D7" t="s">
        <v>13</v>
      </c>
      <c r="E7" s="2" t="s">
        <v>29</v>
      </c>
    </row>
    <row r="8" spans="1:5" x14ac:dyDescent="0.25">
      <c r="E8" s="12">
        <v>46178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V16"/>
  <sheetViews>
    <sheetView tabSelected="1" workbookViewId="0">
      <pane ySplit="5" topLeftCell="A6" activePane="bottomLeft" state="frozen"/>
      <selection pane="bottomLeft"/>
    </sheetView>
  </sheetViews>
  <sheetFormatPr baseColWidth="10" defaultRowHeight="15" x14ac:dyDescent="0.25"/>
  <cols>
    <col min="1" max="1" width="12.85546875" bestFit="1" customWidth="1"/>
    <col min="2" max="2" width="21" bestFit="1" customWidth="1"/>
    <col min="3" max="4" width="14" bestFit="1" customWidth="1"/>
    <col min="5" max="5" width="10.140625" bestFit="1" customWidth="1"/>
    <col min="6" max="6" width="10.140625" customWidth="1"/>
    <col min="7" max="7" width="16.7109375" bestFit="1" customWidth="1"/>
    <col min="8" max="8" width="23.5703125" bestFit="1" customWidth="1"/>
    <col min="9" max="9" width="14" bestFit="1" customWidth="1"/>
    <col min="10" max="10" width="9.28515625" bestFit="1" customWidth="1"/>
    <col min="11" max="11" width="11.85546875" bestFit="1" customWidth="1"/>
    <col min="12" max="12" width="10.28515625" bestFit="1" customWidth="1"/>
    <col min="13" max="13" width="9.140625" bestFit="1" customWidth="1"/>
    <col min="14" max="14" width="10.140625" bestFit="1" customWidth="1"/>
    <col min="15" max="15" width="13.42578125" bestFit="1" customWidth="1"/>
    <col min="16" max="16" width="9.7109375" bestFit="1" customWidth="1"/>
    <col min="17" max="17" width="16.42578125" bestFit="1" customWidth="1"/>
    <col min="18" max="18" width="43.7109375" bestFit="1" customWidth="1"/>
    <col min="19" max="19" width="10.85546875" bestFit="1" customWidth="1"/>
    <col min="20" max="20" width="11.85546875" bestFit="1" customWidth="1"/>
    <col min="21" max="21" width="7.28515625" bestFit="1" customWidth="1"/>
    <col min="22" max="22" width="8.7109375" bestFit="1" customWidth="1"/>
  </cols>
  <sheetData>
    <row r="1" spans="1:22" x14ac:dyDescent="0.25">
      <c r="A1" t="s">
        <v>25</v>
      </c>
    </row>
    <row r="2" spans="1:22" x14ac:dyDescent="0.25">
      <c r="A2" s="13" t="s">
        <v>270</v>
      </c>
      <c r="B2" s="13"/>
      <c r="C2" s="13"/>
      <c r="D2" s="13"/>
      <c r="E2" s="13"/>
      <c r="F2" s="13"/>
      <c r="G2" s="13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5"/>
    </row>
    <row r="3" spans="1:22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5"/>
    </row>
    <row r="4" spans="1:22" s="3" customFormat="1" ht="15.75" x14ac:dyDescent="0.25">
      <c r="A4" s="16" t="s">
        <v>271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5"/>
    </row>
    <row r="5" spans="1:22" s="8" customFormat="1" ht="42" customHeight="1" x14ac:dyDescent="0.25">
      <c r="A5" s="9" t="s">
        <v>19</v>
      </c>
      <c r="B5" s="10" t="s">
        <v>18</v>
      </c>
      <c r="C5" s="10" t="s">
        <v>17</v>
      </c>
      <c r="D5" s="10" t="s">
        <v>20</v>
      </c>
      <c r="E5" s="10" t="s">
        <v>16</v>
      </c>
      <c r="F5" s="10" t="s">
        <v>21</v>
      </c>
      <c r="G5" s="10" t="s">
        <v>2</v>
      </c>
      <c r="H5" s="10" t="s">
        <v>3</v>
      </c>
      <c r="I5" s="10" t="s">
        <v>4</v>
      </c>
      <c r="J5" s="10" t="s">
        <v>23</v>
      </c>
      <c r="K5" s="10" t="s">
        <v>5</v>
      </c>
      <c r="L5" s="10" t="s">
        <v>14</v>
      </c>
      <c r="M5" s="10" t="s">
        <v>15</v>
      </c>
      <c r="N5" s="10" t="s">
        <v>6</v>
      </c>
      <c r="O5" s="10" t="s">
        <v>27</v>
      </c>
      <c r="P5" s="10" t="s">
        <v>24</v>
      </c>
      <c r="Q5" s="10" t="s">
        <v>22</v>
      </c>
      <c r="R5" s="10" t="s">
        <v>7</v>
      </c>
      <c r="S5" s="10" t="s">
        <v>26</v>
      </c>
      <c r="T5" s="10" t="s">
        <v>8</v>
      </c>
      <c r="U5" s="11" t="s">
        <v>9</v>
      </c>
      <c r="V5" s="11" t="s">
        <v>28</v>
      </c>
    </row>
    <row r="6" spans="1:22" x14ac:dyDescent="0.25">
      <c r="A6" t="s">
        <v>272</v>
      </c>
      <c r="B6" s="6" t="s">
        <v>273</v>
      </c>
      <c r="C6" s="6" t="s">
        <v>274</v>
      </c>
      <c r="D6" s="6" t="s">
        <v>29</v>
      </c>
      <c r="E6" s="6" t="s">
        <v>275</v>
      </c>
      <c r="F6" s="6" t="s">
        <v>276</v>
      </c>
      <c r="G6" s="7">
        <v>46177</v>
      </c>
      <c r="H6" s="1" t="s">
        <v>277</v>
      </c>
      <c r="I6" t="s">
        <v>29</v>
      </c>
      <c r="J6">
        <v>0</v>
      </c>
      <c r="K6">
        <v>1</v>
      </c>
      <c r="L6">
        <v>2</v>
      </c>
      <c r="M6" s="4">
        <v>3.6859999999999999</v>
      </c>
      <c r="N6" s="5" t="s">
        <v>278</v>
      </c>
      <c r="O6" t="s">
        <v>279</v>
      </c>
      <c r="P6" t="s">
        <v>29</v>
      </c>
      <c r="Q6" t="s">
        <v>276</v>
      </c>
      <c r="R6" t="s">
        <v>280</v>
      </c>
      <c r="S6">
        <v>20</v>
      </c>
      <c r="T6">
        <v>20</v>
      </c>
      <c r="U6" t="s">
        <v>281</v>
      </c>
      <c r="V6" t="s">
        <v>282</v>
      </c>
    </row>
    <row r="7" spans="1:22" x14ac:dyDescent="0.25">
      <c r="A7" t="s">
        <v>283</v>
      </c>
      <c r="B7" s="6" t="s">
        <v>284</v>
      </c>
      <c r="C7" s="6" t="s">
        <v>284</v>
      </c>
      <c r="D7" s="6" t="s">
        <v>29</v>
      </c>
      <c r="E7" s="6" t="s">
        <v>275</v>
      </c>
      <c r="F7" s="6" t="s">
        <v>285</v>
      </c>
      <c r="G7" s="7">
        <v>46177</v>
      </c>
      <c r="H7" s="1" t="s">
        <v>286</v>
      </c>
      <c r="I7" t="s">
        <v>29</v>
      </c>
      <c r="J7">
        <v>0</v>
      </c>
      <c r="K7">
        <v>2</v>
      </c>
      <c r="L7">
        <v>32</v>
      </c>
      <c r="M7" s="4">
        <v>58.433999999999997</v>
      </c>
      <c r="N7" s="5" t="s">
        <v>278</v>
      </c>
      <c r="O7" t="s">
        <v>287</v>
      </c>
      <c r="P7" t="s">
        <v>29</v>
      </c>
      <c r="Q7" t="s">
        <v>285</v>
      </c>
      <c r="R7" t="s">
        <v>288</v>
      </c>
      <c r="S7">
        <v>66</v>
      </c>
      <c r="T7">
        <v>66</v>
      </c>
      <c r="U7" t="s">
        <v>281</v>
      </c>
      <c r="V7" t="s">
        <v>282</v>
      </c>
    </row>
    <row r="8" spans="1:22" x14ac:dyDescent="0.25">
      <c r="A8" t="s">
        <v>283</v>
      </c>
      <c r="B8" s="6" t="s">
        <v>284</v>
      </c>
      <c r="C8" s="6" t="s">
        <v>284</v>
      </c>
      <c r="D8" s="6" t="s">
        <v>29</v>
      </c>
      <c r="E8" s="6" t="s">
        <v>275</v>
      </c>
      <c r="F8" s="6" t="s">
        <v>285</v>
      </c>
      <c r="G8" s="7">
        <v>46177</v>
      </c>
      <c r="H8" s="1" t="s">
        <v>286</v>
      </c>
      <c r="I8" t="s">
        <v>29</v>
      </c>
      <c r="J8">
        <v>0</v>
      </c>
      <c r="K8">
        <v>2</v>
      </c>
      <c r="L8">
        <v>32</v>
      </c>
      <c r="M8" s="4">
        <v>58.433999999999997</v>
      </c>
      <c r="N8" s="5" t="s">
        <v>278</v>
      </c>
      <c r="O8" t="s">
        <v>289</v>
      </c>
      <c r="P8" t="s">
        <v>29</v>
      </c>
      <c r="Q8" t="s">
        <v>285</v>
      </c>
      <c r="R8" t="s">
        <v>290</v>
      </c>
      <c r="S8">
        <v>30</v>
      </c>
      <c r="T8">
        <v>30</v>
      </c>
      <c r="U8" t="s">
        <v>281</v>
      </c>
      <c r="V8" t="s">
        <v>282</v>
      </c>
    </row>
    <row r="9" spans="1:22" x14ac:dyDescent="0.25">
      <c r="A9" t="s">
        <v>291</v>
      </c>
      <c r="B9" s="6" t="s">
        <v>292</v>
      </c>
      <c r="C9" s="6" t="s">
        <v>292</v>
      </c>
      <c r="D9" s="6" t="s">
        <v>29</v>
      </c>
      <c r="E9" s="6" t="s">
        <v>275</v>
      </c>
      <c r="F9" s="6" t="s">
        <v>293</v>
      </c>
      <c r="G9" s="7">
        <v>46177</v>
      </c>
      <c r="H9" s="1" t="s">
        <v>286</v>
      </c>
      <c r="I9" t="s">
        <v>29</v>
      </c>
      <c r="J9">
        <v>0</v>
      </c>
      <c r="K9">
        <v>1</v>
      </c>
      <c r="L9">
        <v>2</v>
      </c>
      <c r="M9" s="4">
        <v>5.04</v>
      </c>
      <c r="N9" s="5" t="s">
        <v>278</v>
      </c>
      <c r="O9" t="s">
        <v>294</v>
      </c>
      <c r="P9" t="s">
        <v>29</v>
      </c>
      <c r="Q9" t="s">
        <v>293</v>
      </c>
      <c r="R9" t="s">
        <v>295</v>
      </c>
      <c r="S9">
        <v>3</v>
      </c>
      <c r="T9">
        <v>3</v>
      </c>
      <c r="U9" t="s">
        <v>281</v>
      </c>
      <c r="V9" t="s">
        <v>282</v>
      </c>
    </row>
    <row r="10" spans="1:22" x14ac:dyDescent="0.25">
      <c r="A10" t="s">
        <v>296</v>
      </c>
      <c r="B10" s="6" t="s">
        <v>297</v>
      </c>
      <c r="C10" s="6" t="s">
        <v>298</v>
      </c>
      <c r="D10" s="6" t="s">
        <v>29</v>
      </c>
      <c r="E10" s="6" t="s">
        <v>299</v>
      </c>
      <c r="F10" s="6" t="s">
        <v>300</v>
      </c>
      <c r="G10" s="7">
        <v>46177</v>
      </c>
      <c r="H10" s="1" t="s">
        <v>301</v>
      </c>
      <c r="I10" t="s">
        <v>29</v>
      </c>
      <c r="J10">
        <v>9</v>
      </c>
      <c r="K10">
        <v>0</v>
      </c>
      <c r="L10">
        <v>70</v>
      </c>
      <c r="M10" s="4">
        <v>276.63850000000002</v>
      </c>
      <c r="N10" s="5" t="s">
        <v>278</v>
      </c>
      <c r="O10" t="s">
        <v>302</v>
      </c>
      <c r="P10" t="s">
        <v>29</v>
      </c>
      <c r="Q10" t="s">
        <v>300</v>
      </c>
      <c r="R10" t="s">
        <v>303</v>
      </c>
      <c r="S10">
        <v>3</v>
      </c>
      <c r="T10">
        <v>3</v>
      </c>
      <c r="U10" t="s">
        <v>281</v>
      </c>
      <c r="V10" t="s">
        <v>282</v>
      </c>
    </row>
    <row r="11" spans="1:22" x14ac:dyDescent="0.25">
      <c r="A11" t="s">
        <v>296</v>
      </c>
      <c r="B11" s="6" t="s">
        <v>297</v>
      </c>
      <c r="C11" s="6" t="s">
        <v>298</v>
      </c>
      <c r="D11" s="6" t="s">
        <v>29</v>
      </c>
      <c r="E11" s="6" t="s">
        <v>299</v>
      </c>
      <c r="F11" s="6" t="s">
        <v>300</v>
      </c>
      <c r="G11" s="7">
        <v>46177</v>
      </c>
      <c r="H11" s="1" t="s">
        <v>301</v>
      </c>
      <c r="I11" t="s">
        <v>29</v>
      </c>
      <c r="J11">
        <v>9</v>
      </c>
      <c r="K11">
        <v>0</v>
      </c>
      <c r="L11">
        <v>70</v>
      </c>
      <c r="M11" s="4">
        <v>276.63850000000002</v>
      </c>
      <c r="N11" s="5" t="s">
        <v>278</v>
      </c>
      <c r="O11" t="s">
        <v>304</v>
      </c>
      <c r="P11" t="s">
        <v>29</v>
      </c>
      <c r="Q11" t="s">
        <v>300</v>
      </c>
      <c r="R11" t="s">
        <v>305</v>
      </c>
      <c r="S11">
        <v>3</v>
      </c>
      <c r="T11">
        <v>1</v>
      </c>
      <c r="U11" t="s">
        <v>281</v>
      </c>
      <c r="V11" t="s">
        <v>282</v>
      </c>
    </row>
    <row r="12" spans="1:22" x14ac:dyDescent="0.25">
      <c r="A12" t="s">
        <v>296</v>
      </c>
      <c r="B12" s="6" t="s">
        <v>297</v>
      </c>
      <c r="C12" s="6" t="s">
        <v>298</v>
      </c>
      <c r="D12" s="6" t="s">
        <v>29</v>
      </c>
      <c r="E12" s="6" t="s">
        <v>299</v>
      </c>
      <c r="F12" s="6" t="s">
        <v>300</v>
      </c>
      <c r="G12" s="7">
        <v>46177</v>
      </c>
      <c r="H12" s="1" t="s">
        <v>301</v>
      </c>
      <c r="I12" t="s">
        <v>29</v>
      </c>
      <c r="J12">
        <v>9</v>
      </c>
      <c r="K12">
        <v>0</v>
      </c>
      <c r="L12">
        <v>70</v>
      </c>
      <c r="M12" s="4">
        <v>276.63850000000002</v>
      </c>
      <c r="N12" s="5" t="s">
        <v>278</v>
      </c>
      <c r="O12" t="s">
        <v>306</v>
      </c>
      <c r="P12" t="s">
        <v>29</v>
      </c>
      <c r="Q12" t="s">
        <v>300</v>
      </c>
      <c r="R12" t="s">
        <v>307</v>
      </c>
      <c r="S12">
        <v>1</v>
      </c>
      <c r="T12">
        <v>1</v>
      </c>
      <c r="U12" t="s">
        <v>281</v>
      </c>
      <c r="V12" t="s">
        <v>282</v>
      </c>
    </row>
    <row r="13" spans="1:22" x14ac:dyDescent="0.25">
      <c r="A13" t="s">
        <v>296</v>
      </c>
      <c r="B13" s="6" t="s">
        <v>297</v>
      </c>
      <c r="C13" s="6" t="s">
        <v>298</v>
      </c>
      <c r="D13" s="6" t="s">
        <v>29</v>
      </c>
      <c r="E13" s="6" t="s">
        <v>299</v>
      </c>
      <c r="F13" s="6" t="s">
        <v>300</v>
      </c>
      <c r="G13" s="7">
        <v>46177</v>
      </c>
      <c r="H13" s="1" t="s">
        <v>301</v>
      </c>
      <c r="I13" t="s">
        <v>29</v>
      </c>
      <c r="J13">
        <v>9</v>
      </c>
      <c r="K13">
        <v>0</v>
      </c>
      <c r="L13">
        <v>70</v>
      </c>
      <c r="M13" s="4">
        <v>276.63850000000002</v>
      </c>
      <c r="N13" s="5" t="s">
        <v>278</v>
      </c>
      <c r="O13" t="s">
        <v>308</v>
      </c>
      <c r="P13" t="s">
        <v>29</v>
      </c>
      <c r="Q13" t="s">
        <v>300</v>
      </c>
      <c r="R13" t="s">
        <v>309</v>
      </c>
      <c r="S13">
        <v>2</v>
      </c>
      <c r="T13">
        <v>2</v>
      </c>
      <c r="U13" t="s">
        <v>281</v>
      </c>
      <c r="V13" t="s">
        <v>282</v>
      </c>
    </row>
    <row r="14" spans="1:22" x14ac:dyDescent="0.25">
      <c r="A14" t="s">
        <v>296</v>
      </c>
      <c r="B14" s="6" t="s">
        <v>297</v>
      </c>
      <c r="C14" s="6" t="s">
        <v>298</v>
      </c>
      <c r="D14" s="6" t="s">
        <v>29</v>
      </c>
      <c r="E14" s="6" t="s">
        <v>299</v>
      </c>
      <c r="F14" s="6" t="s">
        <v>300</v>
      </c>
      <c r="G14" s="7">
        <v>46177</v>
      </c>
      <c r="H14" s="1" t="s">
        <v>301</v>
      </c>
      <c r="I14" t="s">
        <v>29</v>
      </c>
      <c r="J14">
        <v>9</v>
      </c>
      <c r="K14">
        <v>0</v>
      </c>
      <c r="L14">
        <v>70</v>
      </c>
      <c r="M14" s="4">
        <v>276.63850000000002</v>
      </c>
      <c r="N14" s="5" t="s">
        <v>278</v>
      </c>
      <c r="O14" t="s">
        <v>310</v>
      </c>
      <c r="P14" t="s">
        <v>29</v>
      </c>
      <c r="Q14" t="s">
        <v>300</v>
      </c>
      <c r="R14" t="s">
        <v>311</v>
      </c>
      <c r="S14">
        <v>0</v>
      </c>
      <c r="T14">
        <v>2</v>
      </c>
      <c r="U14" t="s">
        <v>281</v>
      </c>
      <c r="V14" t="s">
        <v>282</v>
      </c>
    </row>
    <row r="16" spans="1:22" x14ac:dyDescent="0.25">
      <c r="L16" s="4"/>
      <c r="M16" s="4"/>
      <c r="N16" s="5"/>
    </row>
  </sheetData>
  <mergeCells count="2">
    <mergeCell ref="A2:U3"/>
    <mergeCell ref="A4:U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1FB5A-1EA6-4A1D-85E6-27B3B5B99388}">
  <dimension ref="A1:X7"/>
  <sheetViews>
    <sheetView workbookViewId="0"/>
  </sheetViews>
  <sheetFormatPr baseColWidth="10" defaultRowHeight="15" x14ac:dyDescent="0.25"/>
  <sheetData>
    <row r="1" spans="1:24" x14ac:dyDescent="0.25">
      <c r="A1" s="17" t="s">
        <v>57</v>
      </c>
      <c r="B1" s="17" t="s">
        <v>0</v>
      </c>
      <c r="C1" s="17" t="s">
        <v>1</v>
      </c>
      <c r="D1" s="17" t="s">
        <v>1</v>
      </c>
      <c r="E1" s="17" t="s">
        <v>1</v>
      </c>
      <c r="F1" s="17" t="s">
        <v>1</v>
      </c>
      <c r="G1" s="17" t="s">
        <v>1</v>
      </c>
      <c r="I1" s="17" t="s">
        <v>1</v>
      </c>
      <c r="J1" s="17" t="s">
        <v>1</v>
      </c>
      <c r="K1" s="17" t="s">
        <v>1</v>
      </c>
      <c r="L1" s="17" t="s">
        <v>1</v>
      </c>
      <c r="M1" s="17" t="s">
        <v>1</v>
      </c>
      <c r="N1" s="17" t="s">
        <v>1</v>
      </c>
      <c r="O1" s="17" t="s">
        <v>1</v>
      </c>
      <c r="P1" s="17" t="s">
        <v>1</v>
      </c>
      <c r="Q1" s="17" t="s">
        <v>1</v>
      </c>
      <c r="R1" s="17" t="s">
        <v>1</v>
      </c>
      <c r="S1" s="17" t="s">
        <v>1</v>
      </c>
      <c r="T1" s="17" t="s">
        <v>1</v>
      </c>
      <c r="U1" s="17" t="s">
        <v>1</v>
      </c>
      <c r="V1" s="17" t="s">
        <v>1</v>
      </c>
      <c r="W1" s="17" t="s">
        <v>1</v>
      </c>
      <c r="X1" s="17" t="s">
        <v>1</v>
      </c>
    </row>
    <row r="2" spans="1:24" x14ac:dyDescent="0.25">
      <c r="C2" s="17" t="s">
        <v>25</v>
      </c>
    </row>
    <row r="3" spans="1:24" x14ac:dyDescent="0.25">
      <c r="C3" s="17" t="s">
        <v>32</v>
      </c>
    </row>
    <row r="5" spans="1:24" x14ac:dyDescent="0.25">
      <c r="B5" s="17" t="s">
        <v>83</v>
      </c>
      <c r="C5" s="17" t="s">
        <v>33</v>
      </c>
    </row>
    <row r="6" spans="1:24" x14ac:dyDescent="0.25">
      <c r="C6" s="17" t="s">
        <v>19</v>
      </c>
      <c r="D6" s="17" t="s">
        <v>18</v>
      </c>
      <c r="E6" s="17" t="s">
        <v>17</v>
      </c>
      <c r="F6" s="17" t="s">
        <v>20</v>
      </c>
      <c r="G6" s="17" t="s">
        <v>16</v>
      </c>
      <c r="H6" s="17" t="s">
        <v>21</v>
      </c>
      <c r="I6" s="17" t="s">
        <v>2</v>
      </c>
      <c r="J6" s="17" t="s">
        <v>3</v>
      </c>
      <c r="K6" s="17" t="s">
        <v>4</v>
      </c>
      <c r="L6" s="17" t="s">
        <v>23</v>
      </c>
      <c r="M6" s="17" t="s">
        <v>5</v>
      </c>
      <c r="N6" s="17" t="s">
        <v>14</v>
      </c>
      <c r="O6" s="17" t="s">
        <v>15</v>
      </c>
      <c r="P6" s="17" t="s">
        <v>6</v>
      </c>
      <c r="Q6" s="17" t="s">
        <v>27</v>
      </c>
      <c r="R6" s="17" t="s">
        <v>24</v>
      </c>
      <c r="S6" s="17" t="s">
        <v>22</v>
      </c>
      <c r="T6" s="17" t="s">
        <v>7</v>
      </c>
      <c r="U6" s="17" t="s">
        <v>26</v>
      </c>
      <c r="V6" s="17" t="s">
        <v>8</v>
      </c>
      <c r="W6" s="17" t="s">
        <v>9</v>
      </c>
      <c r="X6" s="17" t="s">
        <v>28</v>
      </c>
    </row>
    <row r="7" spans="1:24" x14ac:dyDescent="0.25">
      <c r="B7" s="17" t="s">
        <v>34</v>
      </c>
      <c r="C7" s="17" t="s">
        <v>35</v>
      </c>
      <c r="D7" s="17" t="s">
        <v>36</v>
      </c>
      <c r="E7" s="17" t="s">
        <v>37</v>
      </c>
      <c r="F7" s="17" t="s">
        <v>38</v>
      </c>
      <c r="G7" s="17" t="s">
        <v>39</v>
      </c>
      <c r="H7" s="17" t="s">
        <v>40</v>
      </c>
      <c r="I7" s="17" t="s">
        <v>41</v>
      </c>
      <c r="J7" s="17" t="s">
        <v>42</v>
      </c>
      <c r="K7" s="17" t="s">
        <v>43</v>
      </c>
      <c r="L7" s="17" t="s">
        <v>44</v>
      </c>
      <c r="M7" s="17" t="s">
        <v>45</v>
      </c>
      <c r="N7" s="17" t="s">
        <v>46</v>
      </c>
      <c r="O7" s="17" t="s">
        <v>47</v>
      </c>
      <c r="P7" s="17" t="s">
        <v>48</v>
      </c>
      <c r="Q7" s="17" t="s">
        <v>49</v>
      </c>
      <c r="R7" s="17" t="s">
        <v>50</v>
      </c>
      <c r="S7" s="17" t="s">
        <v>51</v>
      </c>
      <c r="T7" s="17" t="s">
        <v>52</v>
      </c>
      <c r="U7" s="17" t="s">
        <v>53</v>
      </c>
      <c r="V7" s="17" t="s">
        <v>54</v>
      </c>
      <c r="W7" s="17" t="s">
        <v>55</v>
      </c>
      <c r="X7" s="17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6DD94-9506-459A-87F4-C95AB7F9E06D}">
  <dimension ref="A1:X7"/>
  <sheetViews>
    <sheetView workbookViewId="0"/>
  </sheetViews>
  <sheetFormatPr baseColWidth="10" defaultRowHeight="15" x14ac:dyDescent="0.25"/>
  <sheetData>
    <row r="1" spans="1:24" x14ac:dyDescent="0.25">
      <c r="A1" s="17" t="s">
        <v>57</v>
      </c>
      <c r="B1" s="17" t="s">
        <v>0</v>
      </c>
      <c r="C1" s="17" t="s">
        <v>1</v>
      </c>
      <c r="D1" s="17" t="s">
        <v>1</v>
      </c>
      <c r="E1" s="17" t="s">
        <v>1</v>
      </c>
      <c r="F1" s="17" t="s">
        <v>1</v>
      </c>
      <c r="G1" s="17" t="s">
        <v>1</v>
      </c>
      <c r="I1" s="17" t="s">
        <v>1</v>
      </c>
      <c r="J1" s="17" t="s">
        <v>1</v>
      </c>
      <c r="K1" s="17" t="s">
        <v>1</v>
      </c>
      <c r="L1" s="17" t="s">
        <v>1</v>
      </c>
      <c r="M1" s="17" t="s">
        <v>1</v>
      </c>
      <c r="N1" s="17" t="s">
        <v>1</v>
      </c>
      <c r="O1" s="17" t="s">
        <v>1</v>
      </c>
      <c r="P1" s="17" t="s">
        <v>1</v>
      </c>
      <c r="Q1" s="17" t="s">
        <v>1</v>
      </c>
      <c r="R1" s="17" t="s">
        <v>1</v>
      </c>
      <c r="S1" s="17" t="s">
        <v>1</v>
      </c>
      <c r="T1" s="17" t="s">
        <v>1</v>
      </c>
      <c r="U1" s="17" t="s">
        <v>1</v>
      </c>
      <c r="V1" s="17" t="s">
        <v>1</v>
      </c>
      <c r="W1" s="17" t="s">
        <v>1</v>
      </c>
      <c r="X1" s="17" t="s">
        <v>1</v>
      </c>
    </row>
    <row r="2" spans="1:24" x14ac:dyDescent="0.25">
      <c r="C2" s="17" t="s">
        <v>25</v>
      </c>
    </row>
    <row r="3" spans="1:24" x14ac:dyDescent="0.25">
      <c r="C3" s="17" t="s">
        <v>58</v>
      </c>
    </row>
    <row r="5" spans="1:24" x14ac:dyDescent="0.25">
      <c r="B5" s="17" t="s">
        <v>31</v>
      </c>
      <c r="C5" s="17" t="s">
        <v>59</v>
      </c>
    </row>
    <row r="6" spans="1:24" x14ac:dyDescent="0.25">
      <c r="C6" s="17" t="s">
        <v>19</v>
      </c>
      <c r="D6" s="17" t="s">
        <v>18</v>
      </c>
      <c r="E6" s="17" t="s">
        <v>17</v>
      </c>
      <c r="F6" s="17" t="s">
        <v>20</v>
      </c>
      <c r="G6" s="17" t="s">
        <v>16</v>
      </c>
      <c r="H6" s="17" t="s">
        <v>21</v>
      </c>
      <c r="I6" s="17" t="s">
        <v>2</v>
      </c>
      <c r="J6" s="17" t="s">
        <v>3</v>
      </c>
      <c r="K6" s="17" t="s">
        <v>4</v>
      </c>
      <c r="L6" s="17" t="s">
        <v>23</v>
      </c>
      <c r="M6" s="17" t="s">
        <v>5</v>
      </c>
      <c r="N6" s="17" t="s">
        <v>14</v>
      </c>
      <c r="O6" s="17" t="s">
        <v>15</v>
      </c>
      <c r="P6" s="17" t="s">
        <v>6</v>
      </c>
      <c r="Q6" s="17" t="s">
        <v>27</v>
      </c>
      <c r="R6" s="17" t="s">
        <v>24</v>
      </c>
      <c r="S6" s="17" t="s">
        <v>22</v>
      </c>
      <c r="T6" s="17" t="s">
        <v>7</v>
      </c>
      <c r="U6" s="17" t="s">
        <v>26</v>
      </c>
      <c r="V6" s="17" t="s">
        <v>8</v>
      </c>
      <c r="W6" s="17" t="s">
        <v>9</v>
      </c>
      <c r="X6" s="17" t="s">
        <v>28</v>
      </c>
    </row>
    <row r="7" spans="1:24" x14ac:dyDescent="0.25">
      <c r="B7" s="17" t="s">
        <v>60</v>
      </c>
      <c r="C7" s="17" t="s">
        <v>61</v>
      </c>
      <c r="D7" s="17" t="s">
        <v>62</v>
      </c>
      <c r="E7" s="17" t="s">
        <v>63</v>
      </c>
      <c r="F7" s="17" t="s">
        <v>64</v>
      </c>
      <c r="G7" s="17" t="s">
        <v>65</v>
      </c>
      <c r="H7" s="17" t="s">
        <v>66</v>
      </c>
      <c r="I7" s="17" t="s">
        <v>67</v>
      </c>
      <c r="J7" s="17" t="s">
        <v>68</v>
      </c>
      <c r="K7" s="17" t="s">
        <v>69</v>
      </c>
      <c r="L7" s="17" t="s">
        <v>70</v>
      </c>
      <c r="M7" s="17" t="s">
        <v>71</v>
      </c>
      <c r="N7" s="17" t="s">
        <v>72</v>
      </c>
      <c r="O7" s="17" t="s">
        <v>73</v>
      </c>
      <c r="P7" s="17" t="s">
        <v>74</v>
      </c>
      <c r="Q7" s="17" t="s">
        <v>75</v>
      </c>
      <c r="R7" s="17" t="s">
        <v>76</v>
      </c>
      <c r="S7" s="17" t="s">
        <v>77</v>
      </c>
      <c r="T7" s="17" t="s">
        <v>78</v>
      </c>
      <c r="U7" s="17" t="s">
        <v>79</v>
      </c>
      <c r="V7" s="17" t="s">
        <v>80</v>
      </c>
      <c r="W7" s="17" t="s">
        <v>81</v>
      </c>
      <c r="X7" s="17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62F75-325A-4A21-8A39-BD42EA3B39AA}">
  <dimension ref="A1:X15"/>
  <sheetViews>
    <sheetView workbookViewId="0"/>
  </sheetViews>
  <sheetFormatPr baseColWidth="10" defaultRowHeight="15" x14ac:dyDescent="0.25"/>
  <sheetData>
    <row r="1" spans="1:24" x14ac:dyDescent="0.25">
      <c r="A1" s="17" t="s">
        <v>269</v>
      </c>
      <c r="B1" s="17" t="s">
        <v>0</v>
      </c>
      <c r="C1" s="17" t="s">
        <v>1</v>
      </c>
      <c r="D1" s="17" t="s">
        <v>1</v>
      </c>
      <c r="E1" s="17" t="s">
        <v>1</v>
      </c>
      <c r="F1" s="17" t="s">
        <v>1</v>
      </c>
      <c r="G1" s="17" t="s">
        <v>1</v>
      </c>
      <c r="I1" s="17" t="s">
        <v>1</v>
      </c>
      <c r="J1" s="17" t="s">
        <v>1</v>
      </c>
      <c r="K1" s="17" t="s">
        <v>1</v>
      </c>
      <c r="L1" s="17" t="s">
        <v>1</v>
      </c>
      <c r="M1" s="17" t="s">
        <v>1</v>
      </c>
      <c r="N1" s="17" t="s">
        <v>1</v>
      </c>
      <c r="O1" s="17" t="s">
        <v>1</v>
      </c>
      <c r="P1" s="17" t="s">
        <v>1</v>
      </c>
      <c r="Q1" s="17" t="s">
        <v>1</v>
      </c>
      <c r="R1" s="17" t="s">
        <v>1</v>
      </c>
      <c r="S1" s="17" t="s">
        <v>1</v>
      </c>
      <c r="T1" s="17" t="s">
        <v>1</v>
      </c>
      <c r="U1" s="17" t="s">
        <v>1</v>
      </c>
      <c r="V1" s="17" t="s">
        <v>1</v>
      </c>
      <c r="W1" s="17" t="s">
        <v>1</v>
      </c>
      <c r="X1" s="17" t="s">
        <v>1</v>
      </c>
    </row>
    <row r="2" spans="1:24" x14ac:dyDescent="0.25">
      <c r="C2" s="17" t="s">
        <v>25</v>
      </c>
    </row>
    <row r="3" spans="1:24" x14ac:dyDescent="0.25">
      <c r="C3" s="17" t="s">
        <v>32</v>
      </c>
    </row>
    <row r="5" spans="1:24" x14ac:dyDescent="0.25">
      <c r="B5" s="17" t="s">
        <v>83</v>
      </c>
      <c r="C5" s="17" t="s">
        <v>33</v>
      </c>
    </row>
    <row r="6" spans="1:24" x14ac:dyDescent="0.25">
      <c r="C6" s="17" t="s">
        <v>19</v>
      </c>
      <c r="D6" s="17" t="s">
        <v>18</v>
      </c>
      <c r="E6" s="17" t="s">
        <v>17</v>
      </c>
      <c r="F6" s="17" t="s">
        <v>20</v>
      </c>
      <c r="G6" s="17" t="s">
        <v>16</v>
      </c>
      <c r="H6" s="17" t="s">
        <v>21</v>
      </c>
      <c r="I6" s="17" t="s">
        <v>2</v>
      </c>
      <c r="J6" s="17" t="s">
        <v>3</v>
      </c>
      <c r="K6" s="17" t="s">
        <v>4</v>
      </c>
      <c r="L6" s="17" t="s">
        <v>23</v>
      </c>
      <c r="M6" s="17" t="s">
        <v>5</v>
      </c>
      <c r="N6" s="17" t="s">
        <v>14</v>
      </c>
      <c r="O6" s="17" t="s">
        <v>15</v>
      </c>
      <c r="P6" s="17" t="s">
        <v>6</v>
      </c>
      <c r="Q6" s="17" t="s">
        <v>27</v>
      </c>
      <c r="R6" s="17" t="s">
        <v>24</v>
      </c>
      <c r="S6" s="17" t="s">
        <v>22</v>
      </c>
      <c r="T6" s="17" t="s">
        <v>7</v>
      </c>
      <c r="U6" s="17" t="s">
        <v>26</v>
      </c>
      <c r="V6" s="17" t="s">
        <v>8</v>
      </c>
      <c r="W6" s="17" t="s">
        <v>9</v>
      </c>
      <c r="X6" s="17" t="s">
        <v>28</v>
      </c>
    </row>
    <row r="7" spans="1:24" x14ac:dyDescent="0.25">
      <c r="B7" s="17" t="s">
        <v>34</v>
      </c>
      <c r="C7" s="17" t="s">
        <v>35</v>
      </c>
      <c r="D7" s="17" t="s">
        <v>36</v>
      </c>
      <c r="E7" s="17" t="s">
        <v>37</v>
      </c>
      <c r="F7" s="17" t="s">
        <v>38</v>
      </c>
      <c r="G7" s="17" t="s">
        <v>39</v>
      </c>
      <c r="H7" s="17" t="s">
        <v>40</v>
      </c>
      <c r="I7" s="17" t="s">
        <v>41</v>
      </c>
      <c r="J7" s="17" t="s">
        <v>42</v>
      </c>
      <c r="K7" s="17" t="s">
        <v>43</v>
      </c>
      <c r="L7" s="17" t="s">
        <v>44</v>
      </c>
      <c r="M7" s="17" t="s">
        <v>45</v>
      </c>
      <c r="N7" s="17" t="s">
        <v>46</v>
      </c>
      <c r="O7" s="17" t="s">
        <v>47</v>
      </c>
      <c r="P7" s="17" t="s">
        <v>48</v>
      </c>
      <c r="Q7" s="17" t="s">
        <v>49</v>
      </c>
      <c r="R7" s="17" t="s">
        <v>50</v>
      </c>
      <c r="S7" s="17" t="s">
        <v>51</v>
      </c>
      <c r="T7" s="17" t="s">
        <v>52</v>
      </c>
      <c r="U7" s="17" t="s">
        <v>53</v>
      </c>
      <c r="V7" s="17" t="s">
        <v>54</v>
      </c>
      <c r="W7" s="17" t="s">
        <v>55</v>
      </c>
      <c r="X7" s="17" t="s">
        <v>56</v>
      </c>
    </row>
    <row r="8" spans="1:24" x14ac:dyDescent="0.25">
      <c r="A8" s="17" t="s">
        <v>84</v>
      </c>
      <c r="B8" s="17" t="s">
        <v>85</v>
      </c>
      <c r="C8" s="17" t="s">
        <v>197</v>
      </c>
      <c r="D8" s="17" t="s">
        <v>86</v>
      </c>
      <c r="E8" s="17" t="s">
        <v>87</v>
      </c>
      <c r="F8" s="17" t="s">
        <v>88</v>
      </c>
      <c r="G8" s="17" t="s">
        <v>89</v>
      </c>
      <c r="H8" s="17" t="s">
        <v>90</v>
      </c>
      <c r="I8" s="17" t="s">
        <v>91</v>
      </c>
      <c r="J8" s="17" t="s">
        <v>92</v>
      </c>
      <c r="K8" s="17" t="s">
        <v>93</v>
      </c>
      <c r="L8" s="17" t="s">
        <v>94</v>
      </c>
      <c r="M8" s="17" t="s">
        <v>95</v>
      </c>
      <c r="N8" s="17" t="s">
        <v>96</v>
      </c>
      <c r="O8" s="17" t="s">
        <v>97</v>
      </c>
      <c r="P8" s="17" t="s">
        <v>98</v>
      </c>
      <c r="Q8" s="17" t="s">
        <v>205</v>
      </c>
      <c r="R8" s="17" t="s">
        <v>213</v>
      </c>
      <c r="S8" s="17" t="s">
        <v>221</v>
      </c>
      <c r="T8" s="17" t="s">
        <v>229</v>
      </c>
      <c r="U8" s="17" t="s">
        <v>237</v>
      </c>
      <c r="V8" s="17" t="s">
        <v>245</v>
      </c>
      <c r="W8" s="17" t="s">
        <v>253</v>
      </c>
      <c r="X8" s="17" t="s">
        <v>261</v>
      </c>
    </row>
    <row r="9" spans="1:24" x14ac:dyDescent="0.25">
      <c r="A9" s="17" t="s">
        <v>84</v>
      </c>
      <c r="B9" s="17" t="s">
        <v>99</v>
      </c>
      <c r="C9" s="17" t="s">
        <v>198</v>
      </c>
      <c r="D9" s="17" t="s">
        <v>100</v>
      </c>
      <c r="E9" s="17" t="s">
        <v>101</v>
      </c>
      <c r="F9" s="17" t="s">
        <v>102</v>
      </c>
      <c r="G9" s="17" t="s">
        <v>103</v>
      </c>
      <c r="H9" s="17" t="s">
        <v>104</v>
      </c>
      <c r="I9" s="17" t="s">
        <v>105</v>
      </c>
      <c r="J9" s="17" t="s">
        <v>106</v>
      </c>
      <c r="K9" s="17" t="s">
        <v>107</v>
      </c>
      <c r="L9" s="17" t="s">
        <v>108</v>
      </c>
      <c r="M9" s="17" t="s">
        <v>109</v>
      </c>
      <c r="N9" s="17" t="s">
        <v>110</v>
      </c>
      <c r="O9" s="17" t="s">
        <v>111</v>
      </c>
      <c r="P9" s="17" t="s">
        <v>112</v>
      </c>
      <c r="Q9" s="17" t="s">
        <v>206</v>
      </c>
      <c r="R9" s="17" t="s">
        <v>214</v>
      </c>
      <c r="S9" s="17" t="s">
        <v>222</v>
      </c>
      <c r="T9" s="17" t="s">
        <v>230</v>
      </c>
      <c r="U9" s="17" t="s">
        <v>238</v>
      </c>
      <c r="V9" s="17" t="s">
        <v>246</v>
      </c>
      <c r="W9" s="17" t="s">
        <v>254</v>
      </c>
      <c r="X9" s="17" t="s">
        <v>262</v>
      </c>
    </row>
    <row r="10" spans="1:24" x14ac:dyDescent="0.25">
      <c r="A10" s="17" t="s">
        <v>84</v>
      </c>
      <c r="B10" s="17" t="s">
        <v>113</v>
      </c>
      <c r="C10" s="17" t="s">
        <v>199</v>
      </c>
      <c r="D10" s="17" t="s">
        <v>114</v>
      </c>
      <c r="E10" s="17" t="s">
        <v>115</v>
      </c>
      <c r="F10" s="17" t="s">
        <v>116</v>
      </c>
      <c r="G10" s="17" t="s">
        <v>117</v>
      </c>
      <c r="H10" s="17" t="s">
        <v>118</v>
      </c>
      <c r="I10" s="17" t="s">
        <v>119</v>
      </c>
      <c r="J10" s="17" t="s">
        <v>120</v>
      </c>
      <c r="K10" s="17" t="s">
        <v>121</v>
      </c>
      <c r="L10" s="17" t="s">
        <v>122</v>
      </c>
      <c r="M10" s="17" t="s">
        <v>123</v>
      </c>
      <c r="N10" s="17" t="s">
        <v>124</v>
      </c>
      <c r="O10" s="17" t="s">
        <v>125</v>
      </c>
      <c r="P10" s="17" t="s">
        <v>126</v>
      </c>
      <c r="Q10" s="17" t="s">
        <v>207</v>
      </c>
      <c r="R10" s="17" t="s">
        <v>215</v>
      </c>
      <c r="S10" s="17" t="s">
        <v>223</v>
      </c>
      <c r="T10" s="17" t="s">
        <v>231</v>
      </c>
      <c r="U10" s="17" t="s">
        <v>239</v>
      </c>
      <c r="V10" s="17" t="s">
        <v>247</v>
      </c>
      <c r="W10" s="17" t="s">
        <v>255</v>
      </c>
      <c r="X10" s="17" t="s">
        <v>263</v>
      </c>
    </row>
    <row r="11" spans="1:24" x14ac:dyDescent="0.25">
      <c r="A11" s="17" t="s">
        <v>84</v>
      </c>
      <c r="B11" s="17" t="s">
        <v>127</v>
      </c>
      <c r="C11" s="17" t="s">
        <v>200</v>
      </c>
      <c r="D11" s="17" t="s">
        <v>128</v>
      </c>
      <c r="E11" s="17" t="s">
        <v>129</v>
      </c>
      <c r="F11" s="17" t="s">
        <v>130</v>
      </c>
      <c r="G11" s="17" t="s">
        <v>131</v>
      </c>
      <c r="H11" s="17" t="s">
        <v>132</v>
      </c>
      <c r="I11" s="17" t="s">
        <v>133</v>
      </c>
      <c r="J11" s="17" t="s">
        <v>134</v>
      </c>
      <c r="K11" s="17" t="s">
        <v>135</v>
      </c>
      <c r="L11" s="17" t="s">
        <v>136</v>
      </c>
      <c r="M11" s="17" t="s">
        <v>137</v>
      </c>
      <c r="N11" s="17" t="s">
        <v>138</v>
      </c>
      <c r="O11" s="17" t="s">
        <v>139</v>
      </c>
      <c r="P11" s="17" t="s">
        <v>140</v>
      </c>
      <c r="Q11" s="17" t="s">
        <v>208</v>
      </c>
      <c r="R11" s="17" t="s">
        <v>216</v>
      </c>
      <c r="S11" s="17" t="s">
        <v>224</v>
      </c>
      <c r="T11" s="17" t="s">
        <v>232</v>
      </c>
      <c r="U11" s="17" t="s">
        <v>240</v>
      </c>
      <c r="V11" s="17" t="s">
        <v>248</v>
      </c>
      <c r="W11" s="17" t="s">
        <v>256</v>
      </c>
      <c r="X11" s="17" t="s">
        <v>264</v>
      </c>
    </row>
    <row r="12" spans="1:24" x14ac:dyDescent="0.25">
      <c r="A12" s="17" t="s">
        <v>84</v>
      </c>
      <c r="B12" s="17" t="s">
        <v>141</v>
      </c>
      <c r="C12" s="17" t="s">
        <v>201</v>
      </c>
      <c r="D12" s="17" t="s">
        <v>142</v>
      </c>
      <c r="E12" s="17" t="s">
        <v>143</v>
      </c>
      <c r="F12" s="17" t="s">
        <v>144</v>
      </c>
      <c r="G12" s="17" t="s">
        <v>145</v>
      </c>
      <c r="H12" s="17" t="s">
        <v>146</v>
      </c>
      <c r="I12" s="17" t="s">
        <v>147</v>
      </c>
      <c r="J12" s="17" t="s">
        <v>148</v>
      </c>
      <c r="K12" s="17" t="s">
        <v>149</v>
      </c>
      <c r="L12" s="17" t="s">
        <v>150</v>
      </c>
      <c r="M12" s="17" t="s">
        <v>151</v>
      </c>
      <c r="N12" s="17" t="s">
        <v>152</v>
      </c>
      <c r="O12" s="17" t="s">
        <v>153</v>
      </c>
      <c r="P12" s="17" t="s">
        <v>154</v>
      </c>
      <c r="Q12" s="17" t="s">
        <v>209</v>
      </c>
      <c r="R12" s="17" t="s">
        <v>217</v>
      </c>
      <c r="S12" s="17" t="s">
        <v>225</v>
      </c>
      <c r="T12" s="17" t="s">
        <v>233</v>
      </c>
      <c r="U12" s="17" t="s">
        <v>241</v>
      </c>
      <c r="V12" s="17" t="s">
        <v>249</v>
      </c>
      <c r="W12" s="17" t="s">
        <v>257</v>
      </c>
      <c r="X12" s="17" t="s">
        <v>265</v>
      </c>
    </row>
    <row r="13" spans="1:24" x14ac:dyDescent="0.25">
      <c r="A13" s="17" t="s">
        <v>84</v>
      </c>
      <c r="B13" s="17" t="s">
        <v>155</v>
      </c>
      <c r="C13" s="17" t="s">
        <v>202</v>
      </c>
      <c r="D13" s="17" t="s">
        <v>156</v>
      </c>
      <c r="E13" s="17" t="s">
        <v>157</v>
      </c>
      <c r="F13" s="17" t="s">
        <v>158</v>
      </c>
      <c r="G13" s="17" t="s">
        <v>159</v>
      </c>
      <c r="H13" s="17" t="s">
        <v>160</v>
      </c>
      <c r="I13" s="17" t="s">
        <v>161</v>
      </c>
      <c r="J13" s="17" t="s">
        <v>162</v>
      </c>
      <c r="K13" s="17" t="s">
        <v>163</v>
      </c>
      <c r="L13" s="17" t="s">
        <v>164</v>
      </c>
      <c r="M13" s="17" t="s">
        <v>165</v>
      </c>
      <c r="N13" s="17" t="s">
        <v>166</v>
      </c>
      <c r="O13" s="17" t="s">
        <v>167</v>
      </c>
      <c r="P13" s="17" t="s">
        <v>168</v>
      </c>
      <c r="Q13" s="17" t="s">
        <v>210</v>
      </c>
      <c r="R13" s="17" t="s">
        <v>218</v>
      </c>
      <c r="S13" s="17" t="s">
        <v>226</v>
      </c>
      <c r="T13" s="17" t="s">
        <v>234</v>
      </c>
      <c r="U13" s="17" t="s">
        <v>242</v>
      </c>
      <c r="V13" s="17" t="s">
        <v>250</v>
      </c>
      <c r="W13" s="17" t="s">
        <v>258</v>
      </c>
      <c r="X13" s="17" t="s">
        <v>266</v>
      </c>
    </row>
    <row r="14" spans="1:24" x14ac:dyDescent="0.25">
      <c r="A14" s="17" t="s">
        <v>84</v>
      </c>
      <c r="B14" s="17" t="s">
        <v>169</v>
      </c>
      <c r="C14" s="17" t="s">
        <v>203</v>
      </c>
      <c r="D14" s="17" t="s">
        <v>170</v>
      </c>
      <c r="E14" s="17" t="s">
        <v>171</v>
      </c>
      <c r="F14" s="17" t="s">
        <v>172</v>
      </c>
      <c r="G14" s="17" t="s">
        <v>173</v>
      </c>
      <c r="H14" s="17" t="s">
        <v>174</v>
      </c>
      <c r="I14" s="17" t="s">
        <v>175</v>
      </c>
      <c r="J14" s="17" t="s">
        <v>176</v>
      </c>
      <c r="K14" s="17" t="s">
        <v>177</v>
      </c>
      <c r="L14" s="17" t="s">
        <v>178</v>
      </c>
      <c r="M14" s="17" t="s">
        <v>179</v>
      </c>
      <c r="N14" s="17" t="s">
        <v>180</v>
      </c>
      <c r="O14" s="17" t="s">
        <v>181</v>
      </c>
      <c r="P14" s="17" t="s">
        <v>182</v>
      </c>
      <c r="Q14" s="17" t="s">
        <v>211</v>
      </c>
      <c r="R14" s="17" t="s">
        <v>219</v>
      </c>
      <c r="S14" s="17" t="s">
        <v>227</v>
      </c>
      <c r="T14" s="17" t="s">
        <v>235</v>
      </c>
      <c r="U14" s="17" t="s">
        <v>243</v>
      </c>
      <c r="V14" s="17" t="s">
        <v>251</v>
      </c>
      <c r="W14" s="17" t="s">
        <v>259</v>
      </c>
      <c r="X14" s="17" t="s">
        <v>267</v>
      </c>
    </row>
    <row r="15" spans="1:24" x14ac:dyDescent="0.25">
      <c r="A15" s="17" t="s">
        <v>84</v>
      </c>
      <c r="B15" s="17" t="s">
        <v>183</v>
      </c>
      <c r="C15" s="17" t="s">
        <v>204</v>
      </c>
      <c r="D15" s="17" t="s">
        <v>184</v>
      </c>
      <c r="E15" s="17" t="s">
        <v>185</v>
      </c>
      <c r="F15" s="17" t="s">
        <v>186</v>
      </c>
      <c r="G15" s="17" t="s">
        <v>187</v>
      </c>
      <c r="H15" s="17" t="s">
        <v>188</v>
      </c>
      <c r="I15" s="17" t="s">
        <v>189</v>
      </c>
      <c r="J15" s="17" t="s">
        <v>190</v>
      </c>
      <c r="K15" s="17" t="s">
        <v>191</v>
      </c>
      <c r="L15" s="17" t="s">
        <v>192</v>
      </c>
      <c r="M15" s="17" t="s">
        <v>193</v>
      </c>
      <c r="N15" s="17" t="s">
        <v>194</v>
      </c>
      <c r="O15" s="17" t="s">
        <v>195</v>
      </c>
      <c r="P15" s="17" t="s">
        <v>196</v>
      </c>
      <c r="Q15" s="17" t="s">
        <v>212</v>
      </c>
      <c r="R15" s="17" t="s">
        <v>220</v>
      </c>
      <c r="S15" s="17" t="s">
        <v>228</v>
      </c>
      <c r="T15" s="17" t="s">
        <v>236</v>
      </c>
      <c r="U15" s="17" t="s">
        <v>244</v>
      </c>
      <c r="V15" s="17" t="s">
        <v>252</v>
      </c>
      <c r="W15" s="17" t="s">
        <v>260</v>
      </c>
      <c r="X15" s="17" t="s">
        <v>268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7E496E75F43449807DA20AEA9E5BD1" ma:contentTypeVersion="9" ma:contentTypeDescription="Crear nuevo documento." ma:contentTypeScope="" ma:versionID="bd36b69422572bc71ef08c610672583f">
  <xsd:schema xmlns:xsd="http://www.w3.org/2001/XMLSchema" xmlns:xs="http://www.w3.org/2001/XMLSchema" xmlns:p="http://schemas.microsoft.com/office/2006/metadata/properties" xmlns:ns2="0a730db8-e339-4070-9a40-14345e58ba8b" targetNamespace="http://schemas.microsoft.com/office/2006/metadata/properties" ma:root="true" ma:fieldsID="134dd4ea042b346e68867fe958e6da99" ns2:_="">
    <xsd:import namespace="0a730db8-e339-4070-9a40-14345e58ba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30db8-e339-4070-9a40-14345e58b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9825b88-26fc-4896-8a03-1a222bf385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730db8-e339-4070-9a40-14345e58ba8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0DD6A2-E327-4AC4-8617-3756823F76CE}"/>
</file>

<file path=customXml/itemProps2.xml><?xml version="1.0" encoding="utf-8"?>
<ds:datastoreItem xmlns:ds="http://schemas.openxmlformats.org/officeDocument/2006/customXml" ds:itemID="{21C47CF0-FBDA-4849-90FB-71AF41CFE3C9}"/>
</file>

<file path=customXml/itemProps3.xml><?xml version="1.0" encoding="utf-8"?>
<ds:datastoreItem xmlns:ds="http://schemas.openxmlformats.org/officeDocument/2006/customXml" ds:itemID="{D2F96B30-36ED-4571-AE1D-5F7209DF27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5</vt:i4>
      </vt:variant>
    </vt:vector>
  </HeadingPairs>
  <TitlesOfParts>
    <vt:vector size="7" baseType="lpstr">
      <vt:lpstr>Parametros</vt:lpstr>
      <vt:lpstr>Report</vt:lpstr>
      <vt:lpstr>CodCliente</vt:lpstr>
      <vt:lpstr>FechaConfirmacion</vt:lpstr>
      <vt:lpstr>Hoy</vt:lpstr>
      <vt:lpstr>Operativa</vt:lpstr>
      <vt:lpstr>Titulo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Raveglia Rodriguez</dc:creator>
  <cp:lastModifiedBy>Tareas Automaticas</cp:lastModifiedBy>
  <dcterms:created xsi:type="dcterms:W3CDTF">2010-09-06T15:34:11Z</dcterms:created>
  <dcterms:modified xsi:type="dcterms:W3CDTF">2026-06-05T03:48:13Z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Design Mode Active">
    <vt:bool>false</vt:bool>
  </property>
  <property fmtid="{D5CDD505-2E9C-101B-9397-08002B2CF9AE}" pid="3" name="Jet Reports Function Literals">
    <vt:lpwstr>\	;	;	{	}	[@[{0}]]	3082</vt:lpwstr>
  </property>
  <property fmtid="{D5CDD505-2E9C-101B-9397-08002B2CF9AE}" pid="4" name="ContentTypeId">
    <vt:lpwstr>0x0101002C7E496E75F43449807DA20AEA9E5BD1</vt:lpwstr>
  </property>
</Properties>
</file>